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22.xml" ContentType="application/vnd.openxmlformats-officedocument.spreadsheetml.comments+xml"/>
  <Override PartName="/xl/comments21.xml" ContentType="application/vnd.openxmlformats-officedocument.spreadsheetml.comments+xml"/>
  <Override PartName="/xl/comments18.xml" ContentType="application/vnd.openxmlformats-officedocument.spreadsheetml.comments+xml"/>
  <Override PartName="/xl/comments17.xml" ContentType="application/vnd.openxmlformats-officedocument.spreadsheetml.comments+xml"/>
  <Override PartName="/xl/drawings/vmlDrawing4.vml" ContentType="application/vnd.openxmlformats-officedocument.vmlDrawing"/>
  <Override PartName="/xl/drawings/drawing3.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vmlDrawing6.vml" ContentType="application/vnd.openxmlformats-officedocument.vmlDrawing"/>
  <Override PartName="/xl/drawings/drawing4.xml" ContentType="application/vnd.openxmlformats-officedocument.drawing+xml"/>
  <Override PartName="/xl/drawings/vmlDrawing5.vml" ContentType="application/vnd.openxmlformats-officedocument.vmlDrawing"/>
  <Override PartName="/xl/drawings/drawing12.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8.xml" ContentType="application/vnd.openxmlformats-officedocument.drawing+xml"/>
  <Override PartName="/xl/comments2.xml" ContentType="application/vnd.openxmlformats-officedocument.spreadsheetml.comments+xml"/>
  <Override PartName="/xl/sharedStrings.xml" ContentType="application/vnd.openxmlformats-officedocument.spreadsheetml.sharedStrings+xml"/>
  <Override PartName="/xl/comments3.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22.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9.xml.rels" ContentType="application/vnd.openxmlformats-package.relationships+xml"/>
  <Override PartName="/xl/worksheets/_rels/sheet16.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7.xml.rels" ContentType="application/vnd.openxmlformats-package.relationships+xml"/>
  <Override PartName="/xl/worksheets/_rels/sheet22.xml.rels" ContentType="application/vnd.openxmlformats-package.relationships+xml"/>
  <Override PartName="/xl/worksheets/_rels/sheet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0.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2"/>
    <sheet name="dictionary" sheetId="2" state="visible" r:id="rId3"/>
    <sheet name="subjects" sheetId="3" state="visible" r:id="rId4"/>
    <sheet name="participants" sheetId="4" state="visible" r:id="rId5"/>
    <sheet name="mice" sheetId="5" state="visible" r:id="rId6"/>
    <sheet name="samples" sheetId="6" state="visible" r:id="rId7"/>
    <sheet name="seq" sheetId="7" state="visible" r:id="rId8"/>
    <sheet name="libraries" sheetId="8" state="visible" r:id="rId9"/>
    <sheet name="fastqs" sheetId="9" state="visible" r:id="rId10"/>
    <sheet name="imaging" sheetId="10" state="visible" r:id="rId11"/>
    <sheet name="biofluids" sheetId="11" state="visible" r:id="rId12"/>
    <sheet name="box_meta" sheetId="12" state="visible" r:id="rId13"/>
    <sheet name="files" sheetId="13" state="visible" r:id="rId14"/>
    <sheet name="dx" sheetId="14" state="visible" r:id="rId15"/>
    <sheet name="treatment" sheetId="15" state="visible" r:id="rId16"/>
    <sheet name="pathology" sheetId="16" state="visible" r:id="rId17"/>
    <sheet name="mpnst_libs" sheetId="17" state="visible" r:id="rId18"/>
    <sheet name="an_annubp_low" sheetId="18" state="visible" r:id="rId19"/>
    <sheet name="pn" sheetId="19" state="visible" r:id="rId20"/>
    <sheet name="healthy" sheetId="20" state="visible" r:id="rId21"/>
    <sheet name="nf_no_pnst" sheetId="21" state="visible" r:id="rId22"/>
    <sheet name="mpnst_subj" sheetId="22" state="visible" r:id="rId23"/>
  </sheets>
  <definedNames>
    <definedName function="false" hidden="true" localSheetId="17" name="_xlnm._FilterDatabase" vbProcedure="false">an_annubp_low!$A$1:$BJ$1</definedName>
    <definedName function="false" hidden="true" localSheetId="1" name="_xlnm._FilterDatabase" vbProcedure="false">dictionary!$A$1:$L$1</definedName>
    <definedName function="false" hidden="true" localSheetId="8" name="_xlnm._FilterDatabase" vbProcedure="false">fastqs!$A$1:$S$719</definedName>
    <definedName function="false" hidden="true" localSheetId="9" name="_xlnm._FilterDatabase" vbProcedure="false">imaging!$A$1:$AR$85</definedName>
    <definedName function="false" hidden="true" localSheetId="7" name="_xlnm._FilterDatabase" vbProcedure="false">libraries!$A$1:$X$688</definedName>
    <definedName function="false" hidden="true" localSheetId="4" name="_xlnm._FilterDatabase" vbProcedure="false">mice!$A$1:$I$19</definedName>
    <definedName function="false" hidden="true" localSheetId="21" name="_xlnm._FilterDatabase" vbProcedure="false">mpnst_subj!$A$1:$X$152</definedName>
    <definedName function="false" hidden="true" localSheetId="3" name="_xlnm._FilterDatabase" vbProcedure="false">participants!$A$1:$Q$321</definedName>
    <definedName function="false" hidden="true" localSheetId="15" name="_xlnm._FilterDatabase" vbProcedure="false">pathology!$A$1:$AU$170</definedName>
    <definedName function="false" hidden="true" localSheetId="18" name="_xlnm._FilterDatabase" vbProcedure="false">pn!$A$1:$AU$1</definedName>
    <definedName function="false" hidden="true" localSheetId="5" name="_xlnm._FilterDatabase" vbProcedure="false">samples!$A$1:$K$661</definedName>
    <definedName function="false" hidden="true" localSheetId="2" name="_xlnm._FilterDatabase" vbProcedure="false">subjects!$D$1:$U$339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JS</author>
  </authors>
  <commentList>
    <comment ref="A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consolidate to simply "library"</t>
        </r>
      </text>
    </comment>
    <comment ref="A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what's happening here- need to rename these</t>
        </r>
      </text>
    </comment>
    <comment ref="E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how is it established?</t>
        </r>
      </text>
    </comment>
  </commentList>
</comments>
</file>

<file path=xl/comments3.xml><?xml version="1.0" encoding="utf-8"?>
<comments xmlns="http://schemas.openxmlformats.org/spreadsheetml/2006/main" xmlns:xdr="http://schemas.openxmlformats.org/drawingml/2006/spreadsheetDrawing">
  <authors>
    <author>JS</author>
  </authors>
  <commentList>
    <comment ref="D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Check this: Same as JS0093?</t>
        </r>
      </text>
    </comment>
  </commentList>
</comments>
</file>

<file path=xl/comments4.xml><?xml version="1.0" encoding="utf-8"?>
<comments xmlns="http://schemas.openxmlformats.org/spreadsheetml/2006/main" xmlns:xdr="http://schemas.openxmlformats.org/drawingml/2006/spreadsheetDrawing">
  <authors>
    <author>JS</author>
  </authors>
  <commentList>
    <comment ref="A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Check this: Same as JS0093?</t>
        </r>
      </text>
    </comment>
  </commentList>
</comments>
</file>

<file path=xl/comments16.xml><?xml version="1.0" encoding="utf-8"?>
<comments xmlns="http://schemas.openxmlformats.org/spreadsheetml/2006/main" xmlns:xdr="http://schemas.openxmlformats.org/drawingml/2006/spreadsheetDrawing">
  <authors>
    <author>JS</author>
  </authors>
  <commentList>
    <comment ref="A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Note: this will be generated programmatically</t>
        </r>
      </text>
    </comment>
    <comment ref="E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some of these numbers in this column seem off... 8nc is a nci healthy. but some of these are correct.  I think this is just your scratch but @Paul, just double check</t>
        </r>
      </text>
    </comment>
    <comment ref="M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so two path reports on this sarc031 patient. First one was mpnst. the on-tx bix (day 1 cycle 1) was actually c/w annubp</t>
        </r>
      </text>
    </comment>
  </commentList>
</comments>
</file>

<file path=xl/comments17.xml><?xml version="1.0" encoding="utf-8"?>
<comments xmlns="http://schemas.openxmlformats.org/spreadsheetml/2006/main" xmlns:xdr="http://schemas.openxmlformats.org/drawingml/2006/spreadsheetDrawing">
  <authors>
    <author>JS</author>
  </authors>
  <commentList>
    <comment ref="H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Note: per data dictionary, this PN needs to be cohort MPNST if they have had an MPNST during the study</t>
        </r>
      </text>
    </comment>
  </commentList>
</comments>
</file>

<file path=xl/comments18.xml><?xml version="1.0" encoding="utf-8"?>
<comments xmlns="http://schemas.openxmlformats.org/spreadsheetml/2006/main" xmlns:xdr="http://schemas.openxmlformats.org/drawingml/2006/spreadsheetDrawing">
  <authors>
    <author>JS</author>
  </authors>
  <commentList>
    <comment ref="AR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Only as placeholder for data entry.</t>
        </r>
      </text>
    </comment>
  </commentList>
</comments>
</file>

<file path=xl/comments21.xml><?xml version="1.0" encoding="utf-8"?>
<comments xmlns="http://schemas.openxmlformats.org/spreadsheetml/2006/main" xmlns:xdr="http://schemas.openxmlformats.org/drawingml/2006/spreadsheetDrawing">
  <authors>
    <author>JS</author>
  </authors>
  <commentList>
    <comment ref="H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Only as placeholder for data entry.</t>
        </r>
      </text>
    </comment>
  </commentList>
</comments>
</file>

<file path=xl/comments22.xml><?xml version="1.0" encoding="utf-8"?>
<comments xmlns="http://schemas.openxmlformats.org/spreadsheetml/2006/main" xmlns:xdr="http://schemas.openxmlformats.org/drawingml/2006/spreadsheetDrawing">
  <authors>
    <author>JS</author>
  </authors>
  <commentList>
    <comment ref="B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Check this, same as JS0093?</t>
        </r>
      </text>
    </comment>
  </commentList>
</comments>
</file>

<file path=xl/sharedStrings.xml><?xml version="1.0" encoding="utf-8"?>
<sst xmlns="http://schemas.openxmlformats.org/spreadsheetml/2006/main" count="35502" uniqueCount="6252">
  <si>
    <t xml:space="preserve">CAN-PREDICT Consortium Manual Inputs Workbook README</t>
  </si>
  <si>
    <t xml:space="preserve">Introduction</t>
  </si>
  <si>
    <r>
      <rPr>
        <sz val="11"/>
        <color rgb="FF000000"/>
        <rFont val="Calibri"/>
        <family val="0"/>
        <charset val="1"/>
      </rPr>
      <t xml:space="preserve">The workbook is set up as a relational database and each worksheet as a table. Relational database tables have a unique record (tuple) on each row. Records are instances of a type of entity, e.g. one row per sequencing library in the libraries table or one row per subject in the subjects table. One column of each table is always a unique identifying key (primary key). Other columns can link the row in one table to another table (foreign keys). In this workbook, primary keys are colored light blue and foreign keys are colored light green. </t>
    </r>
    <r>
      <rPr>
        <u val="single"/>
        <sz val="11"/>
        <color rgb="FF000000"/>
        <rFont val="Calibri"/>
        <family val="0"/>
        <charset val="1"/>
      </rPr>
      <t xml:space="preserve">Primary keys may not be duplicated in the same table- each row has a unique primary key</t>
    </r>
    <r>
      <rPr>
        <sz val="11"/>
        <color rgb="FF000000"/>
        <rFont val="Calibri"/>
        <family val="0"/>
        <charset val="1"/>
      </rPr>
      <t xml:space="preserve">.  </t>
    </r>
  </si>
  <si>
    <r>
      <rPr>
        <sz val="11"/>
        <color rgb="FF000000"/>
        <rFont val="Calibri"/>
        <family val="0"/>
        <charset val="1"/>
      </rPr>
      <t xml:space="preserve">Foreign keys are populated using index matching (https://support.microsoft.com/en-us/office/look-up-values-with-vlookup-index-or-match-68297403-7c3c-4150-9e3c-4d348188976b). The index-matched foreign key columns need to always be suffixed with "_im". This suffix is important for subsequent programatic processing of the workbook, for example in R or python. The </t>
    </r>
    <r>
      <rPr>
        <u val="single"/>
        <sz val="11"/>
        <color rgb="FF000000"/>
        <rFont val="Calibri"/>
        <family val="0"/>
        <charset val="1"/>
      </rPr>
      <t xml:space="preserve">index</t>
    </r>
    <r>
      <rPr>
        <sz val="11"/>
        <color rgb="FF000000"/>
        <rFont val="Calibri"/>
        <family val="0"/>
        <charset val="1"/>
      </rPr>
      <t xml:space="preserve"> worksheet allows matching and serves as a master reference for linking all identifiers.  </t>
    </r>
  </si>
  <si>
    <t xml:space="preserve">TODO</t>
  </si>
  <si>
    <t xml:space="preserve">.Remove date-based HIPAA identifiers</t>
  </si>
  <si>
    <t xml:space="preserve">.Format treatment, imaging, and pathology tables</t>
  </si>
  <si>
    <t xml:space="preserve">.Consolidate and format disease-specific tables</t>
  </si>
  <si>
    <t xml:space="preserve">.Share validator scripts</t>
  </si>
  <si>
    <t xml:space="preserve">Editing</t>
  </si>
  <si>
    <t xml:space="preserve">Please do not enter any HIPAA identifiers or other protected health information into this workbook. </t>
  </si>
  <si>
    <r>
      <rPr>
        <sz val="11"/>
        <color rgb="FF000000"/>
        <rFont val="Calibri"/>
        <family val="0"/>
        <charset val="1"/>
      </rPr>
      <t xml:space="preserve">You are free to edit if this workbook if you have access. To ensure data integrity and versioning, </t>
    </r>
    <r>
      <rPr>
        <u val="single"/>
        <sz val="11"/>
        <color rgb="FF000000"/>
        <rFont val="Calibri"/>
        <family val="0"/>
        <charset val="1"/>
      </rPr>
      <t xml:space="preserve">please only interact with this sheet using the online Excel program within Box</t>
    </r>
    <r>
      <rPr>
        <sz val="11"/>
        <color rgb="FF000000"/>
        <rFont val="Calibri"/>
        <family val="0"/>
        <charset val="1"/>
      </rPr>
      <t xml:space="preserve">. Do not edit offline and upload versions to box.  </t>
    </r>
  </si>
  <si>
    <t xml:space="preserve">Workbooks</t>
  </si>
  <si>
    <t xml:space="preserve">dictionary</t>
  </si>
  <si>
    <t xml:space="preserve">A data dictionary of tuple-level metadata. </t>
  </si>
  <si>
    <t xml:space="preserve">files</t>
  </si>
  <si>
    <t xml:space="preserve">Stable url locations of reference source files used in analysis such as reference genomes. </t>
  </si>
  <si>
    <t xml:space="preserve">dx</t>
  </si>
  <si>
    <t xml:space="preserve">Per diagnosis information; mainly used for consistency in downstream analysis. </t>
  </si>
  <si>
    <t xml:space="preserve">index</t>
  </si>
  <si>
    <t xml:space="preserve">Master reference and single source of true for table relationships. Used for index matching of foreign keys. </t>
  </si>
  <si>
    <t xml:space="preserve">libraries, specimens, participants</t>
  </si>
  <si>
    <t xml:space="preserve">Per sequencing library, per specimen, and per participant data</t>
  </si>
  <si>
    <t xml:space="preserve">term</t>
  </si>
  <si>
    <t xml:space="preserve">class</t>
  </si>
  <si>
    <t xml:space="preserve">type</t>
  </si>
  <si>
    <t xml:space="preserve">label</t>
  </si>
  <si>
    <t xml:space="preserve">description</t>
  </si>
  <si>
    <t xml:space="preserve">contraints</t>
  </si>
  <si>
    <t xml:space="preserve">default</t>
  </si>
  <si>
    <t xml:space="preserve">adapter</t>
  </si>
  <si>
    <t xml:space="preserve">tuple</t>
  </si>
  <si>
    <t xml:space="preserve">categorical</t>
  </si>
  <si>
    <t xml:space="preserve">Sequencing adapter</t>
  </si>
  <si>
    <t xml:space="preserve">adapter used in sequencing library preparation</t>
  </si>
  <si>
    <t xml:space="preserve">factor of ("truseq", "capp","xgen","emseq")</t>
  </si>
  <si>
    <t xml:space="preserve">NA</t>
  </si>
  <si>
    <t xml:space="preserve">age</t>
  </si>
  <si>
    <t xml:space="preserve">integer</t>
  </si>
  <si>
    <t xml:space="preserve">Age </t>
  </si>
  <si>
    <t xml:space="preserve">participant age in years on 2021-01-01</t>
  </si>
  <si>
    <t xml:space="preserve">integer, rounded down</t>
  </si>
  <si>
    <t xml:space="preserve">age_group</t>
  </si>
  <si>
    <t xml:space="preserve">Age group</t>
  </si>
  <si>
    <t xml:space="preserve">alt_subj</t>
  </si>
  <si>
    <t xml:space="preserve">character</t>
  </si>
  <si>
    <t xml:space="preserve">Alternate subject ID</t>
  </si>
  <si>
    <t xml:space="preserve">alternative participant unique identifier</t>
  </si>
  <si>
    <t xml:space="preserve">unique, lowercase string</t>
  </si>
  <si>
    <t xml:space="preserve">baseline_dx</t>
  </si>
  <si>
    <t xml:space="preserve">Baseline diagnosis</t>
  </si>
  <si>
    <t xml:space="preserve">Diagnosis at first datapoint in our analysis 
(eg if pn that later developed mpnst, enter pn)
Factor of (healthy, nf1_noplex, plexiform, anf, annubp, lowgrade, ned, mpnst, other)</t>
  </si>
  <si>
    <t xml:space="preserve">baseline_img</t>
  </si>
  <si>
    <t xml:space="preserve">boolean</t>
  </si>
  <si>
    <t xml:space="preserve">Baseline imaging?</t>
  </si>
  <si>
    <t xml:space="preserve">Is this the patient's baseline imaging for this study?</t>
  </si>
  <si>
    <t xml:space="preserve">y, n</t>
  </si>
  <si>
    <t xml:space="preserve">baseline_loc_mET</t>
  </si>
  <si>
    <t xml:space="preserve">Baseline disease extent</t>
  </si>
  <si>
    <t xml:space="preserve">At baseline, did/does this patient have localized or metastatic disease?</t>
  </si>
  <si>
    <t xml:space="preserve">loc,met,na</t>
  </si>
  <si>
    <t xml:space="preserve">basename</t>
  </si>
  <si>
    <t xml:space="preserve">Read 1 fastq file name</t>
  </si>
  <si>
    <t xml:space="preserve">file name of the read1 fastq</t>
  </si>
  <si>
    <t xml:space="preserve">character string</t>
  </si>
  <si>
    <t xml:space="preserve">cd34_ihc</t>
  </si>
  <si>
    <t xml:space="preserve">CD34 IHC status</t>
  </si>
  <si>
    <t xml:space="preserve">IHC status for CD34</t>
  </si>
  <si>
    <t xml:space="preserve">retained, loss, na</t>
  </si>
  <si>
    <t xml:space="preserve">cdkn2a_date</t>
  </si>
  <si>
    <t xml:space="preserve">date</t>
  </si>
  <si>
    <t xml:space="preserve">CDKN2a clinical testing date</t>
  </si>
  <si>
    <t xml:space="preserve">date when clinical CDKN2A status was established</t>
  </si>
  <si>
    <t xml:space="preserve">ISO8601 date</t>
  </si>
  <si>
    <t xml:space="preserve">cdkn2a_status</t>
  </si>
  <si>
    <t xml:space="preserve">CDKN2a clinical status</t>
  </si>
  <si>
    <t xml:space="preserve">If clinical sequencing was done, was cdkn2a lost or mutated?</t>
  </si>
  <si>
    <t xml:space="preserve">loss, gain, mut, na</t>
  </si>
  <si>
    <t xml:space="preserve">cellularity</t>
  </si>
  <si>
    <t xml:space="preserve">Pathology assessment of tissue cellularity</t>
  </si>
  <si>
    <t xml:space="preserve">Is the tissue cellularity high, low or normal?</t>
  </si>
  <si>
    <t xml:space="preserve">low, high, normal, na</t>
  </si>
  <si>
    <t xml:space="preserve">cohort</t>
  </si>
  <si>
    <t xml:space="preserve">Cohort</t>
  </si>
  <si>
    <t xml:space="preserve">Highest grade diagnosis during study. 
Declared in participants sheet. 
"other" indicates diagnoses such as benign schwanomma which are not included in most comparisons
(e.g. patient with MPNST who has total gross resection and NED, remains in mpnst cohort but current_dx changes).
Factor of (healthy, nf1_noplex, plexiform, anf, annubp, mpnst, other)</t>
  </si>
  <si>
    <t xml:space="preserve">collection_date</t>
  </si>
  <si>
    <t xml:space="preserve">Collection date</t>
  </si>
  <si>
    <t xml:space="preserve">Date that sample was collected</t>
  </si>
  <si>
    <t xml:space="preserve">MM/DD/YYYY</t>
  </si>
  <si>
    <t xml:space="preserve">current_dx</t>
  </si>
  <si>
    <t xml:space="preserve">Current Diagnosis</t>
  </si>
  <si>
    <t xml:space="preserve">Diagnosis at time of blood draw.</t>
  </si>
  <si>
    <t xml:space="preserve">ned, pn, anf, annubp, mpnst</t>
  </si>
  <si>
    <t xml:space="preserve">current_loc_met</t>
  </si>
  <si>
    <t xml:space="preserve">Localized or metastatic disease</t>
  </si>
  <si>
    <t xml:space="preserve">At time of sample collection does this patient have localized or metastatic disease?</t>
  </si>
  <si>
    <t xml:space="preserve">current_meki</t>
  </si>
  <si>
    <t xml:space="preserve">On MEKi</t>
  </si>
  <si>
    <t xml:space="preserve">Is this patient currently on a MEKi?</t>
  </si>
  <si>
    <t xml:space="preserve">y,n,na,unknown</t>
  </si>
  <si>
    <t xml:space="preserve">cycle</t>
  </si>
  <si>
    <t xml:space="preserve">Chemotherapy cycle</t>
  </si>
  <si>
    <t xml:space="preserve">Cycle of therapy</t>
  </si>
  <si>
    <t xml:space="preserve">cycle_end</t>
  </si>
  <si>
    <t xml:space="preserve">Chemotherapy cycle end date</t>
  </si>
  <si>
    <t xml:space="preserve">Date cycle of therapy ended</t>
  </si>
  <si>
    <t xml:space="preserve">cycle_start</t>
  </si>
  <si>
    <t xml:space="preserve">Chemotherapy cycle start date</t>
  </si>
  <si>
    <t xml:space="preserve">Date cycle of therapy started</t>
  </si>
  <si>
    <t xml:space="preserve">date_last_tx</t>
  </si>
  <si>
    <t xml:space="preserve">Date of last treatment</t>
  </si>
  <si>
    <t xml:space="preserve">Only for washout samples. Date that the patient last received treatment (chemotherapy, radiation therapy, surgery)</t>
  </si>
  <si>
    <t xml:space="preserve">date_reccurance</t>
  </si>
  <si>
    <t xml:space="preserve">Date of last recurrence</t>
  </si>
  <si>
    <t xml:space="preserve">If this patient had a recurrence of their study baseline MPNST, when did this recurrence occur? (If this is a recurrence of an MPNST diagnosed pre-study, do not enter this date. Answer "y" for recurrence and include date of diangosis in "date_dx")</t>
  </si>
  <si>
    <t xml:space="preserve">dna_conc</t>
  </si>
  <si>
    <t xml:space="preserve">float</t>
  </si>
  <si>
    <t xml:space="preserve">DNA concentration (ng/uL)</t>
  </si>
  <si>
    <t xml:space="preserve">concentration of DNA in isolated plasma in ng/uL</t>
  </si>
  <si>
    <t xml:space="preserve">decimal</t>
  </si>
  <si>
    <t xml:space="preserve">dna_input</t>
  </si>
  <si>
    <t xml:space="preserve">DNA library input (ng)</t>
  </si>
  <si>
    <t xml:space="preserve">library input DNA mass in nanograms</t>
  </si>
  <si>
    <t xml:space="preserve">dx_date</t>
  </si>
  <si>
    <t xml:space="preserve">Date of diagnosis</t>
  </si>
  <si>
    <t xml:space="preserve">Date of diagnosis of first MPNST while on this study</t>
  </si>
  <si>
    <t xml:space="preserve">eed_status</t>
  </si>
  <si>
    <t xml:space="preserve">Clinical sequencing EED status</t>
  </si>
  <si>
    <t xml:space="preserve">If clinical sequencing was done, was EEDlost or mutated?</t>
  </si>
  <si>
    <t xml:space="preserve">exclusion_reason</t>
  </si>
  <si>
    <t xml:space="preserve">Exclusion reason</t>
  </si>
  <si>
    <t xml:space="preserve">Reason that sample was excluded from analysis (comment form)</t>
  </si>
  <si>
    <t xml:space="preserve">grade</t>
  </si>
  <si>
    <t xml:space="preserve">MPNST tumor grade</t>
  </si>
  <si>
    <t xml:space="preserve">factor of ("high", "low")</t>
  </si>
  <si>
    <t xml:space="preserve">h3k27_ihc</t>
  </si>
  <si>
    <t xml:space="preserve">IHC H3K27me3 status</t>
  </si>
  <si>
    <t xml:space="preserve">IHC status for H3K27 tri-methylation</t>
  </si>
  <si>
    <t xml:space="preserve">retained, loss, mixed, na</t>
  </si>
  <si>
    <t xml:space="preserve">hx_meki</t>
  </si>
  <si>
    <t xml:space="preserve">History of MEKi</t>
  </si>
  <si>
    <t xml:space="preserve">Has this patient ever been on a MEKi?</t>
  </si>
  <si>
    <t xml:space="preserve">y,n,unknown</t>
  </si>
  <si>
    <t xml:space="preserve">initial_resection</t>
  </si>
  <si>
    <t xml:space="preserve">Was MPNST resected? </t>
  </si>
  <si>
    <t xml:space="preserve">Was the primary MPNST resected (Resection could have been done pre-study or during study)?</t>
  </si>
  <si>
    <t xml:space="preserve">y,n,na</t>
  </si>
  <si>
    <t xml:space="preserve">institution</t>
  </si>
  <si>
    <t xml:space="preserve">Institution</t>
  </si>
  <si>
    <t xml:space="preserve">institution where participant clinical information originates from </t>
  </si>
  <si>
    <t xml:space="preserve">factor of ("nci","washu","jhh","other")</t>
  </si>
  <si>
    <t xml:space="preserve">interval_tx1</t>
  </si>
  <si>
    <t xml:space="preserve">Any interval treatment?</t>
  </si>
  <si>
    <t xml:space="preserve">Did the patient receive any interval treatment between preceding sample and current sample?</t>
  </si>
  <si>
    <t xml:space="preserve">y, n, na</t>
  </si>
  <si>
    <t xml:space="preserve">isolation</t>
  </si>
  <si>
    <t xml:space="preserve">Tissue source type </t>
  </si>
  <si>
    <t xml:space="preserve">cell type from which DNA was isolated</t>
  </si>
  <si>
    <t xml:space="preserve">factor of ("leukocyte", "cfdna", "tumor")</t>
  </si>
  <si>
    <t xml:space="preserve">kit</t>
  </si>
  <si>
    <t xml:space="preserve">Library kit</t>
  </si>
  <si>
    <t xml:space="preserve">library preparation kit used</t>
  </si>
  <si>
    <t xml:space="preserve">factor of ("nano", "kapa", "nebmeth")</t>
  </si>
  <si>
    <t xml:space="preserve">Last_FU_Alive_Date</t>
  </si>
  <si>
    <t xml:space="preserve">Last Known Alive</t>
  </si>
  <si>
    <t xml:space="preserve">Last Follow-Up Date (Some Vague Indication of Not Being Decased)</t>
  </si>
  <si>
    <t xml:space="preserve">(MM/DD/YYYY)</t>
  </si>
  <si>
    <t xml:space="preserve">Last_FU_Clinical_Date</t>
  </si>
  <si>
    <t xml:space="preserve">Last Clinica Event</t>
  </si>
  <si>
    <t xml:space="preserve">Last Follow-Up Date (Must have some Clinical Assessment and Imaging)</t>
  </si>
  <si>
    <t xml:space="preserve">last_tx_cat</t>
  </si>
  <si>
    <t xml:space="preserve">Last treatment</t>
  </si>
  <si>
    <t xml:space="preserve">Only for washout samples. Type of treatment last received</t>
  </si>
  <si>
    <t xml:space="preserve">meki, chemo, immuno, rtx, sgy</t>
  </si>
  <si>
    <t xml:space="preserve">library </t>
  </si>
  <si>
    <t xml:space="preserve">padded</t>
  </si>
  <si>
    <t xml:space="preserve">Library ID</t>
  </si>
  <si>
    <t xml:space="preserve">unique identifier for library</t>
  </si>
  <si>
    <t xml:space="preserve">3 digits prefixed by lib</t>
  </si>
  <si>
    <t xml:space="preserve">loss_of_architecture</t>
  </si>
  <si>
    <t xml:space="preserve">Loss of plexiform architexture</t>
  </si>
  <si>
    <t xml:space="preserve">Is plexiform architecture lost?</t>
  </si>
  <si>
    <t xml:space="preserve">meki_cycle</t>
  </si>
  <si>
    <t xml:space="preserve">MEKi cycle</t>
  </si>
  <si>
    <t xml:space="preserve">What cycle of MEKi?</t>
  </si>
  <si>
    <t xml:space="preserve">meki_name</t>
  </si>
  <si>
    <t xml:space="preserve">MEKi drug</t>
  </si>
  <si>
    <t xml:space="preserve">If on a MEKi, which MEKi is the patient on? </t>
  </si>
  <si>
    <t xml:space="preserve">metastatic</t>
  </si>
  <si>
    <t xml:space="preserve">Metastatic disease</t>
  </si>
  <si>
    <t xml:space="preserve">MPNST metastasis status</t>
  </si>
  <si>
    <t xml:space="preserve">factor of ("yes", "no")</t>
  </si>
  <si>
    <t xml:space="preserve">mitotic_index</t>
  </si>
  <si>
    <t xml:space="preserve">Mitotic index</t>
  </si>
  <si>
    <t xml:space="preserve">Mitotic activity per high-power fields</t>
  </si>
  <si>
    <t xml:space="preserve">necrosis</t>
  </si>
  <si>
    <t xml:space="preserve">Necrosis</t>
  </si>
  <si>
    <t xml:space="preserve">Is there necorsis</t>
  </si>
  <si>
    <t xml:space="preserve">nf1_status</t>
  </si>
  <si>
    <t xml:space="preserve">NF1 status</t>
  </si>
  <si>
    <t xml:space="preserve">Clinical NF1 Status</t>
  </si>
  <si>
    <t xml:space="preserve">nf1, sp, ind</t>
  </si>
  <si>
    <t xml:space="preserve">nuclear_atypia</t>
  </si>
  <si>
    <t xml:space="preserve">Nuclear atypica</t>
  </si>
  <si>
    <t xml:space="preserve">Is there nuclear atypia?</t>
  </si>
  <si>
    <t xml:space="preserve">old_id</t>
  </si>
  <si>
    <t xml:space="preserve">Old participant identifer</t>
  </si>
  <si>
    <t xml:space="preserve">Originatiing insitution's subject name (eg jsXXXX) </t>
  </si>
  <si>
    <t xml:space="preserve">institutional subject id (eg js####</t>
  </si>
  <si>
    <t xml:space="preserve">old_samplename</t>
  </si>
  <si>
    <t xml:space="preserve">Old sample identifier</t>
  </si>
  <si>
    <t xml:space="preserve">Sample name used by original institution (eg jsXXXXcdXXXXXX)</t>
  </si>
  <si>
    <t xml:space="preserve">other_cancer</t>
  </si>
  <si>
    <t xml:space="preserve">Other cancer</t>
  </si>
  <si>
    <t xml:space="preserve">Has the patient ever (pre-, on, or post- study) been diagnosed with a non peripheral nerve sheeth tumor?</t>
  </si>
  <si>
    <t xml:space="preserve">participant</t>
  </si>
  <si>
    <t xml:space="preserve">Participant ID</t>
  </si>
  <si>
    <t xml:space="preserve">unique participant identifier</t>
  </si>
  <si>
    <t xml:space="preserve">primary key, 3 digit prefixed with subj</t>
  </si>
  <si>
    <t xml:space="preserve">path_id</t>
  </si>
  <si>
    <t xml:space="preserve">Study ID for pathology instance/data.</t>
  </si>
  <si>
    <t xml:space="preserve">path_type</t>
  </si>
  <si>
    <t xml:space="preserve">Procedure type for tissue acquisition.</t>
  </si>
  <si>
    <t xml:space="preserve">bx, sgy</t>
  </si>
  <si>
    <t xml:space="preserve">pcr</t>
  </si>
  <si>
    <t xml:space="preserve">PCR cycles</t>
  </si>
  <si>
    <t xml:space="preserve">number of PCR cycles used in library prep</t>
  </si>
  <si>
    <t xml:space="preserve">pleomorphic_hyperchoromasia</t>
  </si>
  <si>
    <t xml:space="preserve">Is pleomorphic hyperchromasia present?</t>
  </si>
  <si>
    <t xml:space="preserve">previous_chemo_rtx</t>
  </si>
  <si>
    <t xml:space="preserve">Prior to patient's first datapoint on study, did they previously receive chemotherapy, immunotherapy, or radiation therapy?</t>
  </si>
  <si>
    <t xml:space="preserve">sex</t>
  </si>
  <si>
    <t xml:space="preserve">Sex</t>
  </si>
  <si>
    <t xml:space="preserve">m, f</t>
  </si>
  <si>
    <t xml:space="preserve">sld_change</t>
  </si>
  <si>
    <t xml:space="preserve">Percent change in SLD from baseline</t>
  </si>
  <si>
    <t xml:space="preserve">Percent change in sld_tot from baseline imaging (note: baseline for calculation may change per recist 1.1 rules)</t>
  </si>
  <si>
    <t xml:space="preserve">xx.x or na</t>
  </si>
  <si>
    <t xml:space="preserve">tf</t>
  </si>
  <si>
    <t xml:space="preserve">ichorCNA Tumor Fraction</t>
  </si>
  <si>
    <t xml:space="preserve">tx_cat</t>
  </si>
  <si>
    <t xml:space="preserve">Treatment type</t>
  </si>
  <si>
    <t xml:space="preserve">Type of treatment received.</t>
  </si>
  <si>
    <t xml:space="preserve">meki, chemo, immuno, rtx, sgy, bx, targeted</t>
  </si>
  <si>
    <t xml:space="preserve">tx_end</t>
  </si>
  <si>
    <t xml:space="preserve">Treatment end date</t>
  </si>
  <si>
    <t xml:space="preserve">Date that interval treatment ended. Note, for cycles of chemotherapy please include that last date of treatment but also note that ongoing (eg 1/11/1901, ongoing). </t>
  </si>
  <si>
    <t xml:space="preserve">MM/DD/YYYY, na, ongoing</t>
  </si>
  <si>
    <t xml:space="preserve">tx1_start</t>
  </si>
  <si>
    <t xml:space="preserve">Treatment start date</t>
  </si>
  <si>
    <t xml:space="preserve">Date that interval treatment started.</t>
  </si>
  <si>
    <t xml:space="preserve">MM/DD/YYYY, na</t>
  </si>
  <si>
    <t xml:space="preserve">volume</t>
  </si>
  <si>
    <t xml:space="preserve">Tumor volume</t>
  </si>
  <si>
    <t xml:space="preserve">Disease burden volumetrics, when available.</t>
  </si>
  <si>
    <t xml:space="preserve">volume_change</t>
  </si>
  <si>
    <t xml:space="preserve">Volume change</t>
  </si>
  <si>
    <t xml:space="preserve">Recist v1.1 response </t>
  </si>
  <si>
    <t xml:space="preserve">cr, pr, pd, sd</t>
  </si>
  <si>
    <t xml:space="preserve">washout</t>
  </si>
  <si>
    <t xml:space="preserve">Washout</t>
  </si>
  <si>
    <t xml:space="preserve">Is this a washout sample (no mek inhibitor or chemotherapy 21 days prior to collection date)?</t>
  </si>
  <si>
    <t xml:space="preserve">dob</t>
  </si>
  <si>
    <t xml:space="preserve">Date of Birth (MM/DD/YYYY)</t>
  </si>
  <si>
    <t xml:space="preserve">excluded</t>
  </si>
  <si>
    <t xml:space="preserve">Any sample excluded from analysis</t>
  </si>
  <si>
    <t xml:space="preserve">ichor_tf</t>
  </si>
  <si>
    <t xml:space="preserve">img_nstitution</t>
  </si>
  <si>
    <t xml:space="preserve">Instution where imaging was conducted. Note, this may be different then enrolling institution.</t>
  </si>
  <si>
    <t xml:space="preserve">initail_resection_outcome</t>
  </si>
  <si>
    <t xml:space="preserve">Outcome of initial resection: R0 microsctopic negative margins, R1 microscopic postivie margins, R2 gross residual disease</t>
  </si>
  <si>
    <t xml:space="preserve">na, unknown, R0, R1, R2</t>
  </si>
  <si>
    <t xml:space="preserve">inst_path_id</t>
  </si>
  <si>
    <t xml:space="preserve">Institution's pathology requestion number</t>
  </si>
  <si>
    <t xml:space="preserve">library_id</t>
  </si>
  <si>
    <t xml:space="preserve">Assigned library id</t>
  </si>
  <si>
    <t xml:space="preserve">libXXX</t>
  </si>
  <si>
    <t xml:space="preserve">line_treatment</t>
  </si>
  <si>
    <t xml:space="preserve">Line of treatment for lesion since joining this study. Note that local control (radiation, surgery) may be part of the same line of therapy as systemic treatment (chemotherapy, immunotherapy)</t>
  </si>
  <si>
    <t xml:space="preserve">next_tx</t>
  </si>
  <si>
    <t xml:space="preserve">Following this sample, did patient receive observation only? Therapy? Surgical resection?</t>
  </si>
  <si>
    <t xml:space="preserve">na, obs, tx, sgy</t>
  </si>
  <si>
    <t xml:space="preserve">NF1+/Plex-</t>
  </si>
  <si>
    <t xml:space="preserve">retired term, replaced with nf1_noplex</t>
  </si>
  <si>
    <t xml:space="preserve">other_cancer_type</t>
  </si>
  <si>
    <t xml:space="preserve">Type of non peripharal nerve sheeth tumor (na if no other cancer)</t>
  </si>
  <si>
    <t xml:space="preserve">other_dx</t>
  </si>
  <si>
    <t xml:space="preserve">If patient  had different diagnosis during course of study follow up, enter here (eg if pn that later developed mpnst, enter mpnst) </t>
  </si>
  <si>
    <t xml:space="preserve">healthy, nf1,  plexiform, anf, annubp, mpnst,low-grade </t>
  </si>
  <si>
    <t xml:space="preserve">p16_ihc</t>
  </si>
  <si>
    <t xml:space="preserve">IHC status for p16</t>
  </si>
  <si>
    <t xml:space="preserve">p53_status</t>
  </si>
  <si>
    <t xml:space="preserve">If clinical sequencing was done, was p53 lost or mutated?</t>
  </si>
  <si>
    <t xml:space="preserve">paper_1</t>
  </si>
  <si>
    <t xml:space="preserve">PLOS Med 2021</t>
  </si>
  <si>
    <t xml:space="preserve">Was this sample included in our first paper's analysis?</t>
  </si>
  <si>
    <t xml:space="preserve">paper1</t>
  </si>
  <si>
    <t xml:space="preserve">Indicates library was part of PLOS Med 2021 publication</t>
  </si>
  <si>
    <t xml:space="preserve">factor of c("yes","no")</t>
  </si>
  <si>
    <t xml:space="preserve">path_date</t>
  </si>
  <si>
    <t xml:space="preserve">Date of pathology</t>
  </si>
  <si>
    <t xml:space="preserve">MM/DD/YY</t>
  </si>
  <si>
    <t xml:space="preserve">previoustx_details</t>
  </si>
  <si>
    <t xml:space="preserve">Category of treatments recived pre-study</t>
  </si>
  <si>
    <t xml:space="preserve">chemo, rtx, immuno, na</t>
  </si>
  <si>
    <t xml:space="preserve">primary_Lx</t>
  </si>
  <si>
    <t xml:space="preserve">General location of primary tumor.</t>
  </si>
  <si>
    <t xml:space="preserve">head, neck, extremity,  abdomen, pelvis, spine, pleura, thorax, other</t>
  </si>
  <si>
    <t xml:space="preserve">primary_lx_desc</t>
  </si>
  <si>
    <t xml:space="preserve">Description of primary location (eg "right scapula" for primary_lx "thorax") </t>
  </si>
  <si>
    <t xml:space="preserve">progression_comments</t>
  </si>
  <si>
    <t xml:space="preserve">Comments or notes on recist response designation</t>
  </si>
  <si>
    <t xml:space="preserve">protocol</t>
  </si>
  <si>
    <t xml:space="preserve">Additional protocol (eg SARC031, abemaciclib, etc)</t>
  </si>
  <si>
    <t xml:space="preserve">reccurence</t>
  </si>
  <si>
    <t xml:space="preserve">Is the initial diagnosis while on study recurrence from a pre-study MPNST?</t>
  </si>
  <si>
    <t xml:space="preserve">recist</t>
  </si>
  <si>
    <t xml:space="preserve">recist_response</t>
  </si>
  <si>
    <t xml:space="preserve">resict</t>
  </si>
  <si>
    <t xml:space="preserve">s100_ihc</t>
  </si>
  <si>
    <t xml:space="preserve">IHC status for s100</t>
  </si>
  <si>
    <t xml:space="preserve">sample_type</t>
  </si>
  <si>
    <t xml:space="preserve">Type of biospecimen collected</t>
  </si>
  <si>
    <t xml:space="preserve">cfdna, tissue, leukocyte</t>
  </si>
  <si>
    <t xml:space="preserve">scan_date</t>
  </si>
  <si>
    <t xml:space="preserve">Date of imaging</t>
  </si>
  <si>
    <t xml:space="preserve">seq</t>
  </si>
  <si>
    <t xml:space="preserve">type of sequencing performed</t>
  </si>
  <si>
    <t xml:space="preserve">factor of ("wgs","wes","wgs_meth")</t>
  </si>
  <si>
    <t xml:space="preserve">seq_file</t>
  </si>
  <si>
    <t xml:space="preserve">Name of sequencing file name (note: may overlap with old_samplename, however, instances of distinct nomeclature eg JS*** but NCI..fastq.gz)</t>
  </si>
  <si>
    <t xml:space="preserve">***.fastq.gz</t>
  </si>
  <si>
    <t xml:space="preserve">serial_num</t>
  </si>
  <si>
    <t xml:space="preserve">What sample number is this in the serial collection?</t>
  </si>
  <si>
    <t xml:space="preserve">serial_sample</t>
  </si>
  <si>
    <t xml:space="preserve">Is this part of a serial collection?</t>
  </si>
  <si>
    <t xml:space="preserve">sgy_outcome</t>
  </si>
  <si>
    <t xml:space="preserve">If surgical intervention, outcome of resection: R0 microsctopic negative margins, R1 microscopic postivie margins, R2 gross residual disease</t>
  </si>
  <si>
    <t xml:space="preserve">R0, R1, R2, na</t>
  </si>
  <si>
    <t xml:space="preserve">sheet</t>
  </si>
  <si>
    <t xml:space="preserve">Any subject included in our analysis regardless of dx</t>
  </si>
  <si>
    <t xml:space="preserve">Any Biopsy Proven MPNST or Recurrent or Metastatic Tumor derived from previously biopsy proven MPNST with blood sample at time of MPNST</t>
  </si>
  <si>
    <t xml:space="preserve">All imaging instances (CT, PET, MRI, other) during study enrollment</t>
  </si>
  <si>
    <t xml:space="preserve">Samples from any patient with a bx proven MPNST or recurrent /metastatic tumor attributed to previously bx proven MPNST. Defined by cohort category below.</t>
  </si>
  <si>
    <t xml:space="preserve">Patient characteristics from anyone with a biopsy proven MPNST or recurrent or metastatic tumor derived from previously biopsy proven MPNST with blood sample at time of MPNST</t>
  </si>
  <si>
    <t xml:space="preserve">Samples from any patient with a bx proven an or annub[. Defined by cohort category below.</t>
  </si>
  <si>
    <t xml:space="preserve">Samples from any patient with a plexiform neurofibroma</t>
  </si>
  <si>
    <t xml:space="preserve">Samples from any patient with a diagnosis of NF1 and no history or current diagnosis of peripheral nerve sheath tumors (PN, AN or MPNST). May include cNF but should be noted.</t>
  </si>
  <si>
    <t xml:space="preserve">Details of subjects' treatments and biopsy dates</t>
  </si>
  <si>
    <t xml:space="preserve">Details from pathology reports and reviews for all subjects on study</t>
  </si>
  <si>
    <t xml:space="preserve">sld_tot</t>
  </si>
  <si>
    <t xml:space="preserve">Total disease burden (SLD). Calculate using recist 1.1 rules (https://ctep.cancer.gov/protocoldevelopment/docs/recist_guideline.pdf)</t>
  </si>
  <si>
    <t xml:space="preserve">xx.x</t>
  </si>
  <si>
    <t xml:space="preserve">specimen </t>
  </si>
  <si>
    <t xml:space="preserve">Specimen ID</t>
  </si>
  <si>
    <t xml:space="preserve">specimen_type</t>
  </si>
  <si>
    <t xml:space="preserve">Type of biospecimen collected.
A factor of c("celline", "tumor", "blood")</t>
  </si>
  <si>
    <t xml:space="preserve">subj_id</t>
  </si>
  <si>
    <t xml:space="preserve">Analysis Level ID Subject ID (subj###)</t>
  </si>
  <si>
    <t xml:space="preserve">subj###</t>
  </si>
  <si>
    <t xml:space="preserve">subject_id</t>
  </si>
  <si>
    <t xml:space="preserve"> </t>
  </si>
  <si>
    <t xml:space="preserve">suz12_status</t>
  </si>
  <si>
    <t xml:space="preserve">If clinical sequencing was done, was SUZ12 lost or mutated?</t>
  </si>
  <si>
    <t xml:space="preserve">target_adc</t>
  </si>
  <si>
    <t xml:space="preserve">ADC value of target lesion/tumor 1 (MRI)</t>
  </si>
  <si>
    <t xml:space="preserve">target_comment</t>
  </si>
  <si>
    <t xml:space="preserve">Comments regarding target lesion/tumor 1.  Note, if multiple distinct lesions in anatomic region expand on location of eg chest_1 (eg L brachial plexus)</t>
  </si>
  <si>
    <t xml:space="preserve">target_lesion_lx</t>
  </si>
  <si>
    <t xml:space="preserve">For studies with a target lesion (eg SARC031), target lesion will be defined as tumor 1. General location of target lesion/tumor 1. If multiple distinct tumors are located in the same anatomy, define as eg chest_1 and describe location in chest using target_comment.</t>
  </si>
  <si>
    <t xml:space="preserve">head, chest, abdomen, pelvis, upper extremity, lower extremity</t>
  </si>
  <si>
    <t xml:space="preserve">target_lesion_sld</t>
  </si>
  <si>
    <t xml:space="preserve">SLD of only target lesion/tumor 1</t>
  </si>
  <si>
    <t xml:space="preserve">target_suv</t>
  </si>
  <si>
    <t xml:space="preserve">SUV of target lesion/tumor 1 (PET CT)</t>
  </si>
  <si>
    <t xml:space="preserve">tissue_correlate</t>
  </si>
  <si>
    <t xml:space="preserve">For cfDNA samples: does this sample have a paired tissue biopsy or resection?</t>
  </si>
  <si>
    <t xml:space="preserve">tissue_dx</t>
  </si>
  <si>
    <t xml:space="preserve">Histological diagnosis</t>
  </si>
  <si>
    <t xml:space="preserve">pn, anf, annubp, mpnst, other</t>
  </si>
  <si>
    <t xml:space="preserve">tissue_dx_notes</t>
  </si>
  <si>
    <t xml:space="preserve">additional information about the tissue dx</t>
  </si>
  <si>
    <t xml:space="preserve">tissue_histology</t>
  </si>
  <si>
    <t xml:space="preserve">Histology of paired tissue (treat this as notes/comments)</t>
  </si>
  <si>
    <t xml:space="preserve">tissue_library_id</t>
  </si>
  <si>
    <t xml:space="preserve">If research sequencing was done, library id for correlated sequencing.</t>
  </si>
  <si>
    <t xml:space="preserve">lib***</t>
  </si>
  <si>
    <t xml:space="preserve">tissue_seq</t>
  </si>
  <si>
    <t xml:space="preserve">Was RESEARCH sequencing done on this sample?</t>
  </si>
  <si>
    <t xml:space="preserve">y,n</t>
  </si>
  <si>
    <t xml:space="preserve">treatment_end</t>
  </si>
  <si>
    <t xml:space="preserve">Date that current line of therapy was discontinued/completed, if applicable</t>
  </si>
  <si>
    <t xml:space="preserve">MM/DD/YYYY, ongoing</t>
  </si>
  <si>
    <t xml:space="preserve">treatment_start</t>
  </si>
  <si>
    <t xml:space="preserve">Date that current line of therapy was started</t>
  </si>
  <si>
    <t xml:space="preserve">tumor2_adc</t>
  </si>
  <si>
    <t xml:space="preserve">ADC value of tumor 2 (MRI)</t>
  </si>
  <si>
    <t xml:space="preserve">tumor2_comment</t>
  </si>
  <si>
    <t xml:space="preserve">Comments regarding target tumor 2.  Note, if multiple distinct lesions in anatomic region expand on location of eg chest_1 (eg L brachial plexus)</t>
  </si>
  <si>
    <t xml:space="preserve">tumor2_lesion_lx</t>
  </si>
  <si>
    <t xml:space="preserve">General location of  tumor 2. Tumor numbering should be consistent across all instances of imaging for a subject. If multiple distinct tumors are located in the same anatomy, define as eg chest_1 and describe location in chest using target_comment. Repeat for tumor 3-X.</t>
  </si>
  <si>
    <t xml:space="preserve">tumor2_lesion_sld</t>
  </si>
  <si>
    <t xml:space="preserve">SLD of only tumor 2.  Repeat for tumor 3-X.</t>
  </si>
  <si>
    <t xml:space="preserve">tumor2_suv</t>
  </si>
  <si>
    <t xml:space="preserve">SUV of target tumor 2 (PET CT). Rpeat for tumor 3-X</t>
  </si>
  <si>
    <t xml:space="preserve">tx_comments</t>
  </si>
  <si>
    <t xml:space="preserve">Comments regarding interval treatment. Include notes regarding margins, radiation dosing, drug names/combinations (eg type of chemotherapy, meki or immunotherapy), dose limiting toxicities</t>
  </si>
  <si>
    <t xml:space="preserve">tx_details</t>
  </si>
  <si>
    <t xml:space="preserve">Treatment details (comment form) including combination of specific chemotherapies/immunotherapies, radiation dosing, etc</t>
  </si>
  <si>
    <t xml:space="preserve">tx_indication</t>
  </si>
  <si>
    <t xml:space="preserve">Indiction for treatment</t>
  </si>
  <si>
    <t xml:space="preserve">curative, palliative, diagnostic</t>
  </si>
  <si>
    <t xml:space="preserve">tx1_cat</t>
  </si>
  <si>
    <t xml:space="preserve">meki, chemo, immuno, rtx, sgy,none</t>
  </si>
  <si>
    <t xml:space="preserve">species</t>
  </si>
  <si>
    <t xml:space="preserve">notes</t>
  </si>
  <si>
    <t xml:space="preserve">participant_id</t>
  </si>
  <si>
    <t xml:space="preserve">study_protocol</t>
  </si>
  <si>
    <t xml:space="preserve">birth_year</t>
  </si>
  <si>
    <t xml:space="preserve">last_fu_clinic_date</t>
  </si>
  <si>
    <t xml:space="preserve">last_fu_alive_date</t>
  </si>
  <si>
    <t xml:space="preserve">previous_chemo_immuno_rtx</t>
  </si>
  <si>
    <t xml:space="preserve">mou0001</t>
  </si>
  <si>
    <t xml:space="preserve">mouse</t>
  </si>
  <si>
    <t xml:space="preserve">ms001</t>
  </si>
  <si>
    <t xml:space="preserve">WU487 2-1</t>
  </si>
  <si>
    <t xml:space="preserve">washu</t>
  </si>
  <si>
    <t xml:space="preserve">GET</t>
  </si>
  <si>
    <t xml:space="preserve">mou0002</t>
  </si>
  <si>
    <t xml:space="preserve">ms002</t>
  </si>
  <si>
    <t xml:space="preserve">WU487 3-2</t>
  </si>
  <si>
    <t xml:space="preserve">mou0003</t>
  </si>
  <si>
    <t xml:space="preserve">ms003</t>
  </si>
  <si>
    <t xml:space="preserve">WU487 5-2</t>
  </si>
  <si>
    <t xml:space="preserve">mou0004</t>
  </si>
  <si>
    <t xml:space="preserve">ms004</t>
  </si>
  <si>
    <t xml:space="preserve">WU487 1-4</t>
  </si>
  <si>
    <t xml:space="preserve">mou0005</t>
  </si>
  <si>
    <t xml:space="preserve">ms005</t>
  </si>
  <si>
    <t xml:space="preserve">WU487 3-5</t>
  </si>
  <si>
    <t xml:space="preserve">mou0006</t>
  </si>
  <si>
    <t xml:space="preserve">ms006</t>
  </si>
  <si>
    <t xml:space="preserve">WU487 4-4</t>
  </si>
  <si>
    <t xml:space="preserve">mou0007</t>
  </si>
  <si>
    <t xml:space="preserve">ms007</t>
  </si>
  <si>
    <t xml:space="preserve">JH-2-055 1-4</t>
  </si>
  <si>
    <t xml:space="preserve">mou0008</t>
  </si>
  <si>
    <t xml:space="preserve">ms008</t>
  </si>
  <si>
    <t xml:space="preserve">JH-2-055 4-5</t>
  </si>
  <si>
    <t xml:space="preserve">mou0009</t>
  </si>
  <si>
    <t xml:space="preserve">ms009</t>
  </si>
  <si>
    <t xml:space="preserve">JH-2-055 5-5</t>
  </si>
  <si>
    <t xml:space="preserve">mou0010</t>
  </si>
  <si>
    <t xml:space="preserve">ms010</t>
  </si>
  <si>
    <t xml:space="preserve">JH-2-055 3-2</t>
  </si>
  <si>
    <t xml:space="preserve">mou0011</t>
  </si>
  <si>
    <t xml:space="preserve">ms011</t>
  </si>
  <si>
    <t xml:space="preserve">JH-2-055 3-3</t>
  </si>
  <si>
    <t xml:space="preserve">mou0012</t>
  </si>
  <si>
    <t xml:space="preserve">ms012</t>
  </si>
  <si>
    <t xml:space="preserve">JH-2-055 7-5</t>
  </si>
  <si>
    <t xml:space="preserve">mou0013</t>
  </si>
  <si>
    <t xml:space="preserve">ms013</t>
  </si>
  <si>
    <t xml:space="preserve">MN2 5-2</t>
  </si>
  <si>
    <t xml:space="preserve">mou0014</t>
  </si>
  <si>
    <t xml:space="preserve">ms014</t>
  </si>
  <si>
    <t xml:space="preserve">MN2 2-1</t>
  </si>
  <si>
    <t xml:space="preserve">mou0015</t>
  </si>
  <si>
    <t xml:space="preserve">ms015</t>
  </si>
  <si>
    <t xml:space="preserve">MN2 2-4</t>
  </si>
  <si>
    <t xml:space="preserve">mou0016</t>
  </si>
  <si>
    <t xml:space="preserve">ms016</t>
  </si>
  <si>
    <t xml:space="preserve">MN2 3-3</t>
  </si>
  <si>
    <t xml:space="preserve">mou0017</t>
  </si>
  <si>
    <t xml:space="preserve">ms017</t>
  </si>
  <si>
    <t xml:space="preserve">MN2 1-2</t>
  </si>
  <si>
    <t xml:space="preserve">mou0018</t>
  </si>
  <si>
    <t xml:space="preserve">ms018</t>
  </si>
  <si>
    <t xml:space="preserve">MN2 7-3</t>
  </si>
  <si>
    <t xml:space="preserve">par0002</t>
  </si>
  <si>
    <t xml:space="preserve">human</t>
  </si>
  <si>
    <t xml:space="preserve">subj002</t>
  </si>
  <si>
    <t xml:space="preserve">2031j</t>
  </si>
  <si>
    <t xml:space="preserve">jhh</t>
  </si>
  <si>
    <t xml:space="preserve">jhbiobank</t>
  </si>
  <si>
    <t xml:space="preserve">UNK</t>
  </si>
  <si>
    <t xml:space="preserve">mpnst</t>
  </si>
  <si>
    <t xml:space="preserve">na</t>
  </si>
  <si>
    <t xml:space="preserve">par0003</t>
  </si>
  <si>
    <t xml:space="preserve">subj003</t>
  </si>
  <si>
    <t xml:space="preserve">2055j</t>
  </si>
  <si>
    <t xml:space="preserve">par0004</t>
  </si>
  <si>
    <t xml:space="preserve">subj004</t>
  </si>
  <si>
    <t xml:space="preserve">2084j</t>
  </si>
  <si>
    <t xml:space="preserve">par0005</t>
  </si>
  <si>
    <t xml:space="preserve">subj005</t>
  </si>
  <si>
    <t xml:space="preserve">2082j</t>
  </si>
  <si>
    <t xml:space="preserve">par0006</t>
  </si>
  <si>
    <t xml:space="preserve">subj006</t>
  </si>
  <si>
    <t xml:space="preserve">2015j</t>
  </si>
  <si>
    <t xml:space="preserve">par0007</t>
  </si>
  <si>
    <t xml:space="preserve">subj007</t>
  </si>
  <si>
    <t xml:space="preserve">2072j</t>
  </si>
  <si>
    <t xml:space="preserve">par0008</t>
  </si>
  <si>
    <t xml:space="preserve">subj008</t>
  </si>
  <si>
    <t xml:space="preserve">2023j</t>
  </si>
  <si>
    <t xml:space="preserve">par0009</t>
  </si>
  <si>
    <t xml:space="preserve">subj009</t>
  </si>
  <si>
    <t xml:space="preserve">js0045</t>
  </si>
  <si>
    <t xml:space="preserve">nci</t>
  </si>
  <si>
    <t xml:space="preserve">f</t>
  </si>
  <si>
    <t xml:space="preserve">y</t>
  </si>
  <si>
    <t xml:space="preserve">1997</t>
  </si>
  <si>
    <t xml:space="preserve">par0010</t>
  </si>
  <si>
    <t xml:space="preserve">subj010</t>
  </si>
  <si>
    <t xml:space="preserve">js0053</t>
  </si>
  <si>
    <t xml:space="preserve">m</t>
  </si>
  <si>
    <t xml:space="preserve">1999</t>
  </si>
  <si>
    <t xml:space="preserve">par0011</t>
  </si>
  <si>
    <t xml:space="preserve">subj011</t>
  </si>
  <si>
    <t xml:space="preserve">js0105</t>
  </si>
  <si>
    <t xml:space="preserve">1987</t>
  </si>
  <si>
    <t xml:space="preserve">par0012</t>
  </si>
  <si>
    <t xml:space="preserve">subj012</t>
  </si>
  <si>
    <t xml:space="preserve">js0003</t>
  </si>
  <si>
    <t xml:space="preserve">1992</t>
  </si>
  <si>
    <t xml:space="preserve">plexiform</t>
  </si>
  <si>
    <t xml:space="preserve">par0013</t>
  </si>
  <si>
    <t xml:space="preserve">subj013</t>
  </si>
  <si>
    <t xml:space="preserve">js0006</t>
  </si>
  <si>
    <t xml:space="preserve">par0014</t>
  </si>
  <si>
    <t xml:space="preserve">subj014</t>
  </si>
  <si>
    <t xml:space="preserve">js0010</t>
  </si>
  <si>
    <t xml:space="preserve">1974</t>
  </si>
  <si>
    <t xml:space="preserve">par0015</t>
  </si>
  <si>
    <t xml:space="preserve">subj015</t>
  </si>
  <si>
    <t xml:space="preserve">js0022</t>
  </si>
  <si>
    <t xml:space="preserve">2002</t>
  </si>
  <si>
    <t xml:space="preserve">par0016</t>
  </si>
  <si>
    <t xml:space="preserve">subj016</t>
  </si>
  <si>
    <t xml:space="preserve">js0028</t>
  </si>
  <si>
    <t xml:space="preserve">2000</t>
  </si>
  <si>
    <t xml:space="preserve">other</t>
  </si>
  <si>
    <t xml:space="preserve">par0017</t>
  </si>
  <si>
    <t xml:space="preserve">subj017</t>
  </si>
  <si>
    <t xml:space="preserve">js0032</t>
  </si>
  <si>
    <t xml:space="preserve">2007</t>
  </si>
  <si>
    <t xml:space="preserve">par0018</t>
  </si>
  <si>
    <t xml:space="preserve">subj018</t>
  </si>
  <si>
    <t xml:space="preserve">js0033</t>
  </si>
  <si>
    <t xml:space="preserve">2005</t>
  </si>
  <si>
    <t xml:space="preserve">par0019</t>
  </si>
  <si>
    <t xml:space="preserve">subj019</t>
  </si>
  <si>
    <t xml:space="preserve">js0034</t>
  </si>
  <si>
    <t xml:space="preserve">1998</t>
  </si>
  <si>
    <t xml:space="preserve">par0020</t>
  </si>
  <si>
    <t xml:space="preserve">subj020</t>
  </si>
  <si>
    <t xml:space="preserve">js0036</t>
  </si>
  <si>
    <t xml:space="preserve">n</t>
  </si>
  <si>
    <t xml:space="preserve">1970</t>
  </si>
  <si>
    <t xml:space="preserve">par0021</t>
  </si>
  <si>
    <t xml:space="preserve">subj021</t>
  </si>
  <si>
    <t xml:space="preserve">js0037</t>
  </si>
  <si>
    <t xml:space="preserve">par0022</t>
  </si>
  <si>
    <t xml:space="preserve">subj022</t>
  </si>
  <si>
    <t xml:space="preserve">js0039</t>
  </si>
  <si>
    <t xml:space="preserve">1976</t>
  </si>
  <si>
    <t xml:space="preserve">par0023</t>
  </si>
  <si>
    <t xml:space="preserve">subj023</t>
  </si>
  <si>
    <t xml:space="preserve">js0040</t>
  </si>
  <si>
    <t xml:space="preserve">par0024</t>
  </si>
  <si>
    <t xml:space="preserve">subj024</t>
  </si>
  <si>
    <t xml:space="preserve">js0041</t>
  </si>
  <si>
    <t xml:space="preserve">2009</t>
  </si>
  <si>
    <t xml:space="preserve">par0025</t>
  </si>
  <si>
    <t xml:space="preserve">subj025</t>
  </si>
  <si>
    <t xml:space="preserve">js0042</t>
  </si>
  <si>
    <t xml:space="preserve">par0026</t>
  </si>
  <si>
    <t xml:space="preserve">subj026</t>
  </si>
  <si>
    <t xml:space="preserve">js0043</t>
  </si>
  <si>
    <t xml:space="preserve">2004</t>
  </si>
  <si>
    <t xml:space="preserve">par0027</t>
  </si>
  <si>
    <t xml:space="preserve">subj027</t>
  </si>
  <si>
    <t xml:space="preserve">js0044</t>
  </si>
  <si>
    <t xml:space="preserve">1993</t>
  </si>
  <si>
    <t xml:space="preserve">anf</t>
  </si>
  <si>
    <t xml:space="preserve">par0028</t>
  </si>
  <si>
    <t xml:space="preserve">subj028</t>
  </si>
  <si>
    <t xml:space="preserve">js0046</t>
  </si>
  <si>
    <t xml:space="preserve">par0029</t>
  </si>
  <si>
    <t xml:space="preserve">subj029</t>
  </si>
  <si>
    <t xml:space="preserve">js0047</t>
  </si>
  <si>
    <t xml:space="preserve">par0030</t>
  </si>
  <si>
    <t xml:space="preserve">subj030</t>
  </si>
  <si>
    <t xml:space="preserve">js0048</t>
  </si>
  <si>
    <t xml:space="preserve">2003</t>
  </si>
  <si>
    <t xml:space="preserve">par0031</t>
  </si>
  <si>
    <t xml:space="preserve">subj031</t>
  </si>
  <si>
    <t xml:space="preserve">js0049</t>
  </si>
  <si>
    <t xml:space="preserve">par0032</t>
  </si>
  <si>
    <t xml:space="preserve">subj032</t>
  </si>
  <si>
    <t xml:space="preserve">js0050</t>
  </si>
  <si>
    <t xml:space="preserve">2001</t>
  </si>
  <si>
    <t xml:space="preserve">par0033</t>
  </si>
  <si>
    <t xml:space="preserve">subj033</t>
  </si>
  <si>
    <t xml:space="preserve">js0051</t>
  </si>
  <si>
    <t xml:space="preserve">1995</t>
  </si>
  <si>
    <t xml:space="preserve">par0034</t>
  </si>
  <si>
    <t xml:space="preserve">subj034</t>
  </si>
  <si>
    <t xml:space="preserve">js0052</t>
  </si>
  <si>
    <t xml:space="preserve">par0035</t>
  </si>
  <si>
    <t xml:space="preserve">subj035</t>
  </si>
  <si>
    <t xml:space="preserve">js0054</t>
  </si>
  <si>
    <t xml:space="preserve">1989</t>
  </si>
  <si>
    <t xml:space="preserve">par0036</t>
  </si>
  <si>
    <t xml:space="preserve">subj036</t>
  </si>
  <si>
    <t xml:space="preserve">js0055</t>
  </si>
  <si>
    <t xml:space="preserve">par0037</t>
  </si>
  <si>
    <t xml:space="preserve">subj037</t>
  </si>
  <si>
    <t xml:space="preserve">js0056</t>
  </si>
  <si>
    <t xml:space="preserve">par0038</t>
  </si>
  <si>
    <t xml:space="preserve">subj038</t>
  </si>
  <si>
    <t xml:space="preserve">js0057</t>
  </si>
  <si>
    <t xml:space="preserve">par0039</t>
  </si>
  <si>
    <t xml:space="preserve">subj039</t>
  </si>
  <si>
    <t xml:space="preserve">js0058</t>
  </si>
  <si>
    <t xml:space="preserve">1977</t>
  </si>
  <si>
    <t xml:space="preserve">par0040</t>
  </si>
  <si>
    <t xml:space="preserve">subj040</t>
  </si>
  <si>
    <t xml:space="preserve">js0059</t>
  </si>
  <si>
    <t xml:space="preserve">par0041</t>
  </si>
  <si>
    <t xml:space="preserve">subj041</t>
  </si>
  <si>
    <t xml:space="preserve">js0061</t>
  </si>
  <si>
    <t xml:space="preserve">par0042</t>
  </si>
  <si>
    <t xml:space="preserve">subj042</t>
  </si>
  <si>
    <t xml:space="preserve">js0062</t>
  </si>
  <si>
    <t xml:space="preserve">par0043</t>
  </si>
  <si>
    <t xml:space="preserve">subj043</t>
  </si>
  <si>
    <t xml:space="preserve">js0065</t>
  </si>
  <si>
    <t xml:space="preserve">par0044</t>
  </si>
  <si>
    <t xml:space="preserve">subj044</t>
  </si>
  <si>
    <t xml:space="preserve">js0066</t>
  </si>
  <si>
    <t xml:space="preserve">1978</t>
  </si>
  <si>
    <t xml:space="preserve">par0045</t>
  </si>
  <si>
    <t xml:space="preserve">subj045</t>
  </si>
  <si>
    <t xml:space="preserve">js0067</t>
  </si>
  <si>
    <t xml:space="preserve">par0046</t>
  </si>
  <si>
    <t xml:space="preserve">subj046</t>
  </si>
  <si>
    <t xml:space="preserve">js0068</t>
  </si>
  <si>
    <t xml:space="preserve">par0047</t>
  </si>
  <si>
    <t xml:space="preserve">subj047</t>
  </si>
  <si>
    <t xml:space="preserve">js0069</t>
  </si>
  <si>
    <t xml:space="preserve">1990</t>
  </si>
  <si>
    <t xml:space="preserve">par0048</t>
  </si>
  <si>
    <t xml:space="preserve">subj048</t>
  </si>
  <si>
    <t xml:space="preserve">js0070</t>
  </si>
  <si>
    <t xml:space="preserve">par0049</t>
  </si>
  <si>
    <t xml:space="preserve">subj049</t>
  </si>
  <si>
    <t xml:space="preserve">js0071</t>
  </si>
  <si>
    <t xml:space="preserve">2008</t>
  </si>
  <si>
    <t xml:space="preserve">par0062</t>
  </si>
  <si>
    <t xml:space="preserve">subj062</t>
  </si>
  <si>
    <t xml:space="preserve">nf578</t>
  </si>
  <si>
    <t xml:space="preserve">WUSTL_578</t>
  </si>
  <si>
    <t xml:space="preserve">1994</t>
  </si>
  <si>
    <t xml:space="preserve">par0063</t>
  </si>
  <si>
    <t xml:space="preserve">subj063</t>
  </si>
  <si>
    <t xml:space="preserve">nf593</t>
  </si>
  <si>
    <t xml:space="preserve">WUSTL_593</t>
  </si>
  <si>
    <t xml:space="preserve">1963</t>
  </si>
  <si>
    <t xml:space="preserve">par0064</t>
  </si>
  <si>
    <t xml:space="preserve">subj064</t>
  </si>
  <si>
    <t xml:space="preserve">nf600</t>
  </si>
  <si>
    <t xml:space="preserve">WUSTL_600</t>
  </si>
  <si>
    <t xml:space="preserve">par0065</t>
  </si>
  <si>
    <t xml:space="preserve">subj065</t>
  </si>
  <si>
    <t xml:space="preserve">healthy</t>
  </si>
  <si>
    <t xml:space="preserve">par0066</t>
  </si>
  <si>
    <t xml:space="preserve">subj066</t>
  </si>
  <si>
    <t xml:space="preserve">par0067</t>
  </si>
  <si>
    <t xml:space="preserve">subj067</t>
  </si>
  <si>
    <t xml:space="preserve">par0069</t>
  </si>
  <si>
    <t xml:space="preserve">subj069</t>
  </si>
  <si>
    <t xml:space="preserve">par0070</t>
  </si>
  <si>
    <t xml:space="preserve">subj070</t>
  </si>
  <si>
    <t xml:space="preserve">par0071</t>
  </si>
  <si>
    <t xml:space="preserve">subj071</t>
  </si>
  <si>
    <t xml:space="preserve">par0073</t>
  </si>
  <si>
    <t xml:space="preserve">subj073</t>
  </si>
  <si>
    <t xml:space="preserve">NONE</t>
  </si>
  <si>
    <t xml:space="preserve">par0079</t>
  </si>
  <si>
    <t xml:space="preserve">subj079</t>
  </si>
  <si>
    <t xml:space="preserve">nf487</t>
  </si>
  <si>
    <t xml:space="preserve">WUSTL_487</t>
  </si>
  <si>
    <t xml:space="preserve">par0080</t>
  </si>
  <si>
    <t xml:space="preserve">subj080</t>
  </si>
  <si>
    <t xml:space="preserve">nf561</t>
  </si>
  <si>
    <t xml:space="preserve">WUSTL_561</t>
  </si>
  <si>
    <t xml:space="preserve">1984</t>
  </si>
  <si>
    <t xml:space="preserve">NED(Surveillance)</t>
  </si>
  <si>
    <t xml:space="preserve">par0081</t>
  </si>
  <si>
    <t xml:space="preserve">subj081</t>
  </si>
  <si>
    <t xml:space="preserve">nf564</t>
  </si>
  <si>
    <t xml:space="preserve">WUSTL_564</t>
  </si>
  <si>
    <t xml:space="preserve">1985</t>
  </si>
  <si>
    <t xml:space="preserve">par0082</t>
  </si>
  <si>
    <t xml:space="preserve">subj082</t>
  </si>
  <si>
    <t xml:space="preserve">nf570</t>
  </si>
  <si>
    <t xml:space="preserve">WUSTL_570</t>
  </si>
  <si>
    <t xml:space="preserve">1979</t>
  </si>
  <si>
    <t xml:space="preserve">barrett's esophagus</t>
  </si>
  <si>
    <t xml:space="preserve">par0083</t>
  </si>
  <si>
    <t xml:space="preserve">subj083</t>
  </si>
  <si>
    <t xml:space="preserve">nf583</t>
  </si>
  <si>
    <t xml:space="preserve">WUSTL_583</t>
  </si>
  <si>
    <t xml:space="preserve">1975</t>
  </si>
  <si>
    <t xml:space="preserve">subsequent cecal adenocarcinoma dx</t>
  </si>
  <si>
    <t xml:space="preserve">par0084</t>
  </si>
  <si>
    <t xml:space="preserve">subj084</t>
  </si>
  <si>
    <t xml:space="preserve">nf585</t>
  </si>
  <si>
    <t xml:space="preserve">WUSTL_585</t>
  </si>
  <si>
    <t xml:space="preserve">1960</t>
  </si>
  <si>
    <t xml:space="preserve">par0085</t>
  </si>
  <si>
    <t xml:space="preserve">subj085</t>
  </si>
  <si>
    <t xml:space="preserve">nf589</t>
  </si>
  <si>
    <t xml:space="preserve">WUSTL_589</t>
  </si>
  <si>
    <t xml:space="preserve">par0086</t>
  </si>
  <si>
    <t xml:space="preserve">subj086</t>
  </si>
  <si>
    <t xml:space="preserve">nf594</t>
  </si>
  <si>
    <t xml:space="preserve">WUSTL_594</t>
  </si>
  <si>
    <t xml:space="preserve">par0089</t>
  </si>
  <si>
    <t xml:space="preserve">subj089</t>
  </si>
  <si>
    <t xml:space="preserve">nf509</t>
  </si>
  <si>
    <t xml:space="preserve">WUSTL_509</t>
  </si>
  <si>
    <t xml:space="preserve">par0090</t>
  </si>
  <si>
    <t xml:space="preserve">subj090</t>
  </si>
  <si>
    <t xml:space="preserve">nf510</t>
  </si>
  <si>
    <t xml:space="preserve">WUSTL_510</t>
  </si>
  <si>
    <t xml:space="preserve">1988</t>
  </si>
  <si>
    <t xml:space="preserve">par0091</t>
  </si>
  <si>
    <t xml:space="preserve">subj091</t>
  </si>
  <si>
    <t xml:space="preserve">nf514</t>
  </si>
  <si>
    <t xml:space="preserve">WUSTL_514</t>
  </si>
  <si>
    <t xml:space="preserve">par0092</t>
  </si>
  <si>
    <t xml:space="preserve">subj092</t>
  </si>
  <si>
    <t xml:space="preserve">nf531</t>
  </si>
  <si>
    <t xml:space="preserve">WUSTL_531</t>
  </si>
  <si>
    <t xml:space="preserve">1955</t>
  </si>
  <si>
    <t xml:space="preserve">par0093</t>
  </si>
  <si>
    <t xml:space="preserve">subj093</t>
  </si>
  <si>
    <t xml:space="preserve">nf536</t>
  </si>
  <si>
    <t xml:space="preserve">WUSTL_536</t>
  </si>
  <si>
    <t xml:space="preserve">annubp</t>
  </si>
  <si>
    <t xml:space="preserve">breast mass</t>
  </si>
  <si>
    <t xml:space="preserve">par0094</t>
  </si>
  <si>
    <t xml:space="preserve">subj094</t>
  </si>
  <si>
    <t xml:space="preserve">nf539</t>
  </si>
  <si>
    <t xml:space="preserve">WUSTL_539</t>
  </si>
  <si>
    <t xml:space="preserve">OPG</t>
  </si>
  <si>
    <t xml:space="preserve">par0095</t>
  </si>
  <si>
    <t xml:space="preserve">subj095</t>
  </si>
  <si>
    <t xml:space="preserve">nf544</t>
  </si>
  <si>
    <t xml:space="preserve">WUSTL_544</t>
  </si>
  <si>
    <t xml:space="preserve">par0096</t>
  </si>
  <si>
    <t xml:space="preserve">subj096</t>
  </si>
  <si>
    <t xml:space="preserve">nf569</t>
  </si>
  <si>
    <t xml:space="preserve">WUSTL_569</t>
  </si>
  <si>
    <t xml:space="preserve">1983</t>
  </si>
  <si>
    <t xml:space="preserve">par0097</t>
  </si>
  <si>
    <t xml:space="preserve">subj097</t>
  </si>
  <si>
    <t xml:space="preserve">nf571</t>
  </si>
  <si>
    <t xml:space="preserve">WUSTL_571</t>
  </si>
  <si>
    <t xml:space="preserve">par0098</t>
  </si>
  <si>
    <t xml:space="preserve">subj098</t>
  </si>
  <si>
    <t xml:space="preserve">nf574</t>
  </si>
  <si>
    <t xml:space="preserve">WUSTL_574</t>
  </si>
  <si>
    <t xml:space="preserve">par0099</t>
  </si>
  <si>
    <t xml:space="preserve">subj099</t>
  </si>
  <si>
    <t xml:space="preserve">nf575</t>
  </si>
  <si>
    <t xml:space="preserve">WUSTL_575</t>
  </si>
  <si>
    <t xml:space="preserve">par100</t>
  </si>
  <si>
    <t xml:space="preserve">subj100</t>
  </si>
  <si>
    <t xml:space="preserve">nf576</t>
  </si>
  <si>
    <t xml:space="preserve">WUSTL_576</t>
  </si>
  <si>
    <t xml:space="preserve">1981</t>
  </si>
  <si>
    <t xml:space="preserve">par101</t>
  </si>
  <si>
    <t xml:space="preserve">subj101</t>
  </si>
  <si>
    <t xml:space="preserve">nf577</t>
  </si>
  <si>
    <t xml:space="preserve">WUSTL_577</t>
  </si>
  <si>
    <t xml:space="preserve">1964</t>
  </si>
  <si>
    <t xml:space="preserve">benign colon polyp,prostate hyperplasa</t>
  </si>
  <si>
    <t xml:space="preserve">par102</t>
  </si>
  <si>
    <t xml:space="preserve">subj102</t>
  </si>
  <si>
    <t xml:space="preserve">nf579</t>
  </si>
  <si>
    <t xml:space="preserve">WUSTL_579</t>
  </si>
  <si>
    <t xml:space="preserve">par103</t>
  </si>
  <si>
    <t xml:space="preserve">subj103</t>
  </si>
  <si>
    <t xml:space="preserve">nf582</t>
  </si>
  <si>
    <t xml:space="preserve">WUSTL_582</t>
  </si>
  <si>
    <t xml:space="preserve">benign colon polyp</t>
  </si>
  <si>
    <t xml:space="preserve">par104</t>
  </si>
  <si>
    <t xml:space="preserve">subj104</t>
  </si>
  <si>
    <t xml:space="preserve">nf586</t>
  </si>
  <si>
    <t xml:space="preserve">WUSTL_586</t>
  </si>
  <si>
    <t xml:space="preserve">par105</t>
  </si>
  <si>
    <t xml:space="preserve">subj105</t>
  </si>
  <si>
    <t xml:space="preserve">nf590</t>
  </si>
  <si>
    <t xml:space="preserve">WUSTL_590</t>
  </si>
  <si>
    <t xml:space="preserve">ind</t>
  </si>
  <si>
    <t xml:space="preserve">par106</t>
  </si>
  <si>
    <t xml:space="preserve">subj106</t>
  </si>
  <si>
    <t xml:space="preserve">nf591</t>
  </si>
  <si>
    <t xml:space="preserve">WUSTL_591</t>
  </si>
  <si>
    <t xml:space="preserve">par107</t>
  </si>
  <si>
    <t xml:space="preserve">subj107</t>
  </si>
  <si>
    <t xml:space="preserve">nf592</t>
  </si>
  <si>
    <t xml:space="preserve">WUSTL_592</t>
  </si>
  <si>
    <t xml:space="preserve">par108</t>
  </si>
  <si>
    <t xml:space="preserve">subj108</t>
  </si>
  <si>
    <t xml:space="preserve">nf597</t>
  </si>
  <si>
    <t xml:space="preserve">WUSTL_597</t>
  </si>
  <si>
    <t xml:space="preserve">par109</t>
  </si>
  <si>
    <t xml:space="preserve">subj109</t>
  </si>
  <si>
    <t xml:space="preserve">nf598</t>
  </si>
  <si>
    <t xml:space="preserve">WUSTL_598</t>
  </si>
  <si>
    <t xml:space="preserve">1971</t>
  </si>
  <si>
    <t xml:space="preserve">par110</t>
  </si>
  <si>
    <t xml:space="preserve">subj110</t>
  </si>
  <si>
    <t xml:space="preserve">10nc</t>
  </si>
  <si>
    <t xml:space="preserve">not_recorded</t>
  </si>
  <si>
    <t xml:space="preserve">par111</t>
  </si>
  <si>
    <t xml:space="preserve">subj111</t>
  </si>
  <si>
    <t xml:space="preserve">11nc</t>
  </si>
  <si>
    <t xml:space="preserve">par112</t>
  </si>
  <si>
    <t xml:space="preserve">subj112</t>
  </si>
  <si>
    <t xml:space="preserve">12nc</t>
  </si>
  <si>
    <t xml:space="preserve">par113</t>
  </si>
  <si>
    <t xml:space="preserve">subj113</t>
  </si>
  <si>
    <t xml:space="preserve">13nc</t>
  </si>
  <si>
    <t xml:space="preserve">par114</t>
  </si>
  <si>
    <t xml:space="preserve">subj114</t>
  </si>
  <si>
    <t xml:space="preserve">14nc</t>
  </si>
  <si>
    <t xml:space="preserve">par115</t>
  </si>
  <si>
    <t xml:space="preserve">subj115</t>
  </si>
  <si>
    <t xml:space="preserve">15nc</t>
  </si>
  <si>
    <t xml:space="preserve">par116</t>
  </si>
  <si>
    <t xml:space="preserve">subj116</t>
  </si>
  <si>
    <t xml:space="preserve">1nc</t>
  </si>
  <si>
    <t xml:space="preserve">par117</t>
  </si>
  <si>
    <t xml:space="preserve">subj117</t>
  </si>
  <si>
    <t xml:space="preserve">2nc</t>
  </si>
  <si>
    <t xml:space="preserve">par118</t>
  </si>
  <si>
    <t xml:space="preserve">subj118</t>
  </si>
  <si>
    <t xml:space="preserve">4nc</t>
  </si>
  <si>
    <t xml:space="preserve">par119</t>
  </si>
  <si>
    <t xml:space="preserve">subj119</t>
  </si>
  <si>
    <t xml:space="preserve">5nc</t>
  </si>
  <si>
    <t xml:space="preserve">par120</t>
  </si>
  <si>
    <t xml:space="preserve">subj120</t>
  </si>
  <si>
    <t xml:space="preserve">6nc</t>
  </si>
  <si>
    <t xml:space="preserve">par121</t>
  </si>
  <si>
    <t xml:space="preserve">subj121</t>
  </si>
  <si>
    <t xml:space="preserve">7nc</t>
  </si>
  <si>
    <t xml:space="preserve">par122</t>
  </si>
  <si>
    <t xml:space="preserve">subj122</t>
  </si>
  <si>
    <t xml:space="preserve">8nc</t>
  </si>
  <si>
    <t xml:space="preserve">par123</t>
  </si>
  <si>
    <t xml:space="preserve">subj123</t>
  </si>
  <si>
    <t xml:space="preserve">9nc</t>
  </si>
  <si>
    <t xml:space="preserve">par124</t>
  </si>
  <si>
    <t xml:space="preserve">subj124</t>
  </si>
  <si>
    <t xml:space="preserve">js0027</t>
  </si>
  <si>
    <t xml:space="preserve">rms</t>
  </si>
  <si>
    <t xml:space="preserve">par125</t>
  </si>
  <si>
    <t xml:space="preserve">subj125</t>
  </si>
  <si>
    <t xml:space="preserve">js0025</t>
  </si>
  <si>
    <t xml:space="preserve">par127</t>
  </si>
  <si>
    <t xml:space="preserve">subj127</t>
  </si>
  <si>
    <t xml:space="preserve">js0060</t>
  </si>
  <si>
    <t xml:space="preserve">par128</t>
  </si>
  <si>
    <t xml:space="preserve">subj128</t>
  </si>
  <si>
    <t xml:space="preserve">js0063</t>
  </si>
  <si>
    <t xml:space="preserve">par129</t>
  </si>
  <si>
    <t xml:space="preserve">subj129</t>
  </si>
  <si>
    <t xml:space="preserve">js0093</t>
  </si>
  <si>
    <t xml:space="preserve">12/23/2021 (deceased)</t>
  </si>
  <si>
    <t xml:space="preserve">par130</t>
  </si>
  <si>
    <t xml:space="preserve">subj130</t>
  </si>
  <si>
    <t xml:space="preserve">js0108</t>
  </si>
  <si>
    <t xml:space="preserve">par131</t>
  </si>
  <si>
    <t xml:space="preserve">subj131</t>
  </si>
  <si>
    <t xml:space="preserve">nf599</t>
  </si>
  <si>
    <t xml:space="preserve">WUSTL_599</t>
  </si>
  <si>
    <t xml:space="preserve">par132</t>
  </si>
  <si>
    <t xml:space="preserve">subj132</t>
  </si>
  <si>
    <t xml:space="preserve">nf601</t>
  </si>
  <si>
    <t xml:space="preserve">WUSTL_601</t>
  </si>
  <si>
    <t xml:space="preserve">par133</t>
  </si>
  <si>
    <t xml:space="preserve">subj133</t>
  </si>
  <si>
    <t xml:space="preserve">nf602</t>
  </si>
  <si>
    <t xml:space="preserve">WUSTL_602</t>
  </si>
  <si>
    <t xml:space="preserve">1961</t>
  </si>
  <si>
    <t xml:space="preserve">par134</t>
  </si>
  <si>
    <t xml:space="preserve">subj134</t>
  </si>
  <si>
    <t xml:space="preserve">nf603</t>
  </si>
  <si>
    <t xml:space="preserve">WUSTL_603</t>
  </si>
  <si>
    <t xml:space="preserve">par136</t>
  </si>
  <si>
    <t xml:space="preserve">subj136</t>
  </si>
  <si>
    <t xml:space="preserve">nf605</t>
  </si>
  <si>
    <t xml:space="preserve">WUSTL_605</t>
  </si>
  <si>
    <t xml:space="preserve">par137</t>
  </si>
  <si>
    <t xml:space="preserve">subj137</t>
  </si>
  <si>
    <t xml:space="preserve">3nc</t>
  </si>
  <si>
    <t xml:space="preserve">par138</t>
  </si>
  <si>
    <t xml:space="preserve">subj138</t>
  </si>
  <si>
    <t xml:space="preserve">js0107</t>
  </si>
  <si>
    <t xml:space="preserve">par139</t>
  </si>
  <si>
    <t xml:space="preserve">subj139</t>
  </si>
  <si>
    <t xml:space="preserve">jS0023</t>
  </si>
  <si>
    <t xml:space="preserve">par140</t>
  </si>
  <si>
    <t xml:space="preserve">subj140</t>
  </si>
  <si>
    <t xml:space="preserve">js0106</t>
  </si>
  <si>
    <t xml:space="preserve">par141</t>
  </si>
  <si>
    <t xml:space="preserve">subj141</t>
  </si>
  <si>
    <t xml:space="preserve">js0104</t>
  </si>
  <si>
    <t xml:space="preserve">par142</t>
  </si>
  <si>
    <t xml:space="preserve">subj142</t>
  </si>
  <si>
    <t xml:space="preserve">js0072</t>
  </si>
  <si>
    <t xml:space="preserve">par143</t>
  </si>
  <si>
    <t xml:space="preserve">subj143</t>
  </si>
  <si>
    <t xml:space="preserve">js0075</t>
  </si>
  <si>
    <t xml:space="preserve">men2b</t>
  </si>
  <si>
    <t xml:space="preserve">mtc</t>
  </si>
  <si>
    <t xml:space="preserve">par144</t>
  </si>
  <si>
    <t xml:space="preserve">subj144</t>
  </si>
  <si>
    <t xml:space="preserve">js0076</t>
  </si>
  <si>
    <t xml:space="preserve">par145</t>
  </si>
  <si>
    <t xml:space="preserve">subj145</t>
  </si>
  <si>
    <t xml:space="preserve">js0086</t>
  </si>
  <si>
    <t xml:space="preserve">par146</t>
  </si>
  <si>
    <t xml:space="preserve">subj146</t>
  </si>
  <si>
    <t xml:space="preserve">nf189</t>
  </si>
  <si>
    <t xml:space="preserve">WUSTL_189</t>
  </si>
  <si>
    <t xml:space="preserve">par147</t>
  </si>
  <si>
    <t xml:space="preserve">subj147</t>
  </si>
  <si>
    <t xml:space="preserve">nf609</t>
  </si>
  <si>
    <t xml:space="preserve">WUSTL_609</t>
  </si>
  <si>
    <t xml:space="preserve">1959</t>
  </si>
  <si>
    <t xml:space="preserve">par148</t>
  </si>
  <si>
    <t xml:space="preserve">subj148</t>
  </si>
  <si>
    <t xml:space="preserve">nf608</t>
  </si>
  <si>
    <t xml:space="preserve">WUSTL_608</t>
  </si>
  <si>
    <t xml:space="preserve">1972</t>
  </si>
  <si>
    <t xml:space="preserve">par149</t>
  </si>
  <si>
    <t xml:space="preserve">subj149</t>
  </si>
  <si>
    <t xml:space="preserve">nf606</t>
  </si>
  <si>
    <t xml:space="preserve">WUSTL_606</t>
  </si>
  <si>
    <t xml:space="preserve">par153</t>
  </si>
  <si>
    <t xml:space="preserve">subj153</t>
  </si>
  <si>
    <t xml:space="preserve">js_sarc001</t>
  </si>
  <si>
    <t xml:space="preserve">sarc031</t>
  </si>
  <si>
    <t xml:space="preserve">048-SARC031-002</t>
  </si>
  <si>
    <t xml:space="preserve">par154</t>
  </si>
  <si>
    <t xml:space="preserve">subj154</t>
  </si>
  <si>
    <t xml:space="preserve">js_sarc002</t>
  </si>
  <si>
    <t xml:space="preserve">048-SARC031-004</t>
  </si>
  <si>
    <t xml:space="preserve">par155</t>
  </si>
  <si>
    <t xml:space="preserve">subj155</t>
  </si>
  <si>
    <t xml:space="preserve">js_sarc003</t>
  </si>
  <si>
    <t xml:space="preserve">048-SARC031-001</t>
  </si>
  <si>
    <t xml:space="preserve">par157</t>
  </si>
  <si>
    <t xml:space="preserve">subj157</t>
  </si>
  <si>
    <t xml:space="preserve">js_sarc004</t>
  </si>
  <si>
    <t xml:space="preserve">019-SARC031-015</t>
  </si>
  <si>
    <t xml:space="preserve">par159</t>
  </si>
  <si>
    <t xml:space="preserve">subj159</t>
  </si>
  <si>
    <t xml:space="preserve">js_sarc006</t>
  </si>
  <si>
    <t xml:space="preserve">015-SARC031-018</t>
  </si>
  <si>
    <t xml:space="preserve">par161</t>
  </si>
  <si>
    <t xml:space="preserve">subj161</t>
  </si>
  <si>
    <t xml:space="preserve">js_sarc007</t>
  </si>
  <si>
    <t xml:space="preserve">079-SARC031-008</t>
  </si>
  <si>
    <t xml:space="preserve">par162</t>
  </si>
  <si>
    <t xml:space="preserve">subj162</t>
  </si>
  <si>
    <t xml:space="preserve">js_sarc008</t>
  </si>
  <si>
    <t xml:space="preserve">015-SARC031-006</t>
  </si>
  <si>
    <t xml:space="preserve">par164</t>
  </si>
  <si>
    <t xml:space="preserve">subj164</t>
  </si>
  <si>
    <t xml:space="preserve">js0302</t>
  </si>
  <si>
    <t xml:space="preserve">par166</t>
  </si>
  <si>
    <t xml:space="preserve">subj166</t>
  </si>
  <si>
    <t xml:space="preserve">js_sarc010</t>
  </si>
  <si>
    <t xml:space="preserve">015-SARC031-016</t>
  </si>
  <si>
    <t xml:space="preserve">par167</t>
  </si>
  <si>
    <t xml:space="preserve">subj167</t>
  </si>
  <si>
    <t xml:space="preserve">js_sarc011</t>
  </si>
  <si>
    <t xml:space="preserve">019-SARC031-021</t>
  </si>
  <si>
    <t xml:space="preserve">par169</t>
  </si>
  <si>
    <t xml:space="preserve">subj169</t>
  </si>
  <si>
    <t xml:space="preserve">js0304</t>
  </si>
  <si>
    <t xml:space="preserve">2010</t>
  </si>
  <si>
    <t xml:space="preserve">6/25/2021 (deceased)</t>
  </si>
  <si>
    <t xml:space="preserve">no</t>
  </si>
  <si>
    <t xml:space="preserve">par170</t>
  </si>
  <si>
    <t xml:space="preserve">subj170</t>
  </si>
  <si>
    <t xml:space="preserve">js0087</t>
  </si>
  <si>
    <t xml:space="preserve">par172</t>
  </si>
  <si>
    <t xml:space="preserve">subj172</t>
  </si>
  <si>
    <t xml:space="preserve">js600</t>
  </si>
  <si>
    <t xml:space="preserve">par173</t>
  </si>
  <si>
    <t xml:space="preserve">subj173</t>
  </si>
  <si>
    <t xml:space="preserve">js0305</t>
  </si>
  <si>
    <t xml:space="preserve">nf1_noplex</t>
  </si>
  <si>
    <t xml:space="preserve">par174</t>
  </si>
  <si>
    <t xml:space="preserve">subj174</t>
  </si>
  <si>
    <t xml:space="preserve">js0214</t>
  </si>
  <si>
    <t xml:space="preserve">par175</t>
  </si>
  <si>
    <t xml:space="preserve">subj175</t>
  </si>
  <si>
    <t xml:space="preserve">js0200</t>
  </si>
  <si>
    <t xml:space="preserve">par176</t>
  </si>
  <si>
    <t xml:space="preserve">subj176</t>
  </si>
  <si>
    <t xml:space="preserve">js0215</t>
  </si>
  <si>
    <t xml:space="preserve">par177</t>
  </si>
  <si>
    <t xml:space="preserve">subj177</t>
  </si>
  <si>
    <t xml:space="preserve">js0209</t>
  </si>
  <si>
    <t xml:space="preserve">par178</t>
  </si>
  <si>
    <t xml:space="preserve">subj178</t>
  </si>
  <si>
    <t xml:space="preserve">js0306</t>
  </si>
  <si>
    <t xml:space="preserve">par180</t>
  </si>
  <si>
    <t xml:space="preserve">subj180</t>
  </si>
  <si>
    <t xml:space="preserve">js0216</t>
  </si>
  <si>
    <t xml:space="preserve">par181</t>
  </si>
  <si>
    <t xml:space="preserve">subj181</t>
  </si>
  <si>
    <t xml:space="preserve">js0307</t>
  </si>
  <si>
    <t xml:space="preserve">par182</t>
  </si>
  <si>
    <t xml:space="preserve">subj182</t>
  </si>
  <si>
    <t xml:space="preserve">js0211</t>
  </si>
  <si>
    <t xml:space="preserve">par184</t>
  </si>
  <si>
    <t xml:space="preserve">subj184</t>
  </si>
  <si>
    <t xml:space="preserve">js0210</t>
  </si>
  <si>
    <t xml:space="preserve">par185</t>
  </si>
  <si>
    <t xml:space="preserve">subj185</t>
  </si>
  <si>
    <t xml:space="preserve">js0308</t>
  </si>
  <si>
    <t xml:space="preserve">par189</t>
  </si>
  <si>
    <t xml:space="preserve">subj189</t>
  </si>
  <si>
    <t xml:space="preserve">js0301</t>
  </si>
  <si>
    <t xml:space="preserve">par190</t>
  </si>
  <si>
    <t xml:space="preserve">subj190</t>
  </si>
  <si>
    <t xml:space="preserve">js0204</t>
  </si>
  <si>
    <t xml:space="preserve">pn</t>
  </si>
  <si>
    <t xml:space="preserve">par191</t>
  </si>
  <si>
    <t xml:space="preserve">subj191</t>
  </si>
  <si>
    <t xml:space="preserve">js_sarc013</t>
  </si>
  <si>
    <t xml:space="preserve">019-SARC031-007</t>
  </si>
  <si>
    <t xml:space="preserve">par193</t>
  </si>
  <si>
    <t xml:space="preserve">subj193</t>
  </si>
  <si>
    <t xml:space="preserve">js_sarc015</t>
  </si>
  <si>
    <t xml:space="preserve">005-SARC031-014</t>
  </si>
  <si>
    <t xml:space="preserve">par195</t>
  </si>
  <si>
    <t xml:space="preserve">subj195</t>
  </si>
  <si>
    <t xml:space="preserve">nf604</t>
  </si>
  <si>
    <t xml:space="preserve">WUSTL_604</t>
  </si>
  <si>
    <t xml:space="preserve">1951</t>
  </si>
  <si>
    <t xml:space="preserve">par196</t>
  </si>
  <si>
    <t xml:space="preserve">subj196</t>
  </si>
  <si>
    <t xml:space="preserve">nf581</t>
  </si>
  <si>
    <t xml:space="preserve">WUSTL_581</t>
  </si>
  <si>
    <t xml:space="preserve">par197</t>
  </si>
  <si>
    <t xml:space="preserve">subj197</t>
  </si>
  <si>
    <t xml:space="preserve">nf547</t>
  </si>
  <si>
    <t xml:space="preserve">WUSTL_547</t>
  </si>
  <si>
    <t xml:space="preserve">par199</t>
  </si>
  <si>
    <t xml:space="preserve">subj199</t>
  </si>
  <si>
    <t xml:space="preserve">nf530</t>
  </si>
  <si>
    <t xml:space="preserve">WUSTL_530</t>
  </si>
  <si>
    <t xml:space="preserve">par200</t>
  </si>
  <si>
    <t xml:space="preserve">subj200</t>
  </si>
  <si>
    <t xml:space="preserve">nf402</t>
  </si>
  <si>
    <t xml:space="preserve">WUSTL_402</t>
  </si>
  <si>
    <t xml:space="preserve">par201</t>
  </si>
  <si>
    <t xml:space="preserve">subj201</t>
  </si>
  <si>
    <t xml:space="preserve">nf245</t>
  </si>
  <si>
    <t xml:space="preserve">WUSTL_245</t>
  </si>
  <si>
    <t xml:space="preserve">parotid lesion, barrett's esophagus dysplasia</t>
  </si>
  <si>
    <t xml:space="preserve">par202</t>
  </si>
  <si>
    <t xml:space="preserve">subj202</t>
  </si>
  <si>
    <t xml:space="preserve">nf178</t>
  </si>
  <si>
    <t xml:space="preserve">WUSTL_178</t>
  </si>
  <si>
    <t xml:space="preserve">Resected Pilotic Astrocytoma, Resected ANNUBP &gt;10 years</t>
  </si>
  <si>
    <t xml:space="preserve">par204</t>
  </si>
  <si>
    <t xml:space="preserve">subj204</t>
  </si>
  <si>
    <t xml:space="preserve">nf610</t>
  </si>
  <si>
    <t xml:space="preserve">WUSTL_610</t>
  </si>
  <si>
    <t xml:space="preserve">par205</t>
  </si>
  <si>
    <t xml:space="preserve">subj205</t>
  </si>
  <si>
    <t xml:space="preserve">nf612</t>
  </si>
  <si>
    <t xml:space="preserve">WUSTL_612</t>
  </si>
  <si>
    <t xml:space="preserve">par206</t>
  </si>
  <si>
    <t xml:space="preserve">subj206</t>
  </si>
  <si>
    <t xml:space="preserve">nf615</t>
  </si>
  <si>
    <t xml:space="preserve">WUSTL_615</t>
  </si>
  <si>
    <t xml:space="preserve">par207</t>
  </si>
  <si>
    <t xml:space="preserve">subj207</t>
  </si>
  <si>
    <t xml:space="preserve">nf616</t>
  </si>
  <si>
    <t xml:space="preserve">WUSTL_616</t>
  </si>
  <si>
    <t xml:space="preserve">par208</t>
  </si>
  <si>
    <t xml:space="preserve">subj208</t>
  </si>
  <si>
    <t xml:space="preserve">nf617</t>
  </si>
  <si>
    <t xml:space="preserve">WUSTL_617</t>
  </si>
  <si>
    <t xml:space="preserve">par209</t>
  </si>
  <si>
    <t xml:space="preserve">subj209</t>
  </si>
  <si>
    <t xml:space="preserve">nf618</t>
  </si>
  <si>
    <t xml:space="preserve">WUSTL_618</t>
  </si>
  <si>
    <t xml:space="preserve">1965</t>
  </si>
  <si>
    <t xml:space="preserve">par210</t>
  </si>
  <si>
    <t xml:space="preserve">subj210</t>
  </si>
  <si>
    <t xml:space="preserve">nf623</t>
  </si>
  <si>
    <t xml:space="preserve">WUSTL_623</t>
  </si>
  <si>
    <t xml:space="preserve">previous resected annubp/low-grade</t>
  </si>
  <si>
    <t xml:space="preserve">par211</t>
  </si>
  <si>
    <t xml:space="preserve">subj211</t>
  </si>
  <si>
    <t xml:space="preserve">js_sarc009</t>
  </si>
  <si>
    <t xml:space="preserve">WUSTL_624</t>
  </si>
  <si>
    <t xml:space="preserve">1948</t>
  </si>
  <si>
    <t xml:space="preserve">par212</t>
  </si>
  <si>
    <t xml:space="preserve">subj212</t>
  </si>
  <si>
    <t xml:space="preserve">nf625</t>
  </si>
  <si>
    <t xml:space="preserve">WUSTL_625</t>
  </si>
  <si>
    <t xml:space="preserve">par213</t>
  </si>
  <si>
    <t xml:space="preserve">subj213</t>
  </si>
  <si>
    <t xml:space="preserve">js_sarc005</t>
  </si>
  <si>
    <t xml:space="preserve">WUSTL_627</t>
  </si>
  <si>
    <t xml:space="preserve">par214</t>
  </si>
  <si>
    <t xml:space="preserve">subj214</t>
  </si>
  <si>
    <t xml:space="preserve">nf644</t>
  </si>
  <si>
    <t xml:space="preserve">WUSTL_644</t>
  </si>
  <si>
    <t xml:space="preserve">par215</t>
  </si>
  <si>
    <t xml:space="preserve">subj215</t>
  </si>
  <si>
    <t xml:space="preserve">nf645</t>
  </si>
  <si>
    <t xml:space="preserve">WUSTL_645</t>
  </si>
  <si>
    <t xml:space="preserve">par216</t>
  </si>
  <si>
    <t xml:space="preserve">subj216</t>
  </si>
  <si>
    <t xml:space="preserve">nf646</t>
  </si>
  <si>
    <t xml:space="preserve">WUSTL_646</t>
  </si>
  <si>
    <t xml:space="preserve">par217</t>
  </si>
  <si>
    <t xml:space="preserve">subj217</t>
  </si>
  <si>
    <t xml:space="preserve">nf638</t>
  </si>
  <si>
    <t xml:space="preserve">WUSTL_638</t>
  </si>
  <si>
    <t xml:space="preserve">Resected MPNST &gt; 10 years previous, ASCUS with high HPV</t>
  </si>
  <si>
    <t xml:space="preserve">par218</t>
  </si>
  <si>
    <t xml:space="preserve">subj218</t>
  </si>
  <si>
    <t xml:space="preserve">js_sarc016</t>
  </si>
  <si>
    <t xml:space="preserve">WUSTL_659</t>
  </si>
  <si>
    <t xml:space="preserve">par219</t>
  </si>
  <si>
    <t xml:space="preserve">subj219</t>
  </si>
  <si>
    <t xml:space="preserve">nf660</t>
  </si>
  <si>
    <t xml:space="preserve">WUSTL_660</t>
  </si>
  <si>
    <t xml:space="preserve">glioma</t>
  </si>
  <si>
    <t xml:space="preserve">par220</t>
  </si>
  <si>
    <t xml:space="preserve">subj220</t>
  </si>
  <si>
    <t xml:space="preserve">nf661</t>
  </si>
  <si>
    <t xml:space="preserve">WUSTL_661</t>
  </si>
  <si>
    <t xml:space="preserve">par221</t>
  </si>
  <si>
    <t xml:space="preserve">subj221</t>
  </si>
  <si>
    <t xml:space="preserve">nf662</t>
  </si>
  <si>
    <t xml:space="preserve">WUSTL_662</t>
  </si>
  <si>
    <t xml:space="preserve">par223</t>
  </si>
  <si>
    <t xml:space="preserve">subj223</t>
  </si>
  <si>
    <t xml:space="preserve">nf673</t>
  </si>
  <si>
    <t xml:space="preserve">WUSTL_673</t>
  </si>
  <si>
    <t xml:space="preserve">par224</t>
  </si>
  <si>
    <t xml:space="preserve">subj224</t>
  </si>
  <si>
    <t xml:space="preserve">nf678</t>
  </si>
  <si>
    <t xml:space="preserve">WUSTL_678</t>
  </si>
  <si>
    <t xml:space="preserve">2006</t>
  </si>
  <si>
    <t xml:space="preserve">par225</t>
  </si>
  <si>
    <t xml:space="preserve">subj225</t>
  </si>
  <si>
    <t xml:space="preserve">nf680</t>
  </si>
  <si>
    <t xml:space="preserve">WUSTL_680</t>
  </si>
  <si>
    <t xml:space="preserve">presumed OPG/low-grade glioma</t>
  </si>
  <si>
    <t xml:space="preserve">par226</t>
  </si>
  <si>
    <t xml:space="preserve">subj226</t>
  </si>
  <si>
    <t xml:space="preserve">nf685</t>
  </si>
  <si>
    <t xml:space="preserve">WUSTL_685</t>
  </si>
  <si>
    <t xml:space="preserve">par227</t>
  </si>
  <si>
    <t xml:space="preserve">subj227</t>
  </si>
  <si>
    <t xml:space="preserve">nf687</t>
  </si>
  <si>
    <t xml:space="preserve">WUSTL_687</t>
  </si>
  <si>
    <t xml:space="preserve">Radiated Wilms Tumor &gt;10 years</t>
  </si>
  <si>
    <t xml:space="preserve">par228</t>
  </si>
  <si>
    <t xml:space="preserve">subj228</t>
  </si>
  <si>
    <t xml:space="preserve">nf689</t>
  </si>
  <si>
    <t xml:space="preserve">WUSTL_689</t>
  </si>
  <si>
    <t xml:space="preserve">par229</t>
  </si>
  <si>
    <t xml:space="preserve">subj229</t>
  </si>
  <si>
    <t xml:space="preserve">nf692</t>
  </si>
  <si>
    <t xml:space="preserve">WUSTL_692</t>
  </si>
  <si>
    <t xml:space="preserve">par230</t>
  </si>
  <si>
    <t xml:space="preserve">subj230</t>
  </si>
  <si>
    <t xml:space="preserve">nf695</t>
  </si>
  <si>
    <t xml:space="preserve">WUSTL_695</t>
  </si>
  <si>
    <t xml:space="preserve">1966</t>
  </si>
  <si>
    <t xml:space="preserve">treated seminoma &gt; 10 years, resected prostate cancer &gt;5 years</t>
  </si>
  <si>
    <t xml:space="preserve">par231</t>
  </si>
  <si>
    <t xml:space="preserve">subj231</t>
  </si>
  <si>
    <t xml:space="preserve">nf669</t>
  </si>
  <si>
    <t xml:space="preserve">WUSTL_669</t>
  </si>
  <si>
    <t xml:space="preserve">par232</t>
  </si>
  <si>
    <t xml:space="preserve">subj232</t>
  </si>
  <si>
    <t xml:space="preserve">nf611</t>
  </si>
  <si>
    <t xml:space="preserve">WUSTL_611</t>
  </si>
  <si>
    <t xml:space="preserve">1980</t>
  </si>
  <si>
    <t xml:space="preserve">par233</t>
  </si>
  <si>
    <t xml:space="preserve">subj233</t>
  </si>
  <si>
    <t xml:space="preserve">nf614</t>
  </si>
  <si>
    <t xml:space="preserve">WUSTL_614</t>
  </si>
  <si>
    <t xml:space="preserve">Current Gist</t>
  </si>
  <si>
    <t xml:space="preserve">par234</t>
  </si>
  <si>
    <t xml:space="preserve">subj234</t>
  </si>
  <si>
    <t xml:space="preserve">nf620</t>
  </si>
  <si>
    <t xml:space="preserve">WUSTL_620</t>
  </si>
  <si>
    <t xml:space="preserve">1953</t>
  </si>
  <si>
    <t xml:space="preserve">par235</t>
  </si>
  <si>
    <t xml:space="preserve">subj235</t>
  </si>
  <si>
    <t xml:space="preserve">nf626</t>
  </si>
  <si>
    <t xml:space="preserve">WUSTL_626</t>
  </si>
  <si>
    <t xml:space="preserve">par236</t>
  </si>
  <si>
    <t xml:space="preserve">subj236</t>
  </si>
  <si>
    <t xml:space="preserve">nf621</t>
  </si>
  <si>
    <t xml:space="preserve">WUSTL_621</t>
  </si>
  <si>
    <t xml:space="preserve">par237</t>
  </si>
  <si>
    <t xml:space="preserve">subj237</t>
  </si>
  <si>
    <t xml:space="preserve">nf641</t>
  </si>
  <si>
    <t xml:space="preserve">WUSTL_641</t>
  </si>
  <si>
    <t xml:space="preserve">par238</t>
  </si>
  <si>
    <t xml:space="preserve">subj238</t>
  </si>
  <si>
    <t xml:space="preserve">js_sarc012</t>
  </si>
  <si>
    <t xml:space="preserve">WUSTL_642</t>
  </si>
  <si>
    <t xml:space="preserve">par241</t>
  </si>
  <si>
    <t xml:space="preserve">subj241</t>
  </si>
  <si>
    <t xml:space="preserve">nf006</t>
  </si>
  <si>
    <t xml:space="preserve">WUSTL_006</t>
  </si>
  <si>
    <t xml:space="preserve">par242</t>
  </si>
  <si>
    <t xml:space="preserve">subj242</t>
  </si>
  <si>
    <t xml:space="preserve">nf025</t>
  </si>
  <si>
    <t xml:space="preserve">WUSTL_025</t>
  </si>
  <si>
    <t xml:space="preserve">1968</t>
  </si>
  <si>
    <t xml:space="preserve">colon adenoma</t>
  </si>
  <si>
    <t xml:space="preserve">par243</t>
  </si>
  <si>
    <t xml:space="preserve">subj243</t>
  </si>
  <si>
    <t xml:space="preserve">nf218</t>
  </si>
  <si>
    <t xml:space="preserve">WUSTL_218</t>
  </si>
  <si>
    <t xml:space="preserve">par244</t>
  </si>
  <si>
    <t xml:space="preserve">subj244</t>
  </si>
  <si>
    <t xml:space="preserve">nf341</t>
  </si>
  <si>
    <t xml:space="preserve">WUSTL_341</t>
  </si>
  <si>
    <t xml:space="preserve">Resected low-grade MPNST &gt;10 years</t>
  </si>
  <si>
    <t xml:space="preserve">par245</t>
  </si>
  <si>
    <t xml:space="preserve">subj245</t>
  </si>
  <si>
    <t xml:space="preserve">nf368</t>
  </si>
  <si>
    <t xml:space="preserve">WUSTL_368</t>
  </si>
  <si>
    <t xml:space="preserve">par246</t>
  </si>
  <si>
    <t xml:space="preserve">subj246</t>
  </si>
  <si>
    <t xml:space="preserve">nf521</t>
  </si>
  <si>
    <t xml:space="preserve">WUSTL_521</t>
  </si>
  <si>
    <t xml:space="preserve">par247</t>
  </si>
  <si>
    <t xml:space="preserve">subj247</t>
  </si>
  <si>
    <t xml:space="preserve">nf535</t>
  </si>
  <si>
    <t xml:space="preserve">WUSTL_535</t>
  </si>
  <si>
    <t xml:space="preserve">par248</t>
  </si>
  <si>
    <t xml:space="preserve">subj248</t>
  </si>
  <si>
    <t xml:space="preserve">nf559</t>
  </si>
  <si>
    <t xml:space="preserve">WUSTL_559</t>
  </si>
  <si>
    <t xml:space="preserve">duodenal mass, prostate hyperplasia</t>
  </si>
  <si>
    <t xml:space="preserve">par249</t>
  </si>
  <si>
    <t xml:space="preserve">subj249</t>
  </si>
  <si>
    <t xml:space="preserve">nf595</t>
  </si>
  <si>
    <t xml:space="preserve">WUSTL_595</t>
  </si>
  <si>
    <t xml:space="preserve">par250</t>
  </si>
  <si>
    <t xml:space="preserve">subj250</t>
  </si>
  <si>
    <t xml:space="preserve">nf613</t>
  </si>
  <si>
    <t xml:space="preserve">WUSTL_613</t>
  </si>
  <si>
    <t xml:space="preserve">follicular thyroid adenoma, tubular adenoma</t>
  </si>
  <si>
    <t xml:space="preserve">par252</t>
  </si>
  <si>
    <t xml:space="preserve">subj252</t>
  </si>
  <si>
    <t xml:space="preserve">nf619</t>
  </si>
  <si>
    <t xml:space="preserve">WUSTL_619</t>
  </si>
  <si>
    <t xml:space="preserve">par253</t>
  </si>
  <si>
    <t xml:space="preserve">subj253</t>
  </si>
  <si>
    <t xml:space="preserve">nf636</t>
  </si>
  <si>
    <t xml:space="preserve">WUSTL_636</t>
  </si>
  <si>
    <t xml:space="preserve">1982</t>
  </si>
  <si>
    <t xml:space="preserve">par254</t>
  </si>
  <si>
    <t xml:space="preserve">subj254</t>
  </si>
  <si>
    <t xml:space="preserve">nf637</t>
  </si>
  <si>
    <t xml:space="preserve">WUSTL_637</t>
  </si>
  <si>
    <t xml:space="preserve">par255</t>
  </si>
  <si>
    <t xml:space="preserve">subj255</t>
  </si>
  <si>
    <t xml:space="preserve">nf654</t>
  </si>
  <si>
    <t xml:space="preserve">WUSTL_654</t>
  </si>
  <si>
    <t xml:space="preserve">par256</t>
  </si>
  <si>
    <t xml:space="preserve">subj256</t>
  </si>
  <si>
    <t xml:space="preserve">nf666</t>
  </si>
  <si>
    <t xml:space="preserve">WUSTL_666</t>
  </si>
  <si>
    <t xml:space="preserve">1991</t>
  </si>
  <si>
    <t xml:space="preserve">par257</t>
  </si>
  <si>
    <t xml:space="preserve">subj257</t>
  </si>
  <si>
    <t xml:space="preserve">nf668</t>
  </si>
  <si>
    <t xml:space="preserve">WUSTL_668</t>
  </si>
  <si>
    <t xml:space="preserve">par258</t>
  </si>
  <si>
    <t xml:space="preserve">subj258</t>
  </si>
  <si>
    <t xml:space="preserve">nf670</t>
  </si>
  <si>
    <t xml:space="preserve">WUSTL_670</t>
  </si>
  <si>
    <t xml:space="preserve">Resected GIST &gt; 1 year previous</t>
  </si>
  <si>
    <t xml:space="preserve">par259</t>
  </si>
  <si>
    <t xml:space="preserve">subj259</t>
  </si>
  <si>
    <t xml:space="preserve">nf681</t>
  </si>
  <si>
    <t xml:space="preserve">WUSTL_681</t>
  </si>
  <si>
    <t xml:space="preserve">par260</t>
  </si>
  <si>
    <t xml:space="preserve">subj260</t>
  </si>
  <si>
    <t xml:space="preserve">nf684</t>
  </si>
  <si>
    <t xml:space="preserve">WUSTL_684</t>
  </si>
  <si>
    <t xml:space="preserve">par261</t>
  </si>
  <si>
    <t xml:space="preserve">subj261</t>
  </si>
  <si>
    <t xml:space="preserve">nf690</t>
  </si>
  <si>
    <t xml:space="preserve">WUSTL_690</t>
  </si>
  <si>
    <t xml:space="preserve">par262</t>
  </si>
  <si>
    <t xml:space="preserve">subj262</t>
  </si>
  <si>
    <t xml:space="preserve">nf691</t>
  </si>
  <si>
    <t xml:space="preserve">WUSTL_691</t>
  </si>
  <si>
    <t xml:space="preserve">par263</t>
  </si>
  <si>
    <t xml:space="preserve">subj263</t>
  </si>
  <si>
    <t xml:space="preserve">nf700</t>
  </si>
  <si>
    <t xml:space="preserve">WUSTL_700</t>
  </si>
  <si>
    <t xml:space="preserve">OPG, Pilotic astrocytoma</t>
  </si>
  <si>
    <t xml:space="preserve">par264</t>
  </si>
  <si>
    <t xml:space="preserve">subj264</t>
  </si>
  <si>
    <t xml:space="preserve">nf702</t>
  </si>
  <si>
    <t xml:space="preserve">WUSTL_702</t>
  </si>
  <si>
    <t xml:space="preserve">par265</t>
  </si>
  <si>
    <t xml:space="preserve">subj265</t>
  </si>
  <si>
    <t xml:space="preserve">nf704</t>
  </si>
  <si>
    <t xml:space="preserve">WUSTL_704</t>
  </si>
  <si>
    <t xml:space="preserve">par266</t>
  </si>
  <si>
    <t xml:space="preserve">subj266</t>
  </si>
  <si>
    <t xml:space="preserve">nf705</t>
  </si>
  <si>
    <t xml:space="preserve">WUSTL_705</t>
  </si>
  <si>
    <t xml:space="preserve">par267</t>
  </si>
  <si>
    <t xml:space="preserve">subj267</t>
  </si>
  <si>
    <t xml:space="preserve">nf706</t>
  </si>
  <si>
    <t xml:space="preserve">WUSTL_706</t>
  </si>
  <si>
    <t xml:space="preserve">benign schwannoma</t>
  </si>
  <si>
    <t xml:space="preserve">par268</t>
  </si>
  <si>
    <t xml:space="preserve">subj268</t>
  </si>
  <si>
    <t xml:space="preserve">Nu-71</t>
  </si>
  <si>
    <t xml:space="preserve">par269</t>
  </si>
  <si>
    <t xml:space="preserve">subj269</t>
  </si>
  <si>
    <t xml:space="preserve">Nu-72</t>
  </si>
  <si>
    <t xml:space="preserve">par270</t>
  </si>
  <si>
    <t xml:space="preserve">subj270</t>
  </si>
  <si>
    <t xml:space="preserve">Nu-75</t>
  </si>
  <si>
    <t xml:space="preserve">par271</t>
  </si>
  <si>
    <t xml:space="preserve">subj271</t>
  </si>
  <si>
    <t xml:space="preserve">Nu-76</t>
  </si>
  <si>
    <t xml:space="preserve">par272</t>
  </si>
  <si>
    <t xml:space="preserve">subj272</t>
  </si>
  <si>
    <t xml:space="preserve">Nu-77</t>
  </si>
  <si>
    <t xml:space="preserve">par273</t>
  </si>
  <si>
    <t xml:space="preserve">subj273</t>
  </si>
  <si>
    <t xml:space="preserve">Nu-78</t>
  </si>
  <si>
    <t xml:space="preserve">par274</t>
  </si>
  <si>
    <t xml:space="preserve">subj274</t>
  </si>
  <si>
    <t xml:space="preserve">Nu-79</t>
  </si>
  <si>
    <t xml:space="preserve">par275</t>
  </si>
  <si>
    <t xml:space="preserve">subj275</t>
  </si>
  <si>
    <t xml:space="preserve">Nu-80</t>
  </si>
  <si>
    <t xml:space="preserve">par276</t>
  </si>
  <si>
    <t xml:space="preserve">subj276</t>
  </si>
  <si>
    <t xml:space="preserve">Nu-81</t>
  </si>
  <si>
    <t xml:space="preserve">par278</t>
  </si>
  <si>
    <t xml:space="preserve">subj278</t>
  </si>
  <si>
    <t xml:space="preserve">16nc</t>
  </si>
  <si>
    <t xml:space="preserve">deceased</t>
  </si>
  <si>
    <t xml:space="preserve">par279</t>
  </si>
  <si>
    <t xml:space="preserve">subj279</t>
  </si>
  <si>
    <t xml:space="preserve">17nc</t>
  </si>
  <si>
    <t xml:space="preserve">par280</t>
  </si>
  <si>
    <t xml:space="preserve">subj280</t>
  </si>
  <si>
    <t xml:space="preserve">18nc</t>
  </si>
  <si>
    <t xml:space="preserve">par281</t>
  </si>
  <si>
    <t xml:space="preserve">subj281</t>
  </si>
  <si>
    <t xml:space="preserve">19nc</t>
  </si>
  <si>
    <t xml:space="preserve">par282</t>
  </si>
  <si>
    <t xml:space="preserve">subj282</t>
  </si>
  <si>
    <t xml:space="preserve">20nc</t>
  </si>
  <si>
    <t xml:space="preserve">par283</t>
  </si>
  <si>
    <t xml:space="preserve">subj283</t>
  </si>
  <si>
    <t xml:space="preserve">21nc</t>
  </si>
  <si>
    <t xml:space="preserve">par284</t>
  </si>
  <si>
    <t xml:space="preserve">subj284</t>
  </si>
  <si>
    <t xml:space="preserve">22nc</t>
  </si>
  <si>
    <t xml:space="preserve">par285</t>
  </si>
  <si>
    <t xml:space="preserve">subj285</t>
  </si>
  <si>
    <t xml:space="preserve">23nc</t>
  </si>
  <si>
    <t xml:space="preserve">par286</t>
  </si>
  <si>
    <t xml:space="preserve">subj286</t>
  </si>
  <si>
    <t xml:space="preserve">24nc</t>
  </si>
  <si>
    <t xml:space="preserve">par287</t>
  </si>
  <si>
    <t xml:space="preserve">subj287</t>
  </si>
  <si>
    <t xml:space="preserve">25nc</t>
  </si>
  <si>
    <t xml:space="preserve">par288</t>
  </si>
  <si>
    <t xml:space="preserve">subj288</t>
  </si>
  <si>
    <t xml:space="preserve">26nc</t>
  </si>
  <si>
    <t xml:space="preserve">par289</t>
  </si>
  <si>
    <t xml:space="preserve">subj289</t>
  </si>
  <si>
    <t xml:space="preserve">js0300</t>
  </si>
  <si>
    <t xml:space="preserve">par290</t>
  </si>
  <si>
    <t xml:space="preserve">subj290</t>
  </si>
  <si>
    <t xml:space="preserve">js0303</t>
  </si>
  <si>
    <t xml:space="preserve">annunp</t>
  </si>
  <si>
    <t xml:space="preserve">par291</t>
  </si>
  <si>
    <t xml:space="preserve">subj291</t>
  </si>
  <si>
    <t xml:space="preserve">pat_a</t>
  </si>
  <si>
    <t xml:space="preserve">par292</t>
  </si>
  <si>
    <t xml:space="preserve">subj292</t>
  </si>
  <si>
    <t xml:space="preserve">pat_b</t>
  </si>
  <si>
    <t xml:space="preserve">par293</t>
  </si>
  <si>
    <t xml:space="preserve">subj293</t>
  </si>
  <si>
    <t xml:space="preserve">pat_c</t>
  </si>
  <si>
    <t xml:space="preserve">par294</t>
  </si>
  <si>
    <t xml:space="preserve">subj294</t>
  </si>
  <si>
    <t xml:space="preserve">nf709</t>
  </si>
  <si>
    <t xml:space="preserve">par295</t>
  </si>
  <si>
    <t xml:space="preserve">subj295</t>
  </si>
  <si>
    <t xml:space="preserve">nf710</t>
  </si>
  <si>
    <t xml:space="preserve">par296</t>
  </si>
  <si>
    <t xml:space="preserve">subj296</t>
  </si>
  <si>
    <t xml:space="preserve">nf723</t>
  </si>
  <si>
    <t xml:space="preserve">par297</t>
  </si>
  <si>
    <t xml:space="preserve">subj297</t>
  </si>
  <si>
    <t xml:space="preserve">nf731</t>
  </si>
  <si>
    <t xml:space="preserve">par298</t>
  </si>
  <si>
    <t xml:space="preserve">subj298</t>
  </si>
  <si>
    <t xml:space="preserve">nf743</t>
  </si>
  <si>
    <t xml:space="preserve">par299</t>
  </si>
  <si>
    <t xml:space="preserve">subj299</t>
  </si>
  <si>
    <t xml:space="preserve">23-YCQ71</t>
  </si>
  <si>
    <t xml:space="preserve">mayo</t>
  </si>
  <si>
    <t xml:space="preserve">par300</t>
  </si>
  <si>
    <t xml:space="preserve">subj300</t>
  </si>
  <si>
    <t xml:space="preserve">24-JWLFH</t>
  </si>
  <si>
    <t xml:space="preserve">par301</t>
  </si>
  <si>
    <t xml:space="preserve">subj301</t>
  </si>
  <si>
    <t xml:space="preserve">nf436</t>
  </si>
  <si>
    <t xml:space="preserve">par302</t>
  </si>
  <si>
    <t xml:space="preserve">subj302</t>
  </si>
  <si>
    <t xml:space="preserve">nf511</t>
  </si>
  <si>
    <t xml:space="preserve">par303</t>
  </si>
  <si>
    <t xml:space="preserve">subj303</t>
  </si>
  <si>
    <t xml:space="preserve">nf659</t>
  </si>
  <si>
    <t xml:space="preserve">par304</t>
  </si>
  <si>
    <t xml:space="preserve">subj304</t>
  </si>
  <si>
    <t xml:space="preserve">nf767</t>
  </si>
  <si>
    <t xml:space="preserve">par305</t>
  </si>
  <si>
    <t xml:space="preserve">subj305</t>
  </si>
  <si>
    <t xml:space="preserve">2-060</t>
  </si>
  <si>
    <t xml:space="preserve">par306</t>
  </si>
  <si>
    <t xml:space="preserve">subj306</t>
  </si>
  <si>
    <t xml:space="preserve">2-009-3</t>
  </si>
  <si>
    <t xml:space="preserve">par307</t>
  </si>
  <si>
    <t xml:space="preserve">subj307</t>
  </si>
  <si>
    <t xml:space="preserve">2-002 </t>
  </si>
  <si>
    <t xml:space="preserve">par308</t>
  </si>
  <si>
    <t xml:space="preserve">subj308</t>
  </si>
  <si>
    <t xml:space="preserve">2-002-3</t>
  </si>
  <si>
    <t xml:space="preserve">par309</t>
  </si>
  <si>
    <t xml:space="preserve">subj309</t>
  </si>
  <si>
    <t xml:space="preserve">2-004</t>
  </si>
  <si>
    <t xml:space="preserve">par310</t>
  </si>
  <si>
    <t xml:space="preserve">subj310</t>
  </si>
  <si>
    <t xml:space="preserve">2-006</t>
  </si>
  <si>
    <t xml:space="preserve">par311</t>
  </si>
  <si>
    <t xml:space="preserve">subj311</t>
  </si>
  <si>
    <t xml:space="preserve">2-007</t>
  </si>
  <si>
    <t xml:space="preserve">par312</t>
  </si>
  <si>
    <t xml:space="preserve">subj312</t>
  </si>
  <si>
    <t xml:space="preserve">2-012</t>
  </si>
  <si>
    <t xml:space="preserve">par313</t>
  </si>
  <si>
    <t xml:space="preserve">subj313</t>
  </si>
  <si>
    <t xml:space="preserve">2-013</t>
  </si>
  <si>
    <t xml:space="preserve">par314</t>
  </si>
  <si>
    <t xml:space="preserve">subj314</t>
  </si>
  <si>
    <t xml:space="preserve">2-016</t>
  </si>
  <si>
    <t xml:space="preserve">par315</t>
  </si>
  <si>
    <t xml:space="preserve">subj315</t>
  </si>
  <si>
    <t xml:space="preserve">2-026</t>
  </si>
  <si>
    <t xml:space="preserve">par316</t>
  </si>
  <si>
    <t xml:space="preserve">subj316</t>
  </si>
  <si>
    <t xml:space="preserve">2-23-4</t>
  </si>
  <si>
    <t xml:space="preserve">par317</t>
  </si>
  <si>
    <t xml:space="preserve">subj317</t>
  </si>
  <si>
    <t xml:space="preserve">2-023</t>
  </si>
  <si>
    <t xml:space="preserve">par318</t>
  </si>
  <si>
    <t xml:space="preserve">subj318</t>
  </si>
  <si>
    <t xml:space="preserve">2-025</t>
  </si>
  <si>
    <t xml:space="preserve">par319</t>
  </si>
  <si>
    <t xml:space="preserve">subj319</t>
  </si>
  <si>
    <t xml:space="preserve">2-028</t>
  </si>
  <si>
    <t xml:space="preserve">par320</t>
  </si>
  <si>
    <t xml:space="preserve">subj320</t>
  </si>
  <si>
    <t xml:space="preserve">2-029</t>
  </si>
  <si>
    <t xml:space="preserve">par321</t>
  </si>
  <si>
    <t xml:space="preserve">subj321</t>
  </si>
  <si>
    <t xml:space="preserve">2-031</t>
  </si>
  <si>
    <t xml:space="preserve">par322</t>
  </si>
  <si>
    <t xml:space="preserve">subj322</t>
  </si>
  <si>
    <t xml:space="preserve">2-032</t>
  </si>
  <si>
    <t xml:space="preserve">par323</t>
  </si>
  <si>
    <t xml:space="preserve">subj323</t>
  </si>
  <si>
    <t xml:space="preserve">2-040</t>
  </si>
  <si>
    <t xml:space="preserve">par324</t>
  </si>
  <si>
    <t xml:space="preserve">subj324</t>
  </si>
  <si>
    <t xml:space="preserve">2-041</t>
  </si>
  <si>
    <t xml:space="preserve">par325</t>
  </si>
  <si>
    <t xml:space="preserve">subj325</t>
  </si>
  <si>
    <t xml:space="preserve">2-046</t>
  </si>
  <si>
    <t xml:space="preserve">par326</t>
  </si>
  <si>
    <t xml:space="preserve">subj326</t>
  </si>
  <si>
    <t xml:space="preserve">2-047</t>
  </si>
  <si>
    <t xml:space="preserve">par327</t>
  </si>
  <si>
    <t xml:space="preserve">subj327</t>
  </si>
  <si>
    <t xml:space="preserve">2-054</t>
  </si>
  <si>
    <t xml:space="preserve">par328</t>
  </si>
  <si>
    <t xml:space="preserve">subj328</t>
  </si>
  <si>
    <t xml:space="preserve">2-055-2</t>
  </si>
  <si>
    <t xml:space="preserve">par329</t>
  </si>
  <si>
    <t xml:space="preserve">subj329</t>
  </si>
  <si>
    <t xml:space="preserve">2-067</t>
  </si>
  <si>
    <t xml:space="preserve">par330</t>
  </si>
  <si>
    <t xml:space="preserve">subj330</t>
  </si>
  <si>
    <t xml:space="preserve">2-068</t>
  </si>
  <si>
    <t xml:space="preserve">par331</t>
  </si>
  <si>
    <t xml:space="preserve">subj331</t>
  </si>
  <si>
    <t xml:space="preserve">2-074</t>
  </si>
  <si>
    <t xml:space="preserve">par332</t>
  </si>
  <si>
    <t xml:space="preserve">subj332</t>
  </si>
  <si>
    <t xml:space="preserve">2-076</t>
  </si>
  <si>
    <t xml:space="preserve">par333</t>
  </si>
  <si>
    <t xml:space="preserve">subj333</t>
  </si>
  <si>
    <t xml:space="preserve">2-078</t>
  </si>
  <si>
    <t xml:space="preserve">par334</t>
  </si>
  <si>
    <t xml:space="preserve">subj334</t>
  </si>
  <si>
    <t xml:space="preserve">2-079</t>
  </si>
  <si>
    <t xml:space="preserve">par335</t>
  </si>
  <si>
    <t xml:space="preserve">subj335</t>
  </si>
  <si>
    <t xml:space="preserve">2-080</t>
  </si>
  <si>
    <t xml:space="preserve">par336</t>
  </si>
  <si>
    <t xml:space="preserve">subj336</t>
  </si>
  <si>
    <t xml:space="preserve">2-081</t>
  </si>
  <si>
    <t xml:space="preserve">par337</t>
  </si>
  <si>
    <t xml:space="preserve">subj337</t>
  </si>
  <si>
    <t xml:space="preserve">2-085</t>
  </si>
  <si>
    <t xml:space="preserve">par338</t>
  </si>
  <si>
    <t xml:space="preserve">subj338</t>
  </si>
  <si>
    <t xml:space="preserve">2-089</t>
  </si>
  <si>
    <t xml:space="preserve">par339</t>
  </si>
  <si>
    <t xml:space="preserve">subj339</t>
  </si>
  <si>
    <t xml:space="preserve">2-091</t>
  </si>
  <si>
    <t xml:space="preserve">par340</t>
  </si>
  <si>
    <t xml:space="preserve">subj340</t>
  </si>
  <si>
    <t xml:space="preserve">2-092</t>
  </si>
  <si>
    <t xml:space="preserve">par341</t>
  </si>
  <si>
    <t xml:space="preserve">subj341</t>
  </si>
  <si>
    <t xml:space="preserve">2-093</t>
  </si>
  <si>
    <t xml:space="preserve">par342</t>
  </si>
  <si>
    <t xml:space="preserve">subj342</t>
  </si>
  <si>
    <t xml:space="preserve">2-100</t>
  </si>
  <si>
    <t xml:space="preserve">par343</t>
  </si>
  <si>
    <t xml:space="preserve">subj343</t>
  </si>
  <si>
    <t xml:space="preserve">2-103</t>
  </si>
  <si>
    <t xml:space="preserve">par344</t>
  </si>
  <si>
    <t xml:space="preserve">subj344</t>
  </si>
  <si>
    <t xml:space="preserve">2-104</t>
  </si>
  <si>
    <t xml:space="preserve">par345</t>
  </si>
  <si>
    <t xml:space="preserve">subj345</t>
  </si>
  <si>
    <t xml:space="preserve">2-109-JH</t>
  </si>
  <si>
    <t xml:space="preserve">par346</t>
  </si>
  <si>
    <t xml:space="preserve">subj346</t>
  </si>
  <si>
    <t xml:space="preserve">2-110-2</t>
  </si>
  <si>
    <t xml:space="preserve">par347</t>
  </si>
  <si>
    <t xml:space="preserve">subj347</t>
  </si>
  <si>
    <t xml:space="preserve">2-117</t>
  </si>
  <si>
    <t xml:space="preserve">par348</t>
  </si>
  <si>
    <t xml:space="preserve">subj348</t>
  </si>
  <si>
    <t xml:space="preserve">2-119</t>
  </si>
  <si>
    <t xml:space="preserve">par349</t>
  </si>
  <si>
    <t xml:space="preserve">subj349</t>
  </si>
  <si>
    <t xml:space="preserve">2-120 </t>
  </si>
  <si>
    <t xml:space="preserve">par350</t>
  </si>
  <si>
    <t xml:space="preserve">subj350</t>
  </si>
  <si>
    <t xml:space="preserve">2-120-3</t>
  </si>
  <si>
    <t xml:space="preserve">par351</t>
  </si>
  <si>
    <t xml:space="preserve">subj351</t>
  </si>
  <si>
    <t xml:space="preserve">2-126</t>
  </si>
  <si>
    <t xml:space="preserve">par352</t>
  </si>
  <si>
    <t xml:space="preserve">subj352</t>
  </si>
  <si>
    <t xml:space="preserve">2-138-3</t>
  </si>
  <si>
    <t xml:space="preserve">par353</t>
  </si>
  <si>
    <t xml:space="preserve">subj353</t>
  </si>
  <si>
    <t xml:space="preserve">2-146</t>
  </si>
  <si>
    <t xml:space="preserve">par354</t>
  </si>
  <si>
    <t xml:space="preserve">subj354</t>
  </si>
  <si>
    <t xml:space="preserve">2-151</t>
  </si>
  <si>
    <t xml:space="preserve">par355</t>
  </si>
  <si>
    <t xml:space="preserve">subj355</t>
  </si>
  <si>
    <t xml:space="preserve">JH-2-066-c</t>
  </si>
  <si>
    <t xml:space="preserve">par356</t>
  </si>
  <si>
    <t xml:space="preserve">subj356</t>
  </si>
  <si>
    <t xml:space="preserve">JH-2-155</t>
  </si>
  <si>
    <t xml:space="preserve">par357</t>
  </si>
  <si>
    <t xml:space="preserve">subj357</t>
  </si>
  <si>
    <t xml:space="preserve">JH-2-156</t>
  </si>
  <si>
    <t xml:space="preserve">par358</t>
  </si>
  <si>
    <t xml:space="preserve">subj358</t>
  </si>
  <si>
    <t xml:space="preserve">JH-2-159</t>
  </si>
  <si>
    <t xml:space="preserve">par359</t>
  </si>
  <si>
    <t xml:space="preserve">subj359</t>
  </si>
  <si>
    <t xml:space="preserve">JH-2-247</t>
  </si>
  <si>
    <t xml:space="preserve">par360</t>
  </si>
  <si>
    <t xml:space="preserve">subj360</t>
  </si>
  <si>
    <t xml:space="preserve">JH-2-150</t>
  </si>
  <si>
    <t xml:space="preserve">par361</t>
  </si>
  <si>
    <t xml:space="preserve">subj361</t>
  </si>
  <si>
    <t xml:space="preserve">JH-2-125</t>
  </si>
  <si>
    <t xml:space="preserve">par362</t>
  </si>
  <si>
    <t xml:space="preserve">subj362</t>
  </si>
  <si>
    <t xml:space="preserve">JH-2-166</t>
  </si>
  <si>
    <t xml:space="preserve">par363</t>
  </si>
  <si>
    <t xml:space="preserve">subj363</t>
  </si>
  <si>
    <t xml:space="preserve">JH-2-169</t>
  </si>
  <si>
    <t xml:space="preserve">par364</t>
  </si>
  <si>
    <t xml:space="preserve">subj364</t>
  </si>
  <si>
    <t xml:space="preserve">JH-2-191</t>
  </si>
  <si>
    <t xml:space="preserve">par365</t>
  </si>
  <si>
    <t xml:space="preserve">subj365</t>
  </si>
  <si>
    <t xml:space="preserve">JH-2-199</t>
  </si>
  <si>
    <t xml:space="preserve">par366</t>
  </si>
  <si>
    <t xml:space="preserve">subj366</t>
  </si>
  <si>
    <t xml:space="preserve">JH-2-205</t>
  </si>
  <si>
    <t xml:space="preserve">par367</t>
  </si>
  <si>
    <t xml:space="preserve">subj367</t>
  </si>
  <si>
    <t xml:space="preserve">JH-2-242</t>
  </si>
  <si>
    <t xml:space="preserve">par368</t>
  </si>
  <si>
    <t xml:space="preserve">subj368</t>
  </si>
  <si>
    <t xml:space="preserve">par369</t>
  </si>
  <si>
    <t xml:space="preserve">subj369</t>
  </si>
  <si>
    <t xml:space="preserve">par370</t>
  </si>
  <si>
    <t xml:space="preserve">subj370</t>
  </si>
  <si>
    <t xml:space="preserve">par371</t>
  </si>
  <si>
    <t xml:space="preserve">subj371</t>
  </si>
  <si>
    <t xml:space="preserve">par372</t>
  </si>
  <si>
    <t xml:space="preserve">subj372</t>
  </si>
  <si>
    <t xml:space="preserve">par373</t>
  </si>
  <si>
    <t xml:space="preserve">subj373</t>
  </si>
  <si>
    <t xml:space="preserve">par374</t>
  </si>
  <si>
    <t xml:space="preserve">subj374</t>
  </si>
  <si>
    <t xml:space="preserve">par375</t>
  </si>
  <si>
    <t xml:space="preserve">subj375</t>
  </si>
  <si>
    <t xml:space="preserve">par376</t>
  </si>
  <si>
    <t xml:space="preserve">subj376</t>
  </si>
  <si>
    <t xml:space="preserve">par377</t>
  </si>
  <si>
    <t xml:space="preserve">subj377</t>
  </si>
  <si>
    <t xml:space="preserve">par378</t>
  </si>
  <si>
    <t xml:space="preserve">subj378</t>
  </si>
  <si>
    <t xml:space="preserve">par379</t>
  </si>
  <si>
    <t xml:space="preserve">subj379</t>
  </si>
  <si>
    <t xml:space="preserve">par380</t>
  </si>
  <si>
    <t xml:space="preserve">subj380</t>
  </si>
  <si>
    <t xml:space="preserve">par381</t>
  </si>
  <si>
    <t xml:space="preserve">subj381</t>
  </si>
  <si>
    <t xml:space="preserve">par382</t>
  </si>
  <si>
    <t xml:space="preserve">subj382</t>
  </si>
  <si>
    <t xml:space="preserve">institution_id</t>
  </si>
  <si>
    <t xml:space="preserve">study_protocol_id</t>
  </si>
  <si>
    <t xml:space="preserve">washu_mpnst_registry_id</t>
  </si>
  <si>
    <t xml:space="preserve">mouse_id</t>
  </si>
  <si>
    <t xml:space="preserve">strain</t>
  </si>
  <si>
    <t xml:space="preserve">stock</t>
  </si>
  <si>
    <t xml:space="preserve">birth_date</t>
  </si>
  <si>
    <t xml:space="preserve">institution_housed</t>
  </si>
  <si>
    <t xml:space="preserve">nod</t>
  </si>
  <si>
    <t xml:space="preserve">nod_cg_rag1_null_il2rg_null</t>
  </si>
  <si>
    <t xml:space="preserve">sample_id</t>
  </si>
  <si>
    <t xml:space="preserve">alt_spec_id</t>
  </si>
  <si>
    <t xml:space="preserve">given_dx</t>
  </si>
  <si>
    <t xml:space="preserve">sam0001</t>
  </si>
  <si>
    <t xml:space="preserve">par0110</t>
  </si>
  <si>
    <t xml:space="preserve">blood</t>
  </si>
  <si>
    <t xml:space="preserve">sam0002</t>
  </si>
  <si>
    <t xml:space="preserve">par0111</t>
  </si>
  <si>
    <t xml:space="preserve">sam0003</t>
  </si>
  <si>
    <t xml:space="preserve">par0112</t>
  </si>
  <si>
    <t xml:space="preserve">sam0004</t>
  </si>
  <si>
    <t xml:space="preserve">par0113</t>
  </si>
  <si>
    <t xml:space="preserve">sam0005</t>
  </si>
  <si>
    <t xml:space="preserve">par0114</t>
  </si>
  <si>
    <t xml:space="preserve">sam0006</t>
  </si>
  <si>
    <t xml:space="preserve">par0115</t>
  </si>
  <si>
    <t xml:space="preserve">sam0007</t>
  </si>
  <si>
    <t xml:space="preserve">par0116</t>
  </si>
  <si>
    <t xml:space="preserve">sam0008</t>
  </si>
  <si>
    <t xml:space="preserve">sam0009</t>
  </si>
  <si>
    <t xml:space="preserve">sam0010</t>
  </si>
  <si>
    <t xml:space="preserve">sam0011</t>
  </si>
  <si>
    <t xml:space="preserve">sam0012</t>
  </si>
  <si>
    <t xml:space="preserve">sam0013</t>
  </si>
  <si>
    <t xml:space="preserve">sam0014</t>
  </si>
  <si>
    <t xml:space="preserve">sam0015</t>
  </si>
  <si>
    <t xml:space="preserve">par0117</t>
  </si>
  <si>
    <t xml:space="preserve">sam0016</t>
  </si>
  <si>
    <t xml:space="preserve">par0118</t>
  </si>
  <si>
    <t xml:space="preserve">sam0017</t>
  </si>
  <si>
    <t xml:space="preserve">par0119</t>
  </si>
  <si>
    <t xml:space="preserve">sam0018</t>
  </si>
  <si>
    <t xml:space="preserve">2018-11-21</t>
  </si>
  <si>
    <t xml:space="preserve">sam0019</t>
  </si>
  <si>
    <t xml:space="preserve">par0120</t>
  </si>
  <si>
    <t xml:space="preserve">sam0020</t>
  </si>
  <si>
    <t xml:space="preserve">2019-07-02</t>
  </si>
  <si>
    <t xml:space="preserve">sam0021</t>
  </si>
  <si>
    <t xml:space="preserve">par0121</t>
  </si>
  <si>
    <t xml:space="preserve">sam0023</t>
  </si>
  <si>
    <t xml:space="preserve">sam0024</t>
  </si>
  <si>
    <t xml:space="preserve">2019-07-01</t>
  </si>
  <si>
    <t xml:space="preserve">sam0025</t>
  </si>
  <si>
    <t xml:space="preserve">2019-06-28</t>
  </si>
  <si>
    <t xml:space="preserve">sam0026</t>
  </si>
  <si>
    <t xml:space="preserve">par0122</t>
  </si>
  <si>
    <t xml:space="preserve">sam0027</t>
  </si>
  <si>
    <t xml:space="preserve">par0123</t>
  </si>
  <si>
    <t xml:space="preserve">sam0028</t>
  </si>
  <si>
    <t xml:space="preserve">2017-05-15</t>
  </si>
  <si>
    <t xml:space="preserve">sam0029</t>
  </si>
  <si>
    <t xml:space="preserve">2017-07-24</t>
  </si>
  <si>
    <t xml:space="preserve">sam0030</t>
  </si>
  <si>
    <t xml:space="preserve">2018-07-02</t>
  </si>
  <si>
    <t xml:space="preserve">sam0031</t>
  </si>
  <si>
    <t xml:space="preserve">2018-07-16</t>
  </si>
  <si>
    <t xml:space="preserve">sam0032</t>
  </si>
  <si>
    <t xml:space="preserve">par0124</t>
  </si>
  <si>
    <t xml:space="preserve">2019-07-26</t>
  </si>
  <si>
    <t xml:space="preserve">sam0033</t>
  </si>
  <si>
    <t xml:space="preserve">2018-11-19</t>
  </si>
  <si>
    <t xml:space="preserve">sam0034</t>
  </si>
  <si>
    <t xml:space="preserve">2018-05-01</t>
  </si>
  <si>
    <t xml:space="preserve">sam0035</t>
  </si>
  <si>
    <t xml:space="preserve">par0125</t>
  </si>
  <si>
    <t xml:space="preserve">2017-06-29</t>
  </si>
  <si>
    <t xml:space="preserve">sam0036</t>
  </si>
  <si>
    <t xml:space="preserve">2018-03-05</t>
  </si>
  <si>
    <t xml:space="preserve">sam0037</t>
  </si>
  <si>
    <t xml:space="preserve">2018-04-09</t>
  </si>
  <si>
    <t xml:space="preserve">sam0038</t>
  </si>
  <si>
    <t xml:space="preserve">2018-05-04</t>
  </si>
  <si>
    <t xml:space="preserve">sam0039</t>
  </si>
  <si>
    <t xml:space="preserve">2018-07-30</t>
  </si>
  <si>
    <t xml:space="preserve">sam0040</t>
  </si>
  <si>
    <t xml:space="preserve">sam0041</t>
  </si>
  <si>
    <t xml:space="preserve">2018-08-29</t>
  </si>
  <si>
    <t xml:space="preserve">sam0042</t>
  </si>
  <si>
    <t xml:space="preserve">sam0043</t>
  </si>
  <si>
    <t xml:space="preserve">2018-08-06</t>
  </si>
  <si>
    <t xml:space="preserve">sam0044</t>
  </si>
  <si>
    <t xml:space="preserve">sam0045</t>
  </si>
  <si>
    <t xml:space="preserve">2018-06-27</t>
  </si>
  <si>
    <t xml:space="preserve">sam0046</t>
  </si>
  <si>
    <t xml:space="preserve">2018-06-25</t>
  </si>
  <si>
    <t xml:space="preserve">sam0047</t>
  </si>
  <si>
    <t xml:space="preserve">2018-02-28</t>
  </si>
  <si>
    <t xml:space="preserve">sam0048</t>
  </si>
  <si>
    <t xml:space="preserve">2018-06-26</t>
  </si>
  <si>
    <t xml:space="preserve">sam0049</t>
  </si>
  <si>
    <t xml:space="preserve">2018-10-16</t>
  </si>
  <si>
    <t xml:space="preserve">sam0050</t>
  </si>
  <si>
    <t xml:space="preserve">sam0051</t>
  </si>
  <si>
    <t xml:space="preserve">sam0052</t>
  </si>
  <si>
    <t xml:space="preserve">2017-12-07</t>
  </si>
  <si>
    <t xml:space="preserve">sam0053</t>
  </si>
  <si>
    <t xml:space="preserve">2018-05-30</t>
  </si>
  <si>
    <t xml:space="preserve">sam0054</t>
  </si>
  <si>
    <t xml:space="preserve">2018-05-24</t>
  </si>
  <si>
    <t xml:space="preserve">sam0055</t>
  </si>
  <si>
    <t xml:space="preserve">2018-11-26</t>
  </si>
  <si>
    <t xml:space="preserve">sam0056</t>
  </si>
  <si>
    <t xml:space="preserve">2018-11-28</t>
  </si>
  <si>
    <t xml:space="preserve">sam0057</t>
  </si>
  <si>
    <t xml:space="preserve">2018-09-06</t>
  </si>
  <si>
    <t xml:space="preserve">sam0058</t>
  </si>
  <si>
    <t xml:space="preserve">2018-11-20</t>
  </si>
  <si>
    <t xml:space="preserve">sam0059</t>
  </si>
  <si>
    <t xml:space="preserve">2017-04-17</t>
  </si>
  <si>
    <t xml:space="preserve">sam0060</t>
  </si>
  <si>
    <t xml:space="preserve">2018-10-29</t>
  </si>
  <si>
    <t xml:space="preserve">sam0061</t>
  </si>
  <si>
    <t xml:space="preserve">2018-06-12</t>
  </si>
  <si>
    <t xml:space="preserve">sam0062</t>
  </si>
  <si>
    <t xml:space="preserve">sam0063</t>
  </si>
  <si>
    <t xml:space="preserve">2017-11-27</t>
  </si>
  <si>
    <t xml:space="preserve">sam0065</t>
  </si>
  <si>
    <t xml:space="preserve">2018-10-15</t>
  </si>
  <si>
    <t xml:space="preserve">sam0066</t>
  </si>
  <si>
    <t xml:space="preserve">2018-01-16</t>
  </si>
  <si>
    <t xml:space="preserve">sam0067</t>
  </si>
  <si>
    <t xml:space="preserve">2018-05-21</t>
  </si>
  <si>
    <t xml:space="preserve">sam0068</t>
  </si>
  <si>
    <t xml:space="preserve">sam0069</t>
  </si>
  <si>
    <t xml:space="preserve">sam0070</t>
  </si>
  <si>
    <t xml:space="preserve">2018-11-14</t>
  </si>
  <si>
    <t xml:space="preserve">sam0071</t>
  </si>
  <si>
    <t xml:space="preserve">2017-05-01</t>
  </si>
  <si>
    <t xml:space="preserve">sam0072</t>
  </si>
  <si>
    <t xml:space="preserve">2018-02-06</t>
  </si>
  <si>
    <t xml:space="preserve">sam0073</t>
  </si>
  <si>
    <t xml:space="preserve">2015-09-17</t>
  </si>
  <si>
    <t xml:space="preserve">tumor</t>
  </si>
  <si>
    <t xml:space="preserve">sam0074</t>
  </si>
  <si>
    <t xml:space="preserve">sam0075</t>
  </si>
  <si>
    <t xml:space="preserve">sam0076</t>
  </si>
  <si>
    <t xml:space="preserve">2018-10-01</t>
  </si>
  <si>
    <t xml:space="preserve">sam0077</t>
  </si>
  <si>
    <t xml:space="preserve">2018-03-28</t>
  </si>
  <si>
    <t xml:space="preserve">sam0078</t>
  </si>
  <si>
    <t xml:space="preserve">sam0079</t>
  </si>
  <si>
    <t xml:space="preserve">sam0080</t>
  </si>
  <si>
    <t xml:space="preserve">sam0081</t>
  </si>
  <si>
    <t xml:space="preserve">par0127</t>
  </si>
  <si>
    <t xml:space="preserve">2018-10-12</t>
  </si>
  <si>
    <t xml:space="preserve">sam0082</t>
  </si>
  <si>
    <t xml:space="preserve">2018-05-23</t>
  </si>
  <si>
    <t xml:space="preserve">sam0083</t>
  </si>
  <si>
    <t xml:space="preserve">2018-06-19</t>
  </si>
  <si>
    <t xml:space="preserve">sam0084</t>
  </si>
  <si>
    <t xml:space="preserve">par0128</t>
  </si>
  <si>
    <t xml:space="preserve">2018-06-21</t>
  </si>
  <si>
    <t xml:space="preserve">sam0085</t>
  </si>
  <si>
    <t xml:space="preserve">2016-10-19</t>
  </si>
  <si>
    <t xml:space="preserve">sam0086</t>
  </si>
  <si>
    <t xml:space="preserve">2018-11-15</t>
  </si>
  <si>
    <t xml:space="preserve">sam0087</t>
  </si>
  <si>
    <t xml:space="preserve">sam0088</t>
  </si>
  <si>
    <t xml:space="preserve">sam0089</t>
  </si>
  <si>
    <t xml:space="preserve">2018-02-26</t>
  </si>
  <si>
    <t xml:space="preserve">sam0090</t>
  </si>
  <si>
    <t xml:space="preserve">sam0091</t>
  </si>
  <si>
    <t xml:space="preserve">2018-03-15</t>
  </si>
  <si>
    <t xml:space="preserve">sam0092</t>
  </si>
  <si>
    <t xml:space="preserve">par0129</t>
  </si>
  <si>
    <t xml:space="preserve">2019-02-06</t>
  </si>
  <si>
    <t xml:space="preserve">sam0093</t>
  </si>
  <si>
    <t xml:space="preserve">2019-02-27</t>
  </si>
  <si>
    <t xml:space="preserve">sam0094</t>
  </si>
  <si>
    <t xml:space="preserve">2019-02-25</t>
  </si>
  <si>
    <t xml:space="preserve">sam0095</t>
  </si>
  <si>
    <t xml:space="preserve">par0130</t>
  </si>
  <si>
    <t xml:space="preserve">2019-04-01</t>
  </si>
  <si>
    <t xml:space="preserve">sam0096</t>
  </si>
  <si>
    <t xml:space="preserve">2019-05-14</t>
  </si>
  <si>
    <t xml:space="preserve">sam0097</t>
  </si>
  <si>
    <t xml:space="preserve">2019-05-08</t>
  </si>
  <si>
    <t xml:space="preserve">sam0098</t>
  </si>
  <si>
    <t xml:space="preserve">2019-10-22</t>
  </si>
  <si>
    <t xml:space="preserve">sam0099</t>
  </si>
  <si>
    <t xml:space="preserve">2020-02-04</t>
  </si>
  <si>
    <t xml:space="preserve">sam0100</t>
  </si>
  <si>
    <t xml:space="preserve">2019-07-17</t>
  </si>
  <si>
    <t xml:space="preserve">sam0101</t>
  </si>
  <si>
    <t xml:space="preserve">2019-09-10</t>
  </si>
  <si>
    <t xml:space="preserve">sam0102</t>
  </si>
  <si>
    <t xml:space="preserve">2019-06-13</t>
  </si>
  <si>
    <t xml:space="preserve">sam0103</t>
  </si>
  <si>
    <t xml:space="preserve">2019-06-26</t>
  </si>
  <si>
    <t xml:space="preserve">sam0104</t>
  </si>
  <si>
    <t xml:space="preserve">2019-08-13</t>
  </si>
  <si>
    <t xml:space="preserve">sam0105</t>
  </si>
  <si>
    <t xml:space="preserve">2019-10-01</t>
  </si>
  <si>
    <t xml:space="preserve">sam0106</t>
  </si>
  <si>
    <t xml:space="preserve">2019-07-25</t>
  </si>
  <si>
    <t xml:space="preserve">sam0107</t>
  </si>
  <si>
    <t xml:space="preserve">2019-04-02</t>
  </si>
  <si>
    <t xml:space="preserve">sam0108</t>
  </si>
  <si>
    <t xml:space="preserve">2019-05-29</t>
  </si>
  <si>
    <t xml:space="preserve">sam0109</t>
  </si>
  <si>
    <t xml:space="preserve">sam0110</t>
  </si>
  <si>
    <t xml:space="preserve">2019-09-05</t>
  </si>
  <si>
    <t xml:space="preserve">sam0111</t>
  </si>
  <si>
    <t xml:space="preserve">2019-10-04</t>
  </si>
  <si>
    <t xml:space="preserve">ned</t>
  </si>
  <si>
    <t xml:space="preserve">sam0112</t>
  </si>
  <si>
    <t xml:space="preserve">2019-12-05</t>
  </si>
  <si>
    <t xml:space="preserve">sam0113</t>
  </si>
  <si>
    <t xml:space="preserve">2019-12-12</t>
  </si>
  <si>
    <t xml:space="preserve">sam0114</t>
  </si>
  <si>
    <t xml:space="preserve">2020-02-27</t>
  </si>
  <si>
    <t xml:space="preserve">sam0115</t>
  </si>
  <si>
    <t xml:space="preserve">2019-04-17</t>
  </si>
  <si>
    <t xml:space="preserve">sam0116</t>
  </si>
  <si>
    <t xml:space="preserve">sam0118</t>
  </si>
  <si>
    <t xml:space="preserve">2019-07-23</t>
  </si>
  <si>
    <t xml:space="preserve">sam0119</t>
  </si>
  <si>
    <t xml:space="preserve">2019-08-06</t>
  </si>
  <si>
    <t xml:space="preserve">sam0122</t>
  </si>
  <si>
    <t xml:space="preserve">2019-06-25</t>
  </si>
  <si>
    <t xml:space="preserve">sam0123</t>
  </si>
  <si>
    <t xml:space="preserve">2019-06-11</t>
  </si>
  <si>
    <t xml:space="preserve">sam0124</t>
  </si>
  <si>
    <t xml:space="preserve">sam0125</t>
  </si>
  <si>
    <t xml:space="preserve">sam0126</t>
  </si>
  <si>
    <t xml:space="preserve">2019-06-27</t>
  </si>
  <si>
    <t xml:space="preserve">sam0127</t>
  </si>
  <si>
    <t xml:space="preserve">sam0128</t>
  </si>
  <si>
    <t xml:space="preserve">par0100</t>
  </si>
  <si>
    <t xml:space="preserve">2019-07-30</t>
  </si>
  <si>
    <t xml:space="preserve">sam0129</t>
  </si>
  <si>
    <t xml:space="preserve">par0101</t>
  </si>
  <si>
    <t xml:space="preserve">2019-08-20</t>
  </si>
  <si>
    <t xml:space="preserve">sam0131</t>
  </si>
  <si>
    <t xml:space="preserve">par0102</t>
  </si>
  <si>
    <t xml:space="preserve">2019-09-12</t>
  </si>
  <si>
    <t xml:space="preserve">sam0132</t>
  </si>
  <si>
    <t xml:space="preserve">2019-10-31</t>
  </si>
  <si>
    <t xml:space="preserve">sam0133</t>
  </si>
  <si>
    <t xml:space="preserve">2019-10-09</t>
  </si>
  <si>
    <t xml:space="preserve">sam0134</t>
  </si>
  <si>
    <t xml:space="preserve">2019-10-08</t>
  </si>
  <si>
    <t xml:space="preserve">sam0135</t>
  </si>
  <si>
    <t xml:space="preserve">2019-12-10</t>
  </si>
  <si>
    <t xml:space="preserve">sam0136</t>
  </si>
  <si>
    <t xml:space="preserve">2019-12-31</t>
  </si>
  <si>
    <t xml:space="preserve">sam0137</t>
  </si>
  <si>
    <t xml:space="preserve">2020-02-25</t>
  </si>
  <si>
    <t xml:space="preserve">sam0138</t>
  </si>
  <si>
    <t xml:space="preserve">par0104</t>
  </si>
  <si>
    <t xml:space="preserve">2019-10-10</t>
  </si>
  <si>
    <t xml:space="preserve">sam0139</t>
  </si>
  <si>
    <t xml:space="preserve">2019-10-25</t>
  </si>
  <si>
    <t xml:space="preserve">sam0140</t>
  </si>
  <si>
    <t xml:space="preserve">2019-12-26</t>
  </si>
  <si>
    <t xml:space="preserve">sam0141</t>
  </si>
  <si>
    <t xml:space="preserve">2020-01-02</t>
  </si>
  <si>
    <t xml:space="preserve">sam0142</t>
  </si>
  <si>
    <t xml:space="preserve">2020-02-20</t>
  </si>
  <si>
    <t xml:space="preserve">sam0143</t>
  </si>
  <si>
    <t xml:space="preserve">par0105</t>
  </si>
  <si>
    <t xml:space="preserve">2019-11-05</t>
  </si>
  <si>
    <t xml:space="preserve">sam0144</t>
  </si>
  <si>
    <t xml:space="preserve">par0106</t>
  </si>
  <si>
    <t xml:space="preserve">2019-11-21</t>
  </si>
  <si>
    <t xml:space="preserve">sam0145</t>
  </si>
  <si>
    <t xml:space="preserve">par0107</t>
  </si>
  <si>
    <t xml:space="preserve">2019-11-25</t>
  </si>
  <si>
    <t xml:space="preserve">sam0146</t>
  </si>
  <si>
    <t xml:space="preserve">sam0147</t>
  </si>
  <si>
    <t xml:space="preserve">2020-02-11</t>
  </si>
  <si>
    <t xml:space="preserve">sam0148</t>
  </si>
  <si>
    <t xml:space="preserve">sam0149</t>
  </si>
  <si>
    <t xml:space="preserve">par0108</t>
  </si>
  <si>
    <t xml:space="preserve">sam0150</t>
  </si>
  <si>
    <t xml:space="preserve">par0109</t>
  </si>
  <si>
    <t xml:space="preserve">2020-01-21</t>
  </si>
  <si>
    <t xml:space="preserve">sam0151</t>
  </si>
  <si>
    <t xml:space="preserve">sam0152</t>
  </si>
  <si>
    <t xml:space="preserve">par0131</t>
  </si>
  <si>
    <t xml:space="preserve">2020-01-30</t>
  </si>
  <si>
    <t xml:space="preserve">sam0153</t>
  </si>
  <si>
    <t xml:space="preserve">sam0154</t>
  </si>
  <si>
    <t xml:space="preserve">sam0155</t>
  </si>
  <si>
    <t xml:space="preserve">par0132</t>
  </si>
  <si>
    <t xml:space="preserve">2020-02-18</t>
  </si>
  <si>
    <t xml:space="preserve">sam0157</t>
  </si>
  <si>
    <t xml:space="preserve">par0133</t>
  </si>
  <si>
    <t xml:space="preserve">sam0161</t>
  </si>
  <si>
    <t xml:space="preserve">par0136</t>
  </si>
  <si>
    <t xml:space="preserve">2020-03-12</t>
  </si>
  <si>
    <t xml:space="preserve">sam0162</t>
  </si>
  <si>
    <t xml:space="preserve">celline</t>
  </si>
  <si>
    <t xml:space="preserve">sam0168</t>
  </si>
  <si>
    <t xml:space="preserve">sam0169</t>
  </si>
  <si>
    <t xml:space="preserve">sam0170</t>
  </si>
  <si>
    <t xml:space="preserve">sam0171</t>
  </si>
  <si>
    <t xml:space="preserve">sam0172</t>
  </si>
  <si>
    <t xml:space="preserve">sam0174</t>
  </si>
  <si>
    <t xml:space="preserve">sam0175</t>
  </si>
  <si>
    <t xml:space="preserve">sam0176</t>
  </si>
  <si>
    <t xml:space="preserve">sam0177</t>
  </si>
  <si>
    <t xml:space="preserve">sam0178</t>
  </si>
  <si>
    <t xml:space="preserve">sam0179</t>
  </si>
  <si>
    <t xml:space="preserve">sam0180</t>
  </si>
  <si>
    <t xml:space="preserve">sam0181</t>
  </si>
  <si>
    <t xml:space="preserve">sam0182</t>
  </si>
  <si>
    <t xml:space="preserve">sam0183</t>
  </si>
  <si>
    <t xml:space="preserve">ok</t>
  </si>
  <si>
    <t xml:space="preserve">sam0184</t>
  </si>
  <si>
    <t xml:space="preserve">sam0185</t>
  </si>
  <si>
    <t xml:space="preserve">sam0186</t>
  </si>
  <si>
    <t xml:space="preserve">sam0187</t>
  </si>
  <si>
    <t xml:space="preserve">sam0188</t>
  </si>
  <si>
    <t xml:space="preserve">sam0189</t>
  </si>
  <si>
    <t xml:space="preserve">sam0190</t>
  </si>
  <si>
    <t xml:space="preserve">sam0191</t>
  </si>
  <si>
    <t xml:space="preserve">par0103</t>
  </si>
  <si>
    <t xml:space="preserve">sam0192</t>
  </si>
  <si>
    <t xml:space="preserve">2018-05-07</t>
  </si>
  <si>
    <t xml:space="preserve">sam0193</t>
  </si>
  <si>
    <t xml:space="preserve">sam0194</t>
  </si>
  <si>
    <t xml:space="preserve">sam0195</t>
  </si>
  <si>
    <t xml:space="preserve">sam0196</t>
  </si>
  <si>
    <t xml:space="preserve">par0137</t>
  </si>
  <si>
    <t xml:space="preserve">sam0197</t>
  </si>
  <si>
    <t xml:space="preserve">sam0198</t>
  </si>
  <si>
    <t xml:space="preserve">sam0199</t>
  </si>
  <si>
    <t xml:space="preserve">sam0200</t>
  </si>
  <si>
    <t xml:space="preserve">sam0201</t>
  </si>
  <si>
    <t xml:space="preserve">sam0202</t>
  </si>
  <si>
    <t xml:space="preserve">sam0203</t>
  </si>
  <si>
    <t xml:space="preserve">sam0204</t>
  </si>
  <si>
    <t xml:space="preserve">sam0205</t>
  </si>
  <si>
    <t xml:space="preserve">sam0206</t>
  </si>
  <si>
    <t xml:space="preserve">sam0207</t>
  </si>
  <si>
    <t xml:space="preserve">sam0208</t>
  </si>
  <si>
    <t xml:space="preserve">sam0209</t>
  </si>
  <si>
    <t xml:space="preserve">sam0210</t>
  </si>
  <si>
    <t xml:space="preserve">sam0211</t>
  </si>
  <si>
    <t xml:space="preserve">sam0212</t>
  </si>
  <si>
    <t xml:space="preserve">sam0213</t>
  </si>
  <si>
    <t xml:space="preserve">sam0214</t>
  </si>
  <si>
    <t xml:space="preserve">sam0215</t>
  </si>
  <si>
    <t xml:space="preserve">sam0216</t>
  </si>
  <si>
    <t xml:space="preserve">sam0217</t>
  </si>
  <si>
    <t xml:space="preserve">par0138</t>
  </si>
  <si>
    <t xml:space="preserve">2019-09-03</t>
  </si>
  <si>
    <t xml:space="preserve">sam0218</t>
  </si>
  <si>
    <t xml:space="preserve">2019-10-03</t>
  </si>
  <si>
    <t xml:space="preserve">sam0219</t>
  </si>
  <si>
    <t xml:space="preserve">sam0220</t>
  </si>
  <si>
    <t xml:space="preserve">2019-08-05</t>
  </si>
  <si>
    <t xml:space="preserve">sam0222</t>
  </si>
  <si>
    <t xml:space="preserve">par0139</t>
  </si>
  <si>
    <t xml:space="preserve">2019-08-22</t>
  </si>
  <si>
    <t xml:space="preserve">sam0224</t>
  </si>
  <si>
    <t xml:space="preserve">par0140</t>
  </si>
  <si>
    <t xml:space="preserve">2019-09-23</t>
  </si>
  <si>
    <t xml:space="preserve">sam0225</t>
  </si>
  <si>
    <t xml:space="preserve">2019-11-20</t>
  </si>
  <si>
    <t xml:space="preserve">sam0227</t>
  </si>
  <si>
    <t xml:space="preserve">2018-03-08</t>
  </si>
  <si>
    <t xml:space="preserve">sam0228</t>
  </si>
  <si>
    <t xml:space="preserve">par0141</t>
  </si>
  <si>
    <t xml:space="preserve">2019-10-11</t>
  </si>
  <si>
    <t xml:space="preserve">sam0229</t>
  </si>
  <si>
    <t xml:space="preserve">sam0230</t>
  </si>
  <si>
    <t xml:space="preserve">2016-11-02</t>
  </si>
  <si>
    <t xml:space="preserve">sam0231</t>
  </si>
  <si>
    <t xml:space="preserve">2019-10-12</t>
  </si>
  <si>
    <t xml:space="preserve">sam0233</t>
  </si>
  <si>
    <t xml:space="preserve">2019-11-11</t>
  </si>
  <si>
    <t xml:space="preserve">sam0234</t>
  </si>
  <si>
    <t xml:space="preserve">2018-11-09</t>
  </si>
  <si>
    <t xml:space="preserve">sam0235</t>
  </si>
  <si>
    <t xml:space="preserve">2019-11-14</t>
  </si>
  <si>
    <t xml:space="preserve">sam0236</t>
  </si>
  <si>
    <t xml:space="preserve">par0142</t>
  </si>
  <si>
    <t xml:space="preserve">2018-03-16</t>
  </si>
  <si>
    <t xml:space="preserve">sam0237</t>
  </si>
  <si>
    <t xml:space="preserve">2018-04-19</t>
  </si>
  <si>
    <t xml:space="preserve">sam0238</t>
  </si>
  <si>
    <t xml:space="preserve">par0143</t>
  </si>
  <si>
    <t xml:space="preserve">sam0239</t>
  </si>
  <si>
    <t xml:space="preserve">par0144</t>
  </si>
  <si>
    <t xml:space="preserve">2018-03-09</t>
  </si>
  <si>
    <t xml:space="preserve">sam0240</t>
  </si>
  <si>
    <t xml:space="preserve">sam0241</t>
  </si>
  <si>
    <t xml:space="preserve">par0145</t>
  </si>
  <si>
    <t xml:space="preserve">2016-08-21</t>
  </si>
  <si>
    <t xml:space="preserve">sam0242</t>
  </si>
  <si>
    <t xml:space="preserve">2019-06-21</t>
  </si>
  <si>
    <t xml:space="preserve">sam0243</t>
  </si>
  <si>
    <t xml:space="preserve">2019-06-23</t>
  </si>
  <si>
    <t xml:space="preserve">sam0244</t>
  </si>
  <si>
    <t xml:space="preserve">2017-08-10</t>
  </si>
  <si>
    <t xml:space="preserve">sam0245</t>
  </si>
  <si>
    <t xml:space="preserve">par0146</t>
  </si>
  <si>
    <t xml:space="preserve">2020-05-05</t>
  </si>
  <si>
    <t xml:space="preserve">sam0246</t>
  </si>
  <si>
    <t xml:space="preserve">sam0247</t>
  </si>
  <si>
    <t xml:space="preserve">par0147</t>
  </si>
  <si>
    <t xml:space="preserve">2020-06-15</t>
  </si>
  <si>
    <t xml:space="preserve">sam0248</t>
  </si>
  <si>
    <t xml:space="preserve">par0148</t>
  </si>
  <si>
    <t xml:space="preserve">2020-06-09</t>
  </si>
  <si>
    <t xml:space="preserve">sam0249</t>
  </si>
  <si>
    <t xml:space="preserve">par0149</t>
  </si>
  <si>
    <t xml:space="preserve">2020-04-28</t>
  </si>
  <si>
    <t xml:space="preserve">sam0250</t>
  </si>
  <si>
    <t xml:space="preserve">2020-06-19</t>
  </si>
  <si>
    <t xml:space="preserve">sam0251</t>
  </si>
  <si>
    <t xml:space="preserve">sam0252</t>
  </si>
  <si>
    <t xml:space="preserve">2020-04-18</t>
  </si>
  <si>
    <t xml:space="preserve">sam0253</t>
  </si>
  <si>
    <t xml:space="preserve">2020-03-31</t>
  </si>
  <si>
    <t xml:space="preserve">sam0254</t>
  </si>
  <si>
    <t xml:space="preserve">2020-04-21</t>
  </si>
  <si>
    <t xml:space="preserve">sam0255</t>
  </si>
  <si>
    <t xml:space="preserve">2020-05-28</t>
  </si>
  <si>
    <t xml:space="preserve">sam0256</t>
  </si>
  <si>
    <t xml:space="preserve">sam0257</t>
  </si>
  <si>
    <t xml:space="preserve">sam0258</t>
  </si>
  <si>
    <t xml:space="preserve">par0154</t>
  </si>
  <si>
    <t xml:space="preserve">sam0259</t>
  </si>
  <si>
    <t xml:space="preserve">par0155</t>
  </si>
  <si>
    <t xml:space="preserve">2019-09-26</t>
  </si>
  <si>
    <t xml:space="preserve">sam0261</t>
  </si>
  <si>
    <t xml:space="preserve">par0157</t>
  </si>
  <si>
    <t xml:space="preserve">2021-08-31</t>
  </si>
  <si>
    <t xml:space="preserve">sam0262</t>
  </si>
  <si>
    <t xml:space="preserve">par0213</t>
  </si>
  <si>
    <t xml:space="preserve">2021-03-16</t>
  </si>
  <si>
    <t xml:space="preserve">sam0263</t>
  </si>
  <si>
    <t xml:space="preserve">par0159</t>
  </si>
  <si>
    <t xml:space="preserve">2021-11-15</t>
  </si>
  <si>
    <t xml:space="preserve">sam0264</t>
  </si>
  <si>
    <t xml:space="preserve">2022-04-14</t>
  </si>
  <si>
    <t xml:space="preserve">sam0265</t>
  </si>
  <si>
    <t xml:space="preserve">par0161</t>
  </si>
  <si>
    <t xml:space="preserve">2020-12-11</t>
  </si>
  <si>
    <t xml:space="preserve">sam0266</t>
  </si>
  <si>
    <t xml:space="preserve">par0162</t>
  </si>
  <si>
    <t xml:space="preserve">2020-01-14</t>
  </si>
  <si>
    <t xml:space="preserve">sam0267</t>
  </si>
  <si>
    <t xml:space="preserve">par0211</t>
  </si>
  <si>
    <t xml:space="preserve">2021-03-09</t>
  </si>
  <si>
    <t xml:space="preserve">sam0268</t>
  </si>
  <si>
    <t xml:space="preserve">par0164</t>
  </si>
  <si>
    <t xml:space="preserve">2020-09-15</t>
  </si>
  <si>
    <t xml:space="preserve">sam0269</t>
  </si>
  <si>
    <t xml:space="preserve">2021-02-01</t>
  </si>
  <si>
    <t xml:space="preserve">sam0270</t>
  </si>
  <si>
    <t xml:space="preserve">par0166</t>
  </si>
  <si>
    <t xml:space="preserve">2021-10-18</t>
  </si>
  <si>
    <t xml:space="preserve">sam0271</t>
  </si>
  <si>
    <t xml:space="preserve">par0167</t>
  </si>
  <si>
    <t xml:space="preserve">2022-03-17</t>
  </si>
  <si>
    <t xml:space="preserve">sam0272</t>
  </si>
  <si>
    <t xml:space="preserve">sam0273</t>
  </si>
  <si>
    <t xml:space="preserve">par0169</t>
  </si>
  <si>
    <t xml:space="preserve">2021-03-10</t>
  </si>
  <si>
    <t xml:space="preserve">sam0274</t>
  </si>
  <si>
    <t xml:space="preserve">par0170</t>
  </si>
  <si>
    <t xml:space="preserve">2018-09-09</t>
  </si>
  <si>
    <t xml:space="preserve">sam0275</t>
  </si>
  <si>
    <t xml:space="preserve">2022-04-25</t>
  </si>
  <si>
    <t xml:space="preserve">sam0276</t>
  </si>
  <si>
    <t xml:space="preserve">par0172</t>
  </si>
  <si>
    <t xml:space="preserve">sam0277</t>
  </si>
  <si>
    <t xml:space="preserve">par0173</t>
  </si>
  <si>
    <t xml:space="preserve">2018-03-06</t>
  </si>
  <si>
    <t xml:space="preserve">sam0278</t>
  </si>
  <si>
    <t xml:space="preserve">par0174</t>
  </si>
  <si>
    <t xml:space="preserve">2017-11-26</t>
  </si>
  <si>
    <t xml:space="preserve">sam0279</t>
  </si>
  <si>
    <t xml:space="preserve">par0175</t>
  </si>
  <si>
    <t xml:space="preserve">sam0280</t>
  </si>
  <si>
    <t xml:space="preserve">par0176</t>
  </si>
  <si>
    <t xml:space="preserve">2018-02-22</t>
  </si>
  <si>
    <t xml:space="preserve">sam0281</t>
  </si>
  <si>
    <t xml:space="preserve">par0177</t>
  </si>
  <si>
    <t xml:space="preserve">2019-01-13</t>
  </si>
  <si>
    <t xml:space="preserve">sam0282</t>
  </si>
  <si>
    <t xml:space="preserve">par0178</t>
  </si>
  <si>
    <t xml:space="preserve">2021-03-08</t>
  </si>
  <si>
    <t xml:space="preserve">sam0284</t>
  </si>
  <si>
    <t xml:space="preserve">par0180</t>
  </si>
  <si>
    <t xml:space="preserve">2018-09-26</t>
  </si>
  <si>
    <t xml:space="preserve">sam0285</t>
  </si>
  <si>
    <t xml:space="preserve">par0181</t>
  </si>
  <si>
    <t xml:space="preserve">2015-05-15</t>
  </si>
  <si>
    <t xml:space="preserve">sam0286</t>
  </si>
  <si>
    <t xml:space="preserve">par0182</t>
  </si>
  <si>
    <t xml:space="preserve">2017-05-09</t>
  </si>
  <si>
    <t xml:space="preserve">sam0287</t>
  </si>
  <si>
    <t xml:space="preserve">2021-10-21</t>
  </si>
  <si>
    <t xml:space="preserve">sam0288</t>
  </si>
  <si>
    <t xml:space="preserve">par0184</t>
  </si>
  <si>
    <t xml:space="preserve">2019-01-02</t>
  </si>
  <si>
    <t xml:space="preserve">sam0289</t>
  </si>
  <si>
    <t xml:space="preserve">par0185</t>
  </si>
  <si>
    <t xml:space="preserve">2022-03-16</t>
  </si>
  <si>
    <t xml:space="preserve">sam0290</t>
  </si>
  <si>
    <t xml:space="preserve">par0238</t>
  </si>
  <si>
    <t xml:space="preserve">2021-12-14</t>
  </si>
  <si>
    <t xml:space="preserve">sam0291</t>
  </si>
  <si>
    <t xml:space="preserve">2021-05-04</t>
  </si>
  <si>
    <t xml:space="preserve">sam0292</t>
  </si>
  <si>
    <t xml:space="preserve">2016-01-08</t>
  </si>
  <si>
    <t xml:space="preserve">sam0293</t>
  </si>
  <si>
    <t xml:space="preserve">par0189</t>
  </si>
  <si>
    <t xml:space="preserve">2022-01-24</t>
  </si>
  <si>
    <t xml:space="preserve">sam0294</t>
  </si>
  <si>
    <t xml:space="preserve">par0190</t>
  </si>
  <si>
    <t xml:space="preserve">2017-12-11</t>
  </si>
  <si>
    <t xml:space="preserve">sam0295</t>
  </si>
  <si>
    <t xml:space="preserve">par0191</t>
  </si>
  <si>
    <t xml:space="preserve">2020-01-13</t>
  </si>
  <si>
    <t xml:space="preserve">sam0296</t>
  </si>
  <si>
    <t xml:space="preserve">2021-03-30</t>
  </si>
  <si>
    <t xml:space="preserve">sam0297</t>
  </si>
  <si>
    <t xml:space="preserve">par0193</t>
  </si>
  <si>
    <t xml:space="preserve">2021-08-24</t>
  </si>
  <si>
    <t xml:space="preserve">sam0298</t>
  </si>
  <si>
    <t xml:space="preserve">par0218</t>
  </si>
  <si>
    <t xml:space="preserve">2021-10-26</t>
  </si>
  <si>
    <t xml:space="preserve">sam0299</t>
  </si>
  <si>
    <t xml:space="preserve">par0202</t>
  </si>
  <si>
    <t xml:space="preserve">2021-10-29</t>
  </si>
  <si>
    <t xml:space="preserve">sam0300</t>
  </si>
  <si>
    <t xml:space="preserve">par0201</t>
  </si>
  <si>
    <t xml:space="preserve">2021-09-28</t>
  </si>
  <si>
    <t xml:space="preserve">sam0301</t>
  </si>
  <si>
    <t xml:space="preserve">par0200</t>
  </si>
  <si>
    <t xml:space="preserve">2021-10-19</t>
  </si>
  <si>
    <t xml:space="preserve">sam0302</t>
  </si>
  <si>
    <t xml:space="preserve">sam0303</t>
  </si>
  <si>
    <t xml:space="preserve">2021-07-13</t>
  </si>
  <si>
    <t xml:space="preserve">sam0304</t>
  </si>
  <si>
    <t xml:space="preserve">sam0305</t>
  </si>
  <si>
    <t xml:space="preserve">par0199</t>
  </si>
  <si>
    <t xml:space="preserve">2021-10-12</t>
  </si>
  <si>
    <t xml:space="preserve">sam0306</t>
  </si>
  <si>
    <t xml:space="preserve">sam0307</t>
  </si>
  <si>
    <t xml:space="preserve">par0197</t>
  </si>
  <si>
    <t xml:space="preserve">2021-09-17</t>
  </si>
  <si>
    <t xml:space="preserve">sam0308</t>
  </si>
  <si>
    <t xml:space="preserve">par0196</t>
  </si>
  <si>
    <t xml:space="preserve">2022-05-03</t>
  </si>
  <si>
    <t xml:space="preserve">sam0309</t>
  </si>
  <si>
    <t xml:space="preserve">2021-06-29</t>
  </si>
  <si>
    <t xml:space="preserve">sam0310</t>
  </si>
  <si>
    <t xml:space="preserve">sam0311</t>
  </si>
  <si>
    <t xml:space="preserve">par0134</t>
  </si>
  <si>
    <t xml:space="preserve">2022-03-01</t>
  </si>
  <si>
    <t xml:space="preserve">sam0312</t>
  </si>
  <si>
    <t xml:space="preserve">par0195</t>
  </si>
  <si>
    <t xml:space="preserve">sam0313</t>
  </si>
  <si>
    <t xml:space="preserve">2020-06-16</t>
  </si>
  <si>
    <t xml:space="preserve">sam0314</t>
  </si>
  <si>
    <t xml:space="preserve">par0204</t>
  </si>
  <si>
    <t xml:space="preserve">sam0315</t>
  </si>
  <si>
    <t xml:space="preserve">par0205</t>
  </si>
  <si>
    <t xml:space="preserve">2022-09-27</t>
  </si>
  <si>
    <t xml:space="preserve">sam0316</t>
  </si>
  <si>
    <t xml:space="preserve">par0206</t>
  </si>
  <si>
    <t xml:space="preserve">2020-09-03</t>
  </si>
  <si>
    <t xml:space="preserve">sam0317</t>
  </si>
  <si>
    <t xml:space="preserve">par0207</t>
  </si>
  <si>
    <t xml:space="preserve">2020-08-25</t>
  </si>
  <si>
    <t xml:space="preserve">sam0318</t>
  </si>
  <si>
    <t xml:space="preserve">par0208</t>
  </si>
  <si>
    <t xml:space="preserve">2020-09-01</t>
  </si>
  <si>
    <t xml:space="preserve">sam0319</t>
  </si>
  <si>
    <t xml:space="preserve">par0209</t>
  </si>
  <si>
    <t xml:space="preserve">2020-09-29</t>
  </si>
  <si>
    <t xml:space="preserve">sam0320</t>
  </si>
  <si>
    <t xml:space="preserve">par0210</t>
  </si>
  <si>
    <t xml:space="preserve">2020-12-08</t>
  </si>
  <si>
    <t xml:space="preserve">sam0321</t>
  </si>
  <si>
    <t xml:space="preserve">2020-12-22</t>
  </si>
  <si>
    <t xml:space="preserve">sam0322</t>
  </si>
  <si>
    <t xml:space="preserve">par0212</t>
  </si>
  <si>
    <t xml:space="preserve">2021-03-11</t>
  </si>
  <si>
    <t xml:space="preserve">sam0323</t>
  </si>
  <si>
    <t xml:space="preserve">sam0324</t>
  </si>
  <si>
    <t xml:space="preserve">par0214</t>
  </si>
  <si>
    <t xml:space="preserve">2021-07-06</t>
  </si>
  <si>
    <t xml:space="preserve">sam0325</t>
  </si>
  <si>
    <t xml:space="preserve">par0215</t>
  </si>
  <si>
    <t xml:space="preserve">2021-08-03</t>
  </si>
  <si>
    <t xml:space="preserve">sam0326</t>
  </si>
  <si>
    <t xml:space="preserve">par0216</t>
  </si>
  <si>
    <t xml:space="preserve">sam0327</t>
  </si>
  <si>
    <t xml:space="preserve">par0217</t>
  </si>
  <si>
    <t xml:space="preserve">2021-04-06</t>
  </si>
  <si>
    <t xml:space="preserve">sam0328</t>
  </si>
  <si>
    <t xml:space="preserve">sam0329</t>
  </si>
  <si>
    <t xml:space="preserve">par0219</t>
  </si>
  <si>
    <t xml:space="preserve">2021-10-05</t>
  </si>
  <si>
    <t xml:space="preserve">sam0330</t>
  </si>
  <si>
    <t xml:space="preserve">par0220</t>
  </si>
  <si>
    <t xml:space="preserve">2021-10-07</t>
  </si>
  <si>
    <t xml:space="preserve">sam0331</t>
  </si>
  <si>
    <t xml:space="preserve">par0221</t>
  </si>
  <si>
    <t xml:space="preserve">sam0333</t>
  </si>
  <si>
    <t xml:space="preserve">par0223</t>
  </si>
  <si>
    <t xml:space="preserve">2021-12-28</t>
  </si>
  <si>
    <t xml:space="preserve">sam0334</t>
  </si>
  <si>
    <t xml:space="preserve">par0224</t>
  </si>
  <si>
    <t xml:space="preserve">sam0335</t>
  </si>
  <si>
    <t xml:space="preserve">par0225</t>
  </si>
  <si>
    <t xml:space="preserve">2022-04-05</t>
  </si>
  <si>
    <t xml:space="preserve">sam0336</t>
  </si>
  <si>
    <t xml:space="preserve">par0226</t>
  </si>
  <si>
    <t xml:space="preserve">2022-04-19</t>
  </si>
  <si>
    <t xml:space="preserve">sam0337</t>
  </si>
  <si>
    <t xml:space="preserve">par0227</t>
  </si>
  <si>
    <t xml:space="preserve">2022-10-03</t>
  </si>
  <si>
    <t xml:space="preserve">lowgrade</t>
  </si>
  <si>
    <t xml:space="preserve">sam0338</t>
  </si>
  <si>
    <t xml:space="preserve">par0228</t>
  </si>
  <si>
    <t xml:space="preserve">sam0339</t>
  </si>
  <si>
    <t xml:space="preserve">par0229</t>
  </si>
  <si>
    <t xml:space="preserve">2022-05-17</t>
  </si>
  <si>
    <t xml:space="preserve">sam0340</t>
  </si>
  <si>
    <t xml:space="preserve">par0230</t>
  </si>
  <si>
    <t xml:space="preserve">2022-06-28</t>
  </si>
  <si>
    <t xml:space="preserve">MPNST - On Treatment; WGS seq, NCI 0 ng for EM-seq; 2 months prior to resection</t>
  </si>
  <si>
    <t xml:space="preserve">sam0341</t>
  </si>
  <si>
    <t xml:space="preserve">par0231</t>
  </si>
  <si>
    <t xml:space="preserve">2021-11-30</t>
  </si>
  <si>
    <t xml:space="preserve">sam0342</t>
  </si>
  <si>
    <t xml:space="preserve">sam0343</t>
  </si>
  <si>
    <t xml:space="preserve">2021-06-22</t>
  </si>
  <si>
    <t xml:space="preserve">sam0344</t>
  </si>
  <si>
    <t xml:space="preserve">par0237</t>
  </si>
  <si>
    <t xml:space="preserve">2021-06-10</t>
  </si>
  <si>
    <t xml:space="preserve">wrong date with next? </t>
  </si>
  <si>
    <t xml:space="preserve">sam0345</t>
  </si>
  <si>
    <t xml:space="preserve">par0236</t>
  </si>
  <si>
    <t xml:space="preserve">2020-11-17</t>
  </si>
  <si>
    <t xml:space="preserve">sam0346</t>
  </si>
  <si>
    <t xml:space="preserve">par0235</t>
  </si>
  <si>
    <t xml:space="preserve">2021-02-02</t>
  </si>
  <si>
    <t xml:space="preserve">sam0347</t>
  </si>
  <si>
    <t xml:space="preserve">par0234</t>
  </si>
  <si>
    <t xml:space="preserve">2020-11-03</t>
  </si>
  <si>
    <t xml:space="preserve">sam0348</t>
  </si>
  <si>
    <t xml:space="preserve">par0233</t>
  </si>
  <si>
    <t xml:space="preserve">2020-08-11</t>
  </si>
  <si>
    <t xml:space="preserve">sam0349</t>
  </si>
  <si>
    <t xml:space="preserve">par0232</t>
  </si>
  <si>
    <t xml:space="preserve">sam0350</t>
  </si>
  <si>
    <t xml:space="preserve">par0257</t>
  </si>
  <si>
    <t xml:space="preserve">2021-11-16</t>
  </si>
  <si>
    <t xml:space="preserve">ANNUBP/MPNST - Different Sites – Pre-Diagnosis; 6 days pre resection</t>
  </si>
  <si>
    <t xml:space="preserve">sam0351</t>
  </si>
  <si>
    <t xml:space="preserve">2022-03-14</t>
  </si>
  <si>
    <t xml:space="preserve">MPNST (On - Treatment)</t>
  </si>
  <si>
    <t xml:space="preserve">sam0352</t>
  </si>
  <si>
    <t xml:space="preserve">2022-05-24</t>
  </si>
  <si>
    <t xml:space="preserve">Resdidual MPNST (previous resected ANNUBP) - Follow-up</t>
  </si>
  <si>
    <t xml:space="preserve">nf1_lib67</t>
  </si>
  <si>
    <t xml:space="preserve">sam0355</t>
  </si>
  <si>
    <t xml:space="preserve">2020-10-20</t>
  </si>
  <si>
    <t xml:space="preserve">sam0360</t>
  </si>
  <si>
    <t xml:space="preserve">par0247</t>
  </si>
  <si>
    <t xml:space="preserve">2021-07-27</t>
  </si>
  <si>
    <t xml:space="preserve">sam0361</t>
  </si>
  <si>
    <t xml:space="preserve">2022-03-21</t>
  </si>
  <si>
    <t xml:space="preserve">sam0365</t>
  </si>
  <si>
    <t xml:space="preserve">par0249</t>
  </si>
  <si>
    <t xml:space="preserve">2021-05-21</t>
  </si>
  <si>
    <t xml:space="preserve">sam0374</t>
  </si>
  <si>
    <t xml:space="preserve">2021-01-19</t>
  </si>
  <si>
    <t xml:space="preserve">sam0375</t>
  </si>
  <si>
    <t xml:space="preserve">2022-03-08</t>
  </si>
  <si>
    <t xml:space="preserve">sam0376</t>
  </si>
  <si>
    <t xml:space="preserve">2022-05-10</t>
  </si>
  <si>
    <t xml:space="preserve">sam0377</t>
  </si>
  <si>
    <t xml:space="preserve">2020-07-14</t>
  </si>
  <si>
    <t xml:space="preserve">sam0378</t>
  </si>
  <si>
    <t xml:space="preserve">2021-09-12</t>
  </si>
  <si>
    <t xml:space="preserve">sam0381</t>
  </si>
  <si>
    <t xml:space="preserve">2022-09-13</t>
  </si>
  <si>
    <t xml:space="preserve">NED (surveillance)</t>
  </si>
  <si>
    <t xml:space="preserve">nf1_lib58</t>
  </si>
  <si>
    <t xml:space="preserve">sam0382</t>
  </si>
  <si>
    <t xml:space="preserve">Residual MPNST/Surveillance (Resected, Close Margins) + GIST, 1.5 months post resection</t>
  </si>
  <si>
    <t xml:space="preserve">nf1_lib57</t>
  </si>
  <si>
    <t xml:space="preserve">sam0383</t>
  </si>
  <si>
    <t xml:space="preserve">sam0385</t>
  </si>
  <si>
    <t xml:space="preserve">NED (surveillance post resection)</t>
  </si>
  <si>
    <t xml:space="preserve">sam0389</t>
  </si>
  <si>
    <t xml:space="preserve">2022-02-08</t>
  </si>
  <si>
    <t xml:space="preserve">sam0390</t>
  </si>
  <si>
    <t xml:space="preserve">2022-08-17</t>
  </si>
  <si>
    <t xml:space="preserve">sam0394</t>
  </si>
  <si>
    <t xml:space="preserve">sam0401</t>
  </si>
  <si>
    <t xml:space="preserve">par0262</t>
  </si>
  <si>
    <t xml:space="preserve">sam0402</t>
  </si>
  <si>
    <t xml:space="preserve">par0263</t>
  </si>
  <si>
    <t xml:space="preserve">2022-08-09</t>
  </si>
  <si>
    <t xml:space="preserve">sam0403</t>
  </si>
  <si>
    <t xml:space="preserve">par0264</t>
  </si>
  <si>
    <t xml:space="preserve">2022-08-16</t>
  </si>
  <si>
    <t xml:space="preserve">sam0404</t>
  </si>
  <si>
    <t xml:space="preserve">par0265</t>
  </si>
  <si>
    <t xml:space="preserve">2022-08-30</t>
  </si>
  <si>
    <t xml:space="preserve">sam0405</t>
  </si>
  <si>
    <t xml:space="preserve">par0266</t>
  </si>
  <si>
    <t xml:space="preserve">2022-09-06</t>
  </si>
  <si>
    <t xml:space="preserve">sam0406</t>
  </si>
  <si>
    <t xml:space="preserve">par0267</t>
  </si>
  <si>
    <t xml:space="preserve">benign_schwannoma</t>
  </si>
  <si>
    <t xml:space="preserve">sam0407</t>
  </si>
  <si>
    <t xml:space="preserve">par0268</t>
  </si>
  <si>
    <t xml:space="preserve">2022-02-16</t>
  </si>
  <si>
    <t xml:space="preserve">sam0408</t>
  </si>
  <si>
    <t xml:space="preserve">par0269</t>
  </si>
  <si>
    <t xml:space="preserve">sam0409</t>
  </si>
  <si>
    <t xml:space="preserve">par0270</t>
  </si>
  <si>
    <t xml:space="preserve">sam0410</t>
  </si>
  <si>
    <t xml:space="preserve">par0271</t>
  </si>
  <si>
    <t xml:space="preserve">2022-09-28</t>
  </si>
  <si>
    <t xml:space="preserve">sam0411</t>
  </si>
  <si>
    <t xml:space="preserve">par0272</t>
  </si>
  <si>
    <t xml:space="preserve">sam0412</t>
  </si>
  <si>
    <t xml:space="preserve">par0273</t>
  </si>
  <si>
    <t xml:space="preserve">sam0413</t>
  </si>
  <si>
    <t xml:space="preserve">par0274</t>
  </si>
  <si>
    <t xml:space="preserve">2022-09-30</t>
  </si>
  <si>
    <t xml:space="preserve">sam0414</t>
  </si>
  <si>
    <t xml:space="preserve">par0275</t>
  </si>
  <si>
    <t xml:space="preserve">sam0415</t>
  </si>
  <si>
    <t xml:space="preserve">par0276</t>
  </si>
  <si>
    <t xml:space="preserve">2022-10-04</t>
  </si>
  <si>
    <t xml:space="preserve">sam0416</t>
  </si>
  <si>
    <t xml:space="preserve">sam0417</t>
  </si>
  <si>
    <t xml:space="preserve">2022-09-26</t>
  </si>
  <si>
    <t xml:space="preserve">sam0418</t>
  </si>
  <si>
    <t xml:space="preserve">par0278</t>
  </si>
  <si>
    <t xml:space="preserve">sam0419</t>
  </si>
  <si>
    <t xml:space="preserve">par0279</t>
  </si>
  <si>
    <t xml:space="preserve">sam0420</t>
  </si>
  <si>
    <t xml:space="preserve">par0280</t>
  </si>
  <si>
    <t xml:space="preserve">sam0421</t>
  </si>
  <si>
    <t xml:space="preserve">par0281</t>
  </si>
  <si>
    <t xml:space="preserve">sam0422</t>
  </si>
  <si>
    <t xml:space="preserve">par0282</t>
  </si>
  <si>
    <t xml:space="preserve">sam0423</t>
  </si>
  <si>
    <t xml:space="preserve">par0283</t>
  </si>
  <si>
    <t xml:space="preserve">sam0424</t>
  </si>
  <si>
    <t xml:space="preserve">par0284</t>
  </si>
  <si>
    <t xml:space="preserve">sam0425</t>
  </si>
  <si>
    <t xml:space="preserve">par0285</t>
  </si>
  <si>
    <t xml:space="preserve">sam0426</t>
  </si>
  <si>
    <t xml:space="preserve">par0286</t>
  </si>
  <si>
    <t xml:space="preserve">sam0427</t>
  </si>
  <si>
    <t xml:space="preserve">par0287</t>
  </si>
  <si>
    <t xml:space="preserve">sam0428</t>
  </si>
  <si>
    <t xml:space="preserve">par0288</t>
  </si>
  <si>
    <t xml:space="preserve">sam0429</t>
  </si>
  <si>
    <t xml:space="preserve">sam0430</t>
  </si>
  <si>
    <t xml:space="preserve">2022-07-19</t>
  </si>
  <si>
    <t xml:space="preserve">sam0431</t>
  </si>
  <si>
    <t xml:space="preserve">par0289</t>
  </si>
  <si>
    <t xml:space="preserve">sam0432</t>
  </si>
  <si>
    <t xml:space="preserve">2020-02-24</t>
  </si>
  <si>
    <t xml:space="preserve">sam0433</t>
  </si>
  <si>
    <t xml:space="preserve">par0290</t>
  </si>
  <si>
    <t xml:space="preserve">2022-07-28</t>
  </si>
  <si>
    <t xml:space="preserve">sam0434</t>
  </si>
  <si>
    <t xml:space="preserve">2019-06-17</t>
  </si>
  <si>
    <t xml:space="preserve">sam0435</t>
  </si>
  <si>
    <t xml:space="preserve">2021-09-09</t>
  </si>
  <si>
    <t xml:space="preserve">sam0436</t>
  </si>
  <si>
    <t xml:space="preserve">2021-09-13</t>
  </si>
  <si>
    <t xml:space="preserve">sam0437</t>
  </si>
  <si>
    <t xml:space="preserve">sam0438</t>
  </si>
  <si>
    <t xml:space="preserve">2022-08-10</t>
  </si>
  <si>
    <t xml:space="preserve">sam0439</t>
  </si>
  <si>
    <t xml:space="preserve">2022-05-09</t>
  </si>
  <si>
    <t xml:space="preserve">sam0440</t>
  </si>
  <si>
    <t xml:space="preserve">sam0441</t>
  </si>
  <si>
    <t xml:space="preserve">sam0442</t>
  </si>
  <si>
    <t xml:space="preserve">2020-09-16</t>
  </si>
  <si>
    <t xml:space="preserve">sam0443</t>
  </si>
  <si>
    <t xml:space="preserve">2020-09-18</t>
  </si>
  <si>
    <t xml:space="preserve">sam0444</t>
  </si>
  <si>
    <t xml:space="preserve">2020-11-18</t>
  </si>
  <si>
    <t xml:space="preserve">sam0445</t>
  </si>
  <si>
    <t xml:space="preserve">2017-10-23</t>
  </si>
  <si>
    <t xml:space="preserve">sam0446</t>
  </si>
  <si>
    <t xml:space="preserve">2020-01-09</t>
  </si>
  <si>
    <t xml:space="preserve">sam0447</t>
  </si>
  <si>
    <t xml:space="preserve">2020-01-10</t>
  </si>
  <si>
    <t xml:space="preserve">sam0448</t>
  </si>
  <si>
    <t xml:space="preserve">2022-06-23</t>
  </si>
  <si>
    <t xml:space="preserve">sam0450</t>
  </si>
  <si>
    <t xml:space="preserve">par0242</t>
  </si>
  <si>
    <t xml:space="preserve">2022-07-05</t>
  </si>
  <si>
    <t xml:space="preserve">sam0451</t>
  </si>
  <si>
    <t xml:space="preserve">par0243</t>
  </si>
  <si>
    <t xml:space="preserve">NED (Surveillance)</t>
  </si>
  <si>
    <t xml:space="preserve">sam0452</t>
  </si>
  <si>
    <t xml:space="preserve">par0244</t>
  </si>
  <si>
    <t xml:space="preserve">sam0453</t>
  </si>
  <si>
    <t xml:space="preserve">par0245</t>
  </si>
  <si>
    <t xml:space="preserve">2021-10-27</t>
  </si>
  <si>
    <t xml:space="preserve">date typo? </t>
  </si>
  <si>
    <t xml:space="preserve">sam0454</t>
  </si>
  <si>
    <t xml:space="preserve">par0246</t>
  </si>
  <si>
    <t xml:space="preserve">sam0455</t>
  </si>
  <si>
    <t xml:space="preserve">sam0456</t>
  </si>
  <si>
    <t xml:space="preserve">2022-09-20</t>
  </si>
  <si>
    <t xml:space="preserve">sam0457</t>
  </si>
  <si>
    <t xml:space="preserve">par0248</t>
  </si>
  <si>
    <t xml:space="preserve">sam0458</t>
  </si>
  <si>
    <t xml:space="preserve">2022-02-01</t>
  </si>
  <si>
    <t xml:space="preserve">sam0459</t>
  </si>
  <si>
    <t xml:space="preserve">2022-03-29</t>
  </si>
  <si>
    <t xml:space="preserve">sam0460</t>
  </si>
  <si>
    <t xml:space="preserve">sam0461</t>
  </si>
  <si>
    <t xml:space="preserve">sam0462</t>
  </si>
  <si>
    <t xml:space="preserve">sam0463</t>
  </si>
  <si>
    <t xml:space="preserve">sam0464</t>
  </si>
  <si>
    <t xml:space="preserve">sam0465</t>
  </si>
  <si>
    <t xml:space="preserve">sam0466</t>
  </si>
  <si>
    <t xml:space="preserve">sam0467</t>
  </si>
  <si>
    <t xml:space="preserve">par0250</t>
  </si>
  <si>
    <t xml:space="preserve">2022-08-11</t>
  </si>
  <si>
    <t xml:space="preserve">sam0468</t>
  </si>
  <si>
    <t xml:space="preserve">par0252</t>
  </si>
  <si>
    <t xml:space="preserve">2021-07-20</t>
  </si>
  <si>
    <t xml:space="preserve">NED (Surveillance)10 months post resection</t>
  </si>
  <si>
    <t xml:space="preserve">sam0469</t>
  </si>
  <si>
    <t xml:space="preserve">par0253</t>
  </si>
  <si>
    <t xml:space="preserve">sam0470</t>
  </si>
  <si>
    <t xml:space="preserve">sam0471</t>
  </si>
  <si>
    <t xml:space="preserve">par0254</t>
  </si>
  <si>
    <t xml:space="preserve">sam0472</t>
  </si>
  <si>
    <t xml:space="preserve">2021-09-07</t>
  </si>
  <si>
    <t xml:space="preserve">sam0473</t>
  </si>
  <si>
    <t xml:space="preserve">2021-08-17</t>
  </si>
  <si>
    <t xml:space="preserve">sam0474</t>
  </si>
  <si>
    <t xml:space="preserve">par0255</t>
  </si>
  <si>
    <t xml:space="preserve">sam0475</t>
  </si>
  <si>
    <t xml:space="preserve">par0256</t>
  </si>
  <si>
    <t xml:space="preserve">2021-11-02</t>
  </si>
  <si>
    <t xml:space="preserve">Residual MPNST/Surveillance (Resected, Close Margins), 8 months post resection</t>
  </si>
  <si>
    <t xml:space="preserve">sam0476</t>
  </si>
  <si>
    <t xml:space="preserve">sam0477</t>
  </si>
  <si>
    <t xml:space="preserve">par0258</t>
  </si>
  <si>
    <t xml:space="preserve">2022-08-23</t>
  </si>
  <si>
    <t xml:space="preserve">High Risk GIST + Plex, 8 months post resection</t>
  </si>
  <si>
    <t xml:space="preserve">nf1_lib72</t>
  </si>
  <si>
    <t xml:space="preserve">sam0478</t>
  </si>
  <si>
    <t xml:space="preserve">par0259</t>
  </si>
  <si>
    <t xml:space="preserve">sam0479</t>
  </si>
  <si>
    <t xml:space="preserve">par0260</t>
  </si>
  <si>
    <t xml:space="preserve">2022-04-12</t>
  </si>
  <si>
    <t xml:space="preserve">sam0480</t>
  </si>
  <si>
    <t xml:space="preserve">par0261</t>
  </si>
  <si>
    <t xml:space="preserve">sam0481</t>
  </si>
  <si>
    <t xml:space="preserve">par0291</t>
  </si>
  <si>
    <t xml:space="preserve">timept 1</t>
  </si>
  <si>
    <t xml:space="preserve">emseq_05</t>
  </si>
  <si>
    <t xml:space="preserve">sam0482</t>
  </si>
  <si>
    <t xml:space="preserve">par0292</t>
  </si>
  <si>
    <t xml:space="preserve">emseq_06</t>
  </si>
  <si>
    <t xml:space="preserve">sam0483</t>
  </si>
  <si>
    <t xml:space="preserve">timept 2</t>
  </si>
  <si>
    <t xml:space="preserve">emseq_07</t>
  </si>
  <si>
    <t xml:space="preserve">sam0484</t>
  </si>
  <si>
    <t xml:space="preserve">par0293</t>
  </si>
  <si>
    <t xml:space="preserve">emseq_08</t>
  </si>
  <si>
    <t xml:space="preserve">sam0493</t>
  </si>
  <si>
    <t xml:space="preserve">2024-10-15</t>
  </si>
  <si>
    <t xml:space="preserve">XXX - recent sample, no status listed</t>
  </si>
  <si>
    <t xml:space="preserve">nf1_lib1</t>
  </si>
  <si>
    <t xml:space="preserve">sam0494</t>
  </si>
  <si>
    <t xml:space="preserve">2023-08-29</t>
  </si>
  <si>
    <t xml:space="preserve">NED (MPNST+GIST), 5 months post resection</t>
  </si>
  <si>
    <t xml:space="preserve">nf1_lib2</t>
  </si>
  <si>
    <t xml:space="preserve">sam0495</t>
  </si>
  <si>
    <t xml:space="preserve">2024-09-03</t>
  </si>
  <si>
    <t xml:space="preserve">met mpnst on tx, 8 months post 3rd resection</t>
  </si>
  <si>
    <t xml:space="preserve">nf1_lib3</t>
  </si>
  <si>
    <t xml:space="preserve">sam0496</t>
  </si>
  <si>
    <t xml:space="preserve">2024-07-18</t>
  </si>
  <si>
    <t xml:space="preserve">?</t>
  </si>
  <si>
    <t xml:space="preserve">nf1_lib4</t>
  </si>
  <si>
    <t xml:space="preserve">sam0497</t>
  </si>
  <si>
    <t xml:space="preserve">par0294</t>
  </si>
  <si>
    <t xml:space="preserve">2023-07-25</t>
  </si>
  <si>
    <t xml:space="preserve">NED, mpnst and intracranial triton</t>
  </si>
  <si>
    <t xml:space="preserve">nf1_lib5</t>
  </si>
  <si>
    <t xml:space="preserve">sam0498</t>
  </si>
  <si>
    <t xml:space="preserve">2024-01-16</t>
  </si>
  <si>
    <t xml:space="preserve">nf1_lib6</t>
  </si>
  <si>
    <t xml:space="preserve">sam0499</t>
  </si>
  <si>
    <t xml:space="preserve">nf1_lib7</t>
  </si>
  <si>
    <t xml:space="preserve">sam0500</t>
  </si>
  <si>
    <t xml:space="preserve">par0295</t>
  </si>
  <si>
    <t xml:space="preserve">2024-04-16</t>
  </si>
  <si>
    <t xml:space="preserve">NED, previous MPNST and AN</t>
  </si>
  <si>
    <t xml:space="preserve">nf1_lib8</t>
  </si>
  <si>
    <t xml:space="preserve">sam0501</t>
  </si>
  <si>
    <t xml:space="preserve">nf1_lib9</t>
  </si>
  <si>
    <t xml:space="preserve">sam0502</t>
  </si>
  <si>
    <t xml:space="preserve">par0296</t>
  </si>
  <si>
    <t xml:space="preserve">2023-06-20</t>
  </si>
  <si>
    <t xml:space="preserve">2mL; NED (previous MPNST + squamous cell carcinoma); 7 months post 1st resection</t>
  </si>
  <si>
    <t xml:space="preserve">nf1_lib10</t>
  </si>
  <si>
    <t xml:space="preserve">sam0503</t>
  </si>
  <si>
    <t xml:space="preserve">2024-09-17</t>
  </si>
  <si>
    <t xml:space="preserve">NED (s/p recurrent MPNST resection on 5/23/2024, on radiation therapy); 4 months post 2nd resection</t>
  </si>
  <si>
    <t xml:space="preserve">nf1_lib11</t>
  </si>
  <si>
    <t xml:space="preserve">sam0504</t>
  </si>
  <si>
    <t xml:space="preserve">2024-06-18</t>
  </si>
  <si>
    <t xml:space="preserve">XXX - not listed?; 1 month post 2nd resection</t>
  </si>
  <si>
    <t xml:space="preserve">nf1_lib12</t>
  </si>
  <si>
    <t xml:space="preserve">sam0505</t>
  </si>
  <si>
    <t xml:space="preserve">2024-07-16</t>
  </si>
  <si>
    <t xml:space="preserve">nf1_lib13</t>
  </si>
  <si>
    <t xml:space="preserve">sam0506</t>
  </si>
  <si>
    <t xml:space="preserve">XXX - can't coorelate w/o date</t>
  </si>
  <si>
    <t xml:space="preserve">nf1_lib14</t>
  </si>
  <si>
    <t xml:space="preserve">sam0507</t>
  </si>
  <si>
    <t xml:space="preserve">par0297</t>
  </si>
  <si>
    <t xml:space="preserve">2023-04-04</t>
  </si>
  <si>
    <t xml:space="preserve">MPNST  (Large) (on chemo treatment)</t>
  </si>
  <si>
    <t xml:space="preserve">nf1_lib15</t>
  </si>
  <si>
    <t xml:space="preserve">sam0508</t>
  </si>
  <si>
    <t xml:space="preserve">2023-04-25</t>
  </si>
  <si>
    <t xml:space="preserve">MPNST (On treatment)</t>
  </si>
  <si>
    <t xml:space="preserve">nf1_lib16</t>
  </si>
  <si>
    <t xml:space="preserve">sam0509</t>
  </si>
  <si>
    <t xml:space="preserve">2023-06-06</t>
  </si>
  <si>
    <t xml:space="preserve">MPNST (On treatment); 2 weeks pre resection</t>
  </si>
  <si>
    <t xml:space="preserve">nf1_lib17</t>
  </si>
  <si>
    <t xml:space="preserve">sam0510</t>
  </si>
  <si>
    <t xml:space="preserve">2024-03-19</t>
  </si>
  <si>
    <t xml:space="preserve">Metastatic MPNST (on treatment) ; 1 month prior 2nd resection; relapse diagnosis date</t>
  </si>
  <si>
    <t xml:space="preserve">nf1_lib18</t>
  </si>
  <si>
    <t xml:space="preserve">sam0511</t>
  </si>
  <si>
    <t xml:space="preserve">2024-07-23</t>
  </si>
  <si>
    <t xml:space="preserve">NED (immediately post MPNST resection)</t>
  </si>
  <si>
    <t xml:space="preserve">nf1_lib19</t>
  </si>
  <si>
    <t xml:space="preserve">sam0512</t>
  </si>
  <si>
    <t xml:space="preserve">par0241</t>
  </si>
  <si>
    <t xml:space="preserve">2023-08-01</t>
  </si>
  <si>
    <t xml:space="preserve">nf1_lib20</t>
  </si>
  <si>
    <t xml:space="preserve">sam0513</t>
  </si>
  <si>
    <t xml:space="preserve">2024-10-22</t>
  </si>
  <si>
    <t xml:space="preserve">nf1_lib21</t>
  </si>
  <si>
    <t xml:space="preserve">sam0514</t>
  </si>
  <si>
    <t xml:space="preserve">2023-03-14</t>
  </si>
  <si>
    <t xml:space="preserve">NED(GIST) (previous MPNST)</t>
  </si>
  <si>
    <t xml:space="preserve">nf1_lib22</t>
  </si>
  <si>
    <t xml:space="preserve">sam0515</t>
  </si>
  <si>
    <t xml:space="preserve">2023-09-19</t>
  </si>
  <si>
    <t xml:space="preserve">GIST + NED of MPNST</t>
  </si>
  <si>
    <t xml:space="preserve">nf1_lib23</t>
  </si>
  <si>
    <t xml:space="preserve">sam0516</t>
  </si>
  <si>
    <t xml:space="preserve">nf1_lib24</t>
  </si>
  <si>
    <t xml:space="preserve">sam0517</t>
  </si>
  <si>
    <t xml:space="preserve">nf1_lib25</t>
  </si>
  <si>
    <t xml:space="preserve">sam0518</t>
  </si>
  <si>
    <t xml:space="preserve">nf1_lib26</t>
  </si>
  <si>
    <t xml:space="preserve">sam0519</t>
  </si>
  <si>
    <t xml:space="preserve">2023-11-14</t>
  </si>
  <si>
    <t xml:space="preserve">NED (Previous MPNST) + Plex</t>
  </si>
  <si>
    <t xml:space="preserve">nf1_lib27</t>
  </si>
  <si>
    <t xml:space="preserve">sam0520</t>
  </si>
  <si>
    <t xml:space="preserve">2022-12-27</t>
  </si>
  <si>
    <t xml:space="preserve">NED (Previous GIST)</t>
  </si>
  <si>
    <t xml:space="preserve">nf1_lib28</t>
  </si>
  <si>
    <t xml:space="preserve">sam0521</t>
  </si>
  <si>
    <t xml:space="preserve">2022-05-14</t>
  </si>
  <si>
    <t xml:space="preserve">NED (Previous MPNST + Wilms)</t>
  </si>
  <si>
    <t xml:space="preserve">nf1_lib29</t>
  </si>
  <si>
    <t xml:space="preserve">sam0522</t>
  </si>
  <si>
    <t xml:space="preserve">par0298</t>
  </si>
  <si>
    <t xml:space="preserve">2024-07-11</t>
  </si>
  <si>
    <t xml:space="preserve">NA (no clinical annotations)</t>
  </si>
  <si>
    <t xml:space="preserve">nf1_lib30</t>
  </si>
  <si>
    <t xml:space="preserve">sam0523</t>
  </si>
  <si>
    <t xml:space="preserve">2024-12-17</t>
  </si>
  <si>
    <t xml:space="preserve">NED (s/p recurrent localized MPNST - rad-induced, 3 months post radiation therapy) (ATM Mutation)</t>
  </si>
  <si>
    <t xml:space="preserve">nf1_lib31</t>
  </si>
  <si>
    <t xml:space="preserve">sam0524</t>
  </si>
  <si>
    <t xml:space="preserve">NED (previous metastatic MPNST, s/p left knee amputation and left upper lobe wedge resection)</t>
  </si>
  <si>
    <t xml:space="preserve">nf1_lib32</t>
  </si>
  <si>
    <t xml:space="preserve">sam0525</t>
  </si>
  <si>
    <t xml:space="preserve">2025-02-04</t>
  </si>
  <si>
    <t xml:space="preserve">nf1_lib33</t>
  </si>
  <si>
    <t xml:space="preserve">sam0526</t>
  </si>
  <si>
    <t xml:space="preserve">2025-02-18</t>
  </si>
  <si>
    <t xml:space="preserve">nf1_lib34</t>
  </si>
  <si>
    <t xml:space="preserve">sam0527</t>
  </si>
  <si>
    <t xml:space="preserve">nf1_lib35</t>
  </si>
  <si>
    <t xml:space="preserve">sam0528</t>
  </si>
  <si>
    <t xml:space="preserve">2024-10-08</t>
  </si>
  <si>
    <t xml:space="preserve">Plex (Previous Low Grade MPNST, likely recurrent ANNUBP)</t>
  </si>
  <si>
    <t xml:space="preserve">nf1_lib36</t>
  </si>
  <si>
    <t xml:space="preserve">sam0529</t>
  </si>
  <si>
    <t xml:space="preserve">2025-02-25</t>
  </si>
  <si>
    <t xml:space="preserve">nf1_lib37</t>
  </si>
  <si>
    <t xml:space="preserve">sam0530</t>
  </si>
  <si>
    <t xml:space="preserve">2024-03-12</t>
  </si>
  <si>
    <t xml:space="preserve">nf1_lib38</t>
  </si>
  <si>
    <t xml:space="preserve">sam0531</t>
  </si>
  <si>
    <t xml:space="preserve">nf1_lib39</t>
  </si>
  <si>
    <t xml:space="preserve">sam0532</t>
  </si>
  <si>
    <t xml:space="preserve">NED (Surveillance) + GIST</t>
  </si>
  <si>
    <t xml:space="preserve">nf1_lib40</t>
  </si>
  <si>
    <t xml:space="preserve">sam0533</t>
  </si>
  <si>
    <t xml:space="preserve">2023-02-28</t>
  </si>
  <si>
    <t xml:space="preserve">MPNST on Treatment (previous GIST), 1 month pre resection</t>
  </si>
  <si>
    <t xml:space="preserve">nf1_lib41</t>
  </si>
  <si>
    <t xml:space="preserve">sam0534</t>
  </si>
  <si>
    <t xml:space="preserve">2023-11-23</t>
  </si>
  <si>
    <t xml:space="preserve">NED (MPNST+GIST), 11/28/23? mis-dated? , 8 months post resection</t>
  </si>
  <si>
    <t xml:space="preserve">nf1_lib42</t>
  </si>
  <si>
    <t xml:space="preserve">sam0535</t>
  </si>
  <si>
    <t xml:space="preserve">nf1_lib43</t>
  </si>
  <si>
    <t xml:space="preserve">sam0536</t>
  </si>
  <si>
    <t xml:space="preserve">2023-06-27</t>
  </si>
  <si>
    <t xml:space="preserve">MPNST (Recurrent, Residual)</t>
  </si>
  <si>
    <t xml:space="preserve">nf1_lib44</t>
  </si>
  <si>
    <t xml:space="preserve">sam0537</t>
  </si>
  <si>
    <t xml:space="preserve">2023-07-03</t>
  </si>
  <si>
    <t xml:space="preserve">nf1_lib45</t>
  </si>
  <si>
    <t xml:space="preserve">sam0538</t>
  </si>
  <si>
    <t xml:space="preserve">2022-11-15</t>
  </si>
  <si>
    <t xml:space="preserve">MPNST (Pre-treatment, Intracranial Triton Tumor); cfDNA; 10ul; 44.8; </t>
  </si>
  <si>
    <t xml:space="preserve">nf1_lib46</t>
  </si>
  <si>
    <t xml:space="preserve">sam0539</t>
  </si>
  <si>
    <t xml:space="preserve">2021-11-19</t>
  </si>
  <si>
    <t xml:space="preserve">nf1_lib47</t>
  </si>
  <si>
    <t xml:space="preserve">sam0540</t>
  </si>
  <si>
    <t xml:space="preserve">2022-07-26</t>
  </si>
  <si>
    <t xml:space="preserve">nf1_lib48</t>
  </si>
  <si>
    <t xml:space="preserve">sam0541</t>
  </si>
  <si>
    <t xml:space="preserve">nf1_lib49</t>
  </si>
  <si>
    <t xml:space="preserve">sam0542</t>
  </si>
  <si>
    <t xml:space="preserve">nf1_lib50</t>
  </si>
  <si>
    <t xml:space="preserve">sam0543</t>
  </si>
  <si>
    <t xml:space="preserve">2023-01-17</t>
  </si>
  <si>
    <t xml:space="preserve">NED (previous MPNST)</t>
  </si>
  <si>
    <t xml:space="preserve">nf1_lib51</t>
  </si>
  <si>
    <t xml:space="preserve">sam0544</t>
  </si>
  <si>
    <t xml:space="preserve">NED (Previous MPNST) + ANNUBP</t>
  </si>
  <si>
    <t xml:space="preserve">nf1_lib52</t>
  </si>
  <si>
    <t xml:space="preserve">sam0545</t>
  </si>
  <si>
    <t xml:space="preserve">2023-10-02</t>
  </si>
  <si>
    <t xml:space="preserve">ANNUBP + (Previous MPNST) ; 10 days prior 2nd resection</t>
  </si>
  <si>
    <t xml:space="preserve">nf1_lib53</t>
  </si>
  <si>
    <t xml:space="preserve">sam0546</t>
  </si>
  <si>
    <t xml:space="preserve">2024-09-01</t>
  </si>
  <si>
    <t xml:space="preserve">NED (previous MPNST + ANNUBP); 2 months post 2nd resection</t>
  </si>
  <si>
    <t xml:space="preserve">nf1_lib54</t>
  </si>
  <si>
    <t xml:space="preserve">sam0547</t>
  </si>
  <si>
    <t xml:space="preserve">;</t>
  </si>
  <si>
    <t xml:space="preserve">nf1_lib55</t>
  </si>
  <si>
    <t xml:space="preserve">sam0548</t>
  </si>
  <si>
    <t xml:space="preserve">nf1_lib56</t>
  </si>
  <si>
    <t xml:space="preserve">sam0551</t>
  </si>
  <si>
    <t xml:space="preserve">nf1_lib59</t>
  </si>
  <si>
    <t xml:space="preserve">sam0552</t>
  </si>
  <si>
    <t xml:space="preserve">NED (Previous GIST), check date</t>
  </si>
  <si>
    <t xml:space="preserve">nf1_lib60</t>
  </si>
  <si>
    <t xml:space="preserve">sam0553</t>
  </si>
  <si>
    <t xml:space="preserve">2024-11-19</t>
  </si>
  <si>
    <t xml:space="preserve">nf1_lib61</t>
  </si>
  <si>
    <t xml:space="preserve">sam0554</t>
  </si>
  <si>
    <t xml:space="preserve">misdated? 2/25/2025? </t>
  </si>
  <si>
    <t xml:space="preserve">nf1_lib62</t>
  </si>
  <si>
    <t xml:space="preserve">sam0555</t>
  </si>
  <si>
    <t xml:space="preserve">nf1_lib63</t>
  </si>
  <si>
    <t xml:space="preserve">sam0556</t>
  </si>
  <si>
    <t xml:space="preserve">2024-05-28</t>
  </si>
  <si>
    <t xml:space="preserve">nf1_lib64</t>
  </si>
  <si>
    <t xml:space="preserve">sam0557</t>
  </si>
  <si>
    <t xml:space="preserve">2023-05-30</t>
  </si>
  <si>
    <t xml:space="preserve">Plex (Previous Low Grade MPNST)</t>
  </si>
  <si>
    <t xml:space="preserve">nf1_lib65</t>
  </si>
  <si>
    <t xml:space="preserve">sam0558</t>
  </si>
  <si>
    <t xml:space="preserve">2024-12-03</t>
  </si>
  <si>
    <t xml:space="preserve">nf1_lib66</t>
  </si>
  <si>
    <t xml:space="preserve">sam0560</t>
  </si>
  <si>
    <t xml:space="preserve">2022-10-18</t>
  </si>
  <si>
    <t xml:space="preserve">nf1_lib68</t>
  </si>
  <si>
    <t xml:space="preserve">sam0561</t>
  </si>
  <si>
    <t xml:space="preserve">2024-10-25</t>
  </si>
  <si>
    <t xml:space="preserve">ANNUBP (Recently resected MPNST)</t>
  </si>
  <si>
    <t xml:space="preserve">nf1_lib69</t>
  </si>
  <si>
    <t xml:space="preserve">sam0562</t>
  </si>
  <si>
    <t xml:space="preserve">NED (Previous MPNST); 2 months post 2nd resection</t>
  </si>
  <si>
    <t xml:space="preserve">nf1_lib70</t>
  </si>
  <si>
    <t xml:space="preserve">sam0563</t>
  </si>
  <si>
    <t xml:space="preserve">NED (s/p resection of metastatic MPNST)</t>
  </si>
  <si>
    <t xml:space="preserve">nf1_lib71</t>
  </si>
  <si>
    <t xml:space="preserve">sam0565</t>
  </si>
  <si>
    <t xml:space="preserve">nf1_lib73</t>
  </si>
  <si>
    <t xml:space="preserve">sam0566</t>
  </si>
  <si>
    <t xml:space="preserve">2025-01-14</t>
  </si>
  <si>
    <t xml:space="preserve">nf1_lib74</t>
  </si>
  <si>
    <t xml:space="preserve">sam0567</t>
  </si>
  <si>
    <t xml:space="preserve">NF1 (NE Plex, previous GIST 3 years s/p resection)</t>
  </si>
  <si>
    <t xml:space="preserve">nf1_lib75</t>
  </si>
  <si>
    <t xml:space="preserve">sam0568</t>
  </si>
  <si>
    <t xml:space="preserve">2022-10-25</t>
  </si>
  <si>
    <t xml:space="preserve">nf1_lib76</t>
  </si>
  <si>
    <t xml:space="preserve">sam0569</t>
  </si>
  <si>
    <t xml:space="preserve">2024-11-12</t>
  </si>
  <si>
    <t xml:space="preserve">concerning for recurrent MPNST (localized, previous recurrent MPNST in 2021, was ressected w/ negative margins) followup</t>
  </si>
  <si>
    <t xml:space="preserve">nf1_lib77</t>
  </si>
  <si>
    <t xml:space="preserve">sam0570</t>
  </si>
  <si>
    <t xml:space="preserve">2024-12-10</t>
  </si>
  <si>
    <t xml:space="preserve">nf1_lib78</t>
  </si>
  <si>
    <t xml:space="preserve">sam0571</t>
  </si>
  <si>
    <t xml:space="preserve">nf1_lib79</t>
  </si>
  <si>
    <t xml:space="preserve">sam0572</t>
  </si>
  <si>
    <t xml:space="preserve">nf1_lib80</t>
  </si>
  <si>
    <t xml:space="preserve">sam0573</t>
  </si>
  <si>
    <t xml:space="preserve">2024-01-23</t>
  </si>
  <si>
    <t xml:space="preserve">Residual MPNST (resected, positive margin)</t>
  </si>
  <si>
    <t xml:space="preserve">nf1_lib81</t>
  </si>
  <si>
    <t xml:space="preserve">sam0574</t>
  </si>
  <si>
    <t xml:space="preserve">High Risk GIST + Plex</t>
  </si>
  <si>
    <t xml:space="preserve">nf1_lib82</t>
  </si>
  <si>
    <t xml:space="preserve">sam0575</t>
  </si>
  <si>
    <t xml:space="preserve">2023-07-11</t>
  </si>
  <si>
    <t xml:space="preserve">nf1_lib83</t>
  </si>
  <si>
    <t xml:space="preserve">sam0576</t>
  </si>
  <si>
    <t xml:space="preserve">Residual MPNST + Wilms (Likely Rad Induced)</t>
  </si>
  <si>
    <t xml:space="preserve">nf1_lib84</t>
  </si>
  <si>
    <t xml:space="preserve">sam0577</t>
  </si>
  <si>
    <t xml:space="preserve">2024-04-06</t>
  </si>
  <si>
    <t xml:space="preserve">nf1_lib85</t>
  </si>
  <si>
    <t xml:space="preserve">sam0578</t>
  </si>
  <si>
    <t xml:space="preserve">2024-08-20</t>
  </si>
  <si>
    <t xml:space="preserve">MPNST (on treatment, s/p resection) + s/p Prostate + Testicular Cancer</t>
  </si>
  <si>
    <t xml:space="preserve">nf1_lib86</t>
  </si>
  <si>
    <t xml:space="preserve">sam0579</t>
  </si>
  <si>
    <t xml:space="preserve">NED (s/p MPNST resection, on treatment)</t>
  </si>
  <si>
    <t xml:space="preserve">nf1_lib87</t>
  </si>
  <si>
    <t xml:space="preserve">sam0580</t>
  </si>
  <si>
    <t xml:space="preserve">NED (previous MPNST triton tumor resected)</t>
  </si>
  <si>
    <t xml:space="preserve">nf1_lib88</t>
  </si>
  <si>
    <t xml:space="preserve">sam0581</t>
  </si>
  <si>
    <t xml:space="preserve">2022-12-20</t>
  </si>
  <si>
    <t xml:space="preserve">NED (Previous MPNST)</t>
  </si>
  <si>
    <t xml:space="preserve">nf1_lib89</t>
  </si>
  <si>
    <t xml:space="preserve">sam0582</t>
  </si>
  <si>
    <t xml:space="preserve">Local MPNST- Near Diagnosis, wrong date with previous? , 2 months prior to 1st resection</t>
  </si>
  <si>
    <t xml:space="preserve">nf1_lib90</t>
  </si>
  <si>
    <t xml:space="preserve">sam0583</t>
  </si>
  <si>
    <t xml:space="preserve">NED (previous MPNST), 5 months prior 2nd resection </t>
  </si>
  <si>
    <t xml:space="preserve">nf1_lib91</t>
  </si>
  <si>
    <t xml:space="preserve">sam0584</t>
  </si>
  <si>
    <t xml:space="preserve">nf1_lib92</t>
  </si>
  <si>
    <t xml:space="preserve">sam0585</t>
  </si>
  <si>
    <t xml:space="preserve">2023-10-17</t>
  </si>
  <si>
    <t xml:space="preserve">MPNST (Recurrent)</t>
  </si>
  <si>
    <t xml:space="preserve">nf1_lib93</t>
  </si>
  <si>
    <t xml:space="preserve">sam0586</t>
  </si>
  <si>
    <t xml:space="preserve">MPNST +ANNUBP (On Treatment); cfDNA; 10ul; 5.69; 7.5 months post resection</t>
  </si>
  <si>
    <t xml:space="preserve">nf1_lib94</t>
  </si>
  <si>
    <t xml:space="preserve">sam0587</t>
  </si>
  <si>
    <t xml:space="preserve">mouse terminal bleed </t>
  </si>
  <si>
    <t xml:space="preserve">nf1_lib95</t>
  </si>
  <si>
    <t xml:space="preserve">sam0588</t>
  </si>
  <si>
    <t xml:space="preserve">nf1_lib96</t>
  </si>
  <si>
    <t xml:space="preserve">sam0589</t>
  </si>
  <si>
    <t xml:space="preserve">nf1_lib97</t>
  </si>
  <si>
    <t xml:space="preserve">sam0590</t>
  </si>
  <si>
    <t xml:space="preserve">2024-08-30</t>
  </si>
  <si>
    <t xml:space="preserve">nf1_lib98</t>
  </si>
  <si>
    <t xml:space="preserve">sam0591</t>
  </si>
  <si>
    <t xml:space="preserve">nf1_lib99</t>
  </si>
  <si>
    <t xml:space="preserve">sam0592</t>
  </si>
  <si>
    <t xml:space="preserve">nf1_lib100</t>
  </si>
  <si>
    <t xml:space="preserve">sam0593</t>
  </si>
  <si>
    <t xml:space="preserve">2024-10-01</t>
  </si>
  <si>
    <t xml:space="preserve">mouse serial bleed</t>
  </si>
  <si>
    <t xml:space="preserve">nf1_lib101; m13 JH-2-005 1-4 D19 S </t>
  </si>
  <si>
    <t xml:space="preserve">sam0594</t>
  </si>
  <si>
    <t xml:space="preserve">nf1_lib102; m14 JH-2-005 4-5 D19 S</t>
  </si>
  <si>
    <t xml:space="preserve">sam0595</t>
  </si>
  <si>
    <t xml:space="preserve">nf1_lib103; m15 JH-2-005 5-5 D19 S</t>
  </si>
  <si>
    <t xml:space="preserve">sam0596</t>
  </si>
  <si>
    <t xml:space="preserve">nf1_lib104; m16 JH-2-005 3-2 D19 S</t>
  </si>
  <si>
    <t xml:space="preserve">sam0597</t>
  </si>
  <si>
    <t xml:space="preserve">nf1_lib105; m17 JH-2-005 3-3 D19 S</t>
  </si>
  <si>
    <t xml:space="preserve">sam0598</t>
  </si>
  <si>
    <t xml:space="preserve">nf1_lib106; m18 JH-2-005 7-5 D19 S</t>
  </si>
  <si>
    <t xml:space="preserve">sam0599</t>
  </si>
  <si>
    <t xml:space="preserve">2024-10-29</t>
  </si>
  <si>
    <t xml:space="preserve">nf1_lib107</t>
  </si>
  <si>
    <t xml:space="preserve">sam0600</t>
  </si>
  <si>
    <t xml:space="preserve">nf1_lib108</t>
  </si>
  <si>
    <t xml:space="preserve">sam0601</t>
  </si>
  <si>
    <t xml:space="preserve">nf1_lib109</t>
  </si>
  <si>
    <t xml:space="preserve">sam0602</t>
  </si>
  <si>
    <t xml:space="preserve">nf1_lib110</t>
  </si>
  <si>
    <t xml:space="preserve">sam0603</t>
  </si>
  <si>
    <t xml:space="preserve">nf1_lib111</t>
  </si>
  <si>
    <t xml:space="preserve">sam0604</t>
  </si>
  <si>
    <t xml:space="preserve">nf1_lib112</t>
  </si>
  <si>
    <t xml:space="preserve">sam0605</t>
  </si>
  <si>
    <t xml:space="preserve">par0299</t>
  </si>
  <si>
    <t xml:space="preserve">sam0606</t>
  </si>
  <si>
    <t xml:space="preserve">par0300</t>
  </si>
  <si>
    <t xml:space="preserve">1899-12-30</t>
  </si>
  <si>
    <t xml:space="preserve">sam0607</t>
  </si>
  <si>
    <t xml:space="preserve">sam0608</t>
  </si>
  <si>
    <t xml:space="preserve">sam0609</t>
  </si>
  <si>
    <t xml:space="preserve">sam0610</t>
  </si>
  <si>
    <t xml:space="preserve">sam0611</t>
  </si>
  <si>
    <t xml:space="preserve">sam0612</t>
  </si>
  <si>
    <t xml:space="preserve">sam0613</t>
  </si>
  <si>
    <t xml:space="preserve">2024-06-05</t>
  </si>
  <si>
    <t xml:space="preserve">mouse terminal bleed 400 ul</t>
  </si>
  <si>
    <t xml:space="preserve">sam0614</t>
  </si>
  <si>
    <t xml:space="preserve">mouse terminal bleed 300 ul</t>
  </si>
  <si>
    <t xml:space="preserve">sam0615</t>
  </si>
  <si>
    <t xml:space="preserve">sam0616</t>
  </si>
  <si>
    <t xml:space="preserve">2024-06-12</t>
  </si>
  <si>
    <t xml:space="preserve">sam0617</t>
  </si>
  <si>
    <t xml:space="preserve">sam0618</t>
  </si>
  <si>
    <t xml:space="preserve">sam0619</t>
  </si>
  <si>
    <t xml:space="preserve">sam0620</t>
  </si>
  <si>
    <t xml:space="preserve">sam0621</t>
  </si>
  <si>
    <t xml:space="preserve">sam0622</t>
  </si>
  <si>
    <t xml:space="preserve">sam0623</t>
  </si>
  <si>
    <t xml:space="preserve">sam0624</t>
  </si>
  <si>
    <t xml:space="preserve">sam0625</t>
  </si>
  <si>
    <t xml:space="preserve">2025-01-21</t>
  </si>
  <si>
    <t xml:space="preserve">concentration was too low to sequence for sample </t>
  </si>
  <si>
    <t xml:space="preserve">sam0626</t>
  </si>
  <si>
    <t xml:space="preserve">2022-12-13</t>
  </si>
  <si>
    <t xml:space="preserve">sam0627</t>
  </si>
  <si>
    <t xml:space="preserve">NED (Previous MPNST) + Plex, shipping and isolated but the final concentration was too low for sequencing</t>
  </si>
  <si>
    <t xml:space="preserve">sam0628</t>
  </si>
  <si>
    <t xml:space="preserve">2022-02-15</t>
  </si>
  <si>
    <t xml:space="preserve">sam0629</t>
  </si>
  <si>
    <t xml:space="preserve">2023-07-01</t>
  </si>
  <si>
    <t xml:space="preserve">sam0630</t>
  </si>
  <si>
    <t xml:space="preserve">sam0631</t>
  </si>
  <si>
    <t xml:space="preserve">1.5ml plasma NED (surveillance), 4 months post resection</t>
  </si>
  <si>
    <t xml:space="preserve">sam0632</t>
  </si>
  <si>
    <t xml:space="preserve">2023-04-18</t>
  </si>
  <si>
    <t xml:space="preserve">sam0633</t>
  </si>
  <si>
    <t xml:space="preserve">sam0634</t>
  </si>
  <si>
    <t xml:space="preserve">sam0635</t>
  </si>
  <si>
    <t xml:space="preserve">sam0636</t>
  </si>
  <si>
    <t xml:space="preserve">2024-09-02</t>
  </si>
  <si>
    <t xml:space="preserve">NED (s/p recurrent MPNST, resected 2/20/2019)</t>
  </si>
  <si>
    <t xml:space="preserve">sam0637</t>
  </si>
  <si>
    <t xml:space="preserve">2023-11-28</t>
  </si>
  <si>
    <t xml:space="preserve">sam0638</t>
  </si>
  <si>
    <t xml:space="preserve">par0301</t>
  </si>
  <si>
    <t xml:space="preserve">2021-11-23</t>
  </si>
  <si>
    <t xml:space="preserve">sam0639</t>
  </si>
  <si>
    <t xml:space="preserve">2023-05-16</t>
  </si>
  <si>
    <t xml:space="preserve">sam0640</t>
  </si>
  <si>
    <t xml:space="preserve">2024-05-14</t>
  </si>
  <si>
    <t xml:space="preserve">sam0641</t>
  </si>
  <si>
    <t xml:space="preserve">par0302</t>
  </si>
  <si>
    <t xml:space="preserve">sam0642</t>
  </si>
  <si>
    <t xml:space="preserve">2023-05-02</t>
  </si>
  <si>
    <t xml:space="preserve">sam0643</t>
  </si>
  <si>
    <t xml:space="preserve">sam0644</t>
  </si>
  <si>
    <t xml:space="preserve">sam0645</t>
  </si>
  <si>
    <t xml:space="preserve">2023-08-07</t>
  </si>
  <si>
    <t xml:space="preserve">sam0646</t>
  </si>
  <si>
    <t xml:space="preserve">2024-09-10</t>
  </si>
  <si>
    <t xml:space="preserve">sam0647</t>
  </si>
  <si>
    <t xml:space="preserve">NED (MPNST+GIST)</t>
  </si>
  <si>
    <t xml:space="preserve">sam0648</t>
  </si>
  <si>
    <t xml:space="preserve">sam0649</t>
  </si>
  <si>
    <t xml:space="preserve">NED (Surveillance), 1.5ml</t>
  </si>
  <si>
    <t xml:space="preserve">sam0650</t>
  </si>
  <si>
    <t xml:space="preserve">NED (Surveillance), 2ml</t>
  </si>
  <si>
    <t xml:space="preserve">sam0651</t>
  </si>
  <si>
    <t xml:space="preserve">sam0652</t>
  </si>
  <si>
    <t xml:space="preserve">XXX - not listed?</t>
  </si>
  <si>
    <t xml:space="preserve">sam0653</t>
  </si>
  <si>
    <t xml:space="preserve">Residual MPNST (Resected, On Treatment)</t>
  </si>
  <si>
    <t xml:space="preserve">sam0654</t>
  </si>
  <si>
    <t xml:space="preserve">Residual MPNST/Surveillance (Resected, Close Margins)</t>
  </si>
  <si>
    <t xml:space="preserve">sam0655</t>
  </si>
  <si>
    <t xml:space="preserve">sam0656</t>
  </si>
  <si>
    <t xml:space="preserve">sam0657</t>
  </si>
  <si>
    <t xml:space="preserve">sam0658</t>
  </si>
  <si>
    <t xml:space="preserve">sam0659</t>
  </si>
  <si>
    <t xml:space="preserve">par0303</t>
  </si>
  <si>
    <t xml:space="preserve">sam0660</t>
  </si>
  <si>
    <t xml:space="preserve">sam0661</t>
  </si>
  <si>
    <t xml:space="preserve">Residual MPNST (resected, positive margin); 7 months post resection; 0ng NCI for EM-seq</t>
  </si>
  <si>
    <t xml:space="preserve">sam0662</t>
  </si>
  <si>
    <t xml:space="preserve">“RJ”, failed bench QC,  RJ (12/13/22) was an empty tube that was sent.</t>
  </si>
  <si>
    <t xml:space="preserve">sam0663</t>
  </si>
  <si>
    <t xml:space="preserve">par0304</t>
  </si>
  <si>
    <t xml:space="preserve">1.5mL; NED (MPNST); not sequenced</t>
  </si>
  <si>
    <t xml:space="preserve">sam0664</t>
  </si>
  <si>
    <t xml:space="preserve">2mL;, NED (MPNST), not sequenced</t>
  </si>
  <si>
    <t xml:space="preserve">sam0665</t>
  </si>
  <si>
    <t xml:space="preserve">not received by NCI; Concerning MPNST; 3 month prior 2nd resection</t>
  </si>
  <si>
    <t xml:space="preserve">sam0666</t>
  </si>
  <si>
    <t xml:space="preserve">NCI received 0ng for EM-seq</t>
  </si>
  <si>
    <t xml:space="preserve">sam0667</t>
  </si>
  <si>
    <t xml:space="preserve">sam0668</t>
  </si>
  <si>
    <t xml:space="preserve">sam0669</t>
  </si>
  <si>
    <t xml:space="preserve">sam0670</t>
  </si>
  <si>
    <t xml:space="preserve">sam0671</t>
  </si>
  <si>
    <t xml:space="preserve">sam0672</t>
  </si>
  <si>
    <t xml:space="preserve">sam0673</t>
  </si>
  <si>
    <t xml:space="preserve">sam0674</t>
  </si>
  <si>
    <t xml:space="preserve">sam0675</t>
  </si>
  <si>
    <t xml:space="preserve">sam0676</t>
  </si>
  <si>
    <t xml:space="preserve">sam0677</t>
  </si>
  <si>
    <t xml:space="preserve">sam0678</t>
  </si>
  <si>
    <t xml:space="preserve">sam0679</t>
  </si>
  <si>
    <t xml:space="preserve">sam0680</t>
  </si>
  <si>
    <t xml:space="preserve">sam0681</t>
  </si>
  <si>
    <t xml:space="preserve">sam0682</t>
  </si>
  <si>
    <t xml:space="preserve">sam0683</t>
  </si>
  <si>
    <t xml:space="preserve">sam0684</t>
  </si>
  <si>
    <t xml:space="preserve">sam0685</t>
  </si>
  <si>
    <t xml:space="preserve">sam0686</t>
  </si>
  <si>
    <t xml:space="preserve">sam0687</t>
  </si>
  <si>
    <t xml:space="preserve">sam0688</t>
  </si>
  <si>
    <t xml:space="preserve">sam0689</t>
  </si>
  <si>
    <t xml:space="preserve">sam0690</t>
  </si>
  <si>
    <t xml:space="preserve">sam0691</t>
  </si>
  <si>
    <t xml:space="preserve">sam0692</t>
  </si>
  <si>
    <t xml:space="preserve">sam0693</t>
  </si>
  <si>
    <t xml:space="preserve">sam0694</t>
  </si>
  <si>
    <t xml:space="preserve">sam0695</t>
  </si>
  <si>
    <t xml:space="preserve">sam0696</t>
  </si>
  <si>
    <t xml:space="preserve">sam0697</t>
  </si>
  <si>
    <t xml:space="preserve">sam0698</t>
  </si>
  <si>
    <t xml:space="preserve">sam0699</t>
  </si>
  <si>
    <t xml:space="preserve">sam0700</t>
  </si>
  <si>
    <t xml:space="preserve">sam0701</t>
  </si>
  <si>
    <t xml:space="preserve">sam0702</t>
  </si>
  <si>
    <t xml:space="preserve">sam0703</t>
  </si>
  <si>
    <t xml:space="preserve">sam0704</t>
  </si>
  <si>
    <t xml:space="preserve">sam0705</t>
  </si>
  <si>
    <t xml:space="preserve">sam0706</t>
  </si>
  <si>
    <t xml:space="preserve">sam0707</t>
  </si>
  <si>
    <t xml:space="preserve">sam0708</t>
  </si>
  <si>
    <t xml:space="preserve">sam0709</t>
  </si>
  <si>
    <t xml:space="preserve">sam0710</t>
  </si>
  <si>
    <t xml:space="preserve">sam0711</t>
  </si>
  <si>
    <t xml:space="preserve">sam0712</t>
  </si>
  <si>
    <t xml:space="preserve">sam0713</t>
  </si>
  <si>
    <t xml:space="preserve">sam0714</t>
  </si>
  <si>
    <t xml:space="preserve">sam0715</t>
  </si>
  <si>
    <t xml:space="preserve">sam0716</t>
  </si>
  <si>
    <t xml:space="preserve">sam0717</t>
  </si>
  <si>
    <t xml:space="preserve">sam0718</t>
  </si>
  <si>
    <t xml:space="preserve">sam0719</t>
  </si>
  <si>
    <t xml:space="preserve">sam0720</t>
  </si>
  <si>
    <t xml:space="preserve">sam0721</t>
  </si>
  <si>
    <t xml:space="preserve">sam0722</t>
  </si>
  <si>
    <t xml:space="preserve">sam0723</t>
  </si>
  <si>
    <t xml:space="preserve">sam0724</t>
  </si>
  <si>
    <t xml:space="preserve">sam0725</t>
  </si>
  <si>
    <t xml:space="preserve">sam0726</t>
  </si>
  <si>
    <t xml:space="preserve">sam0727</t>
  </si>
  <si>
    <t xml:space="preserve">sam0728</t>
  </si>
  <si>
    <t xml:space="preserve">sam0729</t>
  </si>
  <si>
    <t xml:space="preserve">par0368</t>
  </si>
  <si>
    <t xml:space="preserve">sam0730</t>
  </si>
  <si>
    <t xml:space="preserve">par0369</t>
  </si>
  <si>
    <t xml:space="preserve">sam0731</t>
  </si>
  <si>
    <t xml:space="preserve">par0370</t>
  </si>
  <si>
    <t xml:space="preserve">sam0732</t>
  </si>
  <si>
    <t xml:space="preserve">par0371</t>
  </si>
  <si>
    <t xml:space="preserve">sam0733</t>
  </si>
  <si>
    <t xml:space="preserve">par0372</t>
  </si>
  <si>
    <t xml:space="preserve">sam0734</t>
  </si>
  <si>
    <t xml:space="preserve">par0373</t>
  </si>
  <si>
    <t xml:space="preserve">sam0735</t>
  </si>
  <si>
    <t xml:space="preserve">par0374</t>
  </si>
  <si>
    <t xml:space="preserve">sam0736</t>
  </si>
  <si>
    <t xml:space="preserve">par0375</t>
  </si>
  <si>
    <t xml:space="preserve">sam0737</t>
  </si>
  <si>
    <t xml:space="preserve">par0376</t>
  </si>
  <si>
    <t xml:space="preserve">sam0738</t>
  </si>
  <si>
    <t xml:space="preserve">par0377</t>
  </si>
  <si>
    <t xml:space="preserve">sam0739</t>
  </si>
  <si>
    <t xml:space="preserve">par0378</t>
  </si>
  <si>
    <t xml:space="preserve">sam0740</t>
  </si>
  <si>
    <t xml:space="preserve">par0379</t>
  </si>
  <si>
    <t xml:space="preserve">sam0741</t>
  </si>
  <si>
    <t xml:space="preserve">par0380</t>
  </si>
  <si>
    <t xml:space="preserve">sam0742</t>
  </si>
  <si>
    <t xml:space="preserve">par0381</t>
  </si>
  <si>
    <t xml:space="preserve">sam0743</t>
  </si>
  <si>
    <t xml:space="preserve">par0382</t>
  </si>
  <si>
    <t xml:space="preserve">run_id</t>
  </si>
  <si>
    <t xml:space="preserve">alt_run_id</t>
  </si>
  <si>
    <t xml:space="preserve">run_institution</t>
  </si>
  <si>
    <t xml:space="preserve">sequencer</t>
  </si>
  <si>
    <t xml:space="preserve">run_date</t>
  </si>
  <si>
    <t xml:space="preserve">run0001</t>
  </si>
  <si>
    <t xml:space="preserve">emseq_pilot</t>
  </si>
  <si>
    <t xml:space="preserve">jeszyman gmail</t>
  </si>
  <si>
    <t xml:space="preserve">run0002</t>
  </si>
  <si>
    <t xml:space="preserve">mayo_ldt_pilot</t>
  </si>
  <si>
    <t xml:space="preserve">some sample info in (box, gmail)</t>
  </si>
  <si>
    <t xml:space="preserve">run0003</t>
  </si>
  <si>
    <t xml:space="preserve">multiome</t>
  </si>
  <si>
    <t xml:space="preserve">run0004</t>
  </si>
  <si>
    <t xml:space="preserve">fmi</t>
  </si>
  <si>
    <t xml:space="preserve">Foundation medicine cfMeDIP-seq</t>
  </si>
  <si>
    <t xml:space="preserve">run0005</t>
  </si>
  <si>
    <t xml:space="preserve">50x_wgs</t>
  </si>
  <si>
    <t xml:space="preserve">50x WGS</t>
  </si>
  <si>
    <t xml:space="preserve">run0006</t>
  </si>
  <si>
    <t xml:space="preserve">aug_2022</t>
  </si>
  <si>
    <t xml:space="preserve">run0007</t>
  </si>
  <si>
    <t xml:space="preserve">nci_emseq_1</t>
  </si>
  <si>
    <t xml:space="preserve">run0008</t>
  </si>
  <si>
    <t xml:space="preserve">nci_emseq_2</t>
  </si>
  <si>
    <t xml:space="preserve">run0009</t>
  </si>
  <si>
    <t xml:space="preserve">mayo_breast_ca_healthies</t>
  </si>
  <si>
    <t xml:space="preserve">isolation_method</t>
  </si>
  <si>
    <t xml:space="preserve">adapter_type</t>
  </si>
  <si>
    <t xml:space="preserve">library_pairing</t>
  </si>
  <si>
    <t xml:space="preserve">input_ul</t>
  </si>
  <si>
    <t xml:space="preserve">input_pg_ul</t>
  </si>
  <si>
    <t xml:space="preserve">library_kit</t>
  </si>
  <si>
    <t xml:space="preserve">bench_size_selection</t>
  </si>
  <si>
    <t xml:space="preserve">dimer_cleanup</t>
  </si>
  <si>
    <t xml:space="preserve">library_pcr_cycles</t>
  </si>
  <si>
    <t xml:space="preserve">first_r1_basename</t>
  </si>
  <si>
    <t xml:space="preserve">biofluid_input_ml</t>
  </si>
  <si>
    <t xml:space="preserve">input_given_ng</t>
  </si>
  <si>
    <t xml:space="preserve">lib_ng_ul</t>
  </si>
  <si>
    <t xml:space="preserve">project_paper1_2</t>
  </si>
  <si>
    <t xml:space="preserve">project_ldt_validation_1</t>
  </si>
  <si>
    <t xml:space="preserve">project_emseq</t>
  </si>
  <si>
    <t xml:space="preserve">project_mouse</t>
  </si>
  <si>
    <t xml:space="preserve">lib0001</t>
  </si>
  <si>
    <t xml:space="preserve">cfdna</t>
  </si>
  <si>
    <t xml:space="preserve">truseq</t>
  </si>
  <si>
    <t xml:space="preserve">nano</t>
  </si>
  <si>
    <t xml:space="preserve">yes</t>
  </si>
  <si>
    <t xml:space="preserve">lib0002</t>
  </si>
  <si>
    <t xml:space="preserve">lib0003</t>
  </si>
  <si>
    <t xml:space="preserve">lib0004</t>
  </si>
  <si>
    <t xml:space="preserve">lib0005</t>
  </si>
  <si>
    <t xml:space="preserve">lib0006</t>
  </si>
  <si>
    <t xml:space="preserve">lib0007</t>
  </si>
  <si>
    <t xml:space="preserve">lib0008</t>
  </si>
  <si>
    <t xml:space="preserve">lib0009</t>
  </si>
  <si>
    <t xml:space="preserve">lib0010</t>
  </si>
  <si>
    <t xml:space="preserve">lib0011</t>
  </si>
  <si>
    <t xml:space="preserve">lib0012</t>
  </si>
  <si>
    <t xml:space="preserve">lib0013</t>
  </si>
  <si>
    <t xml:space="preserve">lib0014</t>
  </si>
  <si>
    <t xml:space="preserve">lib0015</t>
  </si>
  <si>
    <t xml:space="preserve">lib0016</t>
  </si>
  <si>
    <t xml:space="preserve">lib0017</t>
  </si>
  <si>
    <t xml:space="preserve">lib0018</t>
  </si>
  <si>
    <t xml:space="preserve">lib0019</t>
  </si>
  <si>
    <t xml:space="preserve">lib0020</t>
  </si>
  <si>
    <t xml:space="preserve">lib0021</t>
  </si>
  <si>
    <t xml:space="preserve">lib0022</t>
  </si>
  <si>
    <t xml:space="preserve">lib0023</t>
  </si>
  <si>
    <t xml:space="preserve">lib0024</t>
  </si>
  <si>
    <t xml:space="preserve">lib0025</t>
  </si>
  <si>
    <t xml:space="preserve">lib0026</t>
  </si>
  <si>
    <t xml:space="preserve">lib0027</t>
  </si>
  <si>
    <t xml:space="preserve">lib0028</t>
  </si>
  <si>
    <t xml:space="preserve">lib0029</t>
  </si>
  <si>
    <t xml:space="preserve">lib0030</t>
  </si>
  <si>
    <t xml:space="preserve">lib0031</t>
  </si>
  <si>
    <t xml:space="preserve">lib0032</t>
  </si>
  <si>
    <t xml:space="preserve">lib0033</t>
  </si>
  <si>
    <t xml:space="preserve">lib0034</t>
  </si>
  <si>
    <t xml:space="preserve">lib0035</t>
  </si>
  <si>
    <t xml:space="preserve">lib0036</t>
  </si>
  <si>
    <t xml:space="preserve">lib0037</t>
  </si>
  <si>
    <t xml:space="preserve">lib0038</t>
  </si>
  <si>
    <t xml:space="preserve">lib0039</t>
  </si>
  <si>
    <t xml:space="preserve">lib0040</t>
  </si>
  <si>
    <t xml:space="preserve">lib0041</t>
  </si>
  <si>
    <t xml:space="preserve">lib0042</t>
  </si>
  <si>
    <t xml:space="preserve">lib0043</t>
  </si>
  <si>
    <t xml:space="preserve">lib0044</t>
  </si>
  <si>
    <t xml:space="preserve">lib0045</t>
  </si>
  <si>
    <t xml:space="preserve">lib0046</t>
  </si>
  <si>
    <t xml:space="preserve">lib0047</t>
  </si>
  <si>
    <t xml:space="preserve">lib0048</t>
  </si>
  <si>
    <t xml:space="preserve">lib0049</t>
  </si>
  <si>
    <t xml:space="preserve">lib0050</t>
  </si>
  <si>
    <t xml:space="preserve">lib0051</t>
  </si>
  <si>
    <t xml:space="preserve">twist</t>
  </si>
  <si>
    <t xml:space="preserve">lib0052</t>
  </si>
  <si>
    <t xml:space="preserve">lib0053</t>
  </si>
  <si>
    <t xml:space="preserve">lib0054</t>
  </si>
  <si>
    <t xml:space="preserve">lib0055</t>
  </si>
  <si>
    <t xml:space="preserve">lib0056</t>
  </si>
  <si>
    <t xml:space="preserve">lib0057</t>
  </si>
  <si>
    <t xml:space="preserve">lib0058</t>
  </si>
  <si>
    <t xml:space="preserve">lib0059</t>
  </si>
  <si>
    <t xml:space="preserve">lib0060</t>
  </si>
  <si>
    <t xml:space="preserve">lib0061</t>
  </si>
  <si>
    <t xml:space="preserve">lib0062</t>
  </si>
  <si>
    <t xml:space="preserve">lib0063</t>
  </si>
  <si>
    <t xml:space="preserve">lib0064</t>
  </si>
  <si>
    <t xml:space="preserve">leukocyte</t>
  </si>
  <si>
    <t xml:space="preserve">lib0065</t>
  </si>
  <si>
    <t xml:space="preserve">lib0066</t>
  </si>
  <si>
    <t xml:space="preserve">lib0067</t>
  </si>
  <si>
    <t xml:space="preserve">lib0068</t>
  </si>
  <si>
    <t xml:space="preserve">lib0069</t>
  </si>
  <si>
    <t xml:space="preserve">lib0070</t>
  </si>
  <si>
    <t xml:space="preserve">lib0071</t>
  </si>
  <si>
    <t xml:space="preserve">lib0072</t>
  </si>
  <si>
    <t xml:space="preserve">lib0073</t>
  </si>
  <si>
    <t xml:space="preserve">lib0074</t>
  </si>
  <si>
    <t xml:space="preserve">lib0075</t>
  </si>
  <si>
    <t xml:space="preserve">lib0076</t>
  </si>
  <si>
    <t xml:space="preserve">lib0077</t>
  </si>
  <si>
    <t xml:space="preserve">lib0078</t>
  </si>
  <si>
    <t xml:space="preserve">lib0079</t>
  </si>
  <si>
    <t xml:space="preserve">lib0080</t>
  </si>
  <si>
    <t xml:space="preserve">lib0081</t>
  </si>
  <si>
    <t xml:space="preserve">lib0082</t>
  </si>
  <si>
    <t xml:space="preserve">N</t>
  </si>
  <si>
    <t xml:space="preserve">lib0083</t>
  </si>
  <si>
    <t xml:space="preserve">lib0084</t>
  </si>
  <si>
    <t xml:space="preserve">M</t>
  </si>
  <si>
    <t xml:space="preserve">lib0085</t>
  </si>
  <si>
    <t xml:space="preserve">lib0086</t>
  </si>
  <si>
    <t xml:space="preserve">lib0087</t>
  </si>
  <si>
    <t xml:space="preserve">lib0088</t>
  </si>
  <si>
    <t xml:space="preserve">lib0089</t>
  </si>
  <si>
    <t xml:space="preserve">lib0090</t>
  </si>
  <si>
    <t xml:space="preserve">lib0091</t>
  </si>
  <si>
    <t xml:space="preserve">lib0092</t>
  </si>
  <si>
    <t xml:space="preserve">lib0093</t>
  </si>
  <si>
    <t xml:space="preserve">lib0094</t>
  </si>
  <si>
    <t xml:space="preserve">lib0095</t>
  </si>
  <si>
    <t xml:space="preserve">lib0096</t>
  </si>
  <si>
    <t xml:space="preserve">lib0097</t>
  </si>
  <si>
    <t xml:space="preserve">lib0098</t>
  </si>
  <si>
    <t xml:space="preserve">lib0099</t>
  </si>
  <si>
    <t xml:space="preserve">lib0100</t>
  </si>
  <si>
    <t xml:space="preserve">lib0101</t>
  </si>
  <si>
    <t xml:space="preserve">lib0102</t>
  </si>
  <si>
    <t xml:space="preserve">lib0103</t>
  </si>
  <si>
    <t xml:space="preserve">lib0104</t>
  </si>
  <si>
    <t xml:space="preserve">lib0105</t>
  </si>
  <si>
    <t xml:space="preserve">lib0106</t>
  </si>
  <si>
    <t xml:space="preserve">lib0107</t>
  </si>
  <si>
    <t xml:space="preserve">lib0108</t>
  </si>
  <si>
    <t xml:space="preserve">lib0109</t>
  </si>
  <si>
    <t xml:space="preserve">lib0110</t>
  </si>
  <si>
    <t xml:space="preserve">lib0111</t>
  </si>
  <si>
    <t xml:space="preserve">lib0112</t>
  </si>
  <si>
    <t xml:space="preserve">lib0113</t>
  </si>
  <si>
    <t xml:space="preserve">lib0114</t>
  </si>
  <si>
    <t xml:space="preserve">lib0116</t>
  </si>
  <si>
    <t xml:space="preserve">lib0117</t>
  </si>
  <si>
    <t xml:space="preserve">lib0119</t>
  </si>
  <si>
    <t xml:space="preserve">capp_wgs</t>
  </si>
  <si>
    <t xml:space="preserve">kapa</t>
  </si>
  <si>
    <t xml:space="preserve">lib0120</t>
  </si>
  <si>
    <t xml:space="preserve">lib0121</t>
  </si>
  <si>
    <t xml:space="preserve">lib0122</t>
  </si>
  <si>
    <t xml:space="preserve">lib0123</t>
  </si>
  <si>
    <t xml:space="preserve">lib0124</t>
  </si>
  <si>
    <t xml:space="preserve">lib0125</t>
  </si>
  <si>
    <t xml:space="preserve">lib0126</t>
  </si>
  <si>
    <t xml:space="preserve">lib0127</t>
  </si>
  <si>
    <t xml:space="preserve">lib0128</t>
  </si>
  <si>
    <t xml:space="preserve">lib0129</t>
  </si>
  <si>
    <t xml:space="preserve">lib0130</t>
  </si>
  <si>
    <t xml:space="preserve">lib0131</t>
  </si>
  <si>
    <t xml:space="preserve">lib0132</t>
  </si>
  <si>
    <t xml:space="preserve">lib0133</t>
  </si>
  <si>
    <t xml:space="preserve">lib0134</t>
  </si>
  <si>
    <t xml:space="preserve">lib0135</t>
  </si>
  <si>
    <t xml:space="preserve">lib0136</t>
  </si>
  <si>
    <t xml:space="preserve">lib0137</t>
  </si>
  <si>
    <t xml:space="preserve">lib0138</t>
  </si>
  <si>
    <t xml:space="preserve">lib0139</t>
  </si>
  <si>
    <t xml:space="preserve">lib0140</t>
  </si>
  <si>
    <t xml:space="preserve">lib0141</t>
  </si>
  <si>
    <t xml:space="preserve">lib0142</t>
  </si>
  <si>
    <t xml:space="preserve">lib0143</t>
  </si>
  <si>
    <t xml:space="preserve">lib0144</t>
  </si>
  <si>
    <t xml:space="preserve">lib0145</t>
  </si>
  <si>
    <t xml:space="preserve">lib0146</t>
  </si>
  <si>
    <t xml:space="preserve">lib0147</t>
  </si>
  <si>
    <t xml:space="preserve">lib0148</t>
  </si>
  <si>
    <t xml:space="preserve">lib0149</t>
  </si>
  <si>
    <t xml:space="preserve">lib0150</t>
  </si>
  <si>
    <t xml:space="preserve">lib0151</t>
  </si>
  <si>
    <t xml:space="preserve">lib0152</t>
  </si>
  <si>
    <t xml:space="preserve">lib0153</t>
  </si>
  <si>
    <t xml:space="preserve">lib0154</t>
  </si>
  <si>
    <t xml:space="preserve">lib0155</t>
  </si>
  <si>
    <t xml:space="preserve">lib0156</t>
  </si>
  <si>
    <t xml:space="preserve">lib0157</t>
  </si>
  <si>
    <t xml:space="preserve">lib0158</t>
  </si>
  <si>
    <t xml:space="preserve">lib0160</t>
  </si>
  <si>
    <t xml:space="preserve">lib0161</t>
  </si>
  <si>
    <t xml:space="preserve">lib0162</t>
  </si>
  <si>
    <t xml:space="preserve">lib0163</t>
  </si>
  <si>
    <t xml:space="preserve">lib0164</t>
  </si>
  <si>
    <t xml:space="preserve">lib0165</t>
  </si>
  <si>
    <t xml:space="preserve">lib0166</t>
  </si>
  <si>
    <t xml:space="preserve">lib0167</t>
  </si>
  <si>
    <t xml:space="preserve">lib0168</t>
  </si>
  <si>
    <t xml:space="preserve">lib0169</t>
  </si>
  <si>
    <t xml:space="preserve">lib0170</t>
  </si>
  <si>
    <t xml:space="preserve">lib0171</t>
  </si>
  <si>
    <t xml:space="preserve">lib0172</t>
  </si>
  <si>
    <t xml:space="preserve">lib0173</t>
  </si>
  <si>
    <t xml:space="preserve">lib0174</t>
  </si>
  <si>
    <t xml:space="preserve">lib0175</t>
  </si>
  <si>
    <t xml:space="preserve">lib0176</t>
  </si>
  <si>
    <t xml:space="preserve">lib0177</t>
  </si>
  <si>
    <t xml:space="preserve">lib0178</t>
  </si>
  <si>
    <t xml:space="preserve">lib0179</t>
  </si>
  <si>
    <t xml:space="preserve">lib0180</t>
  </si>
  <si>
    <t xml:space="preserve">lib0181</t>
  </si>
  <si>
    <t xml:space="preserve">lib0182</t>
  </si>
  <si>
    <t xml:space="preserve">lib0183</t>
  </si>
  <si>
    <t xml:space="preserve">lib0184</t>
  </si>
  <si>
    <t xml:space="preserve">lib0185</t>
  </si>
  <si>
    <t xml:space="preserve">lib0186</t>
  </si>
  <si>
    <t xml:space="preserve">lib0187</t>
  </si>
  <si>
    <t xml:space="preserve">lib0188</t>
  </si>
  <si>
    <t xml:space="preserve">lib0189</t>
  </si>
  <si>
    <t xml:space="preserve">lib0190</t>
  </si>
  <si>
    <t xml:space="preserve">lib0191</t>
  </si>
  <si>
    <t xml:space="preserve">lib0192</t>
  </si>
  <si>
    <t xml:space="preserve">lib0193</t>
  </si>
  <si>
    <t xml:space="preserve">lib0194</t>
  </si>
  <si>
    <t xml:space="preserve">lib0195</t>
  </si>
  <si>
    <t xml:space="preserve">lib0196</t>
  </si>
  <si>
    <t xml:space="preserve">lib0197</t>
  </si>
  <si>
    <t xml:space="preserve">lib0198</t>
  </si>
  <si>
    <t xml:space="preserve">lib0199</t>
  </si>
  <si>
    <t xml:space="preserve">lib0201</t>
  </si>
  <si>
    <t xml:space="preserve">lib0202</t>
  </si>
  <si>
    <t xml:space="preserve">lib0203</t>
  </si>
  <si>
    <t xml:space="preserve">lib0204</t>
  </si>
  <si>
    <t xml:space="preserve">lib0205</t>
  </si>
  <si>
    <t xml:space="preserve">lib0206</t>
  </si>
  <si>
    <t xml:space="preserve">lib0207</t>
  </si>
  <si>
    <t xml:space="preserve">lib0208</t>
  </si>
  <si>
    <t xml:space="preserve">lib0209</t>
  </si>
  <si>
    <t xml:space="preserve">lib0210</t>
  </si>
  <si>
    <t xml:space="preserve">lib0211</t>
  </si>
  <si>
    <t xml:space="preserve">lib0212</t>
  </si>
  <si>
    <t xml:space="preserve">lib0213</t>
  </si>
  <si>
    <t xml:space="preserve">lib0215</t>
  </si>
  <si>
    <t xml:space="preserve">lib0217</t>
  </si>
  <si>
    <t xml:space="preserve">lib0218</t>
  </si>
  <si>
    <t xml:space="preserve">lib0220</t>
  </si>
  <si>
    <t xml:space="preserve">lib0221</t>
  </si>
  <si>
    <t xml:space="preserve">lib0222</t>
  </si>
  <si>
    <t xml:space="preserve">lib0223</t>
  </si>
  <si>
    <t xml:space="preserve">lib0224</t>
  </si>
  <si>
    <t xml:space="preserve">lib0226</t>
  </si>
  <si>
    <t xml:space="preserve">lib0227</t>
  </si>
  <si>
    <t xml:space="preserve">lib0228</t>
  </si>
  <si>
    <t xml:space="preserve">lib0229</t>
  </si>
  <si>
    <t xml:space="preserve">lib0230</t>
  </si>
  <si>
    <t xml:space="preserve">lib0231</t>
  </si>
  <si>
    <t xml:space="preserve">lib0232</t>
  </si>
  <si>
    <t xml:space="preserve">lib0233</t>
  </si>
  <si>
    <t xml:space="preserve">lib0234</t>
  </si>
  <si>
    <t xml:space="preserve">lib0235</t>
  </si>
  <si>
    <t xml:space="preserve">lib0236</t>
  </si>
  <si>
    <t xml:space="preserve">lib0237</t>
  </si>
  <si>
    <t xml:space="preserve">lib0238</t>
  </si>
  <si>
    <t xml:space="preserve">lib0239</t>
  </si>
  <si>
    <t xml:space="preserve">lib0240</t>
  </si>
  <si>
    <t xml:space="preserve">lib0241</t>
  </si>
  <si>
    <t xml:space="preserve">lib0242</t>
  </si>
  <si>
    <t xml:space="preserve">lib0243</t>
  </si>
  <si>
    <t xml:space="preserve">lib0244</t>
  </si>
  <si>
    <t xml:space="preserve">lib0245</t>
  </si>
  <si>
    <t xml:space="preserve">lib0246</t>
  </si>
  <si>
    <t xml:space="preserve">lib0247</t>
  </si>
  <si>
    <t xml:space="preserve">lib0248</t>
  </si>
  <si>
    <t xml:space="preserve">lib0249</t>
  </si>
  <si>
    <t xml:space="preserve">lib0250</t>
  </si>
  <si>
    <t xml:space="preserve">xgen</t>
  </si>
  <si>
    <t xml:space="preserve">lib0251</t>
  </si>
  <si>
    <t xml:space="preserve">lib0252</t>
  </si>
  <si>
    <t xml:space="preserve">lib0254</t>
  </si>
  <si>
    <t xml:space="preserve">lib0255</t>
  </si>
  <si>
    <t xml:space="preserve">lib0256</t>
  </si>
  <si>
    <t xml:space="preserve">lib0257</t>
  </si>
  <si>
    <t xml:space="preserve">lib0258</t>
  </si>
  <si>
    <t xml:space="preserve">lib0259</t>
  </si>
  <si>
    <t xml:space="preserve">lib0260</t>
  </si>
  <si>
    <t xml:space="preserve">lib0261</t>
  </si>
  <si>
    <t xml:space="preserve">Y</t>
  </si>
  <si>
    <t xml:space="preserve">lib0262</t>
  </si>
  <si>
    <t xml:space="preserve">lib0263</t>
  </si>
  <si>
    <t xml:space="preserve">lib0264</t>
  </si>
  <si>
    <t xml:space="preserve">lib0265</t>
  </si>
  <si>
    <t xml:space="preserve">lib0266</t>
  </si>
  <si>
    <t xml:space="preserve">lib0267</t>
  </si>
  <si>
    <t xml:space="preserve">lib0268</t>
  </si>
  <si>
    <t xml:space="preserve">lib0269</t>
  </si>
  <si>
    <t xml:space="preserve">lib0270</t>
  </si>
  <si>
    <t xml:space="preserve">lib0271</t>
  </si>
  <si>
    <t xml:space="preserve">lib0272</t>
  </si>
  <si>
    <t xml:space="preserve">lib0273</t>
  </si>
  <si>
    <t xml:space="preserve">lib0274</t>
  </si>
  <si>
    <t xml:space="preserve">lib0275</t>
  </si>
  <si>
    <t xml:space="preserve">lib0277</t>
  </si>
  <si>
    <t xml:space="preserve">lib0278</t>
  </si>
  <si>
    <t xml:space="preserve">lib0279</t>
  </si>
  <si>
    <t xml:space="preserve">lib0280</t>
  </si>
  <si>
    <t xml:space="preserve">lib0281</t>
  </si>
  <si>
    <t xml:space="preserve">lib0282</t>
  </si>
  <si>
    <t xml:space="preserve">lib0283</t>
  </si>
  <si>
    <t xml:space="preserve">lib0284</t>
  </si>
  <si>
    <t xml:space="preserve">lib0285</t>
  </si>
  <si>
    <t xml:space="preserve">lib0286</t>
  </si>
  <si>
    <t xml:space="preserve">lib0287</t>
  </si>
  <si>
    <t xml:space="preserve">lib0288</t>
  </si>
  <si>
    <t xml:space="preserve">lib0289</t>
  </si>
  <si>
    <t xml:space="preserve">lib0290</t>
  </si>
  <si>
    <t xml:space="preserve">lib0291</t>
  </si>
  <si>
    <t xml:space="preserve">lib0292</t>
  </si>
  <si>
    <t xml:space="preserve">lib0293</t>
  </si>
  <si>
    <t xml:space="preserve">lib0294</t>
  </si>
  <si>
    <t xml:space="preserve">lib0295</t>
  </si>
  <si>
    <t xml:space="preserve">lib0296</t>
  </si>
  <si>
    <t xml:space="preserve">lib0297</t>
  </si>
  <si>
    <t xml:space="preserve">lib0298</t>
  </si>
  <si>
    <t xml:space="preserve">lib0299</t>
  </si>
  <si>
    <t xml:space="preserve">lib0300</t>
  </si>
  <si>
    <t xml:space="preserve">lib0301</t>
  </si>
  <si>
    <t xml:space="preserve">lib0302</t>
  </si>
  <si>
    <t xml:space="preserve">lib0303</t>
  </si>
  <si>
    <t xml:space="preserve">lib0304</t>
  </si>
  <si>
    <t xml:space="preserve">lib0305</t>
  </si>
  <si>
    <t xml:space="preserve">lib0306</t>
  </si>
  <si>
    <t xml:space="preserve">lib0307</t>
  </si>
  <si>
    <t xml:space="preserve">lib0308</t>
  </si>
  <si>
    <t xml:space="preserve">lib0309</t>
  </si>
  <si>
    <t xml:space="preserve">lib0310</t>
  </si>
  <si>
    <t xml:space="preserve">lib0311</t>
  </si>
  <si>
    <t xml:space="preserve">lib0312</t>
  </si>
  <si>
    <t xml:space="preserve">lib0313</t>
  </si>
  <si>
    <t xml:space="preserve">lib0314</t>
  </si>
  <si>
    <t xml:space="preserve">lib0315</t>
  </si>
  <si>
    <t xml:space="preserve">lib0316</t>
  </si>
  <si>
    <t xml:space="preserve">lib0317</t>
  </si>
  <si>
    <t xml:space="preserve">lib0318</t>
  </si>
  <si>
    <t xml:space="preserve">lib0319</t>
  </si>
  <si>
    <t xml:space="preserve">lib0320</t>
  </si>
  <si>
    <t xml:space="preserve">lib0321</t>
  </si>
  <si>
    <t xml:space="preserve">lib0322</t>
  </si>
  <si>
    <t xml:space="preserve">lib0323</t>
  </si>
  <si>
    <t xml:space="preserve">lib0324</t>
  </si>
  <si>
    <t xml:space="preserve">lib0327</t>
  </si>
  <si>
    <t xml:space="preserve">lib0328</t>
  </si>
  <si>
    <t xml:space="preserve">lib0329</t>
  </si>
  <si>
    <t xml:space="preserve">lib0330</t>
  </si>
  <si>
    <t xml:space="preserve">lib0331</t>
  </si>
  <si>
    <t xml:space="preserve">lib0332</t>
  </si>
  <si>
    <t xml:space="preserve">lib0333</t>
  </si>
  <si>
    <t xml:space="preserve">lib0334</t>
  </si>
  <si>
    <t xml:space="preserve">lib0335</t>
  </si>
  <si>
    <t xml:space="preserve">lib0336</t>
  </si>
  <si>
    <t xml:space="preserve">lib0337</t>
  </si>
  <si>
    <t xml:space="preserve">lib0338</t>
  </si>
  <si>
    <t xml:space="preserve">lib0339</t>
  </si>
  <si>
    <t xml:space="preserve">lib0340</t>
  </si>
  <si>
    <t xml:space="preserve">lib0341</t>
  </si>
  <si>
    <t xml:space="preserve">lib0342</t>
  </si>
  <si>
    <t xml:space="preserve">lib0343</t>
  </si>
  <si>
    <t xml:space="preserve">lib0344</t>
  </si>
  <si>
    <t xml:space="preserve">lib0345</t>
  </si>
  <si>
    <t xml:space="preserve">lib0346</t>
  </si>
  <si>
    <t xml:space="preserve">lib0347</t>
  </si>
  <si>
    <t xml:space="preserve">lib0348</t>
  </si>
  <si>
    <t xml:space="preserve">lib0349</t>
  </si>
  <si>
    <t xml:space="preserve">lib0350</t>
  </si>
  <si>
    <t xml:space="preserve">lib0351</t>
  </si>
  <si>
    <t xml:space="preserve">lib0352</t>
  </si>
  <si>
    <t xml:space="preserve">lib0353</t>
  </si>
  <si>
    <t xml:space="preserve">lib0354</t>
  </si>
  <si>
    <t xml:space="preserve">lib0355</t>
  </si>
  <si>
    <t xml:space="preserve">lib0356</t>
  </si>
  <si>
    <t xml:space="preserve">lib0357</t>
  </si>
  <si>
    <t xml:space="preserve">lib0358</t>
  </si>
  <si>
    <t xml:space="preserve">lib0359</t>
  </si>
  <si>
    <t xml:space="preserve">lib0360</t>
  </si>
  <si>
    <t xml:space="preserve">lib0361</t>
  </si>
  <si>
    <t xml:space="preserve">lib0362</t>
  </si>
  <si>
    <t xml:space="preserve">lib0363</t>
  </si>
  <si>
    <t xml:space="preserve">lib0364</t>
  </si>
  <si>
    <t xml:space="preserve">lib0365</t>
  </si>
  <si>
    <t xml:space="preserve">lib0366</t>
  </si>
  <si>
    <t xml:space="preserve">lib0367</t>
  </si>
  <si>
    <t xml:space="preserve">lib0368</t>
  </si>
  <si>
    <t xml:space="preserve">lib0369</t>
  </si>
  <si>
    <t xml:space="preserve">lib0370</t>
  </si>
  <si>
    <t xml:space="preserve">lib0380</t>
  </si>
  <si>
    <t xml:space="preserve">lib0381</t>
  </si>
  <si>
    <t xml:space="preserve">lib0382</t>
  </si>
  <si>
    <t xml:space="preserve">lib0383</t>
  </si>
  <si>
    <t xml:space="preserve">lib0384</t>
  </si>
  <si>
    <t xml:space="preserve">lib0385</t>
  </si>
  <si>
    <t xml:space="preserve">lib0386</t>
  </si>
  <si>
    <t xml:space="preserve">lib0387</t>
  </si>
  <si>
    <t xml:space="preserve">lib0388</t>
  </si>
  <si>
    <t xml:space="preserve">lib0390</t>
  </si>
  <si>
    <t xml:space="preserve">lib0391</t>
  </si>
  <si>
    <t xml:space="preserve">lib0392</t>
  </si>
  <si>
    <t xml:space="preserve">lib0393</t>
  </si>
  <si>
    <t xml:space="preserve">lib0394</t>
  </si>
  <si>
    <t xml:space="preserve">lib0395</t>
  </si>
  <si>
    <t xml:space="preserve">lib0396</t>
  </si>
  <si>
    <t xml:space="preserve">lib0397</t>
  </si>
  <si>
    <t xml:space="preserve">lib0398</t>
  </si>
  <si>
    <t xml:space="preserve">lib0399</t>
  </si>
  <si>
    <t xml:space="preserve">lib0400</t>
  </si>
  <si>
    <t xml:space="preserve">lib0401</t>
  </si>
  <si>
    <t xml:space="preserve">lib0402</t>
  </si>
  <si>
    <t xml:space="preserve">lib0404</t>
  </si>
  <si>
    <t xml:space="preserve">lib0405</t>
  </si>
  <si>
    <t xml:space="preserve">lib0406</t>
  </si>
  <si>
    <t xml:space="preserve">lib0407</t>
  </si>
  <si>
    <t xml:space="preserve">lib0408</t>
  </si>
  <si>
    <t xml:space="preserve">lib0409</t>
  </si>
  <si>
    <t xml:space="preserve">lib0410</t>
  </si>
  <si>
    <t xml:space="preserve">lib0411</t>
  </si>
  <si>
    <t xml:space="preserve">lib0412</t>
  </si>
  <si>
    <t xml:space="preserve">lib0413</t>
  </si>
  <si>
    <t xml:space="preserve">lib0414</t>
  </si>
  <si>
    <t xml:space="preserve">lib0415</t>
  </si>
  <si>
    <t xml:space="preserve">lib0416</t>
  </si>
  <si>
    <t xml:space="preserve">emseq</t>
  </si>
  <si>
    <t xml:space="preserve">nebmeth</t>
  </si>
  <si>
    <t xml:space="preserve">lib0417</t>
  </si>
  <si>
    <t xml:space="preserve">lib0418</t>
  </si>
  <si>
    <t xml:space="preserve">lib0419</t>
  </si>
  <si>
    <t xml:space="preserve">lib0421</t>
  </si>
  <si>
    <t xml:space="preserve">lib0422</t>
  </si>
  <si>
    <t xml:space="preserve">lib0423</t>
  </si>
  <si>
    <t xml:space="preserve">lib0424</t>
  </si>
  <si>
    <t xml:space="preserve">lib0425</t>
  </si>
  <si>
    <t xml:space="preserve">lib0426</t>
  </si>
  <si>
    <t xml:space="preserve">lib0427</t>
  </si>
  <si>
    <t xml:space="preserve">lib0428</t>
  </si>
  <si>
    <t xml:space="preserve">lib0429</t>
  </si>
  <si>
    <t xml:space="preserve">lib0430</t>
  </si>
  <si>
    <t xml:space="preserve">lib0431</t>
  </si>
  <si>
    <t xml:space="preserve">lib0432</t>
  </si>
  <si>
    <t xml:space="preserve">lib0433</t>
  </si>
  <si>
    <t xml:space="preserve">lib0434</t>
  </si>
  <si>
    <t xml:space="preserve">lib0435</t>
  </si>
  <si>
    <t xml:space="preserve">lib0436</t>
  </si>
  <si>
    <t xml:space="preserve">lib0437</t>
  </si>
  <si>
    <t xml:space="preserve">lib0438</t>
  </si>
  <si>
    <t xml:space="preserve">lib0439</t>
  </si>
  <si>
    <t xml:space="preserve">lib0440</t>
  </si>
  <si>
    <t xml:space="preserve">lib0441</t>
  </si>
  <si>
    <t xml:space="preserve">lib0442</t>
  </si>
  <si>
    <t xml:space="preserve">lib0443</t>
  </si>
  <si>
    <t xml:space="preserve">lib0444</t>
  </si>
  <si>
    <t xml:space="preserve">lib0445</t>
  </si>
  <si>
    <t xml:space="preserve">lib0446</t>
  </si>
  <si>
    <t xml:space="preserve">lib0447</t>
  </si>
  <si>
    <t xml:space="preserve">lib0448</t>
  </si>
  <si>
    <t xml:space="preserve">lib0449</t>
  </si>
  <si>
    <t xml:space="preserve">lib0450</t>
  </si>
  <si>
    <t xml:space="preserve">lib0451</t>
  </si>
  <si>
    <t xml:space="preserve">lib0452</t>
  </si>
  <si>
    <t xml:space="preserve">lib0453</t>
  </si>
  <si>
    <t xml:space="preserve">lib0454</t>
  </si>
  <si>
    <t xml:space="preserve">lib0455</t>
  </si>
  <si>
    <t xml:space="preserve">lib0456</t>
  </si>
  <si>
    <t xml:space="preserve">lib0457</t>
  </si>
  <si>
    <t xml:space="preserve">lib0458</t>
  </si>
  <si>
    <t xml:space="preserve">lib0459</t>
  </si>
  <si>
    <t xml:space="preserve">lib0460</t>
  </si>
  <si>
    <t xml:space="preserve">lib0461</t>
  </si>
  <si>
    <t xml:space="preserve">lib0462</t>
  </si>
  <si>
    <t xml:space="preserve">lib0463</t>
  </si>
  <si>
    <t xml:space="preserve">lib0464</t>
  </si>
  <si>
    <t xml:space="preserve">lib0465</t>
  </si>
  <si>
    <t xml:space="preserve">lib0466</t>
  </si>
  <si>
    <t xml:space="preserve">lib0467</t>
  </si>
  <si>
    <t xml:space="preserve">lib0468</t>
  </si>
  <si>
    <t xml:space="preserve">lib0469</t>
  </si>
  <si>
    <t xml:space="preserve">lib0470</t>
  </si>
  <si>
    <t xml:space="preserve">lib0471</t>
  </si>
  <si>
    <t xml:space="preserve">lib0472</t>
  </si>
  <si>
    <t xml:space="preserve">lib0473</t>
  </si>
  <si>
    <t xml:space="preserve">lib0474</t>
  </si>
  <si>
    <t xml:space="preserve">lib0475</t>
  </si>
  <si>
    <t xml:space="preserve">lib0476</t>
  </si>
  <si>
    <t xml:space="preserve">lib0477</t>
  </si>
  <si>
    <t xml:space="preserve">lib0478</t>
  </si>
  <si>
    <t xml:space="preserve">lib0479</t>
  </si>
  <si>
    <t xml:space="preserve">lib0480</t>
  </si>
  <si>
    <t xml:space="preserve">lib0481</t>
  </si>
  <si>
    <t xml:space="preserve">lib0482</t>
  </si>
  <si>
    <t xml:space="preserve">lib0483</t>
  </si>
  <si>
    <t xml:space="preserve">lib0484</t>
  </si>
  <si>
    <t xml:space="preserve">lib0485</t>
  </si>
  <si>
    <t xml:space="preserve">lib0486</t>
  </si>
  <si>
    <t xml:space="preserve">lib0487</t>
  </si>
  <si>
    <t xml:space="preserve">lib0488</t>
  </si>
  <si>
    <t xml:space="preserve">lib0489</t>
  </si>
  <si>
    <t xml:space="preserve">lib0490</t>
  </si>
  <si>
    <t xml:space="preserve">lib0491</t>
  </si>
  <si>
    <t xml:space="preserve">lib0492</t>
  </si>
  <si>
    <t xml:space="preserve">lib0493</t>
  </si>
  <si>
    <t xml:space="preserve">lib0494</t>
  </si>
  <si>
    <t xml:space="preserve">lib0495</t>
  </si>
  <si>
    <t xml:space="preserve">lib0496</t>
  </si>
  <si>
    <t xml:space="preserve">lib0497</t>
  </si>
  <si>
    <t xml:space="preserve">lib0498</t>
  </si>
  <si>
    <t xml:space="preserve">lib0499</t>
  </si>
  <si>
    <t xml:space="preserve">lib0500</t>
  </si>
  <si>
    <t xml:space="preserve">lib0501</t>
  </si>
  <si>
    <t xml:space="preserve">lib0502</t>
  </si>
  <si>
    <t xml:space="preserve">lib0503</t>
  </si>
  <si>
    <t xml:space="preserve">lib0504</t>
  </si>
  <si>
    <t xml:space="preserve">lib0505</t>
  </si>
  <si>
    <t xml:space="preserve">lib0506</t>
  </si>
  <si>
    <t xml:space="preserve">lib0507</t>
  </si>
  <si>
    <t xml:space="preserve">lib0508</t>
  </si>
  <si>
    <t xml:space="preserve">lib0509</t>
  </si>
  <si>
    <t xml:space="preserve">lib0510</t>
  </si>
  <si>
    <t xml:space="preserve">lib0511</t>
  </si>
  <si>
    <t xml:space="preserve">lib0512</t>
  </si>
  <si>
    <t xml:space="preserve">lib0513</t>
  </si>
  <si>
    <t xml:space="preserve">lib0514</t>
  </si>
  <si>
    <t xml:space="preserve">lib0515</t>
  </si>
  <si>
    <t xml:space="preserve">lib0516</t>
  </si>
  <si>
    <t xml:space="preserve">lib0517</t>
  </si>
  <si>
    <t xml:space="preserve">lib0518</t>
  </si>
  <si>
    <t xml:space="preserve">lib0519</t>
  </si>
  <si>
    <t xml:space="preserve">lib0520</t>
  </si>
  <si>
    <t xml:space="preserve">lib0521</t>
  </si>
  <si>
    <t xml:space="preserve">lib0522</t>
  </si>
  <si>
    <t xml:space="preserve">lib0523</t>
  </si>
  <si>
    <t xml:space="preserve">lib0524</t>
  </si>
  <si>
    <t xml:space="preserve">lib0525</t>
  </si>
  <si>
    <t xml:space="preserve">lib0526</t>
  </si>
  <si>
    <t xml:space="preserve">lib0527</t>
  </si>
  <si>
    <t xml:space="preserve">lib0528</t>
  </si>
  <si>
    <t xml:space="preserve">lib0529</t>
  </si>
  <si>
    <t xml:space="preserve">lib0530</t>
  </si>
  <si>
    <t xml:space="preserve">lib0531</t>
  </si>
  <si>
    <t xml:space="preserve">lib0532</t>
  </si>
  <si>
    <t xml:space="preserve">lib0533</t>
  </si>
  <si>
    <t xml:space="preserve">lib0534</t>
  </si>
  <si>
    <t xml:space="preserve">lib0535</t>
  </si>
  <si>
    <t xml:space="preserve">lib0536</t>
  </si>
  <si>
    <t xml:space="preserve">lib0537</t>
  </si>
  <si>
    <t xml:space="preserve">lib0538</t>
  </si>
  <si>
    <t xml:space="preserve">lib0539</t>
  </si>
  <si>
    <t xml:space="preserve">lib0540</t>
  </si>
  <si>
    <t xml:space="preserve">lib0541</t>
  </si>
  <si>
    <t xml:space="preserve">lib0542</t>
  </si>
  <si>
    <t xml:space="preserve">lib0543</t>
  </si>
  <si>
    <t xml:space="preserve">lib0544</t>
  </si>
  <si>
    <t xml:space="preserve">lib0545</t>
  </si>
  <si>
    <t xml:space="preserve">lib0546</t>
  </si>
  <si>
    <t xml:space="preserve">lib0547</t>
  </si>
  <si>
    <t xml:space="preserve">lib0548</t>
  </si>
  <si>
    <t xml:space="preserve">lib0549</t>
  </si>
  <si>
    <t xml:space="preserve">lib0550</t>
  </si>
  <si>
    <t xml:space="preserve">lib0551</t>
  </si>
  <si>
    <t xml:space="preserve">lib0552</t>
  </si>
  <si>
    <t xml:space="preserve">lib0553</t>
  </si>
  <si>
    <t xml:space="preserve">lib0554</t>
  </si>
  <si>
    <t xml:space="preserve">lib0555</t>
  </si>
  <si>
    <t xml:space="preserve">lib0556</t>
  </si>
  <si>
    <t xml:space="preserve">lib0557</t>
  </si>
  <si>
    <t xml:space="preserve">lib0558</t>
  </si>
  <si>
    <t xml:space="preserve">lib0559</t>
  </si>
  <si>
    <t xml:space="preserve">lib0560</t>
  </si>
  <si>
    <t xml:space="preserve">lib0561</t>
  </si>
  <si>
    <t xml:space="preserve">lib0562</t>
  </si>
  <si>
    <t xml:space="preserve">lib0563</t>
  </si>
  <si>
    <t xml:space="preserve">lib0564</t>
  </si>
  <si>
    <t xml:space="preserve">lib0565</t>
  </si>
  <si>
    <t xml:space="preserve">lib0566</t>
  </si>
  <si>
    <t xml:space="preserve">lib0567</t>
  </si>
  <si>
    <t xml:space="preserve">lib0568</t>
  </si>
  <si>
    <t xml:space="preserve">lib0569</t>
  </si>
  <si>
    <t xml:space="preserve">lib0570</t>
  </si>
  <si>
    <t xml:space="preserve">lib0571</t>
  </si>
  <si>
    <t xml:space="preserve">lib0572</t>
  </si>
  <si>
    <t xml:space="preserve">lib0573</t>
  </si>
  <si>
    <t xml:space="preserve">lib0574</t>
  </si>
  <si>
    <t xml:space="preserve">markers not detected</t>
  </si>
  <si>
    <t xml:space="preserve">lib0575</t>
  </si>
  <si>
    <t xml:space="preserve">lib0576</t>
  </si>
  <si>
    <t xml:space="preserve">lib0577</t>
  </si>
  <si>
    <t xml:space="preserve">lib0578</t>
  </si>
  <si>
    <t xml:space="preserve">lib0579</t>
  </si>
  <si>
    <t xml:space="preserve">lib0580</t>
  </si>
  <si>
    <t xml:space="preserve">lib0581</t>
  </si>
  <si>
    <t xml:space="preserve">lib0582</t>
  </si>
  <si>
    <t xml:space="preserve">lib0583</t>
  </si>
  <si>
    <t xml:space="preserve">lib0584</t>
  </si>
  <si>
    <t xml:space="preserve">sam0549</t>
  </si>
  <si>
    <t xml:space="preserve">lib0585</t>
  </si>
  <si>
    <t xml:space="preserve">lib0586</t>
  </si>
  <si>
    <t xml:space="preserve">lib0587</t>
  </si>
  <si>
    <t xml:space="preserve">lib0588</t>
  </si>
  <si>
    <t xml:space="preserve">lib0589</t>
  </si>
  <si>
    <t xml:space="preserve">lib0590</t>
  </si>
  <si>
    <t xml:space="preserve">lib0591</t>
  </si>
  <si>
    <t xml:space="preserve">lib0592</t>
  </si>
  <si>
    <t xml:space="preserve">lib0593</t>
  </si>
  <si>
    <t xml:space="preserve">lib0594</t>
  </si>
  <si>
    <t xml:space="preserve">lib0595</t>
  </si>
  <si>
    <t xml:space="preserve">lib0596</t>
  </si>
  <si>
    <t xml:space="preserve">lib0597</t>
  </si>
  <si>
    <t xml:space="preserve">lib0598</t>
  </si>
  <si>
    <t xml:space="preserve">lib0599</t>
  </si>
  <si>
    <t xml:space="preserve">lib0600</t>
  </si>
  <si>
    <t xml:space="preserve">lib0601</t>
  </si>
  <si>
    <t xml:space="preserve">lib0602</t>
  </si>
  <si>
    <t xml:space="preserve">lib0603</t>
  </si>
  <si>
    <t xml:space="preserve">lib0604</t>
  </si>
  <si>
    <t xml:space="preserve">lib0605</t>
  </si>
  <si>
    <t xml:space="preserve">lib0606</t>
  </si>
  <si>
    <t xml:space="preserve">lib0607</t>
  </si>
  <si>
    <t xml:space="preserve">lib0608</t>
  </si>
  <si>
    <t xml:space="preserve">lib0609</t>
  </si>
  <si>
    <t xml:space="preserve">lib0610</t>
  </si>
  <si>
    <t xml:space="preserve">lib0611</t>
  </si>
  <si>
    <t xml:space="preserve">lib0612</t>
  </si>
  <si>
    <t xml:space="preserve">lib0613</t>
  </si>
  <si>
    <t xml:space="preserve">lib0614</t>
  </si>
  <si>
    <t xml:space="preserve">lib0615</t>
  </si>
  <si>
    <t xml:space="preserve">lib0616</t>
  </si>
  <si>
    <t xml:space="preserve">lib0617</t>
  </si>
  <si>
    <t xml:space="preserve">133 (added 154+180bp peaks)</t>
  </si>
  <si>
    <t xml:space="preserve">lib0618</t>
  </si>
  <si>
    <t xml:space="preserve">lib0619</t>
  </si>
  <si>
    <t xml:space="preserve">lib0620</t>
  </si>
  <si>
    <t xml:space="preserve">lib0621</t>
  </si>
  <si>
    <t xml:space="preserve">lib0622</t>
  </si>
  <si>
    <t xml:space="preserve">lib0623</t>
  </si>
  <si>
    <t xml:space="preserve">lib0624</t>
  </si>
  <si>
    <t xml:space="preserve">lib0625</t>
  </si>
  <si>
    <t xml:space="preserve">lib0626</t>
  </si>
  <si>
    <t xml:space="preserve">lib0627</t>
  </si>
  <si>
    <t xml:space="preserve">lib0628</t>
  </si>
  <si>
    <t xml:space="preserve">lib0629</t>
  </si>
  <si>
    <t xml:space="preserve">lib0630</t>
  </si>
  <si>
    <t xml:space="preserve">lib0631</t>
  </si>
  <si>
    <t xml:space="preserve">lib0632</t>
  </si>
  <si>
    <t xml:space="preserve">lib0633</t>
  </si>
  <si>
    <t xml:space="preserve">lib0634</t>
  </si>
  <si>
    <t xml:space="preserve">lib0635</t>
  </si>
  <si>
    <t xml:space="preserve">lib0636</t>
  </si>
  <si>
    <t xml:space="preserve">lib0637</t>
  </si>
  <si>
    <t xml:space="preserve">lib0638</t>
  </si>
  <si>
    <t xml:space="preserve">lib0639</t>
  </si>
  <si>
    <t xml:space="preserve">lib0640</t>
  </si>
  <si>
    <t xml:space="preserve">lib0641</t>
  </si>
  <si>
    <t xml:space="preserve">lib0642</t>
  </si>
  <si>
    <t xml:space="preserve">lib0643</t>
  </si>
  <si>
    <t xml:space="preserve">lib0644</t>
  </si>
  <si>
    <t xml:space="preserve">lib0645</t>
  </si>
  <si>
    <t xml:space="preserve">lib0646</t>
  </si>
  <si>
    <t xml:space="preserve">lib0647</t>
  </si>
  <si>
    <t xml:space="preserve">lib0648</t>
  </si>
  <si>
    <t xml:space="preserve">lib0649</t>
  </si>
  <si>
    <t xml:space="preserve">lib0650</t>
  </si>
  <si>
    <t xml:space="preserve">lib0651</t>
  </si>
  <si>
    <t xml:space="preserve">lib0652</t>
  </si>
  <si>
    <t xml:space="preserve">lib0653</t>
  </si>
  <si>
    <t xml:space="preserve">lib0654</t>
  </si>
  <si>
    <t xml:space="preserve">lib0655</t>
  </si>
  <si>
    <t xml:space="preserve">lib0656</t>
  </si>
  <si>
    <t xml:space="preserve">lib0657</t>
  </si>
  <si>
    <t xml:space="preserve">lib0658</t>
  </si>
  <si>
    <t xml:space="preserve">lib0659</t>
  </si>
  <si>
    <t xml:space="preserve">lib0660</t>
  </si>
  <si>
    <t xml:space="preserve">lib0661</t>
  </si>
  <si>
    <t xml:space="preserve">lib0662</t>
  </si>
  <si>
    <t xml:space="preserve">lib0663</t>
  </si>
  <si>
    <t xml:space="preserve">lib0664</t>
  </si>
  <si>
    <t xml:space="preserve">lib0665</t>
  </si>
  <si>
    <t xml:space="preserve">lib0666</t>
  </si>
  <si>
    <t xml:space="preserve">lib0667</t>
  </si>
  <si>
    <t xml:space="preserve">lib0668</t>
  </si>
  <si>
    <t xml:space="preserve">lib0669</t>
  </si>
  <si>
    <t xml:space="preserve">lib0670</t>
  </si>
  <si>
    <t xml:space="preserve">lib0671</t>
  </si>
  <si>
    <t xml:space="preserve">lib0672</t>
  </si>
  <si>
    <t xml:space="preserve">lib0673</t>
  </si>
  <si>
    <t xml:space="preserve">lib0674</t>
  </si>
  <si>
    <t xml:space="preserve">lib0675</t>
  </si>
  <si>
    <t xml:space="preserve">lib0676</t>
  </si>
  <si>
    <t xml:space="preserve">lib0677</t>
  </si>
  <si>
    <t xml:space="preserve">lib0678</t>
  </si>
  <si>
    <t xml:space="preserve">lib0679</t>
  </si>
  <si>
    <t xml:space="preserve">lib0680</t>
  </si>
  <si>
    <t xml:space="preserve">lib0681</t>
  </si>
  <si>
    <t xml:space="preserve">lib0682</t>
  </si>
  <si>
    <t xml:space="preserve">lib0683</t>
  </si>
  <si>
    <t xml:space="preserve">lib0684</t>
  </si>
  <si>
    <t xml:space="preserve">lib0685</t>
  </si>
  <si>
    <t xml:space="preserve">lib0686</t>
  </si>
  <si>
    <t xml:space="preserve">lib0687</t>
  </si>
  <si>
    <t xml:space="preserve">lib0688</t>
  </si>
  <si>
    <t xml:space="preserve">lib0689</t>
  </si>
  <si>
    <t xml:space="preserve">lib0690</t>
  </si>
  <si>
    <t xml:space="preserve">lib0691</t>
  </si>
  <si>
    <t xml:space="preserve">lib0692</t>
  </si>
  <si>
    <t xml:space="preserve">lib0693</t>
  </si>
  <si>
    <t xml:space="preserve">lib0694</t>
  </si>
  <si>
    <t xml:space="preserve">lib0695</t>
  </si>
  <si>
    <t xml:space="preserve">lib0696</t>
  </si>
  <si>
    <t xml:space="preserve">lib0697</t>
  </si>
  <si>
    <t xml:space="preserve">lib0698</t>
  </si>
  <si>
    <t xml:space="preserve">lib0699</t>
  </si>
  <si>
    <t xml:space="preserve">lib0700</t>
  </si>
  <si>
    <t xml:space="preserve">lib0701</t>
  </si>
  <si>
    <t xml:space="preserve">lib0702</t>
  </si>
  <si>
    <t xml:space="preserve">lib0703</t>
  </si>
  <si>
    <t xml:space="preserve">lib0704</t>
  </si>
  <si>
    <t xml:space="preserve">lib0705</t>
  </si>
  <si>
    <t xml:space="preserve">lib0706</t>
  </si>
  <si>
    <t xml:space="preserve">lib0707</t>
  </si>
  <si>
    <t xml:space="preserve">lib0708</t>
  </si>
  <si>
    <t xml:space="preserve">lib0709</t>
  </si>
  <si>
    <t xml:space="preserve">lib0710</t>
  </si>
  <si>
    <t xml:space="preserve">lib0711</t>
  </si>
  <si>
    <t xml:space="preserve">lib0712</t>
  </si>
  <si>
    <t xml:space="preserve">lib0713</t>
  </si>
  <si>
    <t xml:space="preserve">lib0714</t>
  </si>
  <si>
    <t xml:space="preserve">lib0715</t>
  </si>
  <si>
    <t xml:space="preserve">lib0716</t>
  </si>
  <si>
    <t xml:space="preserve">lib0717</t>
  </si>
  <si>
    <t xml:space="preserve">lib0718</t>
  </si>
  <si>
    <t xml:space="preserve">lib0719</t>
  </si>
  <si>
    <t xml:space="preserve">lib0720</t>
  </si>
  <si>
    <t xml:space="preserve">lib0721</t>
  </si>
  <si>
    <t xml:space="preserve">lib0722</t>
  </si>
  <si>
    <t xml:space="preserve">lib0723</t>
  </si>
  <si>
    <t xml:space="preserve">lib0724</t>
  </si>
  <si>
    <t xml:space="preserve">lib0725</t>
  </si>
  <si>
    <t xml:space="preserve">lib0726</t>
  </si>
  <si>
    <t xml:space="preserve">r1_basename</t>
  </si>
  <si>
    <t xml:space="preserve">multiplexing</t>
  </si>
  <si>
    <t xml:space="preserve">lane_split</t>
  </si>
  <si>
    <t xml:space="preserve">r1_md5</t>
  </si>
  <si>
    <t xml:space="preserve">r2_md5</t>
  </si>
  <si>
    <t xml:space="preserve">format</t>
  </si>
  <si>
    <t xml:space="preserve">mayo_gcloud_dirname</t>
  </si>
  <si>
    <t xml:space="preserve">specimen_id</t>
  </si>
  <si>
    <t xml:space="preserve">pairing</t>
  </si>
  <si>
    <t xml:space="preserve">nci_dirname</t>
  </si>
  <si>
    <t xml:space="preserve">seq_modal</t>
  </si>
  <si>
    <t xml:space="preserve">1_1NC31M_R1.fastq.gz</t>
  </si>
  <si>
    <t xml:space="preserve">demultiplexed</t>
  </si>
  <si>
    <t xml:space="preserve">single</t>
  </si>
  <si>
    <t xml:space="preserve">gs://chaudhuri-lab-share-bucket1/ris/mpnst/inputs/seq/nci/paper1_2</t>
  </si>
  <si>
    <t xml:space="preserve">paired</t>
  </si>
  <si>
    <t xml:space="preserve">wgs</t>
  </si>
  <si>
    <t xml:space="preserve">1_JS0003CD051517_R1.fastq.gz</t>
  </si>
  <si>
    <t xml:space="preserve">1_JS0053CD112019_R1.fastq.gz</t>
  </si>
  <si>
    <t xml:space="preserve">1_KH1_S2_R1_001.fastq.gz</t>
  </si>
  <si>
    <t xml:space="preserve">7e3341f5db298cc7a6be0f0509363e59</t>
  </si>
  <si>
    <t xml:space="preserve">918b85f26d2b0cfed4d0cff7f3c5302a</t>
  </si>
  <si>
    <t xml:space="preserve">gs://chaudhuri-lab-share-bucket1/jeszyman/data/nf1/sundbyrt/emseq_pilot/fastq/Flowcell_225G37LT1/Sample_1_KH1</t>
  </si>
  <si>
    <t xml:space="preserve">1_nf1_lib1_S1_R1_001.fastq.gz</t>
  </si>
  <si>
    <t xml:space="preserve">74172efe8324f2ee2d5687ebbb1394ad</t>
  </si>
  <si>
    <t xml:space="preserve">db985edb04e56e0d80a8db073e0e4eb2</t>
  </si>
  <si>
    <t xml:space="preserve">chaudhuri-lab-bucket1/jeszyman/data/nf1/Project_JohnShern_CS039619_112EMseqlib_061225/Flowcell_22V7LCLT4</t>
  </si>
  <si>
    <t xml:space="preserve">/rawdata/ccrtegs44/Project_JohnShern_CS039619_112EMseqlib_061225/Flowcell_22V7LCLT4/Sample_1_nf1_lib1</t>
  </si>
  <si>
    <t xml:space="preserve">wgs_emseq</t>
  </si>
  <si>
    <t xml:space="preserve">1_NF589_S1_R1_001.fastq.gz</t>
  </si>
  <si>
    <t xml:space="preserve">gs://chaudhuri-lab-share-bucket1/ris/mpnst/inputs/seq/nci/50x/FASTQ</t>
  </si>
  <si>
    <t xml:space="preserve">10_10NC60M_R1.fastq.gz</t>
  </si>
  <si>
    <t xml:space="preserve">10_em_seq_pilot_6_S10_R1_001.fastq.gz</t>
  </si>
  <si>
    <t xml:space="preserve">698af16a0ce0ff9a484cda546420764e</t>
  </si>
  <si>
    <t xml:space="preserve">132eff5e548b8b6d531c6a8290b76b23</t>
  </si>
  <si>
    <t xml:space="preserve">gs://chaudhuri-lab-share-bucket1/jeszyman/data/nf1/sundbyrt/emseq_pilot/fastq/Flowcell_225G37LT1/Sample_10_em_seq_pilot_6</t>
  </si>
  <si>
    <t xml:space="preserve">10_JS0027CD040918_R1.fastq.gz</t>
  </si>
  <si>
    <t xml:space="preserve">10_JS0107CD090319_R1.fastq.gz</t>
  </si>
  <si>
    <t xml:space="preserve">10_NCI_TC_S10_R1_001.fastq.gz</t>
  </si>
  <si>
    <t xml:space="preserve">10_nf1_lib10_S1_R1_001.fastq.gz</t>
  </si>
  <si>
    <t xml:space="preserve">e521fc7b8c4c57ce584d20554cea72d2</t>
  </si>
  <si>
    <t xml:space="preserve">544c91e3b91840122460b7520de39b32</t>
  </si>
  <si>
    <t xml:space="preserve">/rawdata/ccrtegs44/Project_JohnShern_CS039619_112EMseqlib_061225/Flowcell_22V7LCLT4/Sample_10_nf1_lib10</t>
  </si>
  <si>
    <t xml:space="preserve">100_nf1_lib100_S1_R1_001.fastq.gz</t>
  </si>
  <si>
    <t xml:space="preserve">df2c2f6bebb546936792c7c1d48d0e00</t>
  </si>
  <si>
    <t xml:space="preserve">06aa0f4940d576bbbef996a47f393f0a</t>
  </si>
  <si>
    <t xml:space="preserve">chaudhuri-lab-bucket1/jeszyman/data/nf1/Project_JohnShern_CS039619_112EMseqlib_061225/Flowcell_22WFNNLT4</t>
  </si>
  <si>
    <t xml:space="preserve">m13 JH-2-005 1-4 D19 S</t>
  </si>
  <si>
    <t xml:space="preserve">/rawdata/ccrtegs44/Project_JohnShern_CS039619_112EMseqlib_061225/Flowcell_22WFNNLT4/Sample_100_nf1_lib100</t>
  </si>
  <si>
    <t xml:space="preserve">101_nf1_lib101_S1_R1_001.fastq.gz</t>
  </si>
  <si>
    <t xml:space="preserve">f9fc918290f1bfcefbb5aa54fd817774</t>
  </si>
  <si>
    <t xml:space="preserve">488739d3b2f2ecf7b872869251bc534e</t>
  </si>
  <si>
    <t xml:space="preserve">m2 WU487 3-2 T</t>
  </si>
  <si>
    <t xml:space="preserve">/rawdata/ccrtegs44/Project_JohnShern_CS039619_112EMseqlib_061225/Flowcell_22WFNNLT4/Sample_101_nf1_lib101</t>
  </si>
  <si>
    <t xml:space="preserve">102_nf1_lib102_S1_R1_001.fastq.gz</t>
  </si>
  <si>
    <t xml:space="preserve">dcbe81980c92a001f321819f164c56ab</t>
  </si>
  <si>
    <t xml:space="preserve">997853406c20a1c2d16ce74ab6951dc3</t>
  </si>
  <si>
    <t xml:space="preserve">m14 JH-2-005 4-5 D19 S</t>
  </si>
  <si>
    <t xml:space="preserve">/rawdata/ccrtegs44/Project_JohnShern_CS039619_112EMseqlib_061225/Flowcell_22WFNNLT4/Sample_102_nf1_lib102</t>
  </si>
  <si>
    <t xml:space="preserve">103_nf1_lib103_S1_R1_001.fastq.gz</t>
  </si>
  <si>
    <t xml:space="preserve">1816b55ad244bc0f2b545e8818da870d</t>
  </si>
  <si>
    <t xml:space="preserve">f715da4b0e4124859afc2ce62f3ed45c</t>
  </si>
  <si>
    <t xml:space="preserve">m15 JH-2-005 5-5 D19 S</t>
  </si>
  <si>
    <t xml:space="preserve">/rawdata/ccrtegs44/Project_JohnShern_CS039619_112EMseqlib_061225/Flowcell_22WFNNLT4/Sample_103_nf1_lib103</t>
  </si>
  <si>
    <t xml:space="preserve">104_nf1_lib104_S1_R1_001.fastq.gz</t>
  </si>
  <si>
    <t xml:space="preserve">24b9cca5a3de5e6ed3f5b9968a92a6a7</t>
  </si>
  <si>
    <t xml:space="preserve">e7c3aea5bb85281ce02e86b5e932031e</t>
  </si>
  <si>
    <t xml:space="preserve">m16 JH-2-005 3-2 D19 S</t>
  </si>
  <si>
    <t xml:space="preserve">/rawdata/ccrtegs44/Project_JohnShern_CS039619_112EMseqlib_061225/Flowcell_22WFNNLT4/Sample_104_nf1_lib104</t>
  </si>
  <si>
    <t xml:space="preserve">105_nf1_lib105_S1_R1_001.fastq.gz</t>
  </si>
  <si>
    <t xml:space="preserve">cf7bfbdef9892be2c075ed3fac89f7af</t>
  </si>
  <si>
    <t xml:space="preserve">58073b33a99b834714f6375164a4a77b</t>
  </si>
  <si>
    <t xml:space="preserve">m17 JH-2-005 3-3 D19 S</t>
  </si>
  <si>
    <t xml:space="preserve">/rawdata/ccrtegs44/Project_JohnShern_CS039619_112EMseqlib_061225/Flowcell_22WFNNLT4/Sample_105_nf1_lib105</t>
  </si>
  <si>
    <t xml:space="preserve">106_nf1_lib106_S1_R1_001.fastq.gz</t>
  </si>
  <si>
    <t xml:space="preserve">da9705c483647447bafdbf30bda8141a</t>
  </si>
  <si>
    <t xml:space="preserve">8403934fa074831f909193f3c4d504d6</t>
  </si>
  <si>
    <t xml:space="preserve">m18 JH-2-005 7-5 D19 S</t>
  </si>
  <si>
    <t xml:space="preserve">/rawdata/ccrtegs44/Project_JohnShern_CS039619_112EMseqlib_061225/Flowcell_22WFNNLT4/Sample_106_nf1_lib106</t>
  </si>
  <si>
    <t xml:space="preserve">107_nf1_lib107_S1_R1_001.fastq.gz</t>
  </si>
  <si>
    <t xml:space="preserve">c19f9b8157c123f89b5601ca67361eab</t>
  </si>
  <si>
    <t xml:space="preserve">22967441689fb87731b54796194dd8a0</t>
  </si>
  <si>
    <t xml:space="preserve">m19 JH-2-005 1-4 D47 S</t>
  </si>
  <si>
    <t xml:space="preserve">/rawdata/ccrtegs44/Project_JohnShern_CS039619_112EMseqlib_061225/Flowcell_22WFNNLT4/Sample_107_nf1_lib107</t>
  </si>
  <si>
    <t xml:space="preserve">108_nf1_lib108_S1_R1_001.fastq.gz</t>
  </si>
  <si>
    <t xml:space="preserve">9382ae9fa74e2c81ba8bef6d480285ee</t>
  </si>
  <si>
    <t xml:space="preserve">e63bc093a807c0902a6b19cd06de2d60</t>
  </si>
  <si>
    <t xml:space="preserve">m20 JH-2-005 4-5 D47 S</t>
  </si>
  <si>
    <t xml:space="preserve">/rawdata/ccrtegs44/Project_JohnShern_CS039619_112EMseqlib_061225/Flowcell_22WFNNLT4/Sample_108_nf1_lib108</t>
  </si>
  <si>
    <t xml:space="preserve">109_nf1_lib109_S1_R1_001.fastq.gz</t>
  </si>
  <si>
    <t xml:space="preserve">e76fa4e90dc1b800f0321068c24e830e</t>
  </si>
  <si>
    <t xml:space="preserve">3026d65fcd82018b8272e36cc9af6399</t>
  </si>
  <si>
    <t xml:space="preserve">m21 JH-2-005 5-5 D47 S</t>
  </si>
  <si>
    <t xml:space="preserve">/rawdata/ccrtegs44/Project_JohnShern_CS039619_112EMseqlib_061225/Flowcell_22WFNNLT4/Sample_109_nf1_lib109</t>
  </si>
  <si>
    <t xml:space="preserve">11_11NC61M_R1.fastq.gz</t>
  </si>
  <si>
    <t xml:space="preserve">11_em_seq_pilot_7_S11_R1_001.fastq.gz</t>
  </si>
  <si>
    <t xml:space="preserve">2cf596bd693ecc9ea42c15baabdcb3eb</t>
  </si>
  <si>
    <t xml:space="preserve">40e9b4a22adc25cc29ffc8fc305a49bd</t>
  </si>
  <si>
    <t xml:space="preserve">gs://chaudhuri-lab-share-bucket1/jeszyman/data/nf1/sundbyrt/emseq_pilot/fastq/Flowcell_225G37LT1/Sample_11_em_seq_pilot_7</t>
  </si>
  <si>
    <t xml:space="preserve">11_JS0027CD050418_R1.fastq.gz</t>
  </si>
  <si>
    <t xml:space="preserve">11_JS0107CD100319_R1.fastq.gz</t>
  </si>
  <si>
    <t xml:space="preserve">panel</t>
  </si>
  <si>
    <t xml:space="preserve">11_nf1_lib11_S1_R1_001.fastq.gz</t>
  </si>
  <si>
    <t xml:space="preserve">59b5aa07b694b76fb6939c289d3032c2</t>
  </si>
  <si>
    <t xml:space="preserve">d960c40ad0371b1bbf170cc9f5eeeaf9</t>
  </si>
  <si>
    <t xml:space="preserve">/rawdata/ccrtegs44/Project_JohnShern_CS039619_112EMseqlib_061225/Flowcell_22V7LCLT4/Sample_11_nf1_lib11</t>
  </si>
  <si>
    <t xml:space="preserve">110_nf1_lib110_S1_R1_001.fastq.gz</t>
  </si>
  <si>
    <t xml:space="preserve">ba73e97f26bf6def39bc690c81c442ba</t>
  </si>
  <si>
    <t xml:space="preserve">9111e76156974e7e99f22b5c825fa245</t>
  </si>
  <si>
    <t xml:space="preserve">m22 JH-2-005 3-2 D47 S</t>
  </si>
  <si>
    <t xml:space="preserve">/rawdata/ccrtegs44/Project_JohnShern_CS039619_112EMseqlib_061225/Flowcell_22WFNNLT4/Sample_110_nf1_lib110</t>
  </si>
  <si>
    <t xml:space="preserve">111_nf1_lib111_S1_R1_001.fastq.gz</t>
  </si>
  <si>
    <t xml:space="preserve">011db78c46fb393bee12115f206469a0</t>
  </si>
  <si>
    <t xml:space="preserve">de38fad75365c30212d311a57e663fd7</t>
  </si>
  <si>
    <t xml:space="preserve">m23 JH-2-005 3-3 D47 S</t>
  </si>
  <si>
    <t xml:space="preserve">/rawdata/ccrtegs44/Project_JohnShern_CS039619_112EMseqlib_061225/Flowcell_22WFNNLT4/Sample_111_nf1_lib111</t>
  </si>
  <si>
    <t xml:space="preserve">112_nf1_lib112_S1_R1_001.fastq.gz</t>
  </si>
  <si>
    <t xml:space="preserve">6b8f980a79986b24418c0fa8b54c436b</t>
  </si>
  <si>
    <t xml:space="preserve">dd86469d4258f5214239cf8bb5568f27</t>
  </si>
  <si>
    <t xml:space="preserve">m24 JH-2-005 7-5 D47 S</t>
  </si>
  <si>
    <t xml:space="preserve">/rawdata/ccrtegs44/Project_JohnShern_CS039619_112EMseqlib_061225/Flowcell_22WFNNLT4/Sample_112_nf1_lib112</t>
  </si>
  <si>
    <t xml:space="preserve">12_12NC30F_R1.fastq.gz</t>
  </si>
  <si>
    <t xml:space="preserve">12_em_seq_pilot_8_S12_R1_001.fastq.gz</t>
  </si>
  <si>
    <t xml:space="preserve">74ac07b883b588a677de92c1265fefe0</t>
  </si>
  <si>
    <t xml:space="preserve">e9443da45b14dd38c6cedd789091a72e</t>
  </si>
  <si>
    <t xml:space="preserve">gs://chaudhuri-lab-share-bucket1/jeszyman/data/nf1/sundbyrt/emseq_pilot/fastq/Flowcell_225G37LT1/Sample_12_em_seq_pilot_8</t>
  </si>
  <si>
    <t xml:space="preserve">12_JS0027CD073018_R1.fastq.gz</t>
  </si>
  <si>
    <t xml:space="preserve">12_JS0107CD112519_R1.fastq.gz</t>
  </si>
  <si>
    <t xml:space="preserve">12_nf1_lib12_S1_R1_001.fastq.gz</t>
  </si>
  <si>
    <t xml:space="preserve">7a4f07f47cec13d36aaca8846ee91a79</t>
  </si>
  <si>
    <t xml:space="preserve">0988b557e3870657369ac6226a0df252</t>
  </si>
  <si>
    <t xml:space="preserve">/rawdata/ccrtegs44/Project_JohnShern_CS039619_112EMseqlib_061225/Flowcell_22V7LCLT4/Sample_12_nf1_lib12</t>
  </si>
  <si>
    <t xml:space="preserve">13_13NC25F_R1.fastq.gz</t>
  </si>
  <si>
    <t xml:space="preserve">13_JS0028CD111918_R1.fastq.gz</t>
  </si>
  <si>
    <t xml:space="preserve">13_JS0105CD080519_R1.fastq.gz</t>
  </si>
  <si>
    <t xml:space="preserve">13_nf1_lib13_S1_R1_001.fastq.gz</t>
  </si>
  <si>
    <t xml:space="preserve">8cf2b52bd54ac5839eca480d201b6671</t>
  </si>
  <si>
    <t xml:space="preserve">0bc4012ff8031bf40fdfe61c8e4b2c80</t>
  </si>
  <si>
    <t xml:space="preserve">/rawdata/ccrtegs44/Project_JohnShern_CS039619_112EMseqlib_061225/Flowcell_22V7LCLT4/Sample_13_nf1_lib13</t>
  </si>
  <si>
    <t xml:space="preserve">14_14NC23F_R1.fastq.gz</t>
  </si>
  <si>
    <t xml:space="preserve">14_JS0108CD040119_R1.fastq.gz</t>
  </si>
  <si>
    <t xml:space="preserve">14_nf1_lib14_S1_R1_001.fastq.gz</t>
  </si>
  <si>
    <t xml:space="preserve">2ff63eb3e9498cb740abc248a3a28e6b</t>
  </si>
  <si>
    <t xml:space="preserve">5ec81e6d2123caa66a67aa5a4ceae3d8</t>
  </si>
  <si>
    <t xml:space="preserve">/rawdata/ccrtegs44/Project_JohnShern_CS039619_112EMseqlib_061225/Flowcell_22V7LCLT4/Sample_14_nf1_lib14</t>
  </si>
  <si>
    <t xml:space="preserve">15_15NC59F_R1.fastq.gz</t>
  </si>
  <si>
    <t xml:space="preserve">15_JS0023CD082219_R1.fastq.gz</t>
  </si>
  <si>
    <t xml:space="preserve">15_JS0032CD082918_R1.fastq.gz</t>
  </si>
  <si>
    <t xml:space="preserve">15_nf1_lib15_S1_R1_001.fastq.gz</t>
  </si>
  <si>
    <t xml:space="preserve">a9817d087ff1cf6795b13c4d56886e02</t>
  </si>
  <si>
    <t xml:space="preserve">d3a0fd456f8a5866bbf5f13ee7ed70bb</t>
  </si>
  <si>
    <t xml:space="preserve">/rawdata/ccrtegs44/Project_JohnShern_CS039619_112EMseqlib_061225/Flowcell_22V7LCLT4/Sample_15_nf1_lib15</t>
  </si>
  <si>
    <t xml:space="preserve">16_2_023_R1.fastq.gz</t>
  </si>
  <si>
    <t xml:space="preserve">16_JS0033CD080618_R1.fastq.gz</t>
  </si>
  <si>
    <t xml:space="preserve">16_JS0093CD022719_R1.fastq.gz</t>
  </si>
  <si>
    <t xml:space="preserve">16_nf1_lib16_S1_R1_001.fastq.gz</t>
  </si>
  <si>
    <t xml:space="preserve">dbae9728ba831f8b3dcec3e720b62657</t>
  </si>
  <si>
    <t xml:space="preserve">71688e03c3bb8014efb1d38a52ac3718</t>
  </si>
  <si>
    <t xml:space="preserve">/rawdata/ccrtegs44/Project_JohnShern_CS039619_112EMseqlib_061225/Flowcell_22V7LCLT4/Sample_16_nf1_lib16</t>
  </si>
  <si>
    <t xml:space="preserve">17_2_031_R1.fastq.gz</t>
  </si>
  <si>
    <t xml:space="preserve">17_JS0034CD080618_R1.fastq.gz</t>
  </si>
  <si>
    <t xml:space="preserve">17_JS0106CD092319_R1.fastq.gz</t>
  </si>
  <si>
    <t xml:space="preserve">17_nf1_lib17_S1_R1_001.fastq.gz</t>
  </si>
  <si>
    <t xml:space="preserve">f20e5d625689b33cffade6f299236274</t>
  </si>
  <si>
    <t xml:space="preserve">c74290b930f78391594e714cd7236f8d</t>
  </si>
  <si>
    <t xml:space="preserve">/rawdata/ccrtegs44/Project_JohnShern_CS039619_112EMseqlib_061225/Flowcell_22V7LCLT4/Sample_17_nf1_lib17</t>
  </si>
  <si>
    <t xml:space="preserve">178_10-20-2020_R1.fastq.gz</t>
  </si>
  <si>
    <t xml:space="preserve">18_2_055_R1.fastq.gz</t>
  </si>
  <si>
    <t xml:space="preserve">18_JS0036CD062718_R1.fastq.gz</t>
  </si>
  <si>
    <t xml:space="preserve">18_JS0093CD022719_2_R1.fastq.gz</t>
  </si>
  <si>
    <t xml:space="preserve">18_nf1_lib18_S1_R1_001.fastq.gz</t>
  </si>
  <si>
    <t xml:space="preserve">d3c6fee3fef181823bd109f58d67dd9b</t>
  </si>
  <si>
    <t xml:space="preserve">f6435b19b1abfcffc73ac8042f77e7c4</t>
  </si>
  <si>
    <t xml:space="preserve">/rawdata/ccrtegs44/Project_JohnShern_CS039619_112EMseqlib_061225/Flowcell_22V7LCLT4/Sample_18_nf1_lib18</t>
  </si>
  <si>
    <t xml:space="preserve">19_2_082_R1.fastq.gz</t>
  </si>
  <si>
    <t xml:space="preserve">19_2_084_R1.fastq.gz</t>
  </si>
  <si>
    <t xml:space="preserve">19_JS0037CD062518_R1.fastq.gz</t>
  </si>
  <si>
    <t xml:space="preserve">19_nf1_lib19_S1_R1_001.fastq.gz</t>
  </si>
  <si>
    <t xml:space="preserve">a14fe46e10dc528a5ad3febe8f8a8980</t>
  </si>
  <si>
    <t xml:space="preserve">f31fbbc30fa3eeb20122c7c05d3a9288</t>
  </si>
  <si>
    <t xml:space="preserve">/rawdata/ccrtegs44/Project_JohnShern_CS039619_112EMseqlib_061225/Flowcell_22V7LCLT4/Sample_19_nf1_lib19</t>
  </si>
  <si>
    <t xml:space="preserve">2_2NC59F_R1.fastq.gz</t>
  </si>
  <si>
    <t xml:space="preserve">2_JS0003CD072417_R1.fastq.gz</t>
  </si>
  <si>
    <t xml:space="preserve">2_JS0104CD101119_R1.fastq.gz</t>
  </si>
  <si>
    <t xml:space="preserve">2_KH2_S4_R1_001.fastq.gz</t>
  </si>
  <si>
    <t xml:space="preserve">86a9207c431175bcab8b65f582b58b70</t>
  </si>
  <si>
    <t xml:space="preserve">e16b5f33e3bd227d54b2dee918fad105</t>
  </si>
  <si>
    <t xml:space="preserve">gs://chaudhuri-lab-share-bucket1/jeszyman/data/nf1/sundbyrt/emseq_pilot/fastq/Flowcell_225G37LT1/Sample_2_KH2</t>
  </si>
  <si>
    <t xml:space="preserve">2_nf1_lib2_S1_R1_001.fastq.gz</t>
  </si>
  <si>
    <t xml:space="preserve">a86138307c705e686b4c4a46604137d2</t>
  </si>
  <si>
    <t xml:space="preserve">b52f31e41ed19825be14c5ed935a28d9</t>
  </si>
  <si>
    <t xml:space="preserve">/rawdata/ccrtegs44/Project_JohnShern_CS039619_112EMseqlib_061225/Flowcell_22V7LCLT4/Sample_2_nf1_lib2</t>
  </si>
  <si>
    <t xml:space="preserve">2_NF589_S1_R2_001.fastq.gz</t>
  </si>
  <si>
    <t xml:space="preserve">20_2_023_R1.fastq.gz</t>
  </si>
  <si>
    <t xml:space="preserve">20_2_082_R1.fastq.gz</t>
  </si>
  <si>
    <t xml:space="preserve">20_JS0039CD022818_R1.fastq.gz</t>
  </si>
  <si>
    <t xml:space="preserve">20_nf1_lib20_S1_R1_001.fastq.gz</t>
  </si>
  <si>
    <t xml:space="preserve">63d31f34c4efb0926ca425b7ee9cf4cb</t>
  </si>
  <si>
    <t xml:space="preserve">4958ca81012994ea1cd1413aa3944304</t>
  </si>
  <si>
    <t xml:space="preserve">/rawdata/ccrtegs44/Project_JohnShern_CS039619_112EMseqlib_061225/Flowcell_22V7LCLT4/Sample_20_nf1_lib20</t>
  </si>
  <si>
    <t xml:space="preserve">21_2_031_R1.fastq.gz</t>
  </si>
  <si>
    <t xml:space="preserve">21_JH_03006_R1.fastq.gz</t>
  </si>
  <si>
    <t xml:space="preserve">21_JS0039CD062618_R1.fastq.gz</t>
  </si>
  <si>
    <t xml:space="preserve">21_nf1_lib21_S1_R1_001.fastq.gz</t>
  </si>
  <si>
    <t xml:space="preserve">386819b39efcbf7e3912ffdd9d36ec99</t>
  </si>
  <si>
    <t xml:space="preserve">23503007380a46e09507385117733a64</t>
  </si>
  <si>
    <t xml:space="preserve">/rawdata/ccrtegs44/Project_JohnShern_CS039619_112EMseqlib_061225/Flowcell_22V7LCLT4/Sample_21_nf1_lib21</t>
  </si>
  <si>
    <t xml:space="preserve">218_08-16-2022_R1.fastq.gz</t>
  </si>
  <si>
    <t xml:space="preserve">22_2_055_R1.fastq.gz</t>
  </si>
  <si>
    <t xml:space="preserve">22_gNCI029Tumor1_R1.fastq.gz</t>
  </si>
  <si>
    <t xml:space="preserve">22_JS0039CD062618_2_R1.fastq.gz</t>
  </si>
  <si>
    <t xml:space="preserve">22_nf1_lib22_S1_R1_001.fastq.gz</t>
  </si>
  <si>
    <t xml:space="preserve">80f8dc0e6b9043662821a0ff84bdfa4d</t>
  </si>
  <si>
    <t xml:space="preserve">d3f800107dc3ec3634551bb8229de0d0</t>
  </si>
  <si>
    <t xml:space="preserve">/rawdata/ccrtegs44/Project_JohnShern_CS039619_112EMseqlib_061225/Flowcell_22V7LCLT4/Sample_22_nf1_lib22</t>
  </si>
  <si>
    <t xml:space="preserve">23_2_084_R1.fastq.gz</t>
  </si>
  <si>
    <t xml:space="preserve">23_g5NC25M_R1.fastq.gz</t>
  </si>
  <si>
    <t xml:space="preserve">23_JS0039CD101618_R1.fastq.gz</t>
  </si>
  <si>
    <t xml:space="preserve">23_nf1_lib23_S1_R1_001.fastq.gz</t>
  </si>
  <si>
    <t xml:space="preserve">f3e3032c0daafc53179226604381d85e</t>
  </si>
  <si>
    <t xml:space="preserve">fc358e03fd006365cff8d067cdfb9ac8</t>
  </si>
  <si>
    <t xml:space="preserve">/rawdata/ccrtegs44/Project_JohnShern_CS039619_112EMseqlib_061225/Flowcell_22V7LCLT4/Sample_23_nf1_lib23</t>
  </si>
  <si>
    <t xml:space="preserve">23-YCQ71cf-WM-WGSOncology-cfDNAFFPE-Dev1_S7_L001_R1_001.fastq.gz </t>
  </si>
  <si>
    <t xml:space="preserve">split</t>
  </si>
  <si>
    <t xml:space="preserve"> &lt;LIBRARY ID&gt;&lt;SPECIMEN TYPE&gt;-WM-WGSOncology-cfDNAFFPE-Dev1_&lt;ALT ID&gt;_&lt;LANE NUMBER&gt;_&lt;READ&gt;_001.fastq.gz</t>
  </si>
  <si>
    <t xml:space="preserve">gs://chaudhuri-lab-share-bucket1/ldt_fastqs</t>
  </si>
  <si>
    <t xml:space="preserve">23-YCQ71cf-WM-WGSOncology-cfDNAFFPE-Dev1_S7_L002_R1_001.fastq.gz </t>
  </si>
  <si>
    <t xml:space="preserve">23-YCQ71cf-WM-WGSOncology-cfDNAFFPE-Dev1_S7_L003_R1_001.fastq.gz </t>
  </si>
  <si>
    <t xml:space="preserve">23-YCQ71cf-WM-WGSOncology-cfDNAFFPE-Dev1_S7_L004_R1_001.fastq.gz </t>
  </si>
  <si>
    <t xml:space="preserve">24_2_015_R1.fastq.gz</t>
  </si>
  <si>
    <t xml:space="preserve">24_g6NC23F_R1.fastq.gz</t>
  </si>
  <si>
    <t xml:space="preserve">24_JS0040CD070218_R1.fastq.gz</t>
  </si>
  <si>
    <t xml:space="preserve">24_nf1_lib24_S1_R1_001.fastq.gz</t>
  </si>
  <si>
    <t xml:space="preserve">b17666d2df1ba9bde65f311e71aa0cbc</t>
  </si>
  <si>
    <t xml:space="preserve">d25d67c49f79804c2be298a90cead245</t>
  </si>
  <si>
    <t xml:space="preserve">/rawdata/ccrtegs44/Project_JohnShern_CS039619_112EMseqlib_061225/Flowcell_22V7LCLT4/Sample_24_nf1_lib24</t>
  </si>
  <si>
    <t xml:space="preserve">24-JWLFHcf-WM-WGSOncology-cfDNAFFPE-Dev1_S8_L001_R1_001.fastq.gz </t>
  </si>
  <si>
    <t xml:space="preserve">24-JWLFHcf-WM-WGSOncology-cfDNAFFPE-Dev1_S8_L002_R1_001.fastq.gz </t>
  </si>
  <si>
    <t xml:space="preserve">24-JWLFHcf-WM-WGSOncology-cfDNAFFPE-Dev1_S8_L003_R1_001.fastq.gz </t>
  </si>
  <si>
    <t xml:space="preserve">24-JWLFHcf-WM-WGSOncology-cfDNAFFPE-Dev1_S8_L004_R1_001.fastq.gz </t>
  </si>
  <si>
    <t xml:space="preserve">25_07-05-2022_R1.fastq.gz</t>
  </si>
  <si>
    <t xml:space="preserve">25_2_072_R1.fastq.gz</t>
  </si>
  <si>
    <t xml:space="preserve">25_g7NC33M_R1.fastq.gz</t>
  </si>
  <si>
    <t xml:space="preserve">25_JS0041CD062518_R1.fastq.gz</t>
  </si>
  <si>
    <t xml:space="preserve">25_nf1_lib25_S1_R1_001.fastq.gz</t>
  </si>
  <si>
    <t xml:space="preserve">ca6e5a227dc3cab54addc640dd5432a8</t>
  </si>
  <si>
    <t xml:space="preserve">1e947a231343a513046e7422a11842bb</t>
  </si>
  <si>
    <t xml:space="preserve">/rawdata/ccrtegs44/Project_JohnShern_CS039619_112EMseqlib_061225/Flowcell_22V7LCLT4/Sample_25_nf1_lib25</t>
  </si>
  <si>
    <t xml:space="preserve">26_g8NC32F_R1.fastq.gz</t>
  </si>
  <si>
    <t xml:space="preserve">26_JS0042CD120717_R1.fastq.gz</t>
  </si>
  <si>
    <t xml:space="preserve">26_JS0093CD020619_R1.fastq.gz</t>
  </si>
  <si>
    <t xml:space="preserve">26_nf1_lib26_S1_R1_001.fastq.gz</t>
  </si>
  <si>
    <t xml:space="preserve">5701c818f161e2a1bca824dbf8a565ec</t>
  </si>
  <si>
    <t xml:space="preserve">f28b6a65ea413a7dc74e2ddae3386fc1</t>
  </si>
  <si>
    <t xml:space="preserve">/rawdata/ccrtegs44/Project_JohnShern_CS039619_112EMseqlib_061225/Flowcell_22V7LCLT4/Sample_26_nf1_lib26</t>
  </si>
  <si>
    <t xml:space="preserve">27_g9NC48M_R1.fastq.gz</t>
  </si>
  <si>
    <t xml:space="preserve">27_JS0042CD053018_R1.fastq.gz</t>
  </si>
  <si>
    <t xml:space="preserve">27_JS0053CD112717_R1.fastq.gz</t>
  </si>
  <si>
    <t xml:space="preserve">27_nf1_lib27_S1_R1_001.fastq.gz</t>
  </si>
  <si>
    <t xml:space="preserve">534746ce16d81e3b5861ad5c79f25f8a</t>
  </si>
  <si>
    <t xml:space="preserve">cf0b00fbf2d8ef4c642bab2253ed500a</t>
  </si>
  <si>
    <t xml:space="preserve">/rawdata/ccrtegs44/Project_JohnShern_CS039619_112EMseqlib_061225/Flowcell_22V7LCLT4/Sample_27_nf1_lib27</t>
  </si>
  <si>
    <t xml:space="preserve">28_g10NC60M_R1.fastq.gz</t>
  </si>
  <si>
    <t xml:space="preserve">28_JS0043CD052418_R1.fastq.gz</t>
  </si>
  <si>
    <t xml:space="preserve">28_nf1_lib28_S1_R1_001.fastq.gz</t>
  </si>
  <si>
    <t xml:space="preserve">902db74aa727f89f9f96f760bf7bfa70</t>
  </si>
  <si>
    <t xml:space="preserve">edb69a1dd5b6b2bc0b4f3baada1aa614</t>
  </si>
  <si>
    <t xml:space="preserve">/rawdata/ccrtegs44/Project_JohnShern_CS039619_112EMseqlib_061225/Flowcell_22V7LCLT4/Sample_28_nf1_lib28</t>
  </si>
  <si>
    <t xml:space="preserve">29_g11NC61M_R1.fastq.gz</t>
  </si>
  <si>
    <t xml:space="preserve">29_JS0044CD112618_R1.fastq.gz</t>
  </si>
  <si>
    <t xml:space="preserve">29_JS0045CD030818_R1.fastq.gz</t>
  </si>
  <si>
    <t xml:space="preserve">29_nf1_lib29_S1_R1_001.fastq.gz</t>
  </si>
  <si>
    <t xml:space="preserve">b02c7e0c3b20bb654c16cadfe9596efb</t>
  </si>
  <si>
    <t xml:space="preserve">4db2d9cefd44adba1393464754ce4887</t>
  </si>
  <si>
    <t xml:space="preserve">/rawdata/ccrtegs44/Project_JohnShern_CS039619_112EMseqlib_061225/Flowcell_22V7LCLT4/Sample_29_nf1_lib29</t>
  </si>
  <si>
    <t xml:space="preserve">3_3NC75F_R1.fastq.gz</t>
  </si>
  <si>
    <t xml:space="preserve">3_JS0003CD070218_R1.fastq.gz</t>
  </si>
  <si>
    <t xml:space="preserve">3_JS0104CD101219_R1.fastq.gz</t>
  </si>
  <si>
    <t xml:space="preserve">3_KH3_S6_R1_001.fastq.gz</t>
  </si>
  <si>
    <t xml:space="preserve">3de85795d62c20754666ea07fbc2395b</t>
  </si>
  <si>
    <t xml:space="preserve">ee0baa5a3253116ae58454ea501b314b</t>
  </si>
  <si>
    <t xml:space="preserve">gs://chaudhuri-lab-share-bucket1/jeszyman/data/nf1/sundbyrt/emseq_pilot/fastq/Flowcell_225G37LT1/Sample_3_KH3</t>
  </si>
  <si>
    <t xml:space="preserve">3_nf1_lib3_S1_R1_001.fastq.gz</t>
  </si>
  <si>
    <t xml:space="preserve">724d3d6eb9024b3c5a0646e8b4ff3d2a</t>
  </si>
  <si>
    <t xml:space="preserve">872df0f12400708e27bdca99d85a40a2</t>
  </si>
  <si>
    <t xml:space="preserve">/rawdata/ccrtegs44/Project_JohnShern_CS039619_112EMseqlib_061225/Flowcell_22V7LCLT4/Sample_3_nf1_lib3</t>
  </si>
  <si>
    <t xml:space="preserve">3_NF579_S3_R1_001.fastq.gz</t>
  </si>
  <si>
    <t xml:space="preserve">30_g12NC30F_R1.fastq.gz</t>
  </si>
  <si>
    <t xml:space="preserve">30_JS0044CD112818_R1.fastq.gz</t>
  </si>
  <si>
    <t xml:space="preserve">30_JS0045CD090618_R1.fastq.gz</t>
  </si>
  <si>
    <t xml:space="preserve">30_nf1_lib30_S1_R1_001.fastq.gz</t>
  </si>
  <si>
    <t xml:space="preserve">ca39ef0eba4014e8f036b38bc2f7010a</t>
  </si>
  <si>
    <t xml:space="preserve">72efde0b6edd53381113f5946560f93e</t>
  </si>
  <si>
    <t xml:space="preserve">/rawdata/ccrtegs44/Project_JohnShern_CS039619_112EMseqlib_061225/Flowcell_22V7LCLT4/Sample_30_nf1_lib30</t>
  </si>
  <si>
    <t xml:space="preserve">31_g14NC23F_R1.fastq.gz</t>
  </si>
  <si>
    <t xml:space="preserve">31_JS0045CD110216_R1.fastq.gz</t>
  </si>
  <si>
    <t xml:space="preserve">31_JS0046CD090618_R1.fastq.gz</t>
  </si>
  <si>
    <t xml:space="preserve">31_nf1_lib31_S1_R1_001.fastq.gz</t>
  </si>
  <si>
    <t xml:space="preserve">d492fffb89d883a88580b396ee77916e</t>
  </si>
  <si>
    <t xml:space="preserve">be9bb535b3abda866e7744da8481c878</t>
  </si>
  <si>
    <t xml:space="preserve">/rawdata/ccrtegs44/Project_JohnShern_CS039619_112EMseqlib_061225/Flowcell_22V7LCLT4/Sample_31_nf1_lib31</t>
  </si>
  <si>
    <t xml:space="preserve">32_g2_015_R1.fastq.gz</t>
  </si>
  <si>
    <t xml:space="preserve">32_JS0047CD112018_R1.fastq.gz</t>
  </si>
  <si>
    <t xml:space="preserve">32_nf1_lib32_S1_R1_001.fastq.gz</t>
  </si>
  <si>
    <t xml:space="preserve">c7de782e94e444cea99013f8da0adbc8</t>
  </si>
  <si>
    <t xml:space="preserve">313e8241a68d7fd2fe7784dc230245a8</t>
  </si>
  <si>
    <t xml:space="preserve">/rawdata/ccrtegs44/Project_JohnShern_CS039619_112EMseqlib_061225/Flowcell_22V7LCLT4/Sample_32_nf1_lib32</t>
  </si>
  <si>
    <t xml:space="preserve">33_g2_023_R1.fastq.gz</t>
  </si>
  <si>
    <t xml:space="preserve">33_JS0048CD041717_R1.fastq.gz</t>
  </si>
  <si>
    <t xml:space="preserve">33_nf1_lib33_S1_R1_001.fastq.gz</t>
  </si>
  <si>
    <t xml:space="preserve">779f8241818c232473b78bd7c81f7cef</t>
  </si>
  <si>
    <t xml:space="preserve">d3a512ba66c3456a7d9ca840fc681926</t>
  </si>
  <si>
    <t xml:space="preserve">/rawdata/ccrtegs44/Project_JohnShern_CS039619_112EMseqlib_061225/Flowcell_22V7LCLT4/Sample_33_nf1_lib33</t>
  </si>
  <si>
    <t xml:space="preserve">34_g2_031_R1.fastq.gz</t>
  </si>
  <si>
    <t xml:space="preserve">34_JS0048CD102918_R1.fastq.gz</t>
  </si>
  <si>
    <t xml:space="preserve">34_nf1_lib34_S1_R1_001.fastq.gz</t>
  </si>
  <si>
    <t xml:space="preserve">ddf36f419fcceb191987425b7f9225d1</t>
  </si>
  <si>
    <t xml:space="preserve">34c7c5afb016f8f91724c1ae0496f79f</t>
  </si>
  <si>
    <t xml:space="preserve">/rawdata/ccrtegs44/Project_JohnShern_CS039619_112EMseqlib_061225/Flowcell_22V7LCLT4/Sample_34_nf1_lib34</t>
  </si>
  <si>
    <t xml:space="preserve">341_09-13-2022_R1.fastq.gz</t>
  </si>
  <si>
    <t xml:space="preserve">35_g2_055_R1.fastq.gz</t>
  </si>
  <si>
    <t xml:space="preserve">35_JS0049CD061218_R1.fastq.gz</t>
  </si>
  <si>
    <t xml:space="preserve">35_nf1_lib35_S1_R1_001.fastq.gz</t>
  </si>
  <si>
    <t xml:space="preserve">d297334e541c21b177c99c5d4bd7ea16</t>
  </si>
  <si>
    <t xml:space="preserve">434923f0a1b3cbbeef16c141d7c6c725</t>
  </si>
  <si>
    <t xml:space="preserve">/rawdata/ccrtegs44/Project_JohnShern_CS039619_112EMseqlib_061225/Flowcell_22V7LCLT4/Sample_35_nf1_lib35</t>
  </si>
  <si>
    <t xml:space="preserve">36_g2_072_R1.fastq.gz</t>
  </si>
  <si>
    <t xml:space="preserve">36_JS0050CD051517_R1.fastq.gz</t>
  </si>
  <si>
    <t xml:space="preserve">36_nf1_lib36_S1_R1_001.fastq.gz</t>
  </si>
  <si>
    <t xml:space="preserve">e575fb475d764c853b44919499f982d2</t>
  </si>
  <si>
    <t xml:space="preserve">777cc8601d2735e4944d2304949ea833</t>
  </si>
  <si>
    <t xml:space="preserve">/rawdata/ccrtegs44/Project_JohnShern_CS039619_112EMseqlib_061225/Flowcell_22V7LCLT4/Sample_36_nf1_lib36</t>
  </si>
  <si>
    <t xml:space="preserve">368_10-27-2021_R1.fastq.gz</t>
  </si>
  <si>
    <t xml:space="preserve">37_g2_082_R1.fastq.gz</t>
  </si>
  <si>
    <t xml:space="preserve">37_JS0050CD112717_R1.fastq.gz</t>
  </si>
  <si>
    <t xml:space="preserve">37_nf1_lib37_S1_R1_001.fastq.gz</t>
  </si>
  <si>
    <t xml:space="preserve">9fc71d0b34058d68d535b9d930ee9140</t>
  </si>
  <si>
    <t xml:space="preserve">c0c23df399c64184a7bbea17a62643df</t>
  </si>
  <si>
    <t xml:space="preserve">/rawdata/ccrtegs44/Project_JohnShern_CS039619_112EMseqlib_061225/Flowcell_22V7LCLT4/Sample_37_nf1_lib37</t>
  </si>
  <si>
    <t xml:space="preserve">38_g2_084_R1.fastq.gz</t>
  </si>
  <si>
    <t xml:space="preserve">38_JS0050CD050718_R1.fastq.gz</t>
  </si>
  <si>
    <t xml:space="preserve">38_nf1_lib38_S1_R1_001.fastq.gz</t>
  </si>
  <si>
    <t xml:space="preserve">e2c9032390b3066833883156cda722d5</t>
  </si>
  <si>
    <t xml:space="preserve">c16269125d243d4bd7b5f4dfa896f60c</t>
  </si>
  <si>
    <t xml:space="preserve">/rawdata/ccrtegs44/Project_JohnShern_CS039619_112EMseqlib_061225/Flowcell_22V7LCLT4/Sample_38_nf1_lib38</t>
  </si>
  <si>
    <t xml:space="preserve">39_JS0050CD101518_R1.fastq.gz</t>
  </si>
  <si>
    <t xml:space="preserve">39_nf1_lib39_S1_R1_001.fastq.gz</t>
  </si>
  <si>
    <t xml:space="preserve">aeaeff3e8c085cd7fca0bca3157445f9</t>
  </si>
  <si>
    <t xml:space="preserve">3b9def6d3413d7aa35fdd6b2a5b5e634</t>
  </si>
  <si>
    <t xml:space="preserve">/rawdata/ccrtegs44/Project_JohnShern_CS039619_112EMseqlib_061225/Flowcell_22V7LCLT4/Sample_39_nf1_lib39</t>
  </si>
  <si>
    <t xml:space="preserve">4_4NC58F_R1.fastq.gz</t>
  </si>
  <si>
    <t xml:space="preserve">4_JS0006CD071618_R1.fastq.gz</t>
  </si>
  <si>
    <t xml:space="preserve">4_JS0105CD111119_R1.fastq.gz</t>
  </si>
  <si>
    <t xml:space="preserve">4_KH4_S8_R1_001.fastq.gz</t>
  </si>
  <si>
    <t xml:space="preserve">e745a3206a04015c254550790bb2307f</t>
  </si>
  <si>
    <t xml:space="preserve">75522e91d1d34f3c6310432882ab7700</t>
  </si>
  <si>
    <t xml:space="preserve">gs://chaudhuri-lab-share-bucket1/jeszyman/data/nf1/sundbyrt/emseq_pilot/fastq/Flowcell_225G37LT1/Sample_4_KH4</t>
  </si>
  <si>
    <t xml:space="preserve">4_nf1_lib4_S1_R1_001.fastq.gz</t>
  </si>
  <si>
    <t xml:space="preserve">146c147c42d1d359e79c960271239597</t>
  </si>
  <si>
    <t xml:space="preserve">0da5ae87b341b70edc568608111f2b2d</t>
  </si>
  <si>
    <t xml:space="preserve">/rawdata/ccrtegs44/Project_JohnShern_CS039619_112EMseqlib_061225/Flowcell_22V7LCLT4/Sample_4_nf1_lib4</t>
  </si>
  <si>
    <t xml:space="preserve">4_NF614_S4_R1_001.fastq.gz</t>
  </si>
  <si>
    <t xml:space="preserve">40_2_072_R1.fastq.gz</t>
  </si>
  <si>
    <t xml:space="preserve">40_JS0051CD011618_R1.fastq.gz</t>
  </si>
  <si>
    <t xml:space="preserve">40_nf1_lib40_S1_R1_001.fastq.gz</t>
  </si>
  <si>
    <t xml:space="preserve">758e9b937c3ed72a4433c8c61d376e77</t>
  </si>
  <si>
    <t xml:space="preserve">7eb0ae84f8e5a9fd6796a0608f1fee35</t>
  </si>
  <si>
    <t xml:space="preserve">/rawdata/ccrtegs44/Project_JohnShern_CS039619_112EMseqlib_061225/Flowcell_22V7LCLT4/Sample_40_nf1_lib40</t>
  </si>
  <si>
    <t xml:space="preserve">41_JS0051CD052118_R1.fastq.gz</t>
  </si>
  <si>
    <t xml:space="preserve">41_NCI0297Tumor1_gDNA_R1.fastq.gz</t>
  </si>
  <si>
    <t xml:space="preserve">41_nf1_lib41_S1_R1_001.fastq.gz</t>
  </si>
  <si>
    <t xml:space="preserve">3b004ede9d8d0cbfc47f99a8c789db53</t>
  </si>
  <si>
    <t xml:space="preserve">dc19da61027a11d2367c9b467132d564</t>
  </si>
  <si>
    <t xml:space="preserve">/rawdata/ccrtegs44/Project_JohnShern_CS039619_112EMseqlib_061225/Flowcell_22V7LCLT4/Sample_41_nf1_lib41</t>
  </si>
  <si>
    <t xml:space="preserve">42_g15NC59F_R1.fastq.gz</t>
  </si>
  <si>
    <t xml:space="preserve">42_JS0052CD072417_R1.fastq.gz</t>
  </si>
  <si>
    <t xml:space="preserve">42_nf1_lib42_S1_R1_001.fastq.gz</t>
  </si>
  <si>
    <t xml:space="preserve">8a03ab20dc6d83f3badce97b0a8e1a38</t>
  </si>
  <si>
    <t xml:space="preserve">a876198ee9f6f74c7323142c8ba2bf7e</t>
  </si>
  <si>
    <t xml:space="preserve">/rawdata/ccrtegs44/Project_JohnShern_CS039619_112EMseqlib_061225/Flowcell_22V7LCLT4/Sample_42_nf1_lib42</t>
  </si>
  <si>
    <t xml:space="preserve">43_IsLe_Tumor_DNA_R1.fastq.gz</t>
  </si>
  <si>
    <t xml:space="preserve">43_JS0053CD111418_R1.fastq.gz</t>
  </si>
  <si>
    <t xml:space="preserve">43_nf1_lib43_S1_R1_001.fastq.gz</t>
  </si>
  <si>
    <t xml:space="preserve">d25ef481bd48bfbea9e14ab75fdb2e16</t>
  </si>
  <si>
    <t xml:space="preserve">29aaab96c72a3a40879cabeaee7df634</t>
  </si>
  <si>
    <t xml:space="preserve">/rawdata/ccrtegs44/Project_JohnShern_CS039619_112EMseqlib_061225/Flowcell_22V7LCLT4/Sample_43_nf1_lib43</t>
  </si>
  <si>
    <t xml:space="preserve">44_JS0054CD050117_R1.fastq.gz</t>
  </si>
  <si>
    <t xml:space="preserve">44_NCI_031_T1_gDNA_R1.fastq.gz</t>
  </si>
  <si>
    <t xml:space="preserve">44_nf1_lib44_S1_R1_001.fastq.gz</t>
  </si>
  <si>
    <t xml:space="preserve">81d2c866565604b982ee4c97b21986c6</t>
  </si>
  <si>
    <t xml:space="preserve">4ad71eb4d4b3ceb5441473bc1bc87e72</t>
  </si>
  <si>
    <t xml:space="preserve">/rawdata/ccrtegs44/Project_JohnShern_CS039619_112EMseqlib_061225/Flowcell_22V7LCLT4/Sample_44_nf1_lib44</t>
  </si>
  <si>
    <t xml:space="preserve">45_JS0054CD020618_R1.fastq.gz</t>
  </si>
  <si>
    <t xml:space="preserve">45_nf1_lib45_S1_R1_001.fastq.gz</t>
  </si>
  <si>
    <t xml:space="preserve">c9f7d61d7596935aca5b64185550a97c</t>
  </si>
  <si>
    <t xml:space="preserve">a06cf4d7c8e67c9889b559ec5239037e</t>
  </si>
  <si>
    <t xml:space="preserve">/rawdata/ccrtegs44/Project_JohnShern_CS039619_112EMseqlib_061225/Flowcell_22V7LCLT4/Sample_45_nf1_lib45</t>
  </si>
  <si>
    <t xml:space="preserve">46_JS0055CD040918_R1.fastq.gz</t>
  </si>
  <si>
    <t xml:space="preserve">46_nf1_lib46_S1_R1_001.fastq.gz</t>
  </si>
  <si>
    <t xml:space="preserve">57878df826802ce663c0a2071a7fa22f</t>
  </si>
  <si>
    <t xml:space="preserve">a56e08e02dca9b47436c2814ed1948f1</t>
  </si>
  <si>
    <t xml:space="preserve">/rawdata/ccrtegs44/Project_JohnShern_CS039619_112EMseqlib_061225/Flowcell_22V7LCLT4/Sample_46_nf1_lib46</t>
  </si>
  <si>
    <t xml:space="preserve">47_JS0055CD100118_R1.fastq.gz</t>
  </si>
  <si>
    <t xml:space="preserve">47_nf1_lib47_S1_R1_001.fastq.gz</t>
  </si>
  <si>
    <t xml:space="preserve">84129b4df92c28586e5c4282f7a0e482</t>
  </si>
  <si>
    <t xml:space="preserve">a4e66376f10287250bce61e81341548b</t>
  </si>
  <si>
    <t xml:space="preserve">/rawdata/ccrtegs44/Project_JohnShern_CS039619_112EMseqlib_061225/Flowcell_22V7LCLT4/Sample_47_nf1_lib47</t>
  </si>
  <si>
    <t xml:space="preserve">48_JS0056CD032818_R1.fastq.gz</t>
  </si>
  <si>
    <t xml:space="preserve">48_nf1_lib48_S1_R1_001.fastq.gz</t>
  </si>
  <si>
    <t xml:space="preserve">7e035412b30a8b4385e39d705ba9bfe0</t>
  </si>
  <si>
    <t xml:space="preserve">c1770b6a596e1dda1edb720bdf764460</t>
  </si>
  <si>
    <t xml:space="preserve">/rawdata/ccrtegs44/Project_JohnShern_CS039619_112EMseqlib_061225/Flowcell_22V7LCLT4/Sample_48_nf1_lib48</t>
  </si>
  <si>
    <t xml:space="preserve">49_JS0057CD052118_R1.fastq.gz</t>
  </si>
  <si>
    <t xml:space="preserve">49_nf1_lib49_S1_R1_001.fastq.gz</t>
  </si>
  <si>
    <t xml:space="preserve">982e439dafd4d066dedc570cd766da85</t>
  </si>
  <si>
    <t xml:space="preserve">f348ab97bcbd9a76f6cc994bc03d9e16</t>
  </si>
  <si>
    <t xml:space="preserve">/rawdata/ccrtegs44/Project_JohnShern_CS039619_112EMseqlib_061225/Flowcell_22V7LCLT4/Sample_49_nf1_lib49</t>
  </si>
  <si>
    <t xml:space="preserve">5_5NC25M_R1.fastq.gz</t>
  </si>
  <si>
    <t xml:space="preserve">5_em_seq_pilot_1_S1_R1_001.fastq.gz</t>
  </si>
  <si>
    <t xml:space="preserve">bf334eecc21856abced168a9dccbeee2</t>
  </si>
  <si>
    <t xml:space="preserve">4d8918b7882b1a80ff943805dc49f4f0</t>
  </si>
  <si>
    <t xml:space="preserve">gs://chaudhuri-lab-share-bucket1/jeszyman/data/nf1/sundbyrt/emseq_pilot/fastq/Flowcell_225G37LT1/Sample_5_em_seq_pilot_1</t>
  </si>
  <si>
    <t xml:space="preserve">5_JS0007CD072618_R1.fastq.gz</t>
  </si>
  <si>
    <t xml:space="preserve">5_JS0105CD111419_R1.fastq.gz</t>
  </si>
  <si>
    <t xml:space="preserve">5_nf1_lib5_S1_R1_001.fastq.gz</t>
  </si>
  <si>
    <t xml:space="preserve">65fbf47fbee29cd46fb5d744e5da48b8</t>
  </si>
  <si>
    <t xml:space="preserve">4b4de90404c8e73b774cbc8d94e461da</t>
  </si>
  <si>
    <t xml:space="preserve">/rawdata/ccrtegs44/Project_JohnShern_CS039619_112EMseqlib_061225/Flowcell_22V7LCLT4/Sample_5_nf1_lib5</t>
  </si>
  <si>
    <t xml:space="preserve">5_NF620_S5_R1_001.fastq.gz</t>
  </si>
  <si>
    <t xml:space="preserve">50_JS0058CD052418_R1.fastq.gz</t>
  </si>
  <si>
    <t xml:space="preserve">50_nf1_lib50_S1_R1_001.fastq.gz</t>
  </si>
  <si>
    <t xml:space="preserve">0dc9228ab6433d2188db96b188b6fa60</t>
  </si>
  <si>
    <t xml:space="preserve">cf9c37229611f2a03457134b3dcf58b0</t>
  </si>
  <si>
    <t xml:space="preserve">/rawdata/ccrtegs44/Project_JohnShern_CS039619_112EMseqlib_061225/Flowcell_22V7LCLT4/Sample_50_nf1_lib50</t>
  </si>
  <si>
    <t xml:space="preserve">51_JS0059CD052118_R1.fastq.gz</t>
  </si>
  <si>
    <t xml:space="preserve">51_nf1_lib51_S1_R1_001.fastq.gz</t>
  </si>
  <si>
    <t xml:space="preserve">16b1fcb820ea2b1cebe5f2920d028fc1</t>
  </si>
  <si>
    <t xml:space="preserve">b52ae1c47ac1ace33d9a5d4e0751df92</t>
  </si>
  <si>
    <t xml:space="preserve">/rawdata/ccrtegs44/Project_JohnShern_CS039619_112EMseqlib_061225/Flowcell_22V7LCLT4/Sample_51_nf1_lib51</t>
  </si>
  <si>
    <t xml:space="preserve">510cf-WM-WGSOncology-cfDNAFFPE-Dev1_S1_L001_R1_001.fastq.gz      </t>
  </si>
  <si>
    <t xml:space="preserve">510cf-WM-WGSOncology-cfDNAFFPE-Dev1_S1_L002_R1_001.fastq.gz      </t>
  </si>
  <si>
    <t xml:space="preserve">510cf-WM-WGSOncology-cfDNAFFPE-Dev1_S1_L003_R1_001.fastq.gz      </t>
  </si>
  <si>
    <t xml:space="preserve">510cf-WM-WGSOncology-cfDNAFFPE-Dev1_S1_L004_R1_001.fastq.gz      </t>
  </si>
  <si>
    <t xml:space="preserve">52_JS0060CD101218_R1.fastq.gz</t>
  </si>
  <si>
    <t xml:space="preserve">52_nf1_lib52_S1_R1_001.fastq.gz</t>
  </si>
  <si>
    <t xml:space="preserve">08e9fc34d66bdff61fc72f0c74760077</t>
  </si>
  <si>
    <t xml:space="preserve">e6b19941f34ece283d70ba67685022c6</t>
  </si>
  <si>
    <t xml:space="preserve">/rawdata/ccrtegs44/Project_JohnShern_CS039619_112EMseqlib_061225/Flowcell_22V7LCLT4/Sample_52_nf1_lib52</t>
  </si>
  <si>
    <t xml:space="preserve">521_09-06-2022_R1.fastq.gz</t>
  </si>
  <si>
    <t xml:space="preserve">53_JS0060CD110918_R1.fastq.gz</t>
  </si>
  <si>
    <t xml:space="preserve">53_nf1_lib53_S1_R1_001.fastq.gz</t>
  </si>
  <si>
    <t xml:space="preserve">f0c37b5c03e233f354f67d74feeff347</t>
  </si>
  <si>
    <t xml:space="preserve">1794d411d9888f0ded2f9b07cb33c5d3</t>
  </si>
  <si>
    <t xml:space="preserve">/rawdata/ccrtegs44/Project_JohnShern_CS039619_112EMseqlib_061225/Flowcell_22V7LCLT4/Sample_53_nf1_lib53</t>
  </si>
  <si>
    <t xml:space="preserve">535_07-27-2021_R1.fastq.gz</t>
  </si>
  <si>
    <t xml:space="preserve">536_03-21-2022_R1.fastq.gz</t>
  </si>
  <si>
    <t xml:space="preserve">536_08-30-2022_R1.fastq.gz</t>
  </si>
  <si>
    <t xml:space="preserve">54_JS0061CD052318_R1.fastq.gz</t>
  </si>
  <si>
    <t xml:space="preserve">54_nf1_lib54_S1_R1_001.fastq.gz</t>
  </si>
  <si>
    <t xml:space="preserve">2cee1c3b333b906b5d3ad261d226d385</t>
  </si>
  <si>
    <t xml:space="preserve">cfce05ccd47ba96c977004c55532bc2c</t>
  </si>
  <si>
    <t xml:space="preserve">/rawdata/ccrtegs44/Project_JohnShern_CS039619_112EMseqlib_061225/Flowcell_22V7LCLT4/Sample_54_nf1_lib54</t>
  </si>
  <si>
    <t xml:space="preserve">547_09-20-2022_R1.fastq.gz</t>
  </si>
  <si>
    <t xml:space="preserve">55_JS0062CD061918_R1.fastq.gz</t>
  </si>
  <si>
    <t xml:space="preserve">55_nf1_lib55_S1_R1_001.fastq.gz</t>
  </si>
  <si>
    <t xml:space="preserve">86ad2998fbe040d7c932fa9aff24c09c</t>
  </si>
  <si>
    <t xml:space="preserve">110ef862199231124ca7a06296f05c95</t>
  </si>
  <si>
    <t xml:space="preserve">/rawdata/ccrtegs44/Project_JohnShern_CS039619_112EMseqlib_061225/Flowcell_22V7LCLT4/Sample_55_nf1_lib55</t>
  </si>
  <si>
    <t xml:space="preserve">559_09-20-2022_R1.fastq.gz</t>
  </si>
  <si>
    <t xml:space="preserve">56_JS0063CD062118_R1.fastq.gz</t>
  </si>
  <si>
    <t xml:space="preserve">56_nf1_lib56_S1_R1_001.fastq.gz</t>
  </si>
  <si>
    <t xml:space="preserve">9624d761570fae13911944fbe9a3d4ae</t>
  </si>
  <si>
    <t xml:space="preserve">65d71ea8d0c8db2c2c02b7b8f309243a</t>
  </si>
  <si>
    <t xml:space="preserve">/rawdata/ccrtegs44/Project_JohnShern_CS039619_112EMseqlib_061225/Flowcell_22V7LCLT4/Sample_55_nf1_lib56</t>
  </si>
  <si>
    <t xml:space="preserve">57_JS0065CD101916_R1.fastq.gz</t>
  </si>
  <si>
    <t xml:space="preserve">57_nf1_lib57_S1_R1_001.fastq.gz</t>
  </si>
  <si>
    <t xml:space="preserve">6e3290785a764bcbbc257b5615809627</t>
  </si>
  <si>
    <t xml:space="preserve">7d226e567e790247e29e43396b13e230</t>
  </si>
  <si>
    <t xml:space="preserve">/rawdata/ccrtegs44/Project_JohnShern_CS039619_112EMseqlib_061225/Flowcell_22WFNNLT4/Sample_58_nf1_lib57</t>
  </si>
  <si>
    <t xml:space="preserve">58_JS0066CD111518_R1.fastq.gz</t>
  </si>
  <si>
    <t xml:space="preserve">58_nf1_lib58_S1_R1_001.fastq.gz</t>
  </si>
  <si>
    <t xml:space="preserve">2aeeda7c69dc5855016f4c184c636e66</t>
  </si>
  <si>
    <t xml:space="preserve">3e25dd8914e1db00396463b45ae196b0</t>
  </si>
  <si>
    <t xml:space="preserve">/rawdata/ccrtegs44/Project_JohnShern_CS039619_112EMseqlib_061225/Flowcell_22WFNNLT4/Sample_59_nf1_lib58</t>
  </si>
  <si>
    <t xml:space="preserve">59_JS0067CD111918_R1.fastq.gz</t>
  </si>
  <si>
    <t xml:space="preserve">59_nf1_lib59_S1_R1_001.fastq.gz</t>
  </si>
  <si>
    <t xml:space="preserve">946ec8c4cc63e6c223171a10b7f0cf6f</t>
  </si>
  <si>
    <t xml:space="preserve">5f628ba38fadd7e433f3ae3c1c4a293a</t>
  </si>
  <si>
    <t xml:space="preserve">/rawdata/ccrtegs44/Project_JohnShern_CS039619_112EMseqlib_061225/Flowcell_22WFNNLT4/Sample_59_nf1_lib59</t>
  </si>
  <si>
    <t xml:space="preserve">595_05-21-2021_R1.fastq.gz</t>
  </si>
  <si>
    <t xml:space="preserve">6_07-26-2022_R1.fastq.gz</t>
  </si>
  <si>
    <t xml:space="preserve">lib0420</t>
  </si>
  <si>
    <t xml:space="preserve">6_6NC23F_R1.fastq.gz</t>
  </si>
  <si>
    <t xml:space="preserve">6_em_seq_pilot_2_S3_R1_001.fastq.gz</t>
  </si>
  <si>
    <t xml:space="preserve">77154eb1cac7e182c4689a0fc8f116dd</t>
  </si>
  <si>
    <t xml:space="preserve">4d7c318ddb40fd5d11533d50bc8c54ad</t>
  </si>
  <si>
    <t xml:space="preserve">gs://chaudhuri-lab-share-bucket1/jeszyman/data/nf1/sundbyrt/emseq_pilot/fastq/Flowcell_225G37LT1/Sample_6_em_seq_pilot_2</t>
  </si>
  <si>
    <t xml:space="preserve">6_JS0010CD111918_R1.fastq.gz</t>
  </si>
  <si>
    <t xml:space="preserve">6_JS0106CD062719_R1.fastq.gz</t>
  </si>
  <si>
    <t xml:space="preserve">6_nf1_lib6_S1_R1_001.fastq.gz</t>
  </si>
  <si>
    <t xml:space="preserve">3d8b276cce38c5a8cec76fae2a7b3d6c</t>
  </si>
  <si>
    <t xml:space="preserve">d78ea5011bd2c1c6cd83d4c9b8be0a6b</t>
  </si>
  <si>
    <t xml:space="preserve">/rawdata/ccrtegs44/Project_JohnShern_CS039619_112EMseqlib_061225/Flowcell_22V7LCLT4/Sample_6_nf1_lib6</t>
  </si>
  <si>
    <t xml:space="preserve">6_NF626_S6_R2_001.fastq.gz</t>
  </si>
  <si>
    <t xml:space="preserve">60_JS0068CD030518_R1.fastq.gz</t>
  </si>
  <si>
    <t xml:space="preserve">60_nf1_lib60_S1_R1_001.fastq.gz</t>
  </si>
  <si>
    <t xml:space="preserve">354f694b986980d2b880eef230e7d489</t>
  </si>
  <si>
    <t xml:space="preserve">7c4e430a80513486be256f444454b506</t>
  </si>
  <si>
    <t xml:space="preserve">/rawdata/ccrtegs44/Project_JohnShern_CS039619_112EMseqlib_061225/Flowcell_22WFNNLT4/Sample_60_nf1_lib60</t>
  </si>
  <si>
    <t xml:space="preserve">601_02-01-2022_R1.fastq.gz</t>
  </si>
  <si>
    <t xml:space="preserve">601_03-29-2022_R1.fastq.gz</t>
  </si>
  <si>
    <t xml:space="preserve">601_10-12-2021_R1.fastq.gz</t>
  </si>
  <si>
    <t xml:space="preserve">608_02-01-2022_R1.fastq.gz</t>
  </si>
  <si>
    <t xml:space="preserve">608_03-29-2022_R1.fastq.gz</t>
  </si>
  <si>
    <t xml:space="preserve">608_05-03-2022_R1.fastq.gz</t>
  </si>
  <si>
    <t xml:space="preserve">608_08-16-2022_R1.fastq.gz</t>
  </si>
  <si>
    <t xml:space="preserve">608_10-12-2021_R1.fastq.gz</t>
  </si>
  <si>
    <t xml:space="preserve">61_JS0069CD022618_R1.fastq.gz</t>
  </si>
  <si>
    <t xml:space="preserve">61_nf1_lib61_S1_R1_001.fastq.gz</t>
  </si>
  <si>
    <t xml:space="preserve">2941f52a78ba58c3dfe6d556fc02131e</t>
  </si>
  <si>
    <t xml:space="preserve">dd763e12dd877964b8707f95dda10ccb</t>
  </si>
  <si>
    <t xml:space="preserve">/rawdata/ccrtegs44/Project_JohnShern_CS039619_112EMseqlib_061225/Flowcell_22WFNNLT4/Sample_61_nf1_lib61</t>
  </si>
  <si>
    <t xml:space="preserve">610_01-19-2021_R1.fastq.gz</t>
  </si>
  <si>
    <t xml:space="preserve">610_03-08-2022_R1.fastq.gz</t>
  </si>
  <si>
    <t xml:space="preserve">610_05-10-2022_R1.fastq.gz</t>
  </si>
  <si>
    <t xml:space="preserve">610_07-14-2020_R1.fastq.gz</t>
  </si>
  <si>
    <t xml:space="preserve">610_09-12-2021_R1.fastq.gz</t>
  </si>
  <si>
    <t xml:space="preserve">611_09-27-2022_R1.fastq.gz</t>
  </si>
  <si>
    <t xml:space="preserve">613_08-11-2020_R1.fastq.gz</t>
  </si>
  <si>
    <t xml:space="preserve">614_09-13-2022_R1.fastq.gz</t>
  </si>
  <si>
    <t xml:space="preserve">614_12-28-2021_R1.fastq.gz</t>
  </si>
  <si>
    <t xml:space="preserve">615_10-21-2021_R1.fastq.gz</t>
  </si>
  <si>
    <t xml:space="preserve">619_07-20-2021_R1.fastq.gz</t>
  </si>
  <si>
    <t xml:space="preserve">62_JS0070CD030518_R1.fastq.gz</t>
  </si>
  <si>
    <t xml:space="preserve">62_nf1_lib62_S1_R1_001.fastq.gz</t>
  </si>
  <si>
    <t xml:space="preserve">6574e600ff8de7d1ec660638daeb1a78</t>
  </si>
  <si>
    <t xml:space="preserve">6f1267ca3ab937797c67069e17d03083</t>
  </si>
  <si>
    <t xml:space="preserve">/rawdata/ccrtegs44/Project_JohnShern_CS039619_112EMseqlib_061225/Flowcell_22WFNNLT4/Sample_62_nf1_lib62</t>
  </si>
  <si>
    <t xml:space="preserve">621_09-27-2022_R1.fastq.gz</t>
  </si>
  <si>
    <t xml:space="preserve">625cf-WM-WGSOncology-cfDNAFFPE-Dev1_S2_L001_R1_001.fastq.gz      </t>
  </si>
  <si>
    <t xml:space="preserve">625cf-WM-WGSOncology-cfDNAFFPE-Dev1_S2_L002_R1_001.fastq.gz      </t>
  </si>
  <si>
    <t xml:space="preserve">625cf-WM-WGSOncology-cfDNAFFPE-Dev1_S2_L003_R1_001.fastq.gz      </t>
  </si>
  <si>
    <t xml:space="preserve">625cf-WM-WGSOncology-cfDNAFFPE-Dev1_S2_L004_R1_001.fastq.gz      </t>
  </si>
  <si>
    <t xml:space="preserve">625FFPE-WM-WGSOncology-cfDNAFFPE-Dev1_S5_L001_R1_001.fastq.gz    </t>
  </si>
  <si>
    <t xml:space="preserve">625FFPE-WM-WGSOncology-cfDNAFFPE-Dev1_S5_L002_R1_001.fastq.gz    </t>
  </si>
  <si>
    <t xml:space="preserve">625FFPE-WM-WGSOncology-cfDNAFFPE-Dev1_S5_L003_R1_001.fastq.gz    </t>
  </si>
  <si>
    <t xml:space="preserve">625FFPE-WM-WGSOncology-cfDNAFFPE-Dev1_S5_L004_R1_001.fastq.gz    </t>
  </si>
  <si>
    <t xml:space="preserve">627cf-WM-WGSOncology-cfDNAFFPE-Dev1_S3_L001_R1_001.fastq.gz      </t>
  </si>
  <si>
    <t xml:space="preserve">627cf-WM-WGSOncology-cfDNAFFPE-Dev1_S3_L002_R1_001.fastq.gz      </t>
  </si>
  <si>
    <t xml:space="preserve">627cf-WM-WGSOncology-cfDNAFFPE-Dev1_S3_L003_R1_001.fastq.gz      </t>
  </si>
  <si>
    <t xml:space="preserve">627cf-WM-WGSOncology-cfDNAFFPE-Dev1_S3_L004_R1_001.fastq.gz      </t>
  </si>
  <si>
    <t xml:space="preserve">627FFPE-WM-WGSOncology-cfDNAFFPE-Dev1_S6_L001_R1_001.fastq.gz    </t>
  </si>
  <si>
    <t xml:space="preserve">627FFPE-WM-WGSOncology-cfDNAFFPE-Dev1_S6_L002_R1_001.fastq.gz    </t>
  </si>
  <si>
    <t xml:space="preserve">627FFPE-WM-WGSOncology-cfDNAFFPE-Dev1_S6_L003_R1_001.fastq.gz    </t>
  </si>
  <si>
    <t xml:space="preserve">627FFPE-WM-WGSOncology-cfDNAFFPE-Dev1_S6_L004_R1_001.fastq.gz    </t>
  </si>
  <si>
    <t xml:space="preserve">63_JS0071CD031518_R1.fastq.gz</t>
  </si>
  <si>
    <t xml:space="preserve">63_nf1_lib63_S1_R1_001.fastq.gz</t>
  </si>
  <si>
    <t xml:space="preserve">7c80092f0b83d4036e52fe9e622c06d8</t>
  </si>
  <si>
    <t xml:space="preserve">55b36e9451e8d5cf50210cefb707deae</t>
  </si>
  <si>
    <t xml:space="preserve">/rawdata/ccrtegs44/Project_JohnShern_CS039619_112EMseqlib_061225/Flowcell_22WFNNLT4/Sample_63_nf1_lib63</t>
  </si>
  <si>
    <t xml:space="preserve">636_03-29-2022_R1.fastq.gz</t>
  </si>
  <si>
    <t xml:space="preserve">636_03-30-2021_R1.fastq.gz</t>
  </si>
  <si>
    <t xml:space="preserve">637_09-13-2022_R1.fastq.gz</t>
  </si>
  <si>
    <t xml:space="preserve">64_JS0072CD031618_R1.fastq.gz</t>
  </si>
  <si>
    <t xml:space="preserve">64_nf1_lib64_S1_R1_001.fastq.gz</t>
  </si>
  <si>
    <t xml:space="preserve">e54a3358ad889b0f8f0bf3f620c85768</t>
  </si>
  <si>
    <t xml:space="preserve">dcff207f3d9ba467f62a959adcadba0f</t>
  </si>
  <si>
    <t xml:space="preserve">/rawdata/ccrtegs44/Project_JohnShern_CS039619_112EMseqlib_061225/Flowcell_22WFNNLT4/Sample_64_nf1_lib64</t>
  </si>
  <si>
    <t xml:space="preserve">642_02-08-2022_R1.fastq.gz</t>
  </si>
  <si>
    <t xml:space="preserve">642_08-17-2022_R1.fastq.gz</t>
  </si>
  <si>
    <t xml:space="preserve">642_09-07-2021_R1.fastq.gz</t>
  </si>
  <si>
    <t xml:space="preserve">648_08-17-2021_R1.fastq.gz</t>
  </si>
  <si>
    <t xml:space="preserve">65_JS0072CD041918_R1.fastq.gz</t>
  </si>
  <si>
    <t xml:space="preserve">65_nf1_lib65_S1_R1_001.fastq.gz</t>
  </si>
  <si>
    <t xml:space="preserve">4728514142f2517d2e81f787260f436a</t>
  </si>
  <si>
    <t xml:space="preserve">deeac22944ce3a1353d4229df18ffa0f</t>
  </si>
  <si>
    <t xml:space="preserve">/rawdata/ccrtegs44/Project_JohnShern_CS039619_112EMseqlib_061225/Flowcell_22WFNNLT4/Sample_65_nf1_lib65</t>
  </si>
  <si>
    <t xml:space="preserve">654_09-07-2021_R1.fastq.gz</t>
  </si>
  <si>
    <t xml:space="preserve">66_nf1_lib66_S1_R1_001.fastq.gz</t>
  </si>
  <si>
    <t xml:space="preserve">12141eb53b3354ad1e92715d5a3b93bd</t>
  </si>
  <si>
    <t xml:space="preserve">30850987a0c26e53f6735a3cbd3cc30d</t>
  </si>
  <si>
    <t xml:space="preserve">/rawdata/ccrtegs44/Project_JohnShern_CS039619_112EMseqlib_061225/Flowcell_22WFNNLT4/Sample_66_nf1_lib66</t>
  </si>
  <si>
    <t xml:space="preserve">661_05-03-2022_R1.fastq.gz</t>
  </si>
  <si>
    <t xml:space="preserve">666_11-02-2021_R1.fastq.gz</t>
  </si>
  <si>
    <t xml:space="preserve">668_08-16-2022_R1.fastq.gz</t>
  </si>
  <si>
    <t xml:space="preserve">67_nf1_lib67_S1_R1_001.fastq.gz</t>
  </si>
  <si>
    <t xml:space="preserve">37401cb2ed26067129f88f1c404dd45e</t>
  </si>
  <si>
    <t xml:space="preserve">1ddc71840a3d9b0cb7b3a350427033af</t>
  </si>
  <si>
    <t xml:space="preserve">/rawdata/ccrtegs44/Project_JohnShern_CS039619_112EMseqlib_061225/Flowcell_22WFNNLT4/Sample_67_nf1_lib67</t>
  </si>
  <si>
    <t xml:space="preserve">670_08-23-2022_R1.fastq.gz</t>
  </si>
  <si>
    <t xml:space="preserve">673cf-WM-WGSOncology-cfDNAFFPE-Dev1_S4_L001_R1_001.fastq.gz      </t>
  </si>
  <si>
    <t xml:space="preserve">673cf-WM-WGSOncology-cfDNAFFPE-Dev1_S4_L002_R1_001.fastq.gz      </t>
  </si>
  <si>
    <t xml:space="preserve">673cf-WM-WGSOncology-cfDNAFFPE-Dev1_S4_L003_R1_001.fastq.gz      </t>
  </si>
  <si>
    <t xml:space="preserve">673cf-WM-WGSOncology-cfDNAFFPE-Dev1_S4_L004_R1_001.fastq.gz      </t>
  </si>
  <si>
    <t xml:space="preserve">68_JS0075CD040918_R1.fastq.gz</t>
  </si>
  <si>
    <t xml:space="preserve">68_nf1_lib68_S1_R1_001.fastq.gz</t>
  </si>
  <si>
    <t xml:space="preserve">03214a27ef3c10a61b30bb8786a12e01</t>
  </si>
  <si>
    <t xml:space="preserve">18b7551bc408942858e296205be1e56a</t>
  </si>
  <si>
    <t xml:space="preserve">/rawdata/ccrtegs44/Project_JohnShern_CS039619_112EMseqlib_061225/Flowcell_22WFNNLT4/Sample_68_nf1_lib68</t>
  </si>
  <si>
    <t xml:space="preserve">681_04-05-2022_R1.fastq.gz</t>
  </si>
  <si>
    <t xml:space="preserve">684_04-12-2022_R1.fastq.gz</t>
  </si>
  <si>
    <t xml:space="preserve">69_JS0076CD030918_R1.fastq.gz</t>
  </si>
  <si>
    <t xml:space="preserve">69_nf1_lib69_S1_R1_001.fastq.gz</t>
  </si>
  <si>
    <t xml:space="preserve">1c52dc23c3466e86fabdfb40163e2a9c</t>
  </si>
  <si>
    <t xml:space="preserve">35ad1ae5cf3f591f182c0624acacd408</t>
  </si>
  <si>
    <t xml:space="preserve">/rawdata/ccrtegs44/Project_JohnShern_CS039619_112EMseqlib_061225/Flowcell_22WFNNLT4/Sample_69_nf1_lib69</t>
  </si>
  <si>
    <t xml:space="preserve">690_05-10-2022_R1.fastq.gz</t>
  </si>
  <si>
    <t xml:space="preserve">691_09-13-2022_R1.fastq.gz</t>
  </si>
  <si>
    <t xml:space="preserve">7_7NC33M_R1.fastq.gz</t>
  </si>
  <si>
    <t xml:space="preserve">7_em_seq_pilot_3_S5_R1_001.fastq.gz</t>
  </si>
  <si>
    <t xml:space="preserve">00d3f32adf7cd4e542cf4ce49528e088</t>
  </si>
  <si>
    <t xml:space="preserve">2567b95e99f9f715fe6d2ae9d8807ffe</t>
  </si>
  <si>
    <t xml:space="preserve">gs://chaudhuri-lab-share-bucket1/jeszyman/data/nf1/sundbyrt/emseq_pilot/fastq/Flowcell_225G37LT1/Sample_7_em_seq_pilot_3</t>
  </si>
  <si>
    <t xml:space="preserve">7_JS0022CD050118_R1.fastq.gz</t>
  </si>
  <si>
    <t xml:space="preserve">7_JS0053CD062119_R1.fastq.gz</t>
  </si>
  <si>
    <t xml:space="preserve">7_nf1_lib7_S1_R1_001.fastq.gz</t>
  </si>
  <si>
    <t xml:space="preserve">a7d51809e6569384b3b56570b00027d0</t>
  </si>
  <si>
    <t xml:space="preserve">055352adc49c70709e6dfae5e4cbf461</t>
  </si>
  <si>
    <t xml:space="preserve">/rawdata/ccrtegs44/Project_JohnShern_CS039619_112EMseqlib_061225/Flowcell_22V7LCLT4/Sample_7_nf1_lib7</t>
  </si>
  <si>
    <t xml:space="preserve">7_NF621_S7_R1_001.fastq.gz</t>
  </si>
  <si>
    <t xml:space="preserve">70_nf1_lib70_S1_R1_001.fastq.gz</t>
  </si>
  <si>
    <t xml:space="preserve">578068eab95ceed259378e8bc41b28c5</t>
  </si>
  <si>
    <t xml:space="preserve">8420506c5255c438111b6e2b029c5256</t>
  </si>
  <si>
    <t xml:space="preserve">/rawdata/ccrtegs44/Project_JohnShern_CS039619_112EMseqlib_061225/Flowcell_22WFNNLT4/Sample_70_nf1_lib70</t>
  </si>
  <si>
    <t xml:space="preserve">700_08-09-2022_R1.fastq.gz</t>
  </si>
  <si>
    <t xml:space="preserve">702_08-16-2022_R1.fastq.gz</t>
  </si>
  <si>
    <t xml:space="preserve">704_08-30-2022_R1.fastq.gz</t>
  </si>
  <si>
    <t xml:space="preserve">705_09-06-2022_R1.fastq.gz</t>
  </si>
  <si>
    <t xml:space="preserve">706_09-27-2022_R1.fastq.gz</t>
  </si>
  <si>
    <t xml:space="preserve">previously excluded</t>
  </si>
  <si>
    <t xml:space="preserve">71_nf1_lib71_S1_R1_001.fastq.gz</t>
  </si>
  <si>
    <t xml:space="preserve">ea4e7338410325373f080407fd24e4fb</t>
  </si>
  <si>
    <t xml:space="preserve">67ac34f8267e3f5e546e4f08b62cbfae</t>
  </si>
  <si>
    <t xml:space="preserve">/rawdata/ccrtegs44/Project_JohnShern_CS039619_112EMseqlib_061225/Flowcell_22WFNNLT4/Sample_71_nf1_lib71</t>
  </si>
  <si>
    <t xml:space="preserve">72_nf1_lib72_S1_R1_001.fastq.gz</t>
  </si>
  <si>
    <t xml:space="preserve">be489b73870866988a52b4ff4c3fa0a6</t>
  </si>
  <si>
    <t xml:space="preserve">411fee72c2c74dd4d06c98535d8022f1</t>
  </si>
  <si>
    <t xml:space="preserve">/rawdata/ccrtegs44/Project_JohnShern_CS039619_112EMseqlib_061225/Flowcell_22WFNNLT4/Sample_72_nf1_lib72</t>
  </si>
  <si>
    <t xml:space="preserve">73_nf1_lib73_S1_R1_001.fastq.gz</t>
  </si>
  <si>
    <t xml:space="preserve">487dab09f47504235c0bf23fbee1869d</t>
  </si>
  <si>
    <t xml:space="preserve">550b982eb57739df5b580544b012a025</t>
  </si>
  <si>
    <t xml:space="preserve">/rawdata/ccrtegs44/Project_JohnShern_CS039619_112EMseqlib_061225/Flowcell_22WFNNLT4/Sample_73_nf1_lib73</t>
  </si>
  <si>
    <t xml:space="preserve">74_JS0086CD082116_R1.fastq.gz</t>
  </si>
  <si>
    <t xml:space="preserve">74_nf1_lib74_S1_R1_001.fastq.gz</t>
  </si>
  <si>
    <t xml:space="preserve">9bfab3cb10185f6c0e3f9f13b6600ac9</t>
  </si>
  <si>
    <t xml:space="preserve">761e37e5dec2dc0804b30afc925c2a35</t>
  </si>
  <si>
    <t xml:space="preserve">/rawdata/ccrtegs44/Project_JohnShern_CS039619_112EMseqlib_061225/Flowcell_22WFNNLT4/Sample_74_nf1_lib74</t>
  </si>
  <si>
    <t xml:space="preserve">75_nf1_lib75_S1_R1_001.fastq.gz</t>
  </si>
  <si>
    <t xml:space="preserve">d4f5fc86fdad1475818b9cfb2955d7d0</t>
  </si>
  <si>
    <t xml:space="preserve">8c48d217fe1dfb588a268697e261cc7e</t>
  </si>
  <si>
    <t xml:space="preserve">/rawdata/ccrtegs44/Project_JohnShern_CS039619_112EMseqlib_061225/Flowcell_22WFNNLT4/Sample_75_nf1_lib75</t>
  </si>
  <si>
    <t xml:space="preserve">76_nf1_lib76_S1_R1_001.fastq.gz</t>
  </si>
  <si>
    <t xml:space="preserve">e22b30e07c4fd32745fafcfadef5a677</t>
  </si>
  <si>
    <t xml:space="preserve">c2080509aa1162cc9ae250d2b9f8e335</t>
  </si>
  <si>
    <t xml:space="preserve">/rawdata/ccrtegs44/Project_JohnShern_CS039619_112EMseqlib_061225/Flowcell_22WFNNLT4/Sample_76_nf1_lib76</t>
  </si>
  <si>
    <t xml:space="preserve">77_nf1_lib77_S1_R1_001.fastq.gz</t>
  </si>
  <si>
    <t xml:space="preserve">91102b7be48878b74224bb495626a838</t>
  </si>
  <si>
    <t xml:space="preserve">253bb6fe84c7a000cad36325e704cfa7</t>
  </si>
  <si>
    <t xml:space="preserve">/rawdata/ccrtegs44/Project_JohnShern_CS039619_112EMseqlib_061225/Flowcell_22WFNNLT4/Sample_77_nf1_lib77</t>
  </si>
  <si>
    <t xml:space="preserve">78_nf1_lib78_S1_R1_001.fastq.gz</t>
  </si>
  <si>
    <t xml:space="preserve">f1f6b04e2230505e61f24fb2d807502d</t>
  </si>
  <si>
    <t xml:space="preserve">fbc5b666c030183463b9c9b18f7c9bb4</t>
  </si>
  <si>
    <t xml:space="preserve">/rawdata/ccrtegs44/Project_JohnShern_CS039619_112EMseqlib_061225/Flowcell_22WFNNLT4/Sample_78_nf1_lib78</t>
  </si>
  <si>
    <t xml:space="preserve">79_nf1_lib79_S1_R1_001.fastq.gz</t>
  </si>
  <si>
    <t xml:space="preserve">0bfc56a7b167c0bf1f2fa3efe1ff01e3</t>
  </si>
  <si>
    <t xml:space="preserve">acc14fbc73a655ca00fc97df1edbf076</t>
  </si>
  <si>
    <t xml:space="preserve">/rawdata/ccrtegs44/Project_JohnShern_CS039619_112EMseqlib_061225/Flowcell_22WFNNLT4/Sample_79_nf1_lib79</t>
  </si>
  <si>
    <t xml:space="preserve">8_8NC32F_R1.fastq.gz</t>
  </si>
  <si>
    <t xml:space="preserve">8_em_seq_pilot_4_S7_R1_001.fastq.gz</t>
  </si>
  <si>
    <t xml:space="preserve">85bcc803c8b4d712d449b36528fb1079</t>
  </si>
  <si>
    <t xml:space="preserve">82dc06143d2bee478898b2b8d49d6b0b</t>
  </si>
  <si>
    <t xml:space="preserve">gs://chaudhuri-lab-share-bucket1/jeszyman/data/nf1/sundbyrt/emseq_pilot/fastq/Flowcell_225G37LT1/Sample_8_em_seq_pilot_4</t>
  </si>
  <si>
    <t xml:space="preserve">8_JS0025CD062917_R1.fastq.gz</t>
  </si>
  <si>
    <t xml:space="preserve">8_JS0053CD062319_R1.fastq.gz</t>
  </si>
  <si>
    <t xml:space="preserve">8_nf1_lib8_S1_R1_001.fastq.gz</t>
  </si>
  <si>
    <t xml:space="preserve">30a44eb4ee66fbb22f0c173efa237aa5</t>
  </si>
  <si>
    <t xml:space="preserve">26e7459b3c1a38d25c4ab8d9eaea8e31</t>
  </si>
  <si>
    <t xml:space="preserve">/rawdata/ccrtegs44/Project_JohnShern_CS039619_112EMseqlib_061225/Flowcell_22V7LCLT4/Sample_8_nf1_lib8</t>
  </si>
  <si>
    <t xml:space="preserve">8_NF641_S8_R1_001.fastq.gz</t>
  </si>
  <si>
    <t xml:space="preserve">80_nf1_lib80_S1_R1_001.fastq.gz</t>
  </si>
  <si>
    <t xml:space="preserve">8916ad86135ce2f9489eef35d33dd692</t>
  </si>
  <si>
    <t xml:space="preserve">2c0a0c5791add7bcb424c00bd6f3651c</t>
  </si>
  <si>
    <t xml:space="preserve">/rawdata/ccrtegs44/Project_JohnShern_CS039619_112EMseqlib_061225/Flowcell_22WFNNLT4/Sample_80_nf1_lib80</t>
  </si>
  <si>
    <t xml:space="preserve">81_nf1_lib81_S1_R1_001.fastq.gz</t>
  </si>
  <si>
    <t xml:space="preserve">88eaca071a6b1bef2a9ec4e48df6e958</t>
  </si>
  <si>
    <t xml:space="preserve">9836f4c6fe3186890122433901a27e92</t>
  </si>
  <si>
    <t xml:space="preserve">/rawdata/ccrtegs44/Project_JohnShern_CS039619_112EMseqlib_061225/Flowcell_22WFNNLT4/Sample_81_nf1_lib81</t>
  </si>
  <si>
    <t xml:space="preserve">82_nf1_lib82_S1_R1_001.fastq.gz</t>
  </si>
  <si>
    <t xml:space="preserve">c75d914aa772eb3209e2a8d8aba05f84</t>
  </si>
  <si>
    <t xml:space="preserve">87698bd1f2f6f60fbc3b3a7d8b4b759e</t>
  </si>
  <si>
    <t xml:space="preserve">/rawdata/ccrtegs44/Project_JohnShern_CS039619_112EMseqlib_061225/Flowcell_22WFNNLT4/Sample_82_nf1_lib82</t>
  </si>
  <si>
    <t xml:space="preserve">83_nf1_lib83_S1_R1_001.fastq.gz</t>
  </si>
  <si>
    <t xml:space="preserve">acd2ed344debb5b4f0cadb13f082a3a1</t>
  </si>
  <si>
    <t xml:space="preserve">2149d3ad84ef6d4d39d05eec3a028342</t>
  </si>
  <si>
    <t xml:space="preserve">/rawdata/ccrtegs44/Project_JohnShern_CS039619_112EMseqlib_061225/Flowcell_22WFNNLT4/Sample_83_nf1_lib83</t>
  </si>
  <si>
    <t xml:space="preserve">84_nf1_lib84_S1_R1_001.fastq.gz</t>
  </si>
  <si>
    <t xml:space="preserve">fe9956ed70dd228707f47f9554abd68d</t>
  </si>
  <si>
    <t xml:space="preserve">7a20fd53725242a8826fc24d6b43392b</t>
  </si>
  <si>
    <t xml:space="preserve">/rawdata/ccrtegs44/Project_JohnShern_CS039619_112EMseqlib_061225/Flowcell_22WFNNLT4/Sample_84_nf1_lib84</t>
  </si>
  <si>
    <t xml:space="preserve">85_nf1_lib85_S1_R1_001.fastq.gz</t>
  </si>
  <si>
    <t xml:space="preserve">3e1566f7a085f84f3ecb8286a8414ce3</t>
  </si>
  <si>
    <t xml:space="preserve">bf6f96f2a9f28d0114999b63c1d45fbd</t>
  </si>
  <si>
    <t xml:space="preserve">/rawdata/ccrtegs44/Project_JohnShern_CS039619_112EMseqlib_061225/Flowcell_22WFNNLT4/Sample_85_nf1_lib85</t>
  </si>
  <si>
    <t xml:space="preserve">86_nf1_lib86_S1_R1_001.fastq.gz</t>
  </si>
  <si>
    <t xml:space="preserve">27e0aced4fdb81b61b1bf3d55640227d</t>
  </si>
  <si>
    <t xml:space="preserve">03f63e21fcd7e15af3148ae662f38fe4</t>
  </si>
  <si>
    <t xml:space="preserve">/rawdata/ccrtegs44/Project_JohnShern_CS039619_112EMseqlib_061225/Flowcell_22WFNNLT4/Sample_86_nf1_lib86</t>
  </si>
  <si>
    <t xml:space="preserve">87_nf1_lib87_S1_R1_001.fastq.gz</t>
  </si>
  <si>
    <t xml:space="preserve">3ed7a1b22fa029d0641b8cd71b5ecdd3</t>
  </si>
  <si>
    <t xml:space="preserve">e9a68e8c984fabe086ec5cc2a2c2dab8</t>
  </si>
  <si>
    <t xml:space="preserve">/rawdata/ccrtegs44/Project_JohnShern_CS039619_112EMseqlib_061225/Flowcell_22WFNNLT4/Sample_87_nf1_lib87</t>
  </si>
  <si>
    <t xml:space="preserve">88_nf1_lib88_S1_R1_001.fastq.gz</t>
  </si>
  <si>
    <t xml:space="preserve">b3019b82723857df037f8334f9dc5f35</t>
  </si>
  <si>
    <t xml:space="preserve">758be733409343de353042c0a2457fa9</t>
  </si>
  <si>
    <t xml:space="preserve">/rawdata/ccrtegs44/Project_JohnShern_CS039619_112EMseqlib_061225/Flowcell_22WFNNLT4/Sample_88_nf1_lib88</t>
  </si>
  <si>
    <t xml:space="preserve">89_nf1_lib89_S1_R1_001.fastq.gz</t>
  </si>
  <si>
    <t xml:space="preserve">9c56f6f5172c658321c7578321a35caa</t>
  </si>
  <si>
    <t xml:space="preserve">fc88bb4b86dae844001796b0833be553</t>
  </si>
  <si>
    <t xml:space="preserve">/rawdata/ccrtegs44/Project_JohnShern_CS039619_112EMseqlib_061225/Flowcell_22WFNNLT4/Sample_89_nf1_lib89</t>
  </si>
  <si>
    <t xml:space="preserve">9_9NC48M_R1.fastq.gz</t>
  </si>
  <si>
    <t xml:space="preserve">9_em_seq_pilot_5_S9_R1_001.fastq.gz</t>
  </si>
  <si>
    <t xml:space="preserve">96c49e8a8fcaa217090f00f501cce61f</t>
  </si>
  <si>
    <t xml:space="preserve">821dd83ea2d720beb2103317d10f2af6</t>
  </si>
  <si>
    <t xml:space="preserve">gs://chaudhuri-lab-share-bucket1/jeszyman/data/nf1/sundbyrt/emseq_pilot/fastq/Flowcell_225G37LT1/Sample_9_em_seq_pilot_5</t>
  </si>
  <si>
    <t xml:space="preserve">9_JS0027CD030518_R1.fastq.gz</t>
  </si>
  <si>
    <t xml:space="preserve">9_JS0105CD081017_R1.fastq.gz</t>
  </si>
  <si>
    <t xml:space="preserve">9_nf1_lib9_S1_R1_001.fastq.gz</t>
  </si>
  <si>
    <t xml:space="preserve">726061e5114aa0f767cd7d13785819d7</t>
  </si>
  <si>
    <t xml:space="preserve">6202132eed28c98159b4a2265c3952cf</t>
  </si>
  <si>
    <t xml:space="preserve">/rawdata/ccrtegs44/Project_JohnShern_CS039619_112EMseqlib_061225/Flowcell_22V7LCLT4/Sample_9_nf1_lib9</t>
  </si>
  <si>
    <t xml:space="preserve">9_NF642_S9_R1_001.fastq.gz</t>
  </si>
  <si>
    <t xml:space="preserve">90_nf1_lib90_S1_R1_001.fastq.gz</t>
  </si>
  <si>
    <t xml:space="preserve">de28600da1eea2a0dc06bcf67c77561a</t>
  </si>
  <si>
    <t xml:space="preserve">9c444e58e184a793de87460e9acf6493</t>
  </si>
  <si>
    <t xml:space="preserve">/rawdata/ccrtegs44/Project_JohnShern_CS039619_112EMseqlib_061225/Flowcell_22WFNNLT4/Sample_90_nf1_lib90</t>
  </si>
  <si>
    <t xml:space="preserve">91_nf1_lib91_S1_R1_001.fastq.gz</t>
  </si>
  <si>
    <t xml:space="preserve">181916acbf9acc1aa01c88be3cfb59d0</t>
  </si>
  <si>
    <t xml:space="preserve">1997fd4270b1d916822f6b7a33a71d01</t>
  </si>
  <si>
    <t xml:space="preserve">/rawdata/ccrtegs44/Project_JohnShern_CS039619_112EMseqlib_061225/Flowcell_22WFNNLT4/Sample_91_nf1_lib91</t>
  </si>
  <si>
    <t xml:space="preserve">92_nf1_lib92_S1_R1_001.fastq.gz</t>
  </si>
  <si>
    <t xml:space="preserve">ec4a3dac31155b7c34369bd29c2bdf6a</t>
  </si>
  <si>
    <t xml:space="preserve">19dfe490088202dbe6174b48d4027c57</t>
  </si>
  <si>
    <t xml:space="preserve">/rawdata/ccrtegs44/Project_JohnShern_CS039619_112EMseqlib_061225/Flowcell_22WFNNLT4/Sample_92_nf1_lib92</t>
  </si>
  <si>
    <t xml:space="preserve">93_nf1_lib93_S1_R1_001.fastq.gz</t>
  </si>
  <si>
    <t xml:space="preserve">a03059d0f6d4064266ef0cd6d30d717c</t>
  </si>
  <si>
    <t xml:space="preserve">f3d09ad01310787dcc0420226527bdd1</t>
  </si>
  <si>
    <t xml:space="preserve">/rawdata/ccrtegs44/Project_JohnShern_CS039619_112EMseqlib_061225/Flowcell_22WFNNLT4/Sample_93_nf1_lib93</t>
  </si>
  <si>
    <t xml:space="preserve">94_nf1_lib94_S1_R1_001.fastq.gz</t>
  </si>
  <si>
    <t xml:space="preserve">eb8d166e0c162d9189d276873c18d135</t>
  </si>
  <si>
    <t xml:space="preserve">95fc828288fa42daea8a035b4502d069</t>
  </si>
  <si>
    <t xml:space="preserve">/rawdata/ccrtegs44/Project_JohnShern_CS039619_112EMseqlib_061225/Flowcell_22WFNNLT4/Sample_94_nf1_lib94</t>
  </si>
  <si>
    <t xml:space="preserve">95_nf1_lib95_S1_R1_001.fastq.gz</t>
  </si>
  <si>
    <t xml:space="preserve">cfe1689e17c719bb24782d6965ba0e86</t>
  </si>
  <si>
    <t xml:space="preserve">ff42ac58e2ffddeaed2acc297524011e</t>
  </si>
  <si>
    <t xml:space="preserve">m1 WU487 2-1 T</t>
  </si>
  <si>
    <t xml:space="preserve">/rawdata/ccrtegs44/Project_JohnShern_CS039619_112EMseqlib_061225/Flowcell_22WFNNLT4/Sample_95_nf1_lib95</t>
  </si>
  <si>
    <t xml:space="preserve">96_nf1_lib96_S1_R1_001.fastq.gz</t>
  </si>
  <si>
    <t xml:space="preserve">ecbb215a10a4ae4c788dd20cf8ce67e2</t>
  </si>
  <si>
    <t xml:space="preserve">2f5b7226c5dd0b9e855367146308fcaf</t>
  </si>
  <si>
    <t xml:space="preserve">m3 WU487 5-2 T</t>
  </si>
  <si>
    <t xml:space="preserve">/rawdata/ccrtegs44/Project_JohnShern_CS039619_112EMseqlib_061225/Flowcell_22WFNNLT4/Sample_96_nf1_lib96</t>
  </si>
  <si>
    <t xml:space="preserve">97_nf1_lib97_S1_R1_001.fastq.gz</t>
  </si>
  <si>
    <t xml:space="preserve">a22dc9a7c4bf31f3b2bc293b0b986214</t>
  </si>
  <si>
    <t xml:space="preserve">eedbde3cd9288817c45000f9ca14afb7</t>
  </si>
  <si>
    <t xml:space="preserve">m4 WU487 1-4 T</t>
  </si>
  <si>
    <t xml:space="preserve">/rawdata/ccrtegs44/Project_JohnShern_CS039619_112EMseqlib_061225/Flowcell_22WFNNLT4/Sample_97_nf1_lib97</t>
  </si>
  <si>
    <t xml:space="preserve">98_nf1_lib98_S1_R1_001.fastq.gz</t>
  </si>
  <si>
    <t xml:space="preserve">c49a81020714fea6d18c3f69cda338b6</t>
  </si>
  <si>
    <t xml:space="preserve">596b3d8ea46955c87a1a6d3ff45cd0e6</t>
  </si>
  <si>
    <t xml:space="preserve">m5 WU487 3-5 T</t>
  </si>
  <si>
    <t xml:space="preserve">/rawdata/ccrtegs44/Project_JohnShern_CS039619_112EMseqlib_061225/Flowcell_22WFNNLT4/Sample_98_nf1_lib98</t>
  </si>
  <si>
    <t xml:space="preserve">99_nf1_lib99_S1_R1_001.fastq.gz</t>
  </si>
  <si>
    <t xml:space="preserve">845d3f425b71f6b52456fc0e1166b08a</t>
  </si>
  <si>
    <t xml:space="preserve">e003b5aa63634b489c95822f3d93f042</t>
  </si>
  <si>
    <t xml:space="preserve">m6 WU487 4-4 T</t>
  </si>
  <si>
    <t xml:space="preserve">/rawdata/ccrtegs44/Project_JohnShern_CS039619_112EMseqlib_061225/Flowcell_22WFNNLT4/Sample_99_nf1_lib99</t>
  </si>
  <si>
    <t xml:space="preserve">AP_27M_R1.fastq.gz</t>
  </si>
  <si>
    <t xml:space="preserve">BM_26F_R1.fastq.gz</t>
  </si>
  <si>
    <t xml:space="preserve">CD_24M_R1.fastq.gz</t>
  </si>
  <si>
    <t xml:space="preserve">CLIB02768_merged_R1.fastq.gz</t>
  </si>
  <si>
    <t xml:space="preserve">gs://chaudhuri-lab-share-bucket1/ris/mpnst/inputs/seq/fmi_methylation_fastqs</t>
  </si>
  <si>
    <t xml:space="preserve">cfmedipseq</t>
  </si>
  <si>
    <t xml:space="preserve">CLIB02769_merged_R1.fastq.gz</t>
  </si>
  <si>
    <t xml:space="preserve">CLIB02770_merged_R1.fastq.gz</t>
  </si>
  <si>
    <t xml:space="preserve">CLIB02771_merged_R1.fastq.gz</t>
  </si>
  <si>
    <t xml:space="preserve">CLIB02772_merged_R1.fastq.gz</t>
  </si>
  <si>
    <t xml:space="preserve">CLIB02773_merged_R1.fastq.gz</t>
  </si>
  <si>
    <t xml:space="preserve">CLIB02774_merged_R1.fastq.gz</t>
  </si>
  <si>
    <t xml:space="preserve">CLIB02775_merged_R1.fastq.gz</t>
  </si>
  <si>
    <t xml:space="preserve">CLIB02776_merged_R1.fastq.gz</t>
  </si>
  <si>
    <t xml:space="preserve">CLIB02777_merged_R1.fastq.gz</t>
  </si>
  <si>
    <t xml:space="preserve">CLIB02778_merged_R1.fastq.gz</t>
  </si>
  <si>
    <t xml:space="preserve">CLIB02779_merged_R1.fastq.gz</t>
  </si>
  <si>
    <t xml:space="preserve">CLIB02780_merged_R1.fastq.gz</t>
  </si>
  <si>
    <t xml:space="preserve">CLIB02781_merged_R1.fastq.gz</t>
  </si>
  <si>
    <t xml:space="preserve">CLIB02782_merged_R1.fastq.gz</t>
  </si>
  <si>
    <t xml:space="preserve">CLIB02783_merged_R1.fastq.gz</t>
  </si>
  <si>
    <t xml:space="preserve">CLIB02784_merged_R1.fastq.gz</t>
  </si>
  <si>
    <t xml:space="preserve">CLIB02785_merged_R1.fastq.gz</t>
  </si>
  <si>
    <t xml:space="preserve">CLIB02786_merged_R1.fastq.gz</t>
  </si>
  <si>
    <t xml:space="preserve">CLIB02787_merged_R1.fastq.gz</t>
  </si>
  <si>
    <t xml:space="preserve">CLIB02788_merged_R1.fastq.gz</t>
  </si>
  <si>
    <t xml:space="preserve">CLIB02789_merged_R1.fastq.gz</t>
  </si>
  <si>
    <t xml:space="preserve">CLIB02790_merged_R1.fastq.gz</t>
  </si>
  <si>
    <t xml:space="preserve">CLIB02791_merged_R1.fastq.gz</t>
  </si>
  <si>
    <t xml:space="preserve">CLIB02792_merged_R1.fastq.gz</t>
  </si>
  <si>
    <t xml:space="preserve">CLIB02793_merged_R1.fastq.gz</t>
  </si>
  <si>
    <t xml:space="preserve">CLIB02794_merged_R1.fastq.gz</t>
  </si>
  <si>
    <t xml:space="preserve">CLIB02795_merged_R1.fastq.gz</t>
  </si>
  <si>
    <t xml:space="preserve">CLIB02796_merged_R1.fastq.gz</t>
  </si>
  <si>
    <t xml:space="preserve">CLIB02797_merged_R1.fastq.gz</t>
  </si>
  <si>
    <t xml:space="preserve">CLIB02798_merged_R1.fastq.gz</t>
  </si>
  <si>
    <t xml:space="preserve">CLIB02799_merged_R1.fastq.gz</t>
  </si>
  <si>
    <t xml:space="preserve">CLIB02832_merged_R1.fastq.gz</t>
  </si>
  <si>
    <t xml:space="preserve">CLIB02833_merged_R1.fastq.gz</t>
  </si>
  <si>
    <t xml:space="preserve">CLIB02834_merged_R1.fastq.gz</t>
  </si>
  <si>
    <t xml:space="preserve">CLIB02835_merged_R1.fastq.gz</t>
  </si>
  <si>
    <t xml:space="preserve">CLIB02836_merged_R1.fastq.gz</t>
  </si>
  <si>
    <t xml:space="preserve">CLIB02837_merged_R1.fastq.gz</t>
  </si>
  <si>
    <t xml:space="preserve">CLIB02838_merged_R1.fastq.gz</t>
  </si>
  <si>
    <t xml:space="preserve">CLIB02839_merged_R1.fastq.gz</t>
  </si>
  <si>
    <t xml:space="preserve">CLIB02840_merged_R1.fastq.gz</t>
  </si>
  <si>
    <t xml:space="preserve">CLIB02841_merged_R1.fastq.gz</t>
  </si>
  <si>
    <t xml:space="preserve">CLIB02842_merged_R1.fastq.gz</t>
  </si>
  <si>
    <t xml:space="preserve">CLIB02843_merged_R1.fastq.gz</t>
  </si>
  <si>
    <t xml:space="preserve">CLIB02845_merged_R1.fastq.gz</t>
  </si>
  <si>
    <t xml:space="preserve">CLIB02846_merged_R1.fastq.gz</t>
  </si>
  <si>
    <t xml:space="preserve">CLIB02847_merged_R1.fastq.gz</t>
  </si>
  <si>
    <t xml:space="preserve">CLIB02848_merged_R1.fastq.gz</t>
  </si>
  <si>
    <t xml:space="preserve">CLIB02849_merged_R1.fastq.gz</t>
  </si>
  <si>
    <t xml:space="preserve">CLIB02850_merged_R1.fastq.gz</t>
  </si>
  <si>
    <t xml:space="preserve">CLIB02851_merged_R1.fastq.gz</t>
  </si>
  <si>
    <t xml:space="preserve">CLIB02852_merged_R1.fastq.gz</t>
  </si>
  <si>
    <t xml:space="preserve">CLIB02853_merged_R1.fastq.gz</t>
  </si>
  <si>
    <t xml:space="preserve">CLIB02854_merged_R1.fastq.gz</t>
  </si>
  <si>
    <t xml:space="preserve">CLIB02855_merged_R1.fastq.gz</t>
  </si>
  <si>
    <t xml:space="preserve">CLIB02856_merged_R1.fastq.gz</t>
  </si>
  <si>
    <t xml:space="preserve">CLIB02857_merged_R1.fastq.gz</t>
  </si>
  <si>
    <t xml:space="preserve">CLIB02858_merged_R1.fastq.gz</t>
  </si>
  <si>
    <t xml:space="preserve">CLIB02859_merged_R1.fastq.gz</t>
  </si>
  <si>
    <t xml:space="preserve">CLIB02860_merged_R1.fastq.gz</t>
  </si>
  <si>
    <t xml:space="preserve">FO_26F_R1.fastq.gz</t>
  </si>
  <si>
    <t xml:space="preserve">GA_33M_R1.fastq.gz</t>
  </si>
  <si>
    <t xml:space="preserve">HJ_22F_R1.fastq.gz</t>
  </si>
  <si>
    <t xml:space="preserve">HK_3_21_22_R1.fastq.gz</t>
  </si>
  <si>
    <t xml:space="preserve">HK_3_8_22_R1.fastq.gz</t>
  </si>
  <si>
    <t xml:space="preserve">HK_5_9_22_R1.fastq.gz</t>
  </si>
  <si>
    <t xml:space="preserve">HK_8_10_22_R1.fastq.gz</t>
  </si>
  <si>
    <t xml:space="preserve">KO_1_10_20_R1.fastq.gz</t>
  </si>
  <si>
    <t xml:space="preserve">KO_1_13_20_R1.fastq.gz</t>
  </si>
  <si>
    <t xml:space="preserve">KO_1_9_20_R1.fastq.gz</t>
  </si>
  <si>
    <t xml:space="preserve">KO_10_23_17_R1.fastq.gz</t>
  </si>
  <si>
    <t xml:space="preserve">KS_30F_R1.fastq.gz</t>
  </si>
  <si>
    <t xml:space="preserve">LG_9_13_21_R1.fastq.gz</t>
  </si>
  <si>
    <t xml:space="preserve">LG_9_13_22_R1.fastq.gz</t>
  </si>
  <si>
    <t xml:space="preserve">LG_9_9_21_R1.fastq.gz</t>
  </si>
  <si>
    <t xml:space="preserve">MC_34M_R1.fastq.gz</t>
  </si>
  <si>
    <t xml:space="preserve">MG_23F_R1.fastq.gz</t>
  </si>
  <si>
    <t xml:space="preserve">MG_29F_R1.fastq.gz</t>
  </si>
  <si>
    <t xml:space="preserve">NCI001_R1.fastq.gz</t>
  </si>
  <si>
    <t xml:space="preserve">NCI002_R1.fastq.gz</t>
  </si>
  <si>
    <t xml:space="preserve">NCI003_R1.fastq.gz</t>
  </si>
  <si>
    <t xml:space="preserve">NCI004_R1.fastq.gz</t>
  </si>
  <si>
    <t xml:space="preserve">NCI005_R1.fastq.gz</t>
  </si>
  <si>
    <t xml:space="preserve">NCI006_R1.fastq.gz</t>
  </si>
  <si>
    <t xml:space="preserve">NCI007_R1.fastq.gz</t>
  </si>
  <si>
    <t xml:space="preserve">NCI008_R1.fastq.gz</t>
  </si>
  <si>
    <t xml:space="preserve">NCI009_R1.fastq.gz</t>
  </si>
  <si>
    <t xml:space="preserve">NCI010_R1.fastq.gz</t>
  </si>
  <si>
    <t xml:space="preserve">NCI011_R1.fastq.gz</t>
  </si>
  <si>
    <t xml:space="preserve">NCI012_R1.fastq.gz</t>
  </si>
  <si>
    <t xml:space="preserve">NCI013_R1.fastq.gz</t>
  </si>
  <si>
    <t xml:space="preserve">NCI014_R1.fastq.gz</t>
  </si>
  <si>
    <t xml:space="preserve">NCI015_R1.fastq.gz</t>
  </si>
  <si>
    <t xml:space="preserve">NCI016_R1.fastq.gz</t>
  </si>
  <si>
    <t xml:space="preserve">NCI017_R1.fastq.gz</t>
  </si>
  <si>
    <t xml:space="preserve">NCI018_R1.fastq.gz</t>
  </si>
  <si>
    <t xml:space="preserve">NCI019_R1.fastq.gz</t>
  </si>
  <si>
    <t xml:space="preserve">NCI020_R1.fastq.gz</t>
  </si>
  <si>
    <t xml:space="preserve">NCI021_R1.fastq.gz</t>
  </si>
  <si>
    <t xml:space="preserve">NCI022_R1.fastq.gz</t>
  </si>
  <si>
    <t xml:space="preserve">NCI023_R1.fastq.gz</t>
  </si>
  <si>
    <t xml:space="preserve">NCI024_R1.fastq.gz</t>
  </si>
  <si>
    <t xml:space="preserve">NCI025_R1.fastq.gz</t>
  </si>
  <si>
    <t xml:space="preserve">NCI026_R1.fastq.gz</t>
  </si>
  <si>
    <t xml:space="preserve">NCI027_R1.fastq.gz</t>
  </si>
  <si>
    <t xml:space="preserve">NCI028_R1.fastq.gz</t>
  </si>
  <si>
    <t xml:space="preserve">NCI029_R1.fastq.gz</t>
  </si>
  <si>
    <t xml:space="preserve">NCI030_R1.fastq.gz</t>
  </si>
  <si>
    <t xml:space="preserve">NCI031_R1.fastq.gz</t>
  </si>
  <si>
    <t xml:space="preserve">NCI032_R1.fastq.gz</t>
  </si>
  <si>
    <t xml:space="preserve">NCI033_R1.fastq.gz</t>
  </si>
  <si>
    <t xml:space="preserve">NCI034_R1.fastq.gz</t>
  </si>
  <si>
    <t xml:space="preserve">NCI035_R1.fastq.gz</t>
  </si>
  <si>
    <t xml:space="preserve">NCI036_R1.fastq.gz</t>
  </si>
  <si>
    <t xml:space="preserve">NCI037_R1.fastq.gz</t>
  </si>
  <si>
    <t xml:space="preserve">NCI038_R1.fastq.gz</t>
  </si>
  <si>
    <t xml:space="preserve">NCI039_R1.fastq.gz</t>
  </si>
  <si>
    <t xml:space="preserve">NCI040_R1.fastq.gz</t>
  </si>
  <si>
    <t xml:space="preserve">new_HiSeq-W44_Undetermined_R6000324_L004_R1_001_AGGT.fastq.gz</t>
  </si>
  <si>
    <t xml:space="preserve">gs://chaudhuri-lab-share-bucket1/ris/mpnst/inputs/seq/cappseq</t>
  </si>
  <si>
    <t xml:space="preserve">new_HiSeq-W45_Undetermined_R6000324_L005_R1_001_ATCG.fastq.gz</t>
  </si>
  <si>
    <t xml:space="preserve">new_HiSeq-W45_Undetermined_R6000324_L005_R1_001_CACA.fastq.gz</t>
  </si>
  <si>
    <t xml:space="preserve">new_HiSeq-W45_Undetermined_R6000324_L005_R1_001_CGAT.fastq.gz</t>
  </si>
  <si>
    <t xml:space="preserve">new_HiSeq-W45_Undetermined_R6000324_L005_R1_001_CTTC.fastq.gz</t>
  </si>
  <si>
    <t xml:space="preserve">new_HiSeq-W45_Undetermined_R6000324_L005_R1_001_GAAG.fastq.gz</t>
  </si>
  <si>
    <t xml:space="preserve">new_HiSeq-W45_Undetermined_R6000324_L005_R1_001_GCTA.fastq.gz</t>
  </si>
  <si>
    <t xml:space="preserve">new_HiSeq-W45_Undetermined_R6000324_L005_R1_001_TAGC.fastq.gz</t>
  </si>
  <si>
    <t xml:space="preserve">new_HiSeq-W45_Undetermined_R6000324_L005_R1_001_TGTG.fastq.gz</t>
  </si>
  <si>
    <t xml:space="preserve">new_HiSeq-W46_Undetermined_R6000324_L006_R1_001_AGGT.fastq.gz</t>
  </si>
  <si>
    <t xml:space="preserve">new_HiSeq-W46_Undetermined_R6000324_L006_R1_001_CGAT.fastq.gz</t>
  </si>
  <si>
    <t xml:space="preserve">new_HiSeq-W46_Undetermined_R6000324_L006_R1_001_GCTA.fastq.gz</t>
  </si>
  <si>
    <t xml:space="preserve">new_HiSeq-W46_Undetermined_R6000324_L006_R1_001_GTGT.fastq.gz</t>
  </si>
  <si>
    <t xml:space="preserve">new_HiSeq-W46_Undetermined_R6000324_L006_R1_001_TAGC.fastq.gz</t>
  </si>
  <si>
    <t xml:space="preserve">new_HiSeq-W46_Undetermined_R6000324_L006_R1_001_TCCT.fastq.gz</t>
  </si>
  <si>
    <t xml:space="preserve">new_HiSeq-W46_Undetermined_R6000324_L006_R1_001_TGTG.fastq.gz</t>
  </si>
  <si>
    <t xml:space="preserve">new_HiSeq-W47_Undetermined_R6000324_L007_R1_001_ACAC.fastq.gz</t>
  </si>
  <si>
    <t xml:space="preserve">new_HiSeq-W47_Undetermined_R6000324_L007_R1_001_GCTA.fastq.gz</t>
  </si>
  <si>
    <t xml:space="preserve">new_HiSeq-W47_Undetermined_R6000324_L007_R1_001_TAGC.fastq.gz</t>
  </si>
  <si>
    <t xml:space="preserve">new_HiSeq-W47_Undetermined_R6000324_L007_R1_001_TGTG.fastq.gz</t>
  </si>
  <si>
    <t xml:space="preserve">new_HiSeq-W48_Undetermined_R6000324_L008_R1_001_CACA.fastq.gz</t>
  </si>
  <si>
    <t xml:space="preserve">new_HiSeq-W48_Undetermined_R6000324_L008_R1_001_CGAT.fastq.gz</t>
  </si>
  <si>
    <t xml:space="preserve">new_HiSeq-W48_Undetermined_R6000324_L008_R1_001_GAAG.fastq.gz</t>
  </si>
  <si>
    <t xml:space="preserve">new_HiSeq11_R1_CGAT.fastq.gz</t>
  </si>
  <si>
    <t xml:space="preserve">wes</t>
  </si>
  <si>
    <t xml:space="preserve">new_HiSeq11_R1_GTGT.fastq.gz</t>
  </si>
  <si>
    <t xml:space="preserve">new_HiSeq11_R1_TAGC.fastq.gz</t>
  </si>
  <si>
    <t xml:space="preserve">new_HiSeq28_Undetermined_R6000204_L006_R1_001_ACAC.fastq.gz</t>
  </si>
  <si>
    <t xml:space="preserve">new_HiSeq28_Undetermined_R6000204_L006_R1_001_AGGT.fastq.gz</t>
  </si>
  <si>
    <t xml:space="preserve">new_HiSeq28_Undetermined_R6000204_L006_R1_001_ATCG.fastq.gz</t>
  </si>
  <si>
    <t xml:space="preserve">new_HiSeq28_Undetermined_R6000204_L006_R1_001_CACA.fastq.gz</t>
  </si>
  <si>
    <t xml:space="preserve">new_HiSeq28_Undetermined_R6000204_L006_R1_001_CTTC.fastq.gz</t>
  </si>
  <si>
    <t xml:space="preserve">new_HiSeq28_Undetermined_R6000204_L006_R1_001_GAAG.fastq.gz</t>
  </si>
  <si>
    <t xml:space="preserve">new_HiSeq28_Undetermined_R6000204_L006_R1_001_GCTA.fastq.gz</t>
  </si>
  <si>
    <t xml:space="preserve">new_HiSeq28_Undetermined_R6000204_L006_R1_001_GTGT.fastq.gz</t>
  </si>
  <si>
    <t xml:space="preserve">new_HiSeq28_Undetermined_R6000204_L006_R1_001_TAGC.fastq.gz</t>
  </si>
  <si>
    <t xml:space="preserve">new_HiSeq28_Undetermined_R6000204_L006_R1_001_TCCT.fastq.gz</t>
  </si>
  <si>
    <t xml:space="preserve">new_HiSeq28_Undetermined_R6000204_L006_R1_001_TGTG.fastq.gz</t>
  </si>
  <si>
    <t xml:space="preserve">new_HiSeq38_Undetermined_R6000281_L004_R1_001_ATCG.fastq.gz</t>
  </si>
  <si>
    <t xml:space="preserve">new_HiSeq38_Undetermined_R6000281_L004_R1_001_GCTA.fastq.gz</t>
  </si>
  <si>
    <t xml:space="preserve">new_HiSeq38_Undetermined_R6000281_L004_R1_001_TAGC.fastq.gz</t>
  </si>
  <si>
    <t xml:space="preserve">new_HiSeq39_Undetermined_R6000281_L005_R1_001_ACAC.fastq.gz</t>
  </si>
  <si>
    <t xml:space="preserve">new_HiSeq39_Undetermined_R6000281_L005_R1_001_CGAT.fastq.gz</t>
  </si>
  <si>
    <t xml:space="preserve">new_HiSeq39_Undetermined_R6000281_L005_R1_001_TCCT.fastq.gz</t>
  </si>
  <si>
    <t xml:space="preserve">new_HiSeq40_Undetermined_R6000281_L006_R1_001_CACA.fastq.gz</t>
  </si>
  <si>
    <t xml:space="preserve">new_HiSeq40_Undetermined_R6000281_L006_R1_001_GTGT.fastq.gz</t>
  </si>
  <si>
    <t xml:space="preserve">new_HiSeq40_Undetermined_R6000281_L006_R1_001_TGTG.fastq.gz</t>
  </si>
  <si>
    <t xml:space="preserve">new_HiSeq41_Undetermined_R6000281_L007_R1_001_AGGT.fastq.gz</t>
  </si>
  <si>
    <t xml:space="preserve">new_HiSeq41_Undetermined_R6000281_L007_R1_001_CTTC.fastq.gz</t>
  </si>
  <si>
    <t xml:space="preserve">new_HiSeq41_Undetermined_R6000281_L007_R1_001_GAAG.fastq.gz</t>
  </si>
  <si>
    <t xml:space="preserve">new_HiSeq42_Undetermined_R6000281_L008_R1_001_ATCG.fastq.gz</t>
  </si>
  <si>
    <t xml:space="preserve">new_HiSeq42_Undetermined_R6000281_L008_R1_001_GCTA.fastq.gz</t>
  </si>
  <si>
    <t xml:space="preserve">new_HiSeq42_Undetermined_R6000281_L008_R1_001_GTGT.fastq.gz</t>
  </si>
  <si>
    <t xml:space="preserve">new_HiSeq42_Undetermined_R6000281_L008_R1_001_TAGC.fastq.gz</t>
  </si>
  <si>
    <t xml:space="preserve">new_HiSeq42_Undetermined_R6000281_L008_R1_001_TGTG.fastq.gz</t>
  </si>
  <si>
    <t xml:space="preserve">new_HiSeqW30_Undetermined_R6000232_L006_R1_001_TAGC.fastq.gz</t>
  </si>
  <si>
    <t xml:space="preserve">new_HiSeqW30_Undetermined_R6000232_L006_R1_001_TCCT.fastq.gz</t>
  </si>
  <si>
    <t xml:space="preserve">new_HiSeqW31_Undetermined_R6000232_L005_R1_001_ATCG.fastq.gz</t>
  </si>
  <si>
    <t xml:space="preserve">new_HiSeqW31_Undetermined_R6000232_L005_R1_001_GAAG.fastq.gz</t>
  </si>
  <si>
    <t xml:space="preserve">new_HiSeqW31_Undetermined_R6000232_L005_R1_001_GCTA.fastq.gz</t>
  </si>
  <si>
    <t xml:space="preserve">new_HiSeqW31_Undetermined_R6000232_L005_R1_001_TAGC.fastq.gz</t>
  </si>
  <si>
    <t xml:space="preserve">new_HiSeqW31_Undetermined_R6000232_L005_R1_001_TGTG.fastq.gz</t>
  </si>
  <si>
    <t xml:space="preserve">new_HiSeqW34_Undetermined_R6000244_L006_R1_001_ATCG.fastq.gz</t>
  </si>
  <si>
    <t xml:space="preserve">new_HiSeqW34_Undetermined_R6000244_L006_R1_001_GTGT.fastq.gz</t>
  </si>
  <si>
    <t xml:space="preserve">new_HiSeqW34_Undetermined_R6000244_L006_R1_001_TGTG.fastq.gz</t>
  </si>
  <si>
    <t xml:space="preserve">new_HiSeqW35_Undetermined_R6000244_L007_R1_001_CACA.fastq.gz</t>
  </si>
  <si>
    <t xml:space="preserve">new_HiSeqW35_Undetermined_R6000244_L007_R1_001_GCTA.fastq.gz</t>
  </si>
  <si>
    <t xml:space="preserve">new_HiSeqW35_Undetermined_R6000244_L007_R1_001_TAGC.fastq.gz</t>
  </si>
  <si>
    <t xml:space="preserve">new_HiSeqW36_Undetermined_R6000244_L008_R1_001_ACAC.fastq.gz</t>
  </si>
  <si>
    <t xml:space="preserve">new_HiSeqW36_Undetermined_R6000244_L008_R1_001_AGGT.fastq.gz</t>
  </si>
  <si>
    <t xml:space="preserve">new_HiSeqW36_Undetermined_R6000244_L008_R1_001_TAGC.fastq.gz</t>
  </si>
  <si>
    <t xml:space="preserve">new_HiSeqW36_Undetermined_R6000244_L008_R1_001_TCCT.fastq.gz</t>
  </si>
  <si>
    <t xml:space="preserve">new_HiSeqW43_Undetermined_R6000292_L004_R1_001_ACAC.fastq.gz</t>
  </si>
  <si>
    <t xml:space="preserve">new_HiSeqW43_Undetermined_R6000292_L004_R1_001_GTGT.fastq.gz</t>
  </si>
  <si>
    <t xml:space="preserve">new_HiSeqW43_Undetermined_R6000292_L004_R1_001_TCCT.fastq.gz</t>
  </si>
  <si>
    <t xml:space="preserve">new_HiSeqW43_Undetermined_R6000292_L004_R1_001_TGTG.fastq.gz</t>
  </si>
  <si>
    <t xml:space="preserve">new_HiSeqW54_Undetermined_R6000373_L007_R1_ACAC.fastq.gz</t>
  </si>
  <si>
    <t xml:space="preserve">new_HiSeqW54_Undetermined_R6000373_L007_R1_ATCG.fastq.gz</t>
  </si>
  <si>
    <t xml:space="preserve">new_HiSeqW54_Undetermined_R6000373_L007_R1_CACA.fastq.gz</t>
  </si>
  <si>
    <t xml:space="preserve">new_HiSeqW54_Undetermined_R6000373_L007_R1_CGAT.fastq.gz</t>
  </si>
  <si>
    <t xml:space="preserve">new_HiSeqW54_Undetermined_R6000373_L007_R1_CTTC.fastq.gz</t>
  </si>
  <si>
    <t xml:space="preserve">new_HiSeqW54_Undetermined_R6000373_L007_R1_GAAG.fastq.gz</t>
  </si>
  <si>
    <t xml:space="preserve">new_HiSeqW54_Undetermined_R6000373_L007_R1_GCTA.fastq.gz</t>
  </si>
  <si>
    <t xml:space="preserve">new_HiSeqW54_Undetermined_R6000373_L007_R1_GTGT.fastq.gz</t>
  </si>
  <si>
    <t xml:space="preserve">new_HiSeqW54_Undetermined_R6000373_L007_R1_TAGC.fastq.gz</t>
  </si>
  <si>
    <t xml:space="preserve">new_HiSeqW54_Undetermined_R6000373_L007_R1_TCCT.fastq.gz</t>
  </si>
  <si>
    <t xml:space="preserve">new_HiSeqW54_Undetermined_R6000373_L007_R1_TGTG.fastq.gz</t>
  </si>
  <si>
    <t xml:space="preserve">new_HiSeqW55_Undetermined_R6000373_L008_R1_AGGT.fastq.gz</t>
  </si>
  <si>
    <t xml:space="preserve">new_HiSeqW55_Undetermined_R6000373_L008_R1_CACA.fastq.gz</t>
  </si>
  <si>
    <t xml:space="preserve">new_HiSeqW55_Undetermined_R6000373_L008_R1_CGAT.fastq.gz</t>
  </si>
  <si>
    <t xml:space="preserve">new_HiSeqW72_Undetermined_R6000482_L001_R1_ACAC.fastq.gz</t>
  </si>
  <si>
    <t xml:space="preserve">new_HiSeqW72_Undetermined_R6000482_L001_R1_AGGT.fastq.gz</t>
  </si>
  <si>
    <t xml:space="preserve">new_HiSeqW72_Undetermined_R6000482_L001_R1_ATCG.fastq.gz</t>
  </si>
  <si>
    <t xml:space="preserve">new_HiSeqW72_Undetermined_R6000482_L001_R1_CACA.fastq.gz</t>
  </si>
  <si>
    <t xml:space="preserve">new_HiSeqW72_Undetermined_R6000482_L001_R1_CGAT.fastq.gz</t>
  </si>
  <si>
    <t xml:space="preserve">new_HiSeqW72_Undetermined_R6000482_L001_R1_CTTC.fastq.gz</t>
  </si>
  <si>
    <t xml:space="preserve">new_HiSeqW72_Undetermined_R6000482_L001_R1_GAAG.fastq.gz</t>
  </si>
  <si>
    <t xml:space="preserve">new_HiSeqW72_Undetermined_R6000482_L001_R1_GCTA.fastq.gz</t>
  </si>
  <si>
    <t xml:space="preserve">new_HiSeqW72_Undetermined_R6000482_L001_R1_GTGT.fastq.gz</t>
  </si>
  <si>
    <t xml:space="preserve">new_HiSeqW72_Undetermined_R6000482_L001_R1_TAGC.fastq.gz</t>
  </si>
  <si>
    <t xml:space="preserve">new_HiSeqW72_Undetermined_R6000482_L001_R1_TCCT.fastq.gz</t>
  </si>
  <si>
    <t xml:space="preserve">new_HiSeqW72_Undetermined_R6000482_L001_R1_TGTG.fastq.gz</t>
  </si>
  <si>
    <t xml:space="preserve">Nu-71_02-16-2022_R1.fastq.gz</t>
  </si>
  <si>
    <t xml:space="preserve">Nu-72_02-16-2022_R1.fastq.gz</t>
  </si>
  <si>
    <t xml:space="preserve">Nu-75_09-27-2022_R1.fastq.gz</t>
  </si>
  <si>
    <t xml:space="preserve">Nu-76_09-28-2022_R1.fastq.gz</t>
  </si>
  <si>
    <t xml:space="preserve">Nu-77_09-28-2022_R1.fastq.gz</t>
  </si>
  <si>
    <t xml:space="preserve">Nu-78_09-28-2022_R1.fastq.gz</t>
  </si>
  <si>
    <t xml:space="preserve">Nu-79_09-30-2022_R1.fastq.gz</t>
  </si>
  <si>
    <t xml:space="preserve">Nu-80_10-03-2022_R1.fastq.gz</t>
  </si>
  <si>
    <t xml:space="preserve">Nu-81_10-04-2022_R1.fastq.gz</t>
  </si>
  <si>
    <t xml:space="preserve">RM_6_23_22_R1.fastq.gz</t>
  </si>
  <si>
    <t xml:space="preserve">RS_6_17_19_R1.fastq.gz</t>
  </si>
  <si>
    <t xml:space="preserve">RS_7_28_22_R1.fastq.gz</t>
  </si>
  <si>
    <t xml:space="preserve">Sample_1_multiome_lib1</t>
  </si>
  <si>
    <t xml:space="preserve">/rawdata/ccrtegs44/Project_JohnShern_CS039619_112EMseqlib_061225/Project_JohnShern_CS040213_66EMseqlib_090425/Flowcell_22W7KNLT4</t>
  </si>
  <si>
    <t xml:space="preserve">Sample_10_multiome_lib10</t>
  </si>
  <si>
    <t xml:space="preserve">Sample_11_multiome_lib11</t>
  </si>
  <si>
    <t xml:space="preserve">Sample_13_multiome_lib13</t>
  </si>
  <si>
    <t xml:space="preserve">Sample_14_multiome_lib14</t>
  </si>
  <si>
    <t xml:space="preserve">Sample_15_multiome_lib15</t>
  </si>
  <si>
    <t xml:space="preserve">Sample_16_multiome_lib16</t>
  </si>
  <si>
    <t xml:space="preserve">Sample_18_multiome_lib18</t>
  </si>
  <si>
    <t xml:space="preserve">Sample_19_multiome_lib19</t>
  </si>
  <si>
    <t xml:space="preserve">Sample_2_multiome_lib2</t>
  </si>
  <si>
    <t xml:space="preserve">Sample_20_multiome_lib20</t>
  </si>
  <si>
    <t xml:space="preserve">Sample_21_multiome_lib21</t>
  </si>
  <si>
    <t xml:space="preserve">Sample_22_multiome_lib22</t>
  </si>
  <si>
    <t xml:space="preserve">Sample_23_multiome_lib23</t>
  </si>
  <si>
    <t xml:space="preserve">Sample_24_multiome_lib24</t>
  </si>
  <si>
    <t xml:space="preserve">Sample_25_multiome_lib25</t>
  </si>
  <si>
    <t xml:space="preserve">Sample_26_multiome_lib26</t>
  </si>
  <si>
    <t xml:space="preserve">Sample_27_multiome_lib27</t>
  </si>
  <si>
    <t xml:space="preserve">Sample_28_multiome_lib28</t>
  </si>
  <si>
    <t xml:space="preserve">Sample_29_multiome_lib29</t>
  </si>
  <si>
    <t xml:space="preserve">Sample_3_multiome_lib3</t>
  </si>
  <si>
    <t xml:space="preserve">Sample_30_multiome_lib30</t>
  </si>
  <si>
    <t xml:space="preserve">Sample_31_multiome_lib31</t>
  </si>
  <si>
    <t xml:space="preserve">Sample_32_multiome_lib32</t>
  </si>
  <si>
    <t xml:space="preserve">Sample_33_multiome_lib33</t>
  </si>
  <si>
    <t xml:space="preserve">Sample_34_multiome_lib34</t>
  </si>
  <si>
    <t xml:space="preserve">Sample_35_multiome_lib35</t>
  </si>
  <si>
    <t xml:space="preserve">Sample_36_multiome_lib36</t>
  </si>
  <si>
    <t xml:space="preserve">Sample_37_multiome_lib37</t>
  </si>
  <si>
    <t xml:space="preserve">Sample_38_multiome_lib38</t>
  </si>
  <si>
    <t xml:space="preserve">Sample_39_multiome_lib39</t>
  </si>
  <si>
    <t xml:space="preserve">Sample_4_multiome_lib4</t>
  </si>
  <si>
    <t xml:space="preserve">Sample_40_multiome_lib40</t>
  </si>
  <si>
    <t xml:space="preserve">Sample_41_multiome_lib41</t>
  </si>
  <si>
    <t xml:space="preserve">Sample_42_multiome_lib42</t>
  </si>
  <si>
    <t xml:space="preserve">Sample_43_multiome_lib43</t>
  </si>
  <si>
    <t xml:space="preserve">Sample_44_multiome_lib44</t>
  </si>
  <si>
    <t xml:space="preserve">Sample_45_multiome_lib45</t>
  </si>
  <si>
    <t xml:space="preserve">Sample_46_multiome_lib46</t>
  </si>
  <si>
    <t xml:space="preserve">Sample_47_multiome_lib47</t>
  </si>
  <si>
    <t xml:space="preserve">Sample_48_multiome_lib48</t>
  </si>
  <si>
    <t xml:space="preserve">Sample_49_multiome_lib49</t>
  </si>
  <si>
    <t xml:space="preserve">Sample_5_multiome_lib5</t>
  </si>
  <si>
    <t xml:space="preserve">Sample_50_multiome_lib50</t>
  </si>
  <si>
    <t xml:space="preserve">Sample_53_multiome_lib53</t>
  </si>
  <si>
    <t xml:space="preserve">Sample_54_multiome_lib54</t>
  </si>
  <si>
    <t xml:space="preserve">Sample_55_multiome_lib55</t>
  </si>
  <si>
    <t xml:space="preserve">Sample_56_multiome_lib56</t>
  </si>
  <si>
    <t xml:space="preserve">Sample_57_multiome_lib57</t>
  </si>
  <si>
    <t xml:space="preserve">Sample_58_multiome_lib58</t>
  </si>
  <si>
    <t xml:space="preserve">Sample_59_multiome_lib59</t>
  </si>
  <si>
    <t xml:space="preserve">Sample_6_multiome_lib6</t>
  </si>
  <si>
    <t xml:space="preserve">Sample_60_multiome_lib60</t>
  </si>
  <si>
    <t xml:space="preserve">Sample_61_multiome_lib61</t>
  </si>
  <si>
    <t xml:space="preserve">Sample_62_multiome_lib62</t>
  </si>
  <si>
    <t xml:space="preserve">Sample_63_multiome_lib63</t>
  </si>
  <si>
    <t xml:space="preserve">Sample_64_multiome_lib64</t>
  </si>
  <si>
    <t xml:space="preserve">Sample_65_multiome_lib65</t>
  </si>
  <si>
    <t xml:space="preserve">Sample_66_multiome_lib66</t>
  </si>
  <si>
    <t xml:space="preserve">Sample_67_multiome_lib67</t>
  </si>
  <si>
    <t xml:space="preserve">Sample_68_multiome_lib68</t>
  </si>
  <si>
    <t xml:space="preserve">Sample_69_multiome_lib69</t>
  </si>
  <si>
    <t xml:space="preserve">Sample_7_multiome_lib7</t>
  </si>
  <si>
    <t xml:space="preserve">Sample_8_multiome_lib8</t>
  </si>
  <si>
    <t xml:space="preserve">SRA_2_24_20_R1.fastq.gz</t>
  </si>
  <si>
    <t xml:space="preserve">SRA_7_27_21_R1.fastq.gz</t>
  </si>
  <si>
    <t xml:space="preserve">TaCo_11_18_20_R1.fastq.gz</t>
  </si>
  <si>
    <t xml:space="preserve">TaCo_9_16_20_R1.fastq.gz</t>
  </si>
  <si>
    <t xml:space="preserve">TaCo_9_18_20_R1.fastq.gz</t>
  </si>
  <si>
    <t xml:space="preserve">TO_23M_R1.fastq.gz</t>
  </si>
  <si>
    <t xml:space="preserve">TrCa_1_30_20_R1.fastq.gz</t>
  </si>
  <si>
    <t xml:space="preserve">TrCa_7_19_22_R1.fastq.gz</t>
  </si>
  <si>
    <t xml:space="preserve">TS_36M_R1.fastq.gz</t>
  </si>
  <si>
    <t xml:space="preserve">WUSTL.178_R1.fastq.gz</t>
  </si>
  <si>
    <t xml:space="preserve">gs://chaudhuri-lab-share-bucket1/ris/mpnst/inputs/seq/post-cappseq</t>
  </si>
  <si>
    <t xml:space="preserve">WUSTL.245_R1.fastq.gz</t>
  </si>
  <si>
    <t xml:space="preserve">WUSTL.402_R1.fastq.gz</t>
  </si>
  <si>
    <t xml:space="preserve">WUSTL.509_R1.fastq.gz</t>
  </si>
  <si>
    <t xml:space="preserve">WUSTL.510_R1.fastq.gz</t>
  </si>
  <si>
    <t xml:space="preserve">WUSTL.536_R1.fastq.gz</t>
  </si>
  <si>
    <t xml:space="preserve">WUSTL.540_R1.fastq.gz</t>
  </si>
  <si>
    <t xml:space="preserve">WUSTL.541_R1.fastq.gz</t>
  </si>
  <si>
    <t xml:space="preserve">WUSTL.547_R1.fastq.gz</t>
  </si>
  <si>
    <t xml:space="preserve">WUSTL.581_R1.fastq.gz</t>
  </si>
  <si>
    <t xml:space="preserve">WUSTL.582_R1.fastq.gz</t>
  </si>
  <si>
    <t xml:space="preserve">WUSTL.591_R1.fastq.gz</t>
  </si>
  <si>
    <t xml:space="preserve">WUSTL.603_R1.fastq.gz</t>
  </si>
  <si>
    <t xml:space="preserve">WUSTL.604_R1.fastq.gz</t>
  </si>
  <si>
    <t xml:space="preserve">WUSTL.609_R1.fastq.gz</t>
  </si>
  <si>
    <t xml:space="preserve">WUSTL.610_R1.fastq.gz</t>
  </si>
  <si>
    <t xml:space="preserve">WUSTL.612_R1.fastq.gz</t>
  </si>
  <si>
    <t xml:space="preserve">WUSTL.615_R1.fastq.gz</t>
  </si>
  <si>
    <t xml:space="preserve">WUSTL.616_R1.fastq.gz</t>
  </si>
  <si>
    <t xml:space="preserve">WUSTL.617_R1.fastq.gz</t>
  </si>
  <si>
    <t xml:space="preserve">WUSTL.618_R1.fastq.gz</t>
  </si>
  <si>
    <t xml:space="preserve">WUSTL.623_R1.fastq.gz</t>
  </si>
  <si>
    <t xml:space="preserve">WUSTL.624_R1.fastq.gz</t>
  </si>
  <si>
    <t xml:space="preserve">WUSTL.625_R1.fastq.gz</t>
  </si>
  <si>
    <t xml:space="preserve">WUSTL.627_R1.fastq.gz</t>
  </si>
  <si>
    <t xml:space="preserve">WUSTL.644_R1.fastq.gz</t>
  </si>
  <si>
    <t xml:space="preserve">WUSTL.645_R1.fastq.gz</t>
  </si>
  <si>
    <t xml:space="preserve">WUSTL.646_R1.fastq.gz</t>
  </si>
  <si>
    <t xml:space="preserve">WUSTL.648_R1.fastq.gz</t>
  </si>
  <si>
    <t xml:space="preserve">WUSTL.659_R1.fastq.gz</t>
  </si>
  <si>
    <t xml:space="preserve">WUSTL.660_R1.fastq.gz</t>
  </si>
  <si>
    <t xml:space="preserve">WUSTL.661_R1.fastq.gz</t>
  </si>
  <si>
    <t xml:space="preserve">WUSTL.662_R1.fastq.gz</t>
  </si>
  <si>
    <t xml:space="preserve">WUSTL.668_-_First_R1.fastq.gz</t>
  </si>
  <si>
    <t xml:space="preserve">gs://chaudhuri-lab-share-bucket1/ris/mpnst/inputs/seq/aug_2022</t>
  </si>
  <si>
    <t xml:space="preserve">WUSTL.668_-_Second_R1.fastq.gz</t>
  </si>
  <si>
    <t xml:space="preserve">WUSTL.668_-_Third_R1.fastq.gz</t>
  </si>
  <si>
    <t xml:space="preserve">WUSTL.669_R1.fastq.gz</t>
  </si>
  <si>
    <t xml:space="preserve">WUSTL.674_R1.fastq.gz</t>
  </si>
  <si>
    <t xml:space="preserve">WUSTL.678_R1.fastq.gz</t>
  </si>
  <si>
    <t xml:space="preserve">WUSTL.680_R1.fastq.gz</t>
  </si>
  <si>
    <t xml:space="preserve">WUSTL.685_R1.fastq.gz</t>
  </si>
  <si>
    <t xml:space="preserve">WUSTL.687_R1.fastq.gz</t>
  </si>
  <si>
    <t xml:space="preserve">WUSTL.689_R1.fastq.gz</t>
  </si>
  <si>
    <t xml:space="preserve">WUSTL.692_R1.fastq.gz</t>
  </si>
  <si>
    <t xml:space="preserve">WUSTL.695_R1.fastq.gz</t>
  </si>
  <si>
    <t xml:space="preserve">NH_11.FC22LV2TLT4_L1_R1_ICGAGAGAA.fastq.gz</t>
  </si>
  <si>
    <t xml:space="preserve">NH_11.FC22LV2TLT4_L2_R1_ICGAGAGAA.fastq.gz</t>
  </si>
  <si>
    <t xml:space="preserve">NH_11.FC22LV2TLT4_L3_R1_ICGAGAGAA.fastq.gz</t>
  </si>
  <si>
    <t xml:space="preserve">NH_11.FC22LV2TLT4_L4_R1_ICGAGAGAA.fastq.gz</t>
  </si>
  <si>
    <t xml:space="preserve">NH_11.FC22LV2TLT4_L5_R1_ICGAGAGAA.fastq.gz</t>
  </si>
  <si>
    <t xml:space="preserve">NH_11.FC22LV2TLT4_L6_R1_ICGAGAGAA.fastq.gz</t>
  </si>
  <si>
    <t xml:space="preserve">NH_11.FC22LV2TLT4_L7_R1_ICGAGAGAA.fastq.gz</t>
  </si>
  <si>
    <t xml:space="preserve">NH_11.FC22LV2TLT4_L8_R1_ICGAGAGAA.fastq.gz</t>
  </si>
  <si>
    <t xml:space="preserve">NH_13.FC22LV2TLT4_L1_R1_ICGAATACG.fastq.gz</t>
  </si>
  <si>
    <t xml:space="preserve">NH_13.FC22LV2TLT4_L2_R1_ICGAATACG.fastq.gz</t>
  </si>
  <si>
    <t xml:space="preserve">NH_13.FC22LV2TLT4_L3_R1_ICGAATACG.fastq.gz</t>
  </si>
  <si>
    <t xml:space="preserve">NH_13.FC22LV2TLT4_L4_R1_ICGAATACG.fastq.gz</t>
  </si>
  <si>
    <t xml:space="preserve">NH_13.FC22LV2TLT4_L5_R1_ICGAATACG.fastq.gz</t>
  </si>
  <si>
    <t xml:space="preserve">NH_13.FC22LV2TLT4_L6_R1_ICGAATACG.fastq.gz</t>
  </si>
  <si>
    <t xml:space="preserve">NH_13.FC22LV2TLT4_L7_R1_ICGAATACG.fastq.gz</t>
  </si>
  <si>
    <t xml:space="preserve">NH_13.FC22LV2TLT4_L8_R1_ICGAATACG.fastq.gz</t>
  </si>
  <si>
    <t xml:space="preserve">NH_15.FC22LV2TLT4_L1_R1_ICTTGCTAG.fastq.gz</t>
  </si>
  <si>
    <t xml:space="preserve">NH_15.FC22LV2TLT4_L2_R1_ICTTGCTAG.fastq.gz</t>
  </si>
  <si>
    <t xml:space="preserve">NH_15.FC22LV2TLT4_L3_R1_ICTTGCTAG.fastq.gz</t>
  </si>
  <si>
    <t xml:space="preserve">NH_15.FC22LV2TLT4_L4_R1_ICTTGCTAG.fastq.gz</t>
  </si>
  <si>
    <t xml:space="preserve">NH_15.FC22LV2TLT4_L5_R1_ICTTGCTAG.fastq.gz</t>
  </si>
  <si>
    <t xml:space="preserve">NH_15.FC22LV2TLT4_L6_R1_ICTTGCTAG.fastq.gz</t>
  </si>
  <si>
    <t xml:space="preserve">NH_15.FC22LV2TLT4_L7_R1_ICTTGCTAG.fastq.gz</t>
  </si>
  <si>
    <t xml:space="preserve">NH_15.FC22LV2TLT4_L8_R1_ICTTGCTAG.fastq.gz</t>
  </si>
  <si>
    <t xml:space="preserve">NH_18.FC22LV2TLT4_L1_R1_IGTCCTTGA.fastq.gz</t>
  </si>
  <si>
    <t xml:space="preserve">NH_18.FC22LV2TLT4_L2_R1_IGTCCTTGA.fastq.gz</t>
  </si>
  <si>
    <t xml:space="preserve">NH_18.FC22LV2TLT4_L3_R1_IGTCCTTGA.fastq.gz</t>
  </si>
  <si>
    <t xml:space="preserve">NH_18.FC22LV2TLT4_L4_R1_IGTCCTTGA.fastq.gz</t>
  </si>
  <si>
    <t xml:space="preserve">NH_18.FC22LV2TLT4_L5_R1_IGTCCTTGA.fastq.gz</t>
  </si>
  <si>
    <t xml:space="preserve">NH_18.FC22LV2TLT4_L6_R1_IGTCCTTGA.fastq.gz</t>
  </si>
  <si>
    <t xml:space="preserve">NH_18.FC22LV2TLT4_L7_R1_IGTCCTTGA.fastq.gz</t>
  </si>
  <si>
    <t xml:space="preserve">NH_18.FC22LV2TLT4_L8_R1_IGTCCTTGA.fastq.gz</t>
  </si>
  <si>
    <t xml:space="preserve">NH_25.FC22LV2TLT4_L1_R1_ICAGTGCTT.fastq.gz</t>
  </si>
  <si>
    <t xml:space="preserve">NH_25.FC22LV2TLT4_L2_R1_ICAGTGCTT.fastq.gz</t>
  </si>
  <si>
    <t xml:space="preserve">NH_25.FC22LV2TLT4_L3_R1_ICAGTGCTT.fastq.gz</t>
  </si>
  <si>
    <t xml:space="preserve">NH_25.FC22LV2TLT4_L4_R1_ICAGTGCTT.fastq.gz</t>
  </si>
  <si>
    <t xml:space="preserve">NH_25.FC22LV2TLT4_L5_R1_ICAGTGCTT.fastq.gz</t>
  </si>
  <si>
    <t xml:space="preserve">NH_25.FC22LV2TLT4_L6_R1_ICAGTGCTT.fastq.gz</t>
  </si>
  <si>
    <t xml:space="preserve">NH_25.FC22LV2TLT4_L7_R1_ICAGTGCTT.fastq.gz</t>
  </si>
  <si>
    <t xml:space="preserve">NH_25.FC22LV2TLT4_L8_R1_ICAGTGCTT.fastq.gz</t>
  </si>
  <si>
    <t xml:space="preserve">NH_3.FC22LV2TLT4_L1_R1_ITCTAGGAG.fastq.gz</t>
  </si>
  <si>
    <t xml:space="preserve">NH_3.FC22LV2TLT4_L2_R1_ITCTAGGAG.fastq.gz</t>
  </si>
  <si>
    <t xml:space="preserve">NH_3.FC22LV2TLT4_L3_R1_ITCTAGGAG.fastq.gz</t>
  </si>
  <si>
    <t xml:space="preserve">NH_3.FC22LV2TLT4_L4_R1_ITCTAGGAG.fastq.gz</t>
  </si>
  <si>
    <t xml:space="preserve">NH_3.FC22LV2TLT4_L5_R1_ITCTAGGAG.fastq.gz</t>
  </si>
  <si>
    <t xml:space="preserve">NH_3.FC22LV2TLT4_L6_R1_ITCTAGGAG.fastq.gz</t>
  </si>
  <si>
    <t xml:space="preserve">NH_3.FC22LV2TLT4_L7_R1_ITCTAGGAG.fastq.gz</t>
  </si>
  <si>
    <t xml:space="preserve">NH_3.FC22LV2TLT4_L8_R1_ITCTAGGAG.fastq.gz</t>
  </si>
  <si>
    <t xml:space="preserve">NH_30.FC22LV2TLT4_L1_R1_IGTCGATTG.fastq.gz</t>
  </si>
  <si>
    <t xml:space="preserve">NH_30.FC22LV2TLT4_L2_R1_IGTCGATTG.fastq.gz</t>
  </si>
  <si>
    <t xml:space="preserve">NH_30.FC22LV2TLT4_L3_R1_IGTCGATTG.fastq.gz</t>
  </si>
  <si>
    <t xml:space="preserve">NH_30.FC22LV2TLT4_L4_R1_IGTCGATTG.fastq.gz</t>
  </si>
  <si>
    <t xml:space="preserve">NH_30.FC22LV2TLT4_L5_R1_IGTCGATTG.fastq.gz</t>
  </si>
  <si>
    <t xml:space="preserve">NH_30.FC22LV2TLT4_L6_R1_IGTCGATTG.fastq.gz</t>
  </si>
  <si>
    <t xml:space="preserve">NH_30.FC22LV2TLT4_L7_R1_IGTCGATTG.fastq.gz</t>
  </si>
  <si>
    <t xml:space="preserve">NH_30.FC22LV2TLT4_L8_R1_IGTCGATTG.fastq.gz</t>
  </si>
  <si>
    <t xml:space="preserve">NH_39.FC22LV2TLT4_L1_R1_IGAATCACC.fastq.gz</t>
  </si>
  <si>
    <t xml:space="preserve">NH_39.FC22LV2TLT4_L2_R1_IGAATCACC.fastq.gz</t>
  </si>
  <si>
    <t xml:space="preserve">NH_39.FC22LV2TLT4_L3_R1_IGAATCACC.fastq.gz</t>
  </si>
  <si>
    <t xml:space="preserve">NH_39.FC22LV2TLT4_L4_R1_IGAATCACC.fastq.gz</t>
  </si>
  <si>
    <t xml:space="preserve">NH_39.FC22LV2TLT4_L5_R1_IGAATCACC.fastq.gz</t>
  </si>
  <si>
    <t xml:space="preserve">NH_39.FC22LV2TLT4_L6_R1_IGAATCACC.fastq.gz</t>
  </si>
  <si>
    <t xml:space="preserve">NH_39.FC22LV2TLT4_L7_R1_IGAATCACC.fastq.gz</t>
  </si>
  <si>
    <t xml:space="preserve">NH_39.FC22LV2TLT4_L8_R1_IGAATCACC.fastq.gz</t>
  </si>
  <si>
    <t xml:space="preserve">NH_41.FC22LV2TLT4_L1_R1_IAGCGAGAT.fastq.gz</t>
  </si>
  <si>
    <t xml:space="preserve">NH_41.FC22LV2TLT4_L2_R1_IAGCGAGAT.fastq.gz</t>
  </si>
  <si>
    <t xml:space="preserve">NH_41.FC22LV2TLT4_L3_R1_IAGCGAGAT.fastq.gz</t>
  </si>
  <si>
    <t xml:space="preserve">NH_41.FC22LV2TLT4_L4_R1_IAGCGAGAT.fastq.gz</t>
  </si>
  <si>
    <t xml:space="preserve">NH_41.FC22LV2TLT4_L5_R1_IAGCGAGAT.fastq.gz</t>
  </si>
  <si>
    <t xml:space="preserve">NH_41.FC22LV2TLT4_L6_R1_IAGCGAGAT.fastq.gz</t>
  </si>
  <si>
    <t xml:space="preserve">NH_41.FC22LV2TLT4_L7_R1_IAGCGAGAT.fastq.gz</t>
  </si>
  <si>
    <t xml:space="preserve">NH_41.FC22LV2TLT4_L8_R1_IAGCGAGAT.fastq.gz</t>
  </si>
  <si>
    <t xml:space="preserve">NH_45.FC22LV2TLT4_L1_R1_ICGCAACTA.fastq.gz</t>
  </si>
  <si>
    <t xml:space="preserve">NH_45.FC22LV2TLT4_L2_R1_ICGCAACTA.fastq.gz</t>
  </si>
  <si>
    <t xml:space="preserve">NH_45.FC22LV2TLT4_L3_R1_ICGCAACTA.fastq.gz</t>
  </si>
  <si>
    <t xml:space="preserve">NH_45.FC22LV2TLT4_L4_R1_ICGCAACTA.fastq.gz</t>
  </si>
  <si>
    <t xml:space="preserve">NH_45.FC22LV2TLT4_L5_R1_ICGCAACTA.fastq.gz</t>
  </si>
  <si>
    <t xml:space="preserve">NH_45.FC22LV2TLT4_L6_R1_ICGCAACTA.fastq.gz</t>
  </si>
  <si>
    <t xml:space="preserve">NH_45.FC22LV2TLT4_L7_R1_ICGCAACTA.fastq.gz</t>
  </si>
  <si>
    <t xml:space="preserve">NH_45.FC22LV2TLT4_L8_R1_ICGCAACTA.fastq.gz</t>
  </si>
  <si>
    <t xml:space="preserve">NH_48.FC22LV2TLT4_L1_R1_IGTAAGGTG.fastq.gz</t>
  </si>
  <si>
    <t xml:space="preserve">NH_48.FC22LV2TLT4_L2_R1_IGTAAGGTG.fastq.gz</t>
  </si>
  <si>
    <t xml:space="preserve">NH_48.FC22LV2TLT4_L3_R1_IGTAAGGTG.fastq.gz</t>
  </si>
  <si>
    <t xml:space="preserve">NH_48.FC22LV2TLT4_L4_R1_IGTAAGGTG.fastq.gz</t>
  </si>
  <si>
    <t xml:space="preserve">NH_48.FC22LV2TLT4_L5_R1_IGTAAGGTG.fastq.gz</t>
  </si>
  <si>
    <t xml:space="preserve">NH_48.FC22LV2TLT4_L6_R1_IGTAAGGTG.fastq.gz</t>
  </si>
  <si>
    <t xml:space="preserve">NH_48.FC22LV2TLT4_L7_R1_IGTAAGGTG.fastq.gz</t>
  </si>
  <si>
    <t xml:space="preserve">NH_48.FC22LV2TLT4_L8_R1_IGTAAGGTG.fastq.gz</t>
  </si>
  <si>
    <t xml:space="preserve">NH_54.FC22LV2TLT4_L1_R1_IATAACGCC.fastq.gz</t>
  </si>
  <si>
    <t xml:space="preserve">NH_54.FC22LV2TLT4_L2_R1_IATAACGCC.fastq.gz</t>
  </si>
  <si>
    <t xml:space="preserve">NH_54.FC22LV2TLT4_L3_R1_IATAACGCC.fastq.gz</t>
  </si>
  <si>
    <t xml:space="preserve">NH_54.FC22LV2TLT4_L4_R1_IATAACGCC.fastq.gz</t>
  </si>
  <si>
    <t xml:space="preserve">NH_54.FC22LV2TLT4_L5_R1_IATAACGCC.fastq.gz</t>
  </si>
  <si>
    <t xml:space="preserve">NH_54.FC22LV2TLT4_L6_R1_IATAACGCC.fastq.gz</t>
  </si>
  <si>
    <t xml:space="preserve">NH_54.FC22LV2TLT4_L7_R1_IATAACGCC.fastq.gz</t>
  </si>
  <si>
    <t xml:space="preserve">NH_54.FC22LV2TLT4_L8_R1_IATAACGCC.fastq.gz</t>
  </si>
  <si>
    <t xml:space="preserve">NH_6.FC22LV2TLT4_L1_R1_ITATGGCAC.fastq.gz</t>
  </si>
  <si>
    <t xml:space="preserve">NH_6.FC22LV2TLT4_L2_R1_ITATGGCAC.fastq.gz</t>
  </si>
  <si>
    <t xml:space="preserve">NH_6.FC22LV2TLT4_L3_R1_ITATGGCAC.fastq.gz</t>
  </si>
  <si>
    <t xml:space="preserve">NH_6.FC22LV2TLT4_L4_R1_ITATGGCAC.fastq.gz</t>
  </si>
  <si>
    <t xml:space="preserve">NH_6.FC22LV2TLT4_L5_R1_ITATGGCAC.fastq.gz</t>
  </si>
  <si>
    <t xml:space="preserve">NH_6.FC22LV2TLT4_L6_R1_ITATGGCAC.fastq.gz</t>
  </si>
  <si>
    <t xml:space="preserve">NH_6.FC22LV2TLT4_L7_R1_ITATGGCAC.fastq.gz</t>
  </si>
  <si>
    <t xml:space="preserve">NH_6.FC22LV2TLT4_L8_R1_ITATGGCAC.fastq.gz</t>
  </si>
  <si>
    <t xml:space="preserve">NH_72.FC22LV2TLT4_L1_R1_IGGTATAGG.fastq.gz</t>
  </si>
  <si>
    <t xml:space="preserve">NH_72.FC22LV2TLT4_L2_R1_IGGTATAGG.fastq.gz</t>
  </si>
  <si>
    <t xml:space="preserve">NH_72.FC22LV2TLT4_L3_R1_IGGTATAGG.fastq.gz</t>
  </si>
  <si>
    <t xml:space="preserve">NH_72.FC22LV2TLT4_L4_R1_IGGTATAGG.fastq.gz</t>
  </si>
  <si>
    <t xml:space="preserve">NH_72.FC22LV2TLT4_L5_R1_IGGTATAGG.fastq.gz</t>
  </si>
  <si>
    <t xml:space="preserve">NH_72.FC22LV2TLT4_L6_R1_IGGTATAGG.fastq.gz</t>
  </si>
  <si>
    <t xml:space="preserve">NH_72.FC22LV2TLT4_L7_R1_IGGTATAGG.fastq.gz</t>
  </si>
  <si>
    <t xml:space="preserve">NH_72.FC22LV2TLT4_L8_R1_IGGTATAGG.fastq.gz</t>
  </si>
  <si>
    <t xml:space="preserve">NH_69.FC22LV2TLT4_L1_R1_IGCCTTAAC.fastq.gz</t>
  </si>
  <si>
    <t xml:space="preserve">NH_69.FC22LV2TLT4_L2_R1_IGCCTTAAC.fastq.gz</t>
  </si>
  <si>
    <t xml:space="preserve">NH_69.FC22LV2TLT4_L3_R1_IGCCTTAAC.fastq.gz</t>
  </si>
  <si>
    <t xml:space="preserve">NH_69.FC22LV2TLT4_L4_R1_IGCCTTAAC.fastq.gz</t>
  </si>
  <si>
    <t xml:space="preserve">NH_69.FC22LV2TLT4_L5_R1_IGCCTTAAC.fastq.gz</t>
  </si>
  <si>
    <t xml:space="preserve">NH_69.FC22LV2TLT4_L6_R1_IGCCTTAAC.fastq.gz</t>
  </si>
  <si>
    <t xml:space="preserve">NH_69.FC22LV2TLT4_L7_R1_IGCCTTAAC.fastq.gz</t>
  </si>
  <si>
    <t xml:space="preserve">NH_69.FC22LV2TLT4_L8_R1_IGCCTTAAC.fastq.gz</t>
  </si>
  <si>
    <t xml:space="preserve">imaging_id</t>
  </si>
  <si>
    <t xml:space="preserve">imaging_date</t>
  </si>
  <si>
    <t xml:space="preserve">modality</t>
  </si>
  <si>
    <t xml:space="preserve">body_region</t>
  </si>
  <si>
    <t xml:space="preserve">indication</t>
  </si>
  <si>
    <t xml:space="preserve">total_tumor_volume_ml</t>
  </si>
  <si>
    <t xml:space="preserve">tumor_count</t>
  </si>
  <si>
    <t xml:space="preserve">new_lesion_count</t>
  </si>
  <si>
    <t xml:space="preserve">institution_performed</t>
  </si>
  <si>
    <t xml:space="preserve">old_img_id</t>
  </si>
  <si>
    <t xml:space="preserve">sarc031_ID</t>
  </si>
  <si>
    <t xml:space="preserve">recist_comment</t>
  </si>
  <si>
    <t xml:space="preserve">tumor2_lx</t>
  </si>
  <si>
    <t xml:space="preserve">tumor2_sld</t>
  </si>
  <si>
    <t xml:space="preserve">tumor3_lx</t>
  </si>
  <si>
    <t xml:space="preserve">tumor3_sld</t>
  </si>
  <si>
    <t xml:space="preserve">tumor3_suv</t>
  </si>
  <si>
    <t xml:space="preserve">tumor3_adc</t>
  </si>
  <si>
    <t xml:space="preserve">tumor3_comment</t>
  </si>
  <si>
    <t xml:space="preserve">tumor4_lx</t>
  </si>
  <si>
    <t xml:space="preserve">tumor4_sld</t>
  </si>
  <si>
    <t xml:space="preserve">tumor4_suv</t>
  </si>
  <si>
    <t xml:space="preserve">tumor4_adc</t>
  </si>
  <si>
    <t xml:space="preserve">tumor4_comment</t>
  </si>
  <si>
    <t xml:space="preserve">tumor5_lx</t>
  </si>
  <si>
    <t xml:space="preserve">tumor5_sld</t>
  </si>
  <si>
    <t xml:space="preserve">tumor5_suv</t>
  </si>
  <si>
    <t xml:space="preserve">tumor5_adc</t>
  </si>
  <si>
    <t xml:space="preserve">tumor5_comment</t>
  </si>
  <si>
    <t xml:space="preserve">img0001</t>
  </si>
  <si>
    <t xml:space="preserve">2015-10-20</t>
  </si>
  <si>
    <t xml:space="preserve">mri</t>
  </si>
  <si>
    <t xml:space="preserve">img0002</t>
  </si>
  <si>
    <t xml:space="preserve">2016-02-16</t>
  </si>
  <si>
    <t xml:space="preserve">img0003</t>
  </si>
  <si>
    <t xml:space="preserve">2016-06-06</t>
  </si>
  <si>
    <t xml:space="preserve">img0004</t>
  </si>
  <si>
    <t xml:space="preserve">2016-10-03</t>
  </si>
  <si>
    <t xml:space="preserve">img0005</t>
  </si>
  <si>
    <t xml:space="preserve">2017-02-06</t>
  </si>
  <si>
    <t xml:space="preserve">img0006</t>
  </si>
  <si>
    <t xml:space="preserve">2017-06-05</t>
  </si>
  <si>
    <t xml:space="preserve">img0007</t>
  </si>
  <si>
    <t xml:space="preserve">2017-07-07</t>
  </si>
  <si>
    <t xml:space="preserve">img0008</t>
  </si>
  <si>
    <t xml:space="preserve">img0009</t>
  </si>
  <si>
    <t xml:space="preserve">img0010</t>
  </si>
  <si>
    <t xml:space="preserve">img0011</t>
  </si>
  <si>
    <t xml:space="preserve">2023-01-26</t>
  </si>
  <si>
    <t xml:space="preserve">img0012</t>
  </si>
  <si>
    <t xml:space="preserve">Head</t>
  </si>
  <si>
    <t xml:space="preserve">img0013</t>
  </si>
  <si>
    <t xml:space="preserve">Neck</t>
  </si>
  <si>
    <t xml:space="preserve">img0014</t>
  </si>
  <si>
    <t xml:space="preserve">Pelvis</t>
  </si>
  <si>
    <t xml:space="preserve">img0015</t>
  </si>
  <si>
    <t xml:space="preserve">Abdomen</t>
  </si>
  <si>
    <t xml:space="preserve">img0016</t>
  </si>
  <si>
    <t xml:space="preserve">Pleura</t>
  </si>
  <si>
    <t xml:space="preserve">img0017</t>
  </si>
  <si>
    <t xml:space="preserve">Extremity</t>
  </si>
  <si>
    <t xml:space="preserve">img0018</t>
  </si>
  <si>
    <t xml:space="preserve">img0019</t>
  </si>
  <si>
    <t xml:space="preserve">Thorax</t>
  </si>
  <si>
    <t xml:space="preserve">img0020</t>
  </si>
  <si>
    <t xml:space="preserve">img0021</t>
  </si>
  <si>
    <t xml:space="preserve">img0022</t>
  </si>
  <si>
    <t xml:space="preserve">img0023</t>
  </si>
  <si>
    <t xml:space="preserve">2018-05-09</t>
  </si>
  <si>
    <t xml:space="preserve">img0024</t>
  </si>
  <si>
    <t xml:space="preserve">2019-01-08</t>
  </si>
  <si>
    <t xml:space="preserve">img0025</t>
  </si>
  <si>
    <t xml:space="preserve">2019-10-16</t>
  </si>
  <si>
    <t xml:space="preserve">img0026</t>
  </si>
  <si>
    <t xml:space="preserve">img0027</t>
  </si>
  <si>
    <t xml:space="preserve">img0028</t>
  </si>
  <si>
    <t xml:space="preserve">2019-10-02</t>
  </si>
  <si>
    <t xml:space="preserve">ct</t>
  </si>
  <si>
    <t xml:space="preserve">048-002</t>
  </si>
  <si>
    <t xml:space="preserve">Lung</t>
  </si>
  <si>
    <t xml:space="preserve">img0029</t>
  </si>
  <si>
    <t xml:space="preserve">048-004</t>
  </si>
  <si>
    <t xml:space="preserve">img0030</t>
  </si>
  <si>
    <t xml:space="preserve">048-001</t>
  </si>
  <si>
    <t xml:space="preserve">Other</t>
  </si>
  <si>
    <t xml:space="preserve">img0031</t>
  </si>
  <si>
    <t xml:space="preserve">019-015</t>
  </si>
  <si>
    <t xml:space="preserve">img0032</t>
  </si>
  <si>
    <t xml:space="preserve">015-018</t>
  </si>
  <si>
    <t xml:space="preserve">Mediastinum</t>
  </si>
  <si>
    <t xml:space="preserve">img0033</t>
  </si>
  <si>
    <t xml:space="preserve">079-008</t>
  </si>
  <si>
    <t xml:space="preserve">img0034</t>
  </si>
  <si>
    <t xml:space="preserve">015-006</t>
  </si>
  <si>
    <t xml:space="preserve">img0035</t>
  </si>
  <si>
    <t xml:space="preserve">img0036</t>
  </si>
  <si>
    <t xml:space="preserve">015-016</t>
  </si>
  <si>
    <t xml:space="preserve">img0037</t>
  </si>
  <si>
    <t xml:space="preserve">019-021</t>
  </si>
  <si>
    <t xml:space="preserve">img0038</t>
  </si>
  <si>
    <t xml:space="preserve">2021-02-10</t>
  </si>
  <si>
    <t xml:space="preserve">img0039</t>
  </si>
  <si>
    <t xml:space="preserve">2022-02-25</t>
  </si>
  <si>
    <t xml:space="preserve">img0040</t>
  </si>
  <si>
    <t xml:space="preserve">img0041</t>
  </si>
  <si>
    <t xml:space="preserve">2022-04-28</t>
  </si>
  <si>
    <t xml:space="preserve">img0042</t>
  </si>
  <si>
    <t xml:space="preserve">2022-05-11</t>
  </si>
  <si>
    <t xml:space="preserve">img0043</t>
  </si>
  <si>
    <t xml:space="preserve">019-007</t>
  </si>
  <si>
    <t xml:space="preserve">img0044</t>
  </si>
  <si>
    <t xml:space="preserve">005-014</t>
  </si>
  <si>
    <t xml:space="preserve">Breast</t>
  </si>
  <si>
    <t xml:space="preserve">img0045</t>
  </si>
  <si>
    <t xml:space="preserve">245_9_28_2022</t>
  </si>
  <si>
    <t xml:space="preserve">Spine</t>
  </si>
  <si>
    <t xml:space="preserve">img0046</t>
  </si>
  <si>
    <t xml:space="preserve">2020-10-16</t>
  </si>
  <si>
    <t xml:space="preserve">178_10_20_2021</t>
  </si>
  <si>
    <t xml:space="preserve">extremity</t>
  </si>
  <si>
    <t xml:space="preserve">img0047</t>
  </si>
  <si>
    <t xml:space="preserve">2021-10-15</t>
  </si>
  <si>
    <t xml:space="preserve">178_10_29_2022</t>
  </si>
  <si>
    <t xml:space="preserve">img0048</t>
  </si>
  <si>
    <t xml:space="preserve">2020-09-30</t>
  </si>
  <si>
    <t xml:space="preserve">pet</t>
  </si>
  <si>
    <t xml:space="preserve">610_9_30_2021</t>
  </si>
  <si>
    <t xml:space="preserve">img0049</t>
  </si>
  <si>
    <t xml:space="preserve">610_1_19_2022</t>
  </si>
  <si>
    <t xml:space="preserve">abdomen</t>
  </si>
  <si>
    <t xml:space="preserve">img0050</t>
  </si>
  <si>
    <t xml:space="preserve">2021-08-23</t>
  </si>
  <si>
    <t xml:space="preserve">610_8_23_2022</t>
  </si>
  <si>
    <t xml:space="preserve">lung</t>
  </si>
  <si>
    <t xml:space="preserve">pelvis</t>
  </si>
  <si>
    <t xml:space="preserve">abdomen (liver)</t>
  </si>
  <si>
    <t xml:space="preserve">img0051</t>
  </si>
  <si>
    <t xml:space="preserve">610_12_14_2022</t>
  </si>
  <si>
    <t xml:space="preserve">img0052</t>
  </si>
  <si>
    <t xml:space="preserve">2022-03-07</t>
  </si>
  <si>
    <t xml:space="preserve">610_3_7_2023</t>
  </si>
  <si>
    <t xml:space="preserve">img0053</t>
  </si>
  <si>
    <t xml:space="preserve">610_5_10_2023</t>
  </si>
  <si>
    <t xml:space="preserve">improvement due to treatment</t>
  </si>
  <si>
    <t xml:space="preserve">img0054</t>
  </si>
  <si>
    <t xml:space="preserve">624_12_22_2021</t>
  </si>
  <si>
    <t xml:space="preserve">048-009 (WUSTL.624)</t>
  </si>
  <si>
    <t xml:space="preserve">Pleural</t>
  </si>
  <si>
    <t xml:space="preserve">img0055</t>
  </si>
  <si>
    <t xml:space="preserve">2021-02-22</t>
  </si>
  <si>
    <t xml:space="preserve">img0056</t>
  </si>
  <si>
    <t xml:space="preserve">2021-03-01</t>
  </si>
  <si>
    <t xml:space="preserve">pet ct</t>
  </si>
  <si>
    <t xml:space="preserve">624_3_1_2022</t>
  </si>
  <si>
    <t xml:space="preserve">sd</t>
  </si>
  <si>
    <t xml:space="preserve">img0057</t>
  </si>
  <si>
    <t xml:space="preserve">625_3_8_2022</t>
  </si>
  <si>
    <t xml:space="preserve">img0058</t>
  </si>
  <si>
    <t xml:space="preserve">627_3_8_2022</t>
  </si>
  <si>
    <t xml:space="preserve">48-010 (WUSTL.627)</t>
  </si>
  <si>
    <t xml:space="preserve">single timepoint</t>
  </si>
  <si>
    <t xml:space="preserve">img0059</t>
  </si>
  <si>
    <t xml:space="preserve">2021-10-14</t>
  </si>
  <si>
    <t xml:space="preserve">048-017 (WUSTL 659)</t>
  </si>
  <si>
    <t xml:space="preserve">img0060</t>
  </si>
  <si>
    <t xml:space="preserve">659_10_14_2022</t>
  </si>
  <si>
    <t xml:space="preserve">Primary Mass distended by Gas</t>
  </si>
  <si>
    <t xml:space="preserve">thorax</t>
  </si>
  <si>
    <t xml:space="preserve">head</t>
  </si>
  <si>
    <t xml:space="preserve">not available</t>
  </si>
  <si>
    <t xml:space="preserve">img0061</t>
  </si>
  <si>
    <t xml:space="preserve">2021-10-25</t>
  </si>
  <si>
    <t xml:space="preserve">659_10_25_2022</t>
  </si>
  <si>
    <t xml:space="preserve">pd</t>
  </si>
  <si>
    <t xml:space="preserve">Primary Mass distended by Gas, mets were not biopsied</t>
  </si>
  <si>
    <t xml:space="preserve">img0062</t>
  </si>
  <si>
    <t xml:space="preserve">2022-05-12</t>
  </si>
  <si>
    <t xml:space="preserve">692_5_12_2023</t>
  </si>
  <si>
    <t xml:space="preserve">img0063</t>
  </si>
  <si>
    <t xml:space="preserve">2022-05-02</t>
  </si>
  <si>
    <t xml:space="preserve">695_5_2_2023</t>
  </si>
  <si>
    <t xml:space="preserve">img0064</t>
  </si>
  <si>
    <t xml:space="preserve">2020-08-10</t>
  </si>
  <si>
    <t xml:space="preserve">614_8_10_2021</t>
  </si>
  <si>
    <t xml:space="preserve">img0065</t>
  </si>
  <si>
    <t xml:space="preserve">2021-12-21</t>
  </si>
  <si>
    <t xml:space="preserve">614_12_21_2022</t>
  </si>
  <si>
    <t xml:space="preserve">img0066</t>
  </si>
  <si>
    <t xml:space="preserve">2022-09-08</t>
  </si>
  <si>
    <t xml:space="preserve">614_9_8_2023</t>
  </si>
  <si>
    <t xml:space="preserve">img0067</t>
  </si>
  <si>
    <t xml:space="preserve">2020-10-21</t>
  </si>
  <si>
    <t xml:space="preserve">620_10_21_2021</t>
  </si>
  <si>
    <t xml:space="preserve">img0068</t>
  </si>
  <si>
    <t xml:space="preserve">2021-01-25</t>
  </si>
  <si>
    <t xml:space="preserve">626_1_25_2022</t>
  </si>
  <si>
    <t xml:space="preserve">img0069</t>
  </si>
  <si>
    <t xml:space="preserve">626_3_30_2022</t>
  </si>
  <si>
    <t xml:space="preserve">img0070</t>
  </si>
  <si>
    <t xml:space="preserve">2020-11-11</t>
  </si>
  <si>
    <t xml:space="preserve">mri+ct</t>
  </si>
  <si>
    <t xml:space="preserve">621_11_11_2021</t>
  </si>
  <si>
    <t xml:space="preserve">img0071</t>
  </si>
  <si>
    <t xml:space="preserve">2021-05-24</t>
  </si>
  <si>
    <t xml:space="preserve">641_6_11_2022</t>
  </si>
  <si>
    <t xml:space="preserve">img0072</t>
  </si>
  <si>
    <t xml:space="preserve">621_9_27_2023</t>
  </si>
  <si>
    <t xml:space="preserve">cr</t>
  </si>
  <si>
    <t xml:space="preserve">img0073</t>
  </si>
  <si>
    <t xml:space="preserve">048-019 (WUSTL 642)</t>
  </si>
  <si>
    <t xml:space="preserve">img0074</t>
  </si>
  <si>
    <t xml:space="preserve">img0075</t>
  </si>
  <si>
    <t xml:space="preserve">img0076</t>
  </si>
  <si>
    <t xml:space="preserve">668_11_19_2022</t>
  </si>
  <si>
    <t xml:space="preserve">img0077</t>
  </si>
  <si>
    <t xml:space="preserve">2022-03-04</t>
  </si>
  <si>
    <t xml:space="preserve">ct-mri</t>
  </si>
  <si>
    <t xml:space="preserve">668_3_4_2023</t>
  </si>
  <si>
    <t xml:space="preserve">s/p chemo + resection</t>
  </si>
  <si>
    <t xml:space="preserve">s/p laminectomy w resection</t>
  </si>
  <si>
    <t xml:space="preserve">img0078</t>
  </si>
  <si>
    <t xml:space="preserve">2022-05-20</t>
  </si>
  <si>
    <t xml:space="preserve">ct </t>
  </si>
  <si>
    <t xml:space="preserve">668_5_20_2023</t>
  </si>
  <si>
    <t xml:space="preserve">"stable postoperative changes from tumor resection"</t>
  </si>
  <si>
    <t xml:space="preserve">img0079</t>
  </si>
  <si>
    <t xml:space="preserve">668_8_12_2023</t>
  </si>
  <si>
    <t xml:space="preserve">img0080</t>
  </si>
  <si>
    <t xml:space="preserve">691_9_20_2023</t>
  </si>
  <si>
    <t xml:space="preserve">img0081</t>
  </si>
  <si>
    <t xml:space="preserve">2021-03-12</t>
  </si>
  <si>
    <t xml:space="preserve">048-012 (WUSTL 561)</t>
  </si>
  <si>
    <t xml:space="preserve">img0082</t>
  </si>
  <si>
    <t xml:space="preserve">s/p surgical resection</t>
  </si>
  <si>
    <t xml:space="preserve">chest</t>
  </si>
  <si>
    <t xml:space="preserve">img0083</t>
  </si>
  <si>
    <t xml:space="preserve">2021-09-14</t>
  </si>
  <si>
    <t xml:space="preserve">pelvis </t>
  </si>
  <si>
    <t xml:space="preserve">img0084</t>
  </si>
  <si>
    <t xml:space="preserve">2022-02-07</t>
  </si>
  <si>
    <t xml:space="preserve">box_link</t>
  </si>
  <si>
    <t xml:space="preserve">filename</t>
  </si>
  <si>
    <t xml:space="preserve">author</t>
  </si>
  <si>
    <t xml:space="preserve">NF1_cfDNA_additional_samples_2_25_24.xlsx</t>
  </si>
  <si>
    <t xml:space="preserve">source</t>
  </si>
  <si>
    <t xml:space="preserve">hg38-blacklist.v2.bed.gz</t>
  </si>
  <si>
    <t xml:space="preserve">ENCODE hg38 blacklist</t>
  </si>
  <si>
    <t xml:space="preserve">https://raw.githubusercontent.com/Boyle-Lab/Blacklist/master/lists/hg38-blacklist.v2.bed.gz</t>
  </si>
  <si>
    <t xml:space="preserve">GCA_000001405.15_GRCh38_no_alt_analysis_set.fna</t>
  </si>
  <si>
    <t xml:space="preserve">UCSC hg38 fasta for sequencing alignment</t>
  </si>
  <si>
    <t xml:space="preserve">https://ftp.ncbi.nlm.nih.gov/genomes/all/GCA/000/001/405/GCA_000001405.15_GRCh38/seqs_for_alignment_pipelines.ucsc_ids/GCA_000001405.15_GRCh38_no_alt_analysis_set.fna.gz</t>
  </si>
  <si>
    <t xml:space="preserve">hg38.chrom.sizes</t>
  </si>
  <si>
    <t xml:space="preserve">UCSC hg38 chromosome sizes</t>
  </si>
  <si>
    <t xml:space="preserve">https://hgdownload.cse.ucsc.edu/goldenpath/hg38/bigZips/hg38.chrom.sizes</t>
  </si>
  <si>
    <t xml:space="preserve">dx_label</t>
  </si>
  <si>
    <t xml:space="preserve">dx_simple</t>
  </si>
  <si>
    <t xml:space="preserve">dx_simple_label</t>
  </si>
  <si>
    <t xml:space="preserve">hex</t>
  </si>
  <si>
    <t xml:space="preserve">dx_rank</t>
  </si>
  <si>
    <t xml:space="preserve">ANF</t>
  </si>
  <si>
    <t xml:space="preserve">ANF/\nANNUBP</t>
  </si>
  <si>
    <t xml:space="preserve">#F39B7FFF</t>
  </si>
  <si>
    <t xml:space="preserve">ANNUBP</t>
  </si>
  <si>
    <t xml:space="preserve">Benign schwannoma</t>
  </si>
  <si>
    <t xml:space="preserve">#808080FF</t>
  </si>
  <si>
    <t xml:space="preserve">Healthy</t>
  </si>
  <si>
    <t xml:space="preserve">#00A087FF</t>
  </si>
  <si>
    <t xml:space="preserve">MPNST - Low grade</t>
  </si>
  <si>
    <t xml:space="preserve">MPNST</t>
  </si>
  <si>
    <t xml:space="preserve">#E64B35FF</t>
  </si>
  <si>
    <t xml:space="preserve">Medullary thyroid carcinoma</t>
  </si>
  <si>
    <t xml:space="preserve">MPNST - NED</t>
  </si>
  <si>
    <t xml:space="preserve">NF1</t>
  </si>
  <si>
    <t xml:space="preserve">#4DBBD5FF</t>
  </si>
  <si>
    <t xml:space="preserve">pilocytic_astrocytoma</t>
  </si>
  <si>
    <t xml:space="preserve">Pilocytic astrocytoma</t>
  </si>
  <si>
    <t xml:space="preserve">Plexiform</t>
  </si>
  <si>
    <t xml:space="preserve">#3C5488FF</t>
  </si>
  <si>
    <t xml:space="preserve">Rhabdomyosarcoma</t>
  </si>
  <si>
    <t xml:space="preserve">review_new</t>
  </si>
  <si>
    <t xml:space="preserve">Paul_notes</t>
  </si>
  <si>
    <t xml:space="preserve">margins</t>
  </si>
  <si>
    <t xml:space="preserve">Ki_67</t>
  </si>
  <si>
    <t xml:space="preserve">cdkn2b_status</t>
  </si>
  <si>
    <t xml:space="preserve">clinseq</t>
  </si>
  <si>
    <t xml:space="preserve">PRC2_status</t>
  </si>
  <si>
    <t xml:space="preserve">CDKN2A/p16_status</t>
  </si>
  <si>
    <t xml:space="preserve">clinseq_requisition</t>
  </si>
  <si>
    <t xml:space="preserve">clinseq_comments</t>
  </si>
  <si>
    <t xml:space="preserve">NF1_Germline</t>
  </si>
  <si>
    <t xml:space="preserve">bx</t>
  </si>
  <si>
    <t xml:space="preserve">benign atypia</t>
  </si>
  <si>
    <t xml:space="preserve">retained</t>
  </si>
  <si>
    <t xml:space="preserve">unaltered</t>
  </si>
  <si>
    <t xml:space="preserve">sgy</t>
  </si>
  <si>
    <t xml:space="preserve">low-grade mpnst</t>
  </si>
  <si>
    <t xml:space="preserve">2/50</t>
  </si>
  <si>
    <t xml:space="preserve">1/50</t>
  </si>
  <si>
    <t xml:space="preserve">&lt;5%</t>
  </si>
  <si>
    <t xml:space="preserve">&lt;10%</t>
  </si>
  <si>
    <t xml:space="preserve">neurofibroma</t>
  </si>
  <si>
    <t xml:space="preserve">7/10</t>
  </si>
  <si>
    <t xml:space="preserve">mixed</t>
  </si>
  <si>
    <t xml:space="preserve">5/10</t>
  </si>
  <si>
    <t xml:space="preserve">pos</t>
  </si>
  <si>
    <t xml:space="preserve">loss</t>
  </si>
  <si>
    <t xml:space="preserve">focal_loss</t>
  </si>
  <si>
    <t xml:space="preserve">na </t>
  </si>
  <si>
    <t xml:space="preserve">neg</t>
  </si>
  <si>
    <t xml:space="preserve">27/10</t>
  </si>
  <si>
    <t xml:space="preserve">36/10</t>
  </si>
  <si>
    <t xml:space="preserve">n </t>
  </si>
  <si>
    <t xml:space="preserve">loss, mut</t>
  </si>
  <si>
    <t xml:space="preserve">mut</t>
  </si>
  <si>
    <t xml:space="preserve">altered</t>
  </si>
  <si>
    <t xml:space="preserve">Shoulder</t>
  </si>
  <si>
    <t xml:space="preserve">&gt;20/10</t>
  </si>
  <si>
    <t xml:space="preserve">49/10</t>
  </si>
  <si>
    <t xml:space="preserve">21/10</t>
  </si>
  <si>
    <t xml:space="preserve">&gt;37%</t>
  </si>
  <si>
    <t xml:space="preserve">25/10</t>
  </si>
  <si>
    <t xml:space="preserve">high</t>
  </si>
  <si>
    <t xml:space="preserve"> 9/10</t>
  </si>
  <si>
    <t xml:space="preserve">&gt;20%</t>
  </si>
  <si>
    <t xml:space="preserve">20/10</t>
  </si>
  <si>
    <t xml:space="preserve">26/10</t>
  </si>
  <si>
    <t xml:space="preserve">low</t>
  </si>
  <si>
    <t xml:space="preserve"> 3/10</t>
  </si>
  <si>
    <t xml:space="preserve">gain</t>
  </si>
  <si>
    <t xml:space="preserve"> 9/10 </t>
  </si>
  <si>
    <t xml:space="preserve">low, dense</t>
  </si>
  <si>
    <t xml:space="preserve">nf624</t>
  </si>
  <si>
    <t xml:space="preserve"> 1/10</t>
  </si>
  <si>
    <t xml:space="preserve">42/10</t>
  </si>
  <si>
    <t xml:space="preserve">30/10</t>
  </si>
  <si>
    <t xml:space="preserve">nf627</t>
  </si>
  <si>
    <t xml:space="preserve">spindle cell sarcoma</t>
  </si>
  <si>
    <t xml:space="preserve"> 5/10</t>
  </si>
  <si>
    <t xml:space="preserve">nf642</t>
  </si>
  <si>
    <t xml:space="preserve"> 6/10</t>
  </si>
  <si>
    <t xml:space="preserve"> loss</t>
  </si>
  <si>
    <t xml:space="preserve">spindle cell malignant melanoma</t>
  </si>
  <si>
    <t xml:space="preserve">low </t>
  </si>
  <si>
    <t xml:space="preserve">loss </t>
  </si>
  <si>
    <t xml:space="preserve">plexiform neurofibroma with benign atypia</t>
  </si>
  <si>
    <t xml:space="preserve">y ("mild")</t>
  </si>
  <si>
    <t xml:space="preserve">Axilla</t>
  </si>
  <si>
    <t xml:space="preserve">neurofibroma, intraneural, with nuclear atypia</t>
  </si>
  <si>
    <t xml:space="preserve">&lt;3-5%</t>
  </si>
  <si>
    <t xml:space="preserve">"Atypical neurofibromatous neoplasm with necrosis, probably MPNST"</t>
  </si>
  <si>
    <t xml:space="preserve">Brachial Plexus</t>
  </si>
  <si>
    <t xml:space="preserve">atypical neurofibroma</t>
  </si>
  <si>
    <t xml:space="preserve">&lt;4/10</t>
  </si>
  <si>
    <t xml:space="preserve">Spindle cell sarcoma, consistent with high-grade MPNST</t>
  </si>
  <si>
    <t xml:space="preserve">8/10</t>
  </si>
  <si>
    <t xml:space="preserve">MD-22-3765</t>
  </si>
  <si>
    <t xml:space="preserve">NF1 (c.1246C&gt;T, c.861delC), CDKN2A loss, CDKN2B loss, VUS in ARAF, BCR, EGFL7, ERBB2, FANCA, FGFR3, INPP4A, IRS2, LYN, MDC1, RB1, SPTA1, TSHR</t>
  </si>
  <si>
    <t xml:space="preserve">Periscapular</t>
  </si>
  <si>
    <t xml:space="preserve">&gt;10/10</t>
  </si>
  <si>
    <t xml:space="preserve">MD-22-1640</t>
  </si>
  <si>
    <t xml:space="preserve">SEM1-MET 21:5'UTR fusion on RNA, NF1 c.1246C&gt;T, MET amplification, VUS ANKRD26, ARAF, BCR, EGL7, ERBB23, FANCA, FGF14, FGFR3, INPP4A, IRS2, KEAP1, LAMP1, LYN, MDC1, SPTA, TSSHR</t>
  </si>
  <si>
    <t xml:space="preserve">Scapula</t>
  </si>
  <si>
    <t xml:space="preserve">MD-22-1264</t>
  </si>
  <si>
    <t xml:space="preserve">NF1 (c.1246C&gt;T)</t>
  </si>
  <si>
    <t xml:space="preserve">Buttocks</t>
  </si>
  <si>
    <t xml:space="preserve">&lt;2%</t>
  </si>
  <si>
    <t xml:space="preserve">Perirenal</t>
  </si>
  <si>
    <t xml:space="preserve">neurofibroma, intraneural</t>
  </si>
  <si>
    <t xml:space="preserve">Neurofibroma involving skeletal muscle and fat; "...showing no intraneural or atypical neurofibroma components are seen"</t>
  </si>
  <si>
    <t xml:space="preserve">Brain</t>
  </si>
  <si>
    <t xml:space="preserve">pilocytic astrocytoma</t>
  </si>
  <si>
    <t xml:space="preserve">WHO grade I</t>
  </si>
  <si>
    <t xml:space="preserve">4-5%</t>
  </si>
  <si>
    <t xml:space="preserve">"extends into lateral specimen edges"</t>
  </si>
  <si>
    <t xml:space="preserve">Cutaneous neurofibroma</t>
  </si>
  <si>
    <t xml:space="preserve">neurofibroma, intraneural, consistent with plexiform neurofibroma</t>
  </si>
  <si>
    <t xml:space="preserve">Labia</t>
  </si>
  <si>
    <t xml:space="preserve">Plexiform neurofibroma</t>
  </si>
  <si>
    <t xml:space="preserve">Vulva</t>
  </si>
  <si>
    <t xml:space="preserve">neurofibroma with plexiform features</t>
  </si>
  <si>
    <t xml:space="preserve">neurofibroma, intraneural, with focal benign atypia</t>
  </si>
  <si>
    <t xml:space="preserve">y? "no definite plexiform architecture is detectable"</t>
  </si>
  <si>
    <t xml:space="preserve">Knee</t>
  </si>
  <si>
    <t xml:space="preserve">pn?</t>
  </si>
  <si>
    <t xml:space="preserve">Neurofibroma, intraneural/plexiform with atypia and mild increase in cellularity (focal moderate cellularity)</t>
  </si>
  <si>
    <t xml:space="preserve">Intraneural neurofibroma with focal nuclear atypia</t>
  </si>
  <si>
    <t xml:space="preserve">y ("focally moderate")</t>
  </si>
  <si>
    <t xml:space="preserve">SI-21-5714</t>
  </si>
  <si>
    <t xml:space="preserve">SI-21-5715</t>
  </si>
  <si>
    <t xml:space="preserve">"extends into the inked margins" ; "focally involved by tumor"</t>
  </si>
  <si>
    <t xml:space="preserve">mpnst, high-grade</t>
  </si>
  <si>
    <t xml:space="preserve">"fascicular"</t>
  </si>
  <si>
    <t xml:space="preserve">Intraneural neurofibroma with focal benign nuclear atypia</t>
  </si>
  <si>
    <t xml:space="preserve">Axillary</t>
  </si>
  <si>
    <t xml:space="preserve">qns</t>
  </si>
  <si>
    <t xml:space="preserve">an</t>
  </si>
  <si>
    <t xml:space="preserve">intraneural neurofibroma with nuclear atypia</t>
  </si>
  <si>
    <t xml:space="preserve">moderate</t>
  </si>
  <si>
    <t xml:space="preserve">&lt;3%</t>
  </si>
  <si>
    <t xml:space="preserve">plexiform neurofibroma with benign nuclear atypia</t>
  </si>
  <si>
    <t xml:space="preserve">&lt;7%</t>
  </si>
  <si>
    <t xml:space="preserve"> Malignant peripheral nerve sheath tumor, high-grade, probably metastatic.</t>
  </si>
  <si>
    <t xml:space="preserve">Malignant peripheral nerve sheath tumor, high-grade, arising in a neurofibroma, plexiform and diffuse.  High-grade tumor focally extends into the inked margin
</t>
  </si>
  <si>
    <t xml:space="preserve">na`</t>
  </si>
  <si>
    <t xml:space="preserve">"frequent"</t>
  </si>
  <si>
    <t xml:space="preserve">Skull</t>
  </si>
  <si>
    <t xml:space="preserve">Parapharyngeal</t>
  </si>
  <si>
    <t xml:space="preserve">2/10</t>
  </si>
  <si>
    <t xml:space="preserve">Back</t>
  </si>
  <si>
    <t xml:space="preserve">atypical intraneural neurofibroma</t>
  </si>
  <si>
    <t xml:space="preserve">mild</t>
  </si>
  <si>
    <t xml:space="preserve">&lt;1%</t>
  </si>
  <si>
    <t xml:space="preserve">Skin</t>
  </si>
  <si>
    <t xml:space="preserve">Presacral</t>
  </si>
  <si>
    <t xml:space="preserve">plexiform neurofibroma with atypica</t>
  </si>
  <si>
    <t xml:space="preserve">Chest</t>
  </si>
  <si>
    <t xml:space="preserve">neurofibroma, intraneural, with atypia</t>
  </si>
  <si>
    <t xml:space="preserve">Flank</t>
  </si>
  <si>
    <t xml:space="preserve">intraneural neurofibroma</t>
  </si>
  <si>
    <t xml:space="preserve">Brachial plexus</t>
  </si>
  <si>
    <t xml:space="preserve">y ("minimal")</t>
  </si>
  <si>
    <t xml:space="preserve">low ("pauci")</t>
  </si>
  <si>
    <t xml:space="preserve">"some"</t>
  </si>
  <si>
    <t xml:space="preserve">library</t>
  </si>
  <si>
    <t xml:space="preserve">r1_basename_im</t>
  </si>
  <si>
    <t xml:space="preserve">participant_im</t>
  </si>
  <si>
    <t xml:space="preserve">alt_subj_im</t>
  </si>
  <si>
    <t xml:space="preserve">institution_im</t>
  </si>
  <si>
    <t xml:space="preserve">specimen_im</t>
  </si>
  <si>
    <t xml:space="preserve">collection_date_im</t>
  </si>
  <si>
    <t xml:space="preserve">cohort_im</t>
  </si>
  <si>
    <t xml:space="preserve">current_dx_im</t>
  </si>
  <si>
    <t xml:space="preserve">baseline</t>
  </si>
  <si>
    <t xml:space="preserve">baseline_loc_met</t>
  </si>
  <si>
    <t xml:space="preserve">lib107</t>
  </si>
  <si>
    <t xml:space="preserve">immuno</t>
  </si>
  <si>
    <t xml:space="preserve">loc</t>
  </si>
  <si>
    <t xml:space="preserve">met</t>
  </si>
  <si>
    <t xml:space="preserve">available</t>
  </si>
  <si>
    <t xml:space="preserve">lib109</t>
  </si>
  <si>
    <t xml:space="preserve">mek</t>
  </si>
  <si>
    <t xml:space="preserve">chemo</t>
  </si>
  <si>
    <t xml:space="preserve">compassionate use sirolimus</t>
  </si>
  <si>
    <t xml:space="preserve">Atypical neurofibromatous neoplasm with necrosis, probably MPNST</t>
  </si>
  <si>
    <t xml:space="preserve">lib110</t>
  </si>
  <si>
    <t xml:space="preserve">lib113</t>
  </si>
  <si>
    <t xml:space="preserve">lib117</t>
  </si>
  <si>
    <t xml:space="preserve">lib119</t>
  </si>
  <si>
    <t xml:space="preserve">NED at time, subsequently recurred 5/26/2020</t>
  </si>
  <si>
    <t xml:space="preserve">lib135</t>
  </si>
  <si>
    <t xml:space="preserve">High-Grade MPNST</t>
  </si>
  <si>
    <t xml:space="preserve">lib123</t>
  </si>
  <si>
    <t xml:space="preserve">presented widely metastatic</t>
  </si>
  <si>
    <t xml:space="preserve">likely deceased, cannot find</t>
  </si>
  <si>
    <t xml:space="preserve">lib126</t>
  </si>
  <si>
    <t xml:space="preserve">C4 AIM</t>
  </si>
  <si>
    <t xml:space="preserve">"partial response"</t>
  </si>
  <si>
    <t xml:space="preserve">Foundation 1/6/2020</t>
  </si>
  <si>
    <t xml:space="preserve">lib127</t>
  </si>
  <si>
    <t xml:space="preserve">ongoing</t>
  </si>
  <si>
    <t xml:space="preserve">C2 ongoing SARC31 treatment</t>
  </si>
  <si>
    <t xml:space="preserve">"progression'</t>
  </si>
  <si>
    <t xml:space="preserve">10/16/2020 Tempus</t>
  </si>
  <si>
    <t xml:space="preserve">lib129</t>
  </si>
  <si>
    <t xml:space="preserve">previous SARC31, C2 Trabectedin</t>
  </si>
  <si>
    <t xml:space="preserve">progression</t>
  </si>
  <si>
    <t xml:space="preserve">lib138</t>
  </si>
  <si>
    <t xml:space="preserve">rtx</t>
  </si>
  <si>
    <t xml:space="preserve">chemo,rtx</t>
  </si>
  <si>
    <t xml:space="preserve">C2 epi/ifos,rtx</t>
  </si>
  <si>
    <t xml:space="preserve">lib208</t>
  </si>
  <si>
    <t xml:space="preserve">lib142</t>
  </si>
  <si>
    <t xml:space="preserve">recurrence</t>
  </si>
  <si>
    <t xml:space="preserve">lib143</t>
  </si>
  <si>
    <t xml:space="preserve">3400 cGy to primary mpnst, C4 epi/ifos</t>
  </si>
  <si>
    <t xml:space="preserve">lib146</t>
  </si>
  <si>
    <t xml:space="preserve">facial mpnst</t>
  </si>
  <si>
    <t xml:space="preserve">lib149</t>
  </si>
  <si>
    <t xml:space="preserve">local shoulder mpnst</t>
  </si>
  <si>
    <t xml:space="preserve">2/24/2020 Tempus</t>
  </si>
  <si>
    <t xml:space="preserve">lib152</t>
  </si>
  <si>
    <t xml:space="preserve">metastatic recurrence</t>
  </si>
  <si>
    <t xml:space="preserve">10/28/2020 Tempus</t>
  </si>
  <si>
    <t xml:space="preserve">lib158</t>
  </si>
  <si>
    <t xml:space="preserve">C2 dex/dox</t>
  </si>
  <si>
    <t xml:space="preserve">lib160</t>
  </si>
  <si>
    <t xml:space="preserve">C2D8 Gem/Tax/ADI</t>
  </si>
  <si>
    <t xml:space="preserve">lib171</t>
  </si>
  <si>
    <t xml:space="preserve">metastatic lung recurrence</t>
  </si>
  <si>
    <t xml:space="preserve">lib172</t>
  </si>
  <si>
    <t xml:space="preserve">C2 SARC31, C1 Trabectedin</t>
  </si>
  <si>
    <t xml:space="preserve">lib173</t>
  </si>
  <si>
    <t xml:space="preserve">lib175</t>
  </si>
  <si>
    <t xml:space="preserve">large pelvis MPNST, pregnant at time</t>
  </si>
  <si>
    <t xml:space="preserve">lib179</t>
  </si>
  <si>
    <t xml:space="preserve">chemo,sgy,immuno</t>
  </si>
  <si>
    <t xml:space="preserve">3400 cGy to primary mpnst, C5 epi/ifos, wide resection w/ negative margins</t>
  </si>
  <si>
    <t xml:space="preserve">resection with negative margins</t>
  </si>
  <si>
    <t xml:space="preserve">lib180</t>
  </si>
  <si>
    <t xml:space="preserve">3400 cGy to primary mpnst, C2 epi/ifos</t>
  </si>
  <si>
    <t xml:space="preserve">lib182</t>
  </si>
  <si>
    <t xml:space="preserve">presented metastatic with thigh and spine lesions</t>
  </si>
  <si>
    <t xml:space="preserve">lib183</t>
  </si>
  <si>
    <t xml:space="preserve">lib184</t>
  </si>
  <si>
    <t xml:space="preserve">large pelvis MPNST</t>
  </si>
  <si>
    <t xml:space="preserve">lib185</t>
  </si>
  <si>
    <t xml:space="preserve">metastatic MPNST (foot primary, brain met, lung met), mid radiation treatment but still meets SARC31 criteria</t>
  </si>
  <si>
    <t xml:space="preserve">lib186</t>
  </si>
  <si>
    <t xml:space="preserve">C4 dex/dox</t>
  </si>
  <si>
    <t xml:space="preserve">lung met</t>
  </si>
  <si>
    <t xml:space="preserve">lib187</t>
  </si>
  <si>
    <t xml:space="preserve">3400 cGy to primary mpnst</t>
  </si>
  <si>
    <t xml:space="preserve">lib191</t>
  </si>
  <si>
    <t xml:space="preserve">lib196</t>
  </si>
  <si>
    <t xml:space="preserve">recurrent mpnst with highly likely metastatic lung nodules</t>
  </si>
  <si>
    <t xml:space="preserve">lib198</t>
  </si>
  <si>
    <t xml:space="preserve">C1 epi/ifos</t>
  </si>
  <si>
    <t xml:space="preserve">lib199</t>
  </si>
  <si>
    <t xml:space="preserve">lib202</t>
  </si>
  <si>
    <t xml:space="preserve">C2 SARC31, C2 Trabectedin</t>
  </si>
  <si>
    <t xml:space="preserve">lib204</t>
  </si>
  <si>
    <t xml:space="preserve">lib205</t>
  </si>
  <si>
    <t xml:space="preserve">C2 Gem/Tax/ADI</t>
  </si>
  <si>
    <t xml:space="preserve">lib243</t>
  </si>
  <si>
    <t xml:space="preserve">previous SARC31, C2 Trabectedin, C1 Gem/Tax/ADI, C3 ifos/doxo</t>
  </si>
  <si>
    <t xml:space="preserve">partial response</t>
  </si>
  <si>
    <t xml:space="preserve">lib245</t>
  </si>
  <si>
    <t xml:space="preserve">C4 AIM, C3 ipi/nivo</t>
  </si>
  <si>
    <t xml:space="preserve">lib246</t>
  </si>
  <si>
    <t xml:space="preserve">C7 dex/dox, C1 ipi/nivo, LL amputation to remove primary</t>
  </si>
  <si>
    <t xml:space="preserve">lib247</t>
  </si>
  <si>
    <t xml:space="preserve">lib248</t>
  </si>
  <si>
    <t xml:space="preserve">C7 dex/dox, C2 ipi/nivo, LL amputation to remove primary</t>
  </si>
  <si>
    <t xml:space="preserve">lib249</t>
  </si>
  <si>
    <t xml:space="preserve">lib250</t>
  </si>
  <si>
    <t xml:space="preserve">unknown</t>
  </si>
  <si>
    <t xml:space="preserve">lib251</t>
  </si>
  <si>
    <t xml:space="preserve">lib252</t>
  </si>
  <si>
    <t xml:space="preserve">lib254</t>
  </si>
  <si>
    <t xml:space="preserve">lib255</t>
  </si>
  <si>
    <t xml:space="preserve">lib256</t>
  </si>
  <si>
    <t xml:space="preserve">lib257</t>
  </si>
  <si>
    <t xml:space="preserve">path_011_03_22_22</t>
  </si>
  <si>
    <t xml:space="preserve">lib258</t>
  </si>
  <si>
    <t xml:space="preserve">lib259</t>
  </si>
  <si>
    <t xml:space="preserve">lib260</t>
  </si>
  <si>
    <t xml:space="preserve">lib261</t>
  </si>
  <si>
    <t xml:space="preserve">none</t>
  </si>
  <si>
    <t xml:space="preserve">Distant metastatic recurrence, primary was R hip</t>
  </si>
  <si>
    <t xml:space="preserve">path_164_09_15_20</t>
  </si>
  <si>
    <t xml:space="preserve">lib262</t>
  </si>
  <si>
    <t xml:space="preserve">Post-tx surveillence, no tx</t>
  </si>
  <si>
    <t xml:space="preserve">PD</t>
  </si>
  <si>
    <t xml:space="preserve">New distant met post RLL lobectomy 7/9/2020</t>
  </si>
  <si>
    <t xml:space="preserve">lib263</t>
  </si>
  <si>
    <t xml:space="preserve">lib264</t>
  </si>
  <si>
    <t xml:space="preserve">lib265</t>
  </si>
  <si>
    <t xml:space="preserve">lib266</t>
  </si>
  <si>
    <t xml:space="preserve">lib282</t>
  </si>
  <si>
    <t xml:space="preserve">lib283</t>
  </si>
  <si>
    <t xml:space="preserve">lib288</t>
  </si>
  <si>
    <t xml:space="preserve">lib289</t>
  </si>
  <si>
    <t xml:space="preserve">lib290</t>
  </si>
  <si>
    <t xml:space="preserve">lib291</t>
  </si>
  <si>
    <t xml:space="preserve">lib292</t>
  </si>
  <si>
    <t xml:space="preserve">lib293</t>
  </si>
  <si>
    <t xml:space="preserve">residual/indolent MPNST met</t>
  </si>
  <si>
    <t xml:space="preserve">lib444</t>
  </si>
  <si>
    <t xml:space="preserve">Corresponding PET showed NED</t>
  </si>
  <si>
    <t xml:space="preserve">lib314</t>
  </si>
  <si>
    <t xml:space="preserve">extensive previous and subsequent treatment</t>
  </si>
  <si>
    <t xml:space="preserve">stable subsequent disease</t>
  </si>
  <si>
    <t xml:space="preserve">lib315</t>
  </si>
  <si>
    <t xml:space="preserve">previous resection recurrence and progression</t>
  </si>
  <si>
    <t xml:space="preserve">rapidly progressed</t>
  </si>
  <si>
    <t xml:space="preserve">lib316</t>
  </si>
  <si>
    <t xml:space="preserve">multiple previous chemo, resection, xrt</t>
  </si>
  <si>
    <t xml:space="preserve">rapidly declined subsequently</t>
  </si>
  <si>
    <t xml:space="preserve">3/3/2021 Tempus</t>
  </si>
  <si>
    <t xml:space="preserve">lib321</t>
  </si>
  <si>
    <t xml:space="preserve">C2 epi/ifos</t>
  </si>
  <si>
    <t xml:space="preserve">rapidly progressive metastatic tumor</t>
  </si>
  <si>
    <t xml:space="preserve">lib333</t>
  </si>
  <si>
    <t xml:space="preserve">rapidly progressive local tumor</t>
  </si>
  <si>
    <t xml:space="preserve">Foundation One 4/1/2022</t>
  </si>
  <si>
    <t xml:space="preserve">lib334</t>
  </si>
  <si>
    <t xml:space="preserve">L4/L5 MPNST</t>
  </si>
  <si>
    <t xml:space="preserve">lib409</t>
  </si>
  <si>
    <t xml:space="preserve">Single Tumor and GIST</t>
  </si>
  <si>
    <t xml:space="preserve">lib410</t>
  </si>
  <si>
    <t xml:space="preserve">subsequent rapid progression</t>
  </si>
  <si>
    <t xml:space="preserve">10/5/2020 Tempus</t>
  </si>
  <si>
    <t xml:space="preserve">lib411</t>
  </si>
  <si>
    <t xml:space="preserve">previous XRT,substotal resection, XRT, subsequent sarcomatosis</t>
  </si>
  <si>
    <t xml:space="preserve">Foundation One</t>
  </si>
  <si>
    <t xml:space="preserve">lib412</t>
  </si>
  <si>
    <t xml:space="preserve">resected residual MPNST</t>
  </si>
  <si>
    <t xml:space="preserve">lib413</t>
  </si>
  <si>
    <t xml:space="preserve">later neoadjuvant rad, resection, chemo</t>
  </si>
  <si>
    <t xml:space="preserve">mositive margins, NED for 6 month, indeterminate 6 mm lesion as of 11/25/2021</t>
  </si>
  <si>
    <t xml:space="preserve">lib414</t>
  </si>
  <si>
    <t xml:space="preserve">previous subtotal resection</t>
  </si>
  <si>
    <t xml:space="preserve">lib417</t>
  </si>
  <si>
    <t xml:space="preserve">Concurrent annubp and mpnst</t>
  </si>
  <si>
    <t xml:space="preserve">lib418</t>
  </si>
  <si>
    <t xml:space="preserve">chemo,sgy</t>
  </si>
  <si>
    <t xml:space="preserve">subtotal tumor resection and C3 epi/ifos</t>
  </si>
  <si>
    <t xml:space="preserve">both annubp and mpnst resected</t>
  </si>
  <si>
    <t xml:space="preserve">lib419</t>
  </si>
  <si>
    <t xml:space="preserve">NED</t>
  </si>
  <si>
    <t xml:space="preserve">lib422</t>
  </si>
  <si>
    <t xml:space="preserve">lib432</t>
  </si>
  <si>
    <t xml:space="preserve">mpnst in psoas</t>
  </si>
  <si>
    <t xml:space="preserve">lib441</t>
  </si>
  <si>
    <t xml:space="preserve">Corresponding MRI showed NED</t>
  </si>
  <si>
    <t xml:space="preserve">lib307</t>
  </si>
  <si>
    <t xml:space="preserve">chemo,immuno</t>
  </si>
  <si>
    <t xml:space="preserve">C4 pembro/mdm2</t>
  </si>
  <si>
    <t xml:space="preserve">iliac soft tissue recurrence, indeterminate lung lesion</t>
  </si>
  <si>
    <t xml:space="preserve">lib445</t>
  </si>
  <si>
    <t xml:space="preserve">C5 pembro/mdm2</t>
  </si>
  <si>
    <t xml:space="preserve">iliac soft tissue recurrence, lung and liver lesion</t>
  </si>
  <si>
    <t xml:space="preserve">lib442</t>
  </si>
  <si>
    <t xml:space="preserve">immuno,rtx</t>
  </si>
  <si>
    <t xml:space="preserve">C5 pembro/mdm2, C6 ipi/nivo, SBRT to iliac</t>
  </si>
  <si>
    <t xml:space="preserve">lib443</t>
  </si>
  <si>
    <t xml:space="preserve">C5 pembro/mdm2, C6 ipi/nivo, SBRT to iliac, C10 nivo, undescribed rtx to ilium</t>
  </si>
  <si>
    <t xml:space="preserve">lib448</t>
  </si>
  <si>
    <t xml:space="preserve">lib449</t>
  </si>
  <si>
    <t xml:space="preserve">rtx,chemo,sgy</t>
  </si>
  <si>
    <t xml:space="preserve">C5 epi/ifos,concurren ifos/rtx,resection</t>
  </si>
  <si>
    <t xml:space="preserve">wide resection w/ negative margins</t>
  </si>
  <si>
    <t xml:space="preserve">lib452</t>
  </si>
  <si>
    <t xml:space="preserve">rtx,chemo</t>
  </si>
  <si>
    <t xml:space="preserve">C5 epi/ifos, 7000 gy total radiation</t>
  </si>
  <si>
    <t xml:space="preserve">indeterminate residual lesion to 18 month ned</t>
  </si>
  <si>
    <t xml:space="preserve">lib456</t>
  </si>
  <si>
    <t xml:space="preserve">C1 epi/ifos, C2 pexid/sirol, C2 SARC31</t>
  </si>
  <si>
    <t xml:space="preserve">metastatic progression</t>
  </si>
  <si>
    <t xml:space="preserve">lib457</t>
  </si>
  <si>
    <t xml:space="preserve">progression to presumed metastatic</t>
  </si>
  <si>
    <t xml:space="preserve">lib458</t>
  </si>
  <si>
    <t xml:space="preserve">lib463</t>
  </si>
  <si>
    <t xml:space="preserve">lib468</t>
  </si>
  <si>
    <t xml:space="preserve">indeterminate if mpnst or melanoma</t>
  </si>
  <si>
    <t xml:space="preserve">lib505</t>
  </si>
  <si>
    <t xml:space="preserve">new, seperate MPNST</t>
  </si>
  <si>
    <t xml:space="preserve">path_011_08_03_22</t>
  </si>
  <si>
    <t xml:space="preserve">lib506</t>
  </si>
  <si>
    <t xml:space="preserve">Inadequate margins. NED but w/i mm of margin</t>
  </si>
  <si>
    <t xml:space="preserve">path_011_04_15_22</t>
  </si>
  <si>
    <t xml:space="preserve">lib509</t>
  </si>
  <si>
    <t xml:space="preserve">left pulmonary metastasectomy</t>
  </si>
  <si>
    <t xml:space="preserve">Persistance of R pulmonary disease</t>
  </si>
  <si>
    <t xml:space="preserve">lib510</t>
  </si>
  <si>
    <t xml:space="preserve">lib511</t>
  </si>
  <si>
    <t xml:space="preserve">pexidartinib</t>
  </si>
  <si>
    <t xml:space="preserve">targeted</t>
  </si>
  <si>
    <t xml:space="preserve">CSF1R, cKiti</t>
  </si>
  <si>
    <t xml:space="preserve">Progression with multipple right sided pulmonary nodules and L hilar adenopathy increased, new rounded soft tissue nodule in the left chjest wall</t>
  </si>
  <si>
    <t xml:space="preserve">lib420</t>
  </si>
  <si>
    <t xml:space="preserve">subject</t>
  </si>
  <si>
    <t xml:space="preserve">specimen</t>
  </si>
  <si>
    <t xml:space="preserve">OLD_cohort</t>
  </si>
  <si>
    <t xml:space="preserve">MRN</t>
  </si>
  <si>
    <t xml:space="preserve">lib220</t>
  </si>
  <si>
    <t xml:space="preserve">JS0045</t>
  </si>
  <si>
    <t xml:space="preserve">lib222</t>
  </si>
  <si>
    <t xml:space="preserve">lib223</t>
  </si>
  <si>
    <t xml:space="preserve">lib103</t>
  </si>
  <si>
    <t xml:space="preserve">JS0053</t>
  </si>
  <si>
    <t xml:space="preserve">lib218</t>
  </si>
  <si>
    <t xml:space="preserve">lib235</t>
  </si>
  <si>
    <t xml:space="preserve">lib236</t>
  </si>
  <si>
    <t xml:space="preserve">lib213</t>
  </si>
  <si>
    <t xml:space="preserve">JS0105</t>
  </si>
  <si>
    <t xml:space="preserve">lib226</t>
  </si>
  <si>
    <t xml:space="preserve">lib228</t>
  </si>
  <si>
    <t xml:space="preserve">not on tx</t>
  </si>
  <si>
    <t xml:space="preserve">SI-19-7116</t>
  </si>
  <si>
    <t xml:space="preserve">normal</t>
  </si>
  <si>
    <t xml:space="preserve">lib237</t>
  </si>
  <si>
    <t xml:space="preserve">lib507</t>
  </si>
  <si>
    <t xml:space="preserve">SB-22-1929</t>
  </si>
  <si>
    <t xml:space="preserve">variably prominent/aberrant</t>
  </si>
  <si>
    <t xml:space="preserve">js105</t>
  </si>
  <si>
    <t xml:space="preserve">lib284</t>
  </si>
  <si>
    <t xml:space="preserve">lib285</t>
  </si>
  <si>
    <t xml:space="preserve">lib157</t>
  </si>
  <si>
    <t xml:space="preserve">neurofibroma with "atypia"</t>
  </si>
  <si>
    <t xml:space="preserve">lib170</t>
  </si>
  <si>
    <t xml:space="preserve">lib166</t>
  </si>
  <si>
    <t xml:space="preserve">ANNUBP, subsequently resected</t>
  </si>
  <si>
    <t xml:space="preserve">S19-25422</t>
  </si>
  <si>
    <t xml:space="preserve">lib167</t>
  </si>
  <si>
    <t xml:space="preserve">lib055</t>
  </si>
  <si>
    <t xml:space="preserve">JS0025</t>
  </si>
  <si>
    <t xml:space="preserve">lib210</t>
  </si>
  <si>
    <t xml:space="preserve">JS0107</t>
  </si>
  <si>
    <t xml:space="preserve">lib211</t>
  </si>
  <si>
    <t xml:space="preserve">lib212</t>
  </si>
  <si>
    <t xml:space="preserve">lib503</t>
  </si>
  <si>
    <t xml:space="preserve">lib215</t>
  </si>
  <si>
    <t xml:space="preserve">JS0023</t>
  </si>
  <si>
    <t xml:space="preserve">lib217</t>
  </si>
  <si>
    <t xml:space="preserve">JS0106</t>
  </si>
  <si>
    <t xml:space="preserve">lib233</t>
  </si>
  <si>
    <t xml:space="preserve">lib221</t>
  </si>
  <si>
    <t xml:space="preserve">JS0104</t>
  </si>
  <si>
    <t xml:space="preserve">lib224</t>
  </si>
  <si>
    <t xml:space="preserve">lib286</t>
  </si>
  <si>
    <t xml:space="preserve">lib515</t>
  </si>
  <si>
    <t xml:space="preserve">abemacicib 100 mg Q12</t>
  </si>
  <si>
    <t xml:space="preserve">lib309</t>
  </si>
  <si>
    <t xml:space="preserve">S20-31839</t>
  </si>
  <si>
    <t xml:space="preserve">lib450</t>
  </si>
  <si>
    <t xml:space="preserve">resection w positive margins</t>
  </si>
  <si>
    <t xml:space="preserve">ANNUBP, resected,NED</t>
  </si>
  <si>
    <t xml:space="preserve">S20-35161</t>
  </si>
  <si>
    <t xml:space="preserve">lib322</t>
  </si>
  <si>
    <t xml:space="preserve">lib323</t>
  </si>
  <si>
    <t xml:space="preserve">meki</t>
  </si>
  <si>
    <t xml:space="preserve">ongoing selum</t>
  </si>
  <si>
    <t xml:space="preserve">ANNUBP, conflicting path, retained</t>
  </si>
  <si>
    <t xml:space="preserve">S21-2539</t>
  </si>
  <si>
    <t xml:space="preserve">lib461</t>
  </si>
  <si>
    <t xml:space="preserve">lib331</t>
  </si>
  <si>
    <t xml:space="preserve">residual/marginal low-grade MPNST</t>
  </si>
  <si>
    <t xml:space="preserve">low grade MPNST</t>
  </si>
  <si>
    <t xml:space="preserve">W22-3807</t>
  </si>
  <si>
    <t xml:space="preserve">lib427</t>
  </si>
  <si>
    <t xml:space="preserve">residual/marginal low-grade MPNST +plexiform with atypia</t>
  </si>
  <si>
    <t xml:space="preserve">lib469</t>
  </si>
  <si>
    <t xml:space="preserve">ANNUBP, subsequently resected as low-grade</t>
  </si>
  <si>
    <t xml:space="preserve">S22-25808</t>
  </si>
  <si>
    <t xml:space="preserve">lib498</t>
  </si>
  <si>
    <t xml:space="preserve">lib500</t>
  </si>
  <si>
    <t xml:space="preserve">lib513</t>
  </si>
  <si>
    <t xml:space="preserve">lib297</t>
  </si>
  <si>
    <t xml:space="preserve">lib514</t>
  </si>
  <si>
    <t xml:space="preserve">mrn</t>
  </si>
  <si>
    <t xml:space="preserve">OLD_seq_file</t>
  </si>
  <si>
    <t xml:space="preserve">lib050</t>
  </si>
  <si>
    <t xml:space="preserve">selumetinib</t>
  </si>
  <si>
    <t xml:space="preserve">Cycle 6</t>
  </si>
  <si>
    <t xml:space="preserve">1_JS0003CD051517</t>
  </si>
  <si>
    <t xml:space="preserve">lib019</t>
  </si>
  <si>
    <t xml:space="preserve">Cycle 9</t>
  </si>
  <si>
    <t xml:space="preserve">2_JS0003CD072417</t>
  </si>
  <si>
    <t xml:space="preserve">lib036</t>
  </si>
  <si>
    <t xml:space="preserve">Cycle 20</t>
  </si>
  <si>
    <t xml:space="preserve">3_JS0003CD070218</t>
  </si>
  <si>
    <t xml:space="preserve">lib268</t>
  </si>
  <si>
    <t xml:space="preserve">Peg intron phase II</t>
  </si>
  <si>
    <t xml:space="preserve">lib041</t>
  </si>
  <si>
    <t xml:space="preserve">4_JS0006CD071618</t>
  </si>
  <si>
    <t xml:space="preserve">lib046</t>
  </si>
  <si>
    <t xml:space="preserve">Cycle 16</t>
  </si>
  <si>
    <t xml:space="preserve">6_JS0010CD111918</t>
  </si>
  <si>
    <t xml:space="preserve">lib027</t>
  </si>
  <si>
    <t xml:space="preserve">Cycle 52</t>
  </si>
  <si>
    <t xml:space="preserve">7_JS0022CD050118</t>
  </si>
  <si>
    <t xml:space="preserve">lib051</t>
  </si>
  <si>
    <t xml:space="preserve">13_JS0028CD111918</t>
  </si>
  <si>
    <t xml:space="preserve">lib016</t>
  </si>
  <si>
    <t xml:space="preserve">15_JS0032CD082918</t>
  </si>
  <si>
    <t xml:space="preserve">lib013</t>
  </si>
  <si>
    <t xml:space="preserve">16_JS0033CD080618</t>
  </si>
  <si>
    <t xml:space="preserve">lib048</t>
  </si>
  <si>
    <t xml:space="preserve">hx of pirfenidone (15 cycles, 2004-2006) and pegintron (12 months 2010-2011) </t>
  </si>
  <si>
    <t xml:space="preserve">17_JS0034CD080618</t>
  </si>
  <si>
    <t xml:space="preserve">lib052</t>
  </si>
  <si>
    <t xml:space="preserve">18_JS0036CD062718</t>
  </si>
  <si>
    <t xml:space="preserve">lib010</t>
  </si>
  <si>
    <t xml:space="preserve">Cycle 36</t>
  </si>
  <si>
    <t xml:space="preserve">19_JS0037CD062518</t>
  </si>
  <si>
    <t xml:space="preserve">lib003</t>
  </si>
  <si>
    <t xml:space="preserve">excision of L upper arm NF</t>
  </si>
  <si>
    <t xml:space="preserve">20_JS0039CD022818</t>
  </si>
  <si>
    <t xml:space="preserve">lib022</t>
  </si>
  <si>
    <t xml:space="preserve">Cycle 2</t>
  </si>
  <si>
    <t xml:space="preserve">22_JS0039CD062618_2</t>
  </si>
  <si>
    <t xml:space="preserve">lib045</t>
  </si>
  <si>
    <t xml:space="preserve">21_JS0039CD062618</t>
  </si>
  <si>
    <t xml:space="preserve">lib015</t>
  </si>
  <si>
    <t xml:space="preserve">Cycle 7</t>
  </si>
  <si>
    <t xml:space="preserve">23_JS0039CD101618</t>
  </si>
  <si>
    <t xml:space="preserve">lib008</t>
  </si>
  <si>
    <t xml:space="preserve">24_JS0040CD070218</t>
  </si>
  <si>
    <t xml:space="preserve">lib043</t>
  </si>
  <si>
    <t xml:space="preserve">25_JS0041CD062518</t>
  </si>
  <si>
    <t xml:space="preserve">lib014</t>
  </si>
  <si>
    <t xml:space="preserve">US right popliteal mass 16G fine need biopsy, 3 samples, manual pressure for hemostasis</t>
  </si>
  <si>
    <t xml:space="preserve">26_JS0042CD120717</t>
  </si>
  <si>
    <t xml:space="preserve">lib029</t>
  </si>
  <si>
    <t xml:space="preserve">27_JS0042CD053018</t>
  </si>
  <si>
    <t xml:space="preserve">lib034</t>
  </si>
  <si>
    <t xml:space="preserve">28_JS0043CD052418</t>
  </si>
  <si>
    <t xml:space="preserve">lib049</t>
  </si>
  <si>
    <t xml:space="preserve">29_JS0044CD112618</t>
  </si>
  <si>
    <t xml:space="preserve">lib047</t>
  </si>
  <si>
    <t xml:space="preserve">1. robotic-assisted laparoscopic excision of right pelvic neurofibroma 2. open excision of right inguinal neurofibroma</t>
  </si>
  <si>
    <t xml:space="preserve">30_JS0044CD112818</t>
  </si>
  <si>
    <t xml:space="preserve">lib011</t>
  </si>
  <si>
    <t xml:space="preserve">31_JS0046CD090618</t>
  </si>
  <si>
    <t xml:space="preserve">lib001</t>
  </si>
  <si>
    <t xml:space="preserve">32_JS0047CD112018</t>
  </si>
  <si>
    <t xml:space="preserve">lib025</t>
  </si>
  <si>
    <t xml:space="preserve">33_JS0048CD041717</t>
  </si>
  <si>
    <t xml:space="preserve">lib039</t>
  </si>
  <si>
    <t xml:space="preserve">34_JS0048CD102918</t>
  </si>
  <si>
    <t xml:space="preserve">lib280</t>
  </si>
  <si>
    <t xml:space="preserve">lib038</t>
  </si>
  <si>
    <t xml:space="preserve">35_JS0049CD061218</t>
  </si>
  <si>
    <t xml:space="preserve">lib031</t>
  </si>
  <si>
    <t xml:space="preserve">36_JS0050CD051517</t>
  </si>
  <si>
    <t xml:space="preserve">lib024</t>
  </si>
  <si>
    <t xml:space="preserve">37_JS0050CD112717</t>
  </si>
  <si>
    <t xml:space="preserve">lib026</t>
  </si>
  <si>
    <t xml:space="preserve">39_JS0050CD101518</t>
  </si>
  <si>
    <t xml:space="preserve">lib009</t>
  </si>
  <si>
    <t xml:space="preserve">38_JS0050CD050718</t>
  </si>
  <si>
    <t xml:space="preserve">lib053</t>
  </si>
  <si>
    <t xml:space="preserve">40_JS0051CD011618</t>
  </si>
  <si>
    <t xml:space="preserve">lib002</t>
  </si>
  <si>
    <t xml:space="preserve">41_JS0051CD052118</t>
  </si>
  <si>
    <t xml:space="preserve">lib030</t>
  </si>
  <si>
    <t xml:space="preserve">42_JS0052CD072417</t>
  </si>
  <si>
    <t xml:space="preserve">lib006</t>
  </si>
  <si>
    <t xml:space="preserve">44_JS0054CD050117</t>
  </si>
  <si>
    <t xml:space="preserve">lib020</t>
  </si>
  <si>
    <t xml:space="preserve">45_JS0054CD020618</t>
  </si>
  <si>
    <t xml:space="preserve">lib483</t>
  </si>
  <si>
    <t xml:space="preserve">NCI041_R1.fastq.gz</t>
  </si>
  <si>
    <t xml:space="preserve">SRA 7/27/21</t>
  </si>
  <si>
    <t xml:space="preserve">lib499</t>
  </si>
  <si>
    <t xml:space="preserve">NCI057_R1.fastq.gz</t>
  </si>
  <si>
    <t xml:space="preserve">SRA 2/24/20</t>
  </si>
  <si>
    <t xml:space="preserve">lib023</t>
  </si>
  <si>
    <t xml:space="preserve">46_JS0055CD040918</t>
  </si>
  <si>
    <t xml:space="preserve">lib040</t>
  </si>
  <si>
    <t xml:space="preserve">47_JS0055CD100118</t>
  </si>
  <si>
    <t xml:space="preserve">lib035</t>
  </si>
  <si>
    <t xml:space="preserve">Cycle 30</t>
  </si>
  <si>
    <t xml:space="preserve">1194 ml</t>
  </si>
  <si>
    <t xml:space="preserve">48_JS0056CD032818</t>
  </si>
  <si>
    <t xml:space="preserve">lib496</t>
  </si>
  <si>
    <t xml:space="preserve">Cycle 54</t>
  </si>
  <si>
    <t xml:space="preserve">NCI054_R1.fastq.gz</t>
  </si>
  <si>
    <t xml:space="preserve">TrCa 1/30/20</t>
  </si>
  <si>
    <t xml:space="preserve">lib497</t>
  </si>
  <si>
    <t xml:space="preserve">Cycle 78</t>
  </si>
  <si>
    <t xml:space="preserve">NCI055_R1.fastq.gz</t>
  </si>
  <si>
    <t xml:space="preserve">TrCa 7/19/22</t>
  </si>
  <si>
    <t xml:space="preserve">lib028</t>
  </si>
  <si>
    <t xml:space="preserve">49_JS0057CD052118</t>
  </si>
  <si>
    <t xml:space="preserve">lib032</t>
  </si>
  <si>
    <t xml:space="preserve">50_JS0058CD052418</t>
  </si>
  <si>
    <t xml:space="preserve">lib005</t>
  </si>
  <si>
    <t xml:space="preserve">51_JS0059CD052118</t>
  </si>
  <si>
    <t xml:space="preserve">lib042</t>
  </si>
  <si>
    <t xml:space="preserve">54_JS0061CD052318</t>
  </si>
  <si>
    <t xml:space="preserve">lib012</t>
  </si>
  <si>
    <t xml:space="preserve">55_JS0062CD061918</t>
  </si>
  <si>
    <t xml:space="preserve">lib044</t>
  </si>
  <si>
    <t xml:space="preserve">57_JS0065CD101916</t>
  </si>
  <si>
    <t xml:space="preserve">lib007</t>
  </si>
  <si>
    <t xml:space="preserve">58_JS0066CD111518</t>
  </si>
  <si>
    <t xml:space="preserve">lib054</t>
  </si>
  <si>
    <t xml:space="preserve">59_JS0067CD111918</t>
  </si>
  <si>
    <t xml:space="preserve">lib021</t>
  </si>
  <si>
    <t xml:space="preserve">60_JS0068CD030518</t>
  </si>
  <si>
    <t xml:space="preserve">lib017</t>
  </si>
  <si>
    <t xml:space="preserve">61_JS0069CD022618</t>
  </si>
  <si>
    <t xml:space="preserve">lib037</t>
  </si>
  <si>
    <t xml:space="preserve">62_JS0070CD030518</t>
  </si>
  <si>
    <t xml:space="preserve">lib004</t>
  </si>
  <si>
    <t xml:space="preserve">63_JS0071CD031518</t>
  </si>
  <si>
    <t xml:space="preserve">lib267</t>
  </si>
  <si>
    <t xml:space="preserve">lib504</t>
  </si>
  <si>
    <t xml:space="preserve">NCI062_R1.fastq.gz</t>
  </si>
  <si>
    <t xml:space="preserve">LG 9/13/22</t>
  </si>
  <si>
    <t xml:space="preserve">lib272</t>
  </si>
  <si>
    <t xml:space="preserve">lib274</t>
  </si>
  <si>
    <t xml:space="preserve">lib281</t>
  </si>
  <si>
    <t xml:space="preserve">lib279</t>
  </si>
  <si>
    <t xml:space="preserve">lib271</t>
  </si>
  <si>
    <t xml:space="preserve">lib273</t>
  </si>
  <si>
    <t xml:space="preserve">lib277</t>
  </si>
  <si>
    <t xml:space="preserve">lib512</t>
  </si>
  <si>
    <t xml:space="preserve">NCI070_R1.fastq.gz</t>
  </si>
  <si>
    <t xml:space="preserve">KO 10/23/17</t>
  </si>
  <si>
    <t xml:space="preserve">lib501</t>
  </si>
  <si>
    <t xml:space="preserve">NCI059_R1.fastq.gz</t>
  </si>
  <si>
    <t xml:space="preserve">RS 6/17/19</t>
  </si>
  <si>
    <t xml:space="preserve">lib275</t>
  </si>
  <si>
    <t xml:space="preserve">lib278</t>
  </si>
  <si>
    <t xml:space="preserve">lib508</t>
  </si>
  <si>
    <t xml:space="preserve">NCI066_R1.fastq.gz</t>
  </si>
  <si>
    <t xml:space="preserve">HK 3/8/22</t>
  </si>
  <si>
    <t xml:space="preserve">lib269</t>
  </si>
  <si>
    <t xml:space="preserve">lib238</t>
  </si>
  <si>
    <t xml:space="preserve">Soft tissue, right axilla, core biopsy 
     - Neurofibroma 
- No atypical or malignant findings</t>
  </si>
  <si>
    <t xml:space="preserve">lib239</t>
  </si>
  <si>
    <t xml:space="preserve">lib244</t>
  </si>
  <si>
    <t xml:space="preserve">5/5/2020 Soft tissue, right axilla, core biopsy 
     - Neurofibroma 
- No atypical or malignant findings</t>
  </si>
  <si>
    <t xml:space="preserve">lib294</t>
  </si>
  <si>
    <t xml:space="preserve">mirda</t>
  </si>
  <si>
    <t xml:space="preserve">C17D5</t>
  </si>
  <si>
    <t xml:space="preserve">multiple previous clinical trials rapamune talidomide selumetinib</t>
  </si>
  <si>
    <t xml:space="preserve">N/A</t>
  </si>
  <si>
    <t xml:space="preserve">9/7/2021 Neurofibroma biopsy</t>
  </si>
  <si>
    <t xml:space="preserve">lib130</t>
  </si>
  <si>
    <t xml:space="preserve">11/2017 Resected ANNUBP, </t>
  </si>
  <si>
    <t xml:space="preserve">lib295</t>
  </si>
  <si>
    <t xml:space="preserve">lib140</t>
  </si>
  <si>
    <t xml:space="preserve">none available</t>
  </si>
  <si>
    <t xml:space="preserve">lib145</t>
  </si>
  <si>
    <t xml:space="preserve">lib296</t>
  </si>
  <si>
    <t xml:space="preserve">lib178</t>
  </si>
  <si>
    <t xml:space="preserve">10/2017 neurofibroma</t>
  </si>
  <si>
    <t xml:space="preserve">lib298</t>
  </si>
  <si>
    <t xml:space="preserve">lib163</t>
  </si>
  <si>
    <t xml:space="preserve">lib299</t>
  </si>
  <si>
    <t xml:space="preserve">lib428</t>
  </si>
  <si>
    <t xml:space="preserve">C7D15</t>
  </si>
  <si>
    <t xml:space="preserve">two resections of annubp tumor interceding</t>
  </si>
  <si>
    <t xml:space="preserve">6/28/2019 ANNUBP,3/18/2022 neurofibroma w/ atyipia</t>
  </si>
  <si>
    <t xml:space="preserve">lib429</t>
  </si>
  <si>
    <t xml:space="preserve">lib122</t>
  </si>
  <si>
    <t xml:space="preserve">trame</t>
  </si>
  <si>
    <t xml:space="preserve">C11</t>
  </si>
  <si>
    <t xml:space="preserve">ongoing daily meki treatment, did not "end"</t>
  </si>
  <si>
    <t xml:space="preserve">lib128</t>
  </si>
  <si>
    <t xml:space="preserve">lib124</t>
  </si>
  <si>
    <t xml:space="preserve">C13</t>
  </si>
  <si>
    <t xml:space="preserve">lib131</t>
  </si>
  <si>
    <t xml:space="preserve">C8</t>
  </si>
  <si>
    <t xml:space="preserve">lib132</t>
  </si>
  <si>
    <t xml:space="preserve">lib300</t>
  </si>
  <si>
    <t xml:space="preserve">lib430</t>
  </si>
  <si>
    <t xml:space="preserve">year of trame treatment, no "cycles"</t>
  </si>
  <si>
    <t xml:space="preserve">lib431</t>
  </si>
  <si>
    <t xml:space="preserve">lib197</t>
  </si>
  <si>
    <t xml:space="preserve">4/10/2019 Resected ANNUBP</t>
  </si>
  <si>
    <t xml:space="preserve">lib174</t>
  </si>
  <si>
    <t xml:space="preserve">lib133</t>
  </si>
  <si>
    <t xml:space="preserve">multiple previous debulkings</t>
  </si>
  <si>
    <t xml:space="preserve">2017 neurofibroma</t>
  </si>
  <si>
    <t xml:space="preserve">lib139</t>
  </si>
  <si>
    <t xml:space="preserve">10/2019 neurofibroma</t>
  </si>
  <si>
    <t xml:space="preserve">lib155</t>
  </si>
  <si>
    <t xml:space="preserve">lib193</t>
  </si>
  <si>
    <t xml:space="preserve">lib136</t>
  </si>
  <si>
    <t xml:space="preserve">lib148</t>
  </si>
  <si>
    <t xml:space="preserve">lib206</t>
  </si>
  <si>
    <t xml:space="preserve">lib169</t>
  </si>
  <si>
    <t xml:space="preserve">lib301</t>
  </si>
  <si>
    <t xml:space="preserve">C17D15</t>
  </si>
  <si>
    <t xml:space="preserve">lib302</t>
  </si>
  <si>
    <t xml:space="preserve">lib192</t>
  </si>
  <si>
    <t xml:space="preserve">lib194</t>
  </si>
  <si>
    <t xml:space="preserve">11/22/2019 plexiform biopsy</t>
  </si>
  <si>
    <t xml:space="preserve">lib176</t>
  </si>
  <si>
    <t xml:space="preserve">11/4/2019 neurofibroma</t>
  </si>
  <si>
    <t xml:space="preserve">lib168</t>
  </si>
  <si>
    <t xml:space="preserve">lib303</t>
  </si>
  <si>
    <t xml:space="preserve">lib125</t>
  </si>
  <si>
    <t xml:space="preserve">11/22/2019 neurofibroma</t>
  </si>
  <si>
    <t xml:space="preserve">lib181</t>
  </si>
  <si>
    <t xml:space="preserve">11/25/2019 neurofibroma</t>
  </si>
  <si>
    <t xml:space="preserve">lib154</t>
  </si>
  <si>
    <t xml:space="preserve">lib134</t>
  </si>
  <si>
    <t xml:space="preserve">lib201</t>
  </si>
  <si>
    <t xml:space="preserve">lib162</t>
  </si>
  <si>
    <t xml:space="preserve">lib433</t>
  </si>
  <si>
    <t xml:space="preserve">C21D15</t>
  </si>
  <si>
    <t xml:space="preserve">lib434</t>
  </si>
  <si>
    <t xml:space="preserve">C23D15</t>
  </si>
  <si>
    <t xml:space="preserve">lib435</t>
  </si>
  <si>
    <t xml:space="preserve">C4D15</t>
  </si>
  <si>
    <t xml:space="preserve">lib304</t>
  </si>
  <si>
    <t xml:space="preserve">lib305</t>
  </si>
  <si>
    <t xml:space="preserve">lib195</t>
  </si>
  <si>
    <t xml:space="preserve">7/10/2020 neurofibroma</t>
  </si>
  <si>
    <t xml:space="preserve">lib242</t>
  </si>
  <si>
    <t xml:space="preserve">7/9/2021 neurofibroma</t>
  </si>
  <si>
    <t xml:space="preserve">lib241</t>
  </si>
  <si>
    <t xml:space="preserve">lib436</t>
  </si>
  <si>
    <t xml:space="preserve">lib437</t>
  </si>
  <si>
    <t xml:space="preserve">lib438</t>
  </si>
  <si>
    <t xml:space="preserve">C22D21</t>
  </si>
  <si>
    <t xml:space="preserve">lib439</t>
  </si>
  <si>
    <t xml:space="preserve">C28D15</t>
  </si>
  <si>
    <t xml:space="preserve">lib440</t>
  </si>
  <si>
    <t xml:space="preserve">lib306</t>
  </si>
  <si>
    <t xml:space="preserve">5/13/2020 neurofibroma</t>
  </si>
  <si>
    <t xml:space="preserve">lib308</t>
  </si>
  <si>
    <t xml:space="preserve">lib310</t>
  </si>
  <si>
    <t xml:space="preserve">lib311</t>
  </si>
  <si>
    <t xml:space="preserve">lib312</t>
  </si>
  <si>
    <t xml:space="preserve">10/16/2020 neurofibroma</t>
  </si>
  <si>
    <t xml:space="preserve">lib313</t>
  </si>
  <si>
    <t xml:space="preserve">bini</t>
  </si>
  <si>
    <t xml:space="preserve">unavailable</t>
  </si>
  <si>
    <t xml:space="preserve">ongoing daily meki treatment</t>
  </si>
  <si>
    <t xml:space="preserve">5/13/2020 ANNUBP (subsequently resected), 5/13/2020 plexiform</t>
  </si>
  <si>
    <t xml:space="preserve">lib453</t>
  </si>
  <si>
    <t xml:space="preserve">11/11/2022 neurofibroma</t>
  </si>
  <si>
    <t xml:space="preserve">lib454</t>
  </si>
  <si>
    <t xml:space="preserve">lib455</t>
  </si>
  <si>
    <t xml:space="preserve">lib320</t>
  </si>
  <si>
    <t xml:space="preserve">Previous MPNST Dx &gt;10 years NED</t>
  </si>
  <si>
    <t xml:space="preserve">9/3/2019 neurofibroma</t>
  </si>
  <si>
    <t xml:space="preserve">lib317</t>
  </si>
  <si>
    <t xml:space="preserve">lib318</t>
  </si>
  <si>
    <t xml:space="preserve">11/9/2021 neurofibroma</t>
  </si>
  <si>
    <t xml:space="preserve">lib319</t>
  </si>
  <si>
    <t xml:space="preserve">10/21/2021 neurofibroma</t>
  </si>
  <si>
    <t xml:space="preserve">lib460</t>
  </si>
  <si>
    <t xml:space="preserve">lib324</t>
  </si>
  <si>
    <t xml:space="preserve">lib335</t>
  </si>
  <si>
    <t xml:space="preserve">11/30/2021 neurofibroma</t>
  </si>
  <si>
    <t xml:space="preserve">lib464</t>
  </si>
  <si>
    <t xml:space="preserve">Previous GIST, 1&gt; NED</t>
  </si>
  <si>
    <t xml:space="preserve">lib327</t>
  </si>
  <si>
    <t xml:space="preserve">12/21/2021 neurofibroma</t>
  </si>
  <si>
    <t xml:space="preserve">lib328</t>
  </si>
  <si>
    <t xml:space="preserve">2/17/2022 neurofibroma</t>
  </si>
  <si>
    <t xml:space="preserve">lib329</t>
  </si>
  <si>
    <t xml:space="preserve">4/5/2022 plexiform neurofibroma</t>
  </si>
  <si>
    <t xml:space="preserve">lib330</t>
  </si>
  <si>
    <t xml:space="preserve">selum</t>
  </si>
  <si>
    <t xml:space="preserve">4/8/2022 neurofibroma</t>
  </si>
  <si>
    <t xml:space="preserve">lib332</t>
  </si>
  <si>
    <t xml:space="preserve">2/13/20220 plexiform</t>
  </si>
  <si>
    <t xml:space="preserve">lib471</t>
  </si>
  <si>
    <t xml:space="preserve">lib287</t>
  </si>
  <si>
    <t xml:space="preserve">lib150</t>
  </si>
  <si>
    <t xml:space="preserve">nci0042</t>
  </si>
  <si>
    <t xml:space="preserve">nci0043</t>
  </si>
  <si>
    <t xml:space="preserve">nci0044</t>
  </si>
  <si>
    <t xml:space="preserve">nci0045</t>
  </si>
  <si>
    <t xml:space="preserve">nci0046</t>
  </si>
  <si>
    <t xml:space="preserve">nci0047</t>
  </si>
  <si>
    <t xml:space="preserve">nci0048</t>
  </si>
  <si>
    <t xml:space="preserve">nci0049</t>
  </si>
  <si>
    <t xml:space="preserve">nci0050</t>
  </si>
  <si>
    <t xml:space="preserve">nci0051</t>
  </si>
  <si>
    <t xml:space="preserve">nci0052</t>
  </si>
  <si>
    <t xml:space="preserve">nci0053</t>
  </si>
  <si>
    <t xml:space="preserve">nf1</t>
  </si>
  <si>
    <t xml:space="preserve">WUSTL_649</t>
  </si>
  <si>
    <t xml:space="preserve">nf649</t>
  </si>
  <si>
    <t xml:space="preserve">nf1.681</t>
  </si>
  <si>
    <t xml:space="preserve">GIST</t>
  </si>
  <si>
    <t xml:space="preserve">nf1690</t>
  </si>
  <si>
    <t xml:space="preserve">nf715</t>
  </si>
  <si>
    <t xml:space="preserve">lib270</t>
  </si>
  <si>
    <t xml:space="preserve">NCI020</t>
  </si>
  <si>
    <t xml:space="preserve">date_dx</t>
  </si>
  <si>
    <t xml:space="preserve">initial_stage</t>
  </si>
  <si>
    <t xml:space="preserve">JHBiospec</t>
  </si>
  <si>
    <t xml:space="preserve">2-055</t>
  </si>
  <si>
    <t xml:space="preserve">Nhx-Omics</t>
  </si>
  <si>
    <t xml:space="preserve">HeKr_JS0105</t>
  </si>
  <si>
    <t xml:space="preserve">L SCAPULA</t>
  </si>
  <si>
    <t xml:space="preserve">IsLe</t>
  </si>
  <si>
    <t xml:space="preserve">sp</t>
  </si>
  <si>
    <t xml:space="preserve">Left Trigenimal Nerve</t>
  </si>
  <si>
    <t xml:space="preserve">Yes</t>
  </si>
  <si>
    <t xml:space="preserve">Unknown</t>
  </si>
  <si>
    <t xml:space="preserve">L Neck</t>
  </si>
  <si>
    <t xml:space="preserve">R1</t>
  </si>
  <si>
    <t xml:space="preserve">SARC031</t>
  </si>
  <si>
    <t xml:space="preserve">R0</t>
  </si>
  <si>
    <t xml:space="preserve">L Psoas</t>
  </si>
  <si>
    <t xml:space="preserve">L Lower Quadrant</t>
  </si>
  <si>
    <t xml:space="preserve">No</t>
  </si>
  <si>
    <t xml:space="preserve">UNK/UNK/2012</t>
  </si>
  <si>
    <t xml:space="preserve">Left Lung</t>
  </si>
  <si>
    <t xml:space="preserve">L Shoulder</t>
  </si>
  <si>
    <t xml:space="preserve">2/UNK/2019</t>
  </si>
  <si>
    <t xml:space="preserve">Stomach</t>
  </si>
  <si>
    <t xml:space="preserve">R2</t>
  </si>
  <si>
    <t xml:space="preserve">5/UNK/2019</t>
  </si>
  <si>
    <t xml:space="preserve">7/UNK/2019</t>
  </si>
  <si>
    <t xml:space="preserve">Thoracic</t>
  </si>
  <si>
    <t xml:space="preserve">R Foot</t>
  </si>
  <si>
    <t xml:space="preserve">Mediastinum Encasing Aorta</t>
  </si>
  <si>
    <t xml:space="preserve">3/UNK/2019</t>
  </si>
  <si>
    <t xml:space="preserve">Right Thigh</t>
  </si>
  <si>
    <t xml:space="preserve">NCI012</t>
  </si>
  <si>
    <t xml:space="preserve">JS0108</t>
  </si>
  <si>
    <t xml:space="preserve">12/UNK/2018</t>
  </si>
  <si>
    <t xml:space="preserve">Bilateral Lung Metastatic Nodules (Primary previously Resected with R0)</t>
  </si>
  <si>
    <t xml:space="preserve">UN/UNK/2012</t>
  </si>
  <si>
    <t xml:space="preserve">UN/JUN/2016</t>
  </si>
  <si>
    <t xml:space="preserve">RIGHT SCAPULA</t>
  </si>
  <si>
    <t xml:space="preserve">RT RETROPERITONEAL </t>
  </si>
  <si>
    <t xml:space="preserve">RIGHT BUTTOCK/SCIATIC NERVE</t>
  </si>
  <si>
    <t xml:space="preserve">TaCo</t>
  </si>
  <si>
    <t xml:space="preserve">R THIGH</t>
  </si>
  <si>
    <t xml:space="preserve">LEFT LOWER EXTREMITY (KNEE TO FOOT)</t>
  </si>
  <si>
    <t xml:space="preserve">nf</t>
  </si>
  <si>
    <t xml:space="preserve">L parapharygeal</t>
  </si>
  <si>
    <t xml:space="preserve">PaDo</t>
  </si>
  <si>
    <t xml:space="preserve">Righ masticator and paraphryngeal space</t>
  </si>
  <si>
    <t xml:space="preserve">INFRATEMPORAL FOSSA</t>
  </si>
  <si>
    <t xml:space="preserve">LEFT AXILLARY</t>
  </si>
  <si>
    <t xml:space="preserve">L2 Spine</t>
  </si>
  <si>
    <t xml:space="preserve">RIGHT POSTERIOR MEDIASTINUM</t>
  </si>
  <si>
    <t xml:space="preserve">UNK/UNK/2017</t>
  </si>
  <si>
    <t xml:space="preserve">Right Ilium</t>
  </si>
  <si>
    <t xml:space="preserve">Left Gluteal</t>
  </si>
  <si>
    <t xml:space="preserve">Right Retroperitoneum</t>
  </si>
  <si>
    <t xml:space="preserve">048-010 (WUSTL 627)</t>
  </si>
  <si>
    <t xml:space="preserve">RIGHT HIP</t>
  </si>
  <si>
    <t xml:space="preserve">9/UNK/2016</t>
  </si>
  <si>
    <t xml:space="preserve">10/UNK/2017</t>
  </si>
  <si>
    <t xml:space="preserve">Right Hip</t>
  </si>
  <si>
    <t xml:space="preserve">Left Hemiabdomen</t>
  </si>
  <si>
    <t xml:space="preserve">L Retroperitoneum</t>
  </si>
  <si>
    <t xml:space="preserve">L4 Spine</t>
  </si>
  <si>
    <t xml:space="preserve">Right Brachial Plexus</t>
  </si>
  <si>
    <t xml:space="preserve">Posterior Mediastinal</t>
  </si>
  <si>
    <t xml:space="preserve">Left Retroperitoneum</t>
  </si>
  <si>
    <t xml:space="preserve">Medial middle cranial fossa </t>
  </si>
  <si>
    <t xml:space="preserve">Left Posterior Thigh</t>
  </si>
  <si>
    <t xml:space="preserve">Right Psoas</t>
  </si>
  <si>
    <t xml:space="preserve">L3-L4 Spine</t>
  </si>
  <si>
    <t xml:space="preserve">Right Abdomen</t>
  </si>
</sst>
</file>

<file path=xl/styles.xml><?xml version="1.0" encoding="utf-8"?>
<styleSheet xmlns="http://schemas.openxmlformats.org/spreadsheetml/2006/main">
  <numFmts count="10">
    <numFmt numFmtId="164" formatCode="General"/>
    <numFmt numFmtId="165" formatCode="m/d/yyyy"/>
    <numFmt numFmtId="166" formatCode="General"/>
    <numFmt numFmtId="167" formatCode="@"/>
    <numFmt numFmtId="168" formatCode="0.0"/>
    <numFmt numFmtId="169" formatCode="0%"/>
    <numFmt numFmtId="170" formatCode="d\-mmm"/>
    <numFmt numFmtId="171" formatCode="0.00%"/>
    <numFmt numFmtId="172" formatCode="mm/dd/yy;@"/>
    <numFmt numFmtId="173" formatCode="m/d/yy;@"/>
  </numFmts>
  <fonts count="23">
    <font>
      <sz val="11"/>
      <color rgb="FF000000"/>
      <name val="Calibri"/>
      <family val="2"/>
      <charset val="1"/>
    </font>
    <font>
      <sz val="10"/>
      <name val="Arial"/>
      <family val="0"/>
    </font>
    <font>
      <sz val="10"/>
      <name val="Arial"/>
      <family val="0"/>
    </font>
    <font>
      <sz val="10"/>
      <name val="Arial"/>
      <family val="0"/>
    </font>
    <font>
      <sz val="12"/>
      <color rgb="FF000000"/>
      <name val="Calibri"/>
      <family val="2"/>
      <charset val="1"/>
    </font>
    <font>
      <b val="true"/>
      <sz val="16"/>
      <color rgb="FF000000"/>
      <name val="Calibri"/>
      <family val="2"/>
      <charset val="1"/>
    </font>
    <font>
      <u val="single"/>
      <sz val="14"/>
      <color rgb="FF000000"/>
      <name val="Calibri"/>
      <family val="2"/>
      <charset val="1"/>
    </font>
    <font>
      <sz val="11"/>
      <color rgb="FF000000"/>
      <name val="Calibri"/>
      <family val="0"/>
      <charset val="1"/>
    </font>
    <font>
      <u val="single"/>
      <sz val="11"/>
      <color rgb="FF000000"/>
      <name val="Calibri"/>
      <family val="0"/>
      <charset val="1"/>
    </font>
    <font>
      <u val="single"/>
      <sz val="11"/>
      <color rgb="FF0563C1"/>
      <name val="Calibri"/>
      <family val="2"/>
      <charset val="1"/>
    </font>
    <font>
      <u val="single"/>
      <sz val="16"/>
      <color rgb="FF000000"/>
      <name val="Calibri"/>
      <family val="2"/>
      <charset val="1"/>
    </font>
    <font>
      <b val="true"/>
      <u val="single"/>
      <sz val="11"/>
      <color rgb="FF000000"/>
      <name val="Calibri"/>
      <family val="2"/>
      <charset val="1"/>
    </font>
    <font>
      <sz val="10"/>
      <color rgb="FF000000"/>
      <name val="Calibri"/>
      <family val="0"/>
      <charset val="1"/>
    </font>
    <font>
      <sz val="10"/>
      <color rgb="FF0A0101"/>
      <name val="Arial"/>
      <family val="0"/>
      <charset val="1"/>
    </font>
    <font>
      <sz val="10"/>
      <color rgb="FF000000"/>
      <name val="Arial"/>
      <family val="0"/>
      <charset val="1"/>
    </font>
    <font>
      <sz val="12"/>
      <color rgb="FF000000"/>
      <name val="Arial"/>
      <family val="0"/>
      <charset val="1"/>
    </font>
    <font>
      <sz val="12"/>
      <color rgb="FF000000"/>
      <name val="Arial"/>
      <family val="2"/>
      <charset val="1"/>
    </font>
    <font>
      <sz val="10"/>
      <color rgb="FF000000"/>
      <name val="Arial"/>
      <family val="2"/>
      <charset val="1"/>
    </font>
    <font>
      <sz val="10"/>
      <color rgb="FF0A0101"/>
      <name val="Arial"/>
      <family val="2"/>
      <charset val="1"/>
    </font>
    <font>
      <sz val="11"/>
      <color rgb="FF444444"/>
      <name val="Calibri"/>
      <family val="2"/>
      <charset val="1"/>
    </font>
    <font>
      <sz val="8"/>
      <color rgb="FF000000"/>
      <name val="Arial"/>
      <family val="0"/>
      <charset val="1"/>
    </font>
    <font>
      <sz val="11"/>
      <name val="Calibri"/>
      <family val="2"/>
      <charset val="1"/>
    </font>
    <font>
      <sz val="12"/>
      <name val="Calibri"/>
      <family val="2"/>
      <charset val="1"/>
    </font>
  </fonts>
  <fills count="21">
    <fill>
      <patternFill patternType="none"/>
    </fill>
    <fill>
      <patternFill patternType="gray125"/>
    </fill>
    <fill>
      <patternFill patternType="solid">
        <fgColor rgb="FFD9D9D9"/>
        <bgColor rgb="FFD9E1F2"/>
      </patternFill>
    </fill>
    <fill>
      <patternFill patternType="solid">
        <fgColor rgb="FFFFFF00"/>
        <bgColor rgb="FFFFFF00"/>
      </patternFill>
    </fill>
    <fill>
      <patternFill patternType="solid">
        <fgColor rgb="FFFF0000"/>
        <bgColor rgb="FF9C0006"/>
      </patternFill>
    </fill>
    <fill>
      <patternFill patternType="solid">
        <fgColor rgb="FFF2F2F2"/>
        <bgColor rgb="FFE2EFDA"/>
      </patternFill>
    </fill>
    <fill>
      <patternFill patternType="solid">
        <fgColor rgb="FFDEE6EF"/>
        <bgColor rgb="FFDDEBF7"/>
      </patternFill>
    </fill>
    <fill>
      <patternFill patternType="solid">
        <fgColor rgb="FFDDEBF7"/>
        <bgColor rgb="FFDEE6EF"/>
      </patternFill>
    </fill>
    <fill>
      <patternFill patternType="solid">
        <fgColor rgb="FFE2EFDA"/>
        <bgColor rgb="FFDDE8CB"/>
      </patternFill>
    </fill>
    <fill>
      <patternFill patternType="solid">
        <fgColor rgb="FFD9E1F2"/>
        <bgColor rgb="FFDEE6EF"/>
      </patternFill>
    </fill>
    <fill>
      <patternFill patternType="solid">
        <fgColor rgb="FFFFBF00"/>
        <bgColor rgb="FFFFC000"/>
      </patternFill>
    </fill>
    <fill>
      <patternFill patternType="solid">
        <fgColor rgb="FFDDE8CB"/>
        <bgColor rgb="FFE2EFDA"/>
      </patternFill>
    </fill>
    <fill>
      <patternFill patternType="solid">
        <fgColor rgb="FFFFFFFF"/>
        <bgColor rgb="FFF2F2F2"/>
      </patternFill>
    </fill>
    <fill>
      <patternFill patternType="solid">
        <fgColor rgb="FFF39B7F"/>
        <bgColor rgb="FFFF99CC"/>
      </patternFill>
    </fill>
    <fill>
      <patternFill patternType="solid">
        <fgColor rgb="FF808080"/>
        <bgColor rgb="FF969696"/>
      </patternFill>
    </fill>
    <fill>
      <patternFill patternType="solid">
        <fgColor rgb="FF00A087"/>
        <bgColor rgb="FF008080"/>
      </patternFill>
    </fill>
    <fill>
      <patternFill patternType="solid">
        <fgColor rgb="FFE64B35"/>
        <bgColor rgb="FF993366"/>
      </patternFill>
    </fill>
    <fill>
      <patternFill patternType="solid">
        <fgColor rgb="FF4DBBDF"/>
        <bgColor rgb="FF99CCFF"/>
      </patternFill>
    </fill>
    <fill>
      <patternFill patternType="solid">
        <fgColor rgb="FF3C5488"/>
        <bgColor rgb="FF444444"/>
      </patternFill>
    </fill>
    <fill>
      <patternFill patternType="solid">
        <fgColor rgb="FF92D050"/>
        <bgColor rgb="FF969696"/>
      </patternFill>
    </fill>
    <fill>
      <patternFill patternType="solid">
        <fgColor rgb="FFFFC000"/>
        <bgColor rgb="FFFFBF00"/>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0" xfId="2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3" borderId="0" xfId="0" applyFont="true" applyBorder="true" applyAlignment="tru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left" vertical="top"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4" fontId="0" fillId="4" borderId="0" xfId="0" applyFont="true" applyBorder="true" applyAlignment="true" applyProtection="false">
      <alignment horizontal="general" vertical="bottom" textRotation="0" wrapText="false" indent="0" shrinkToFit="false"/>
      <protection locked="true" hidden="false"/>
    </xf>
    <xf numFmtId="164" fontId="0" fillId="4" borderId="0" xfId="0" applyFont="true" applyBorder="true" applyAlignment="true" applyProtection="false">
      <alignment horizontal="left" vertical="top"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top" textRotation="0" wrapText="false" indent="0" shrinkToFit="false"/>
      <protection locked="true" hidden="false"/>
    </xf>
    <xf numFmtId="164" fontId="0" fillId="5"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12" fillId="7"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4"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6" fontId="0" fillId="8"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6" fontId="0" fillId="11"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0" fillId="11"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5" fontId="0" fillId="11"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4" fontId="14" fillId="10" borderId="0" xfId="0" applyFont="true" applyBorder="false" applyAlignment="false" applyProtection="false">
      <alignment horizontal="general" vertical="bottom" textRotation="0" wrapText="false" indent="0" shrinkToFit="false"/>
      <protection locked="true" hidden="false"/>
    </xf>
    <xf numFmtId="164" fontId="14" fillId="8" borderId="0" xfId="0" applyFont="true" applyBorder="false" applyAlignment="false" applyProtection="false">
      <alignment horizontal="general" vertical="bottom" textRotation="0" wrapText="false" indent="0" shrinkToFit="false"/>
      <protection locked="true" hidden="false"/>
    </xf>
    <xf numFmtId="165" fontId="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5" fillId="12" borderId="0" xfId="0" applyFont="true" applyBorder="true" applyAlignment="true" applyProtection="false">
      <alignment horizontal="general" vertical="bottom" textRotation="0" wrapText="false" indent="0" shrinkToFit="false"/>
      <protection locked="true" hidden="false"/>
    </xf>
    <xf numFmtId="164" fontId="15" fillId="12" borderId="0" xfId="0" applyFont="true" applyBorder="true" applyAlignment="true" applyProtection="false">
      <alignment horizontal="general" vertical="bottom"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0"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0" fillId="18"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9" fontId="0"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5" fillId="0" borderId="0" xfId="21"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7" fontId="0"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general" vertical="bottom" textRotation="0" wrapText="true" indent="0" shrinkToFit="false"/>
      <protection locked="true" hidden="false"/>
    </xf>
    <xf numFmtId="169" fontId="0" fillId="3" borderId="0" xfId="0" applyFont="false" applyBorder="false" applyAlignment="true" applyProtection="false">
      <alignment horizontal="left" vertical="center" textRotation="0" wrapText="false" indent="0" shrinkToFit="false"/>
      <protection locked="true" hidden="false"/>
    </xf>
    <xf numFmtId="170" fontId="0" fillId="3" borderId="0" xfId="0" applyFont="true" applyBorder="true" applyAlignment="true" applyProtection="false">
      <alignment horizontal="general" vertical="bottom" textRotation="0" wrapText="false" indent="0" shrinkToFit="false"/>
      <protection locked="true" hidden="false"/>
    </xf>
    <xf numFmtId="169" fontId="0" fillId="3" borderId="0" xfId="0" applyFont="true" applyBorder="true" applyAlignment="true" applyProtection="false">
      <alignment horizontal="left"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9" fontId="0" fillId="3" borderId="0" xfId="0" applyFont="false" applyBorder="false" applyAlignment="true" applyProtection="false">
      <alignment horizontal="left" vertical="bottom" textRotation="0" wrapText="false" indent="0" shrinkToFit="false"/>
      <protection locked="true" hidden="false"/>
    </xf>
    <xf numFmtId="169" fontId="0" fillId="3" borderId="0" xfId="0" applyFont="true" applyBorder="true" applyAlignment="true" applyProtection="false">
      <alignment horizontal="general" vertical="bottom" textRotation="0" wrapText="false" indent="0" shrinkToFit="false"/>
      <protection locked="true" hidden="false"/>
    </xf>
    <xf numFmtId="165" fontId="0" fillId="3" borderId="0" xfId="0" applyFont="true" applyBorder="true" applyAlignment="true" applyProtection="false">
      <alignment horizontal="general" vertical="bottom" textRotation="0" wrapText="false" indent="0" shrinkToFit="false"/>
      <protection locked="true" hidden="false"/>
    </xf>
    <xf numFmtId="165" fontId="7" fillId="3" borderId="0" xfId="0" applyFont="true" applyBorder="true" applyAlignment="true" applyProtection="false">
      <alignment horizontal="general" vertical="bottom" textRotation="0" wrapText="false" indent="0" shrinkToFit="false"/>
      <protection locked="true" hidden="false"/>
    </xf>
    <xf numFmtId="167" fontId="0" fillId="3"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false" applyBorder="false" applyAlignment="true" applyProtection="false">
      <alignment horizontal="left"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xf numFmtId="164" fontId="0" fillId="9" borderId="0" xfId="0" applyFont="true" applyBorder="false" applyAlignment="true" applyProtection="false">
      <alignment horizontal="left" vertical="bottom" textRotation="0" wrapText="false" indent="0" shrinkToFit="false"/>
      <protection locked="true" hidden="false"/>
    </xf>
    <xf numFmtId="164" fontId="0" fillId="8"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9" borderId="0" xfId="0" applyFont="true" applyBorder="true" applyAlignment="true" applyProtection="false">
      <alignment horizontal="left"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6" fontId="19" fillId="8" borderId="0" xfId="0" applyFont="tru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6" fontId="0" fillId="8"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0" fillId="8" borderId="0" xfId="0" applyFont="true" applyBorder="true" applyAlignment="false" applyProtection="false">
      <alignment horizontal="general" vertical="bottom" textRotation="0" wrapText="false" indent="0" shrinkToFit="false"/>
      <protection locked="true" hidden="false"/>
    </xf>
    <xf numFmtId="165" fontId="0" fillId="8" borderId="0" xfId="0" applyFont="false" applyBorder="true" applyAlignment="fals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center" vertical="bottom" textRotation="0" wrapText="false" indent="0" shrinkToFit="false"/>
      <protection locked="true" hidden="false"/>
    </xf>
    <xf numFmtId="164" fontId="0" fillId="19" borderId="0" xfId="0" applyFont="true" applyBorder="false" applyAlignment="true" applyProtection="false">
      <alignment horizontal="center" vertical="bottom" textRotation="0" wrapText="false" indent="0" shrinkToFit="false"/>
      <protection locked="true" hidden="false"/>
    </xf>
    <xf numFmtId="165" fontId="0" fillId="19"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5" fontId="0" fillId="3" borderId="0"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true" applyAlignment="false" applyProtection="false">
      <alignment horizontal="general" vertical="bottom" textRotation="0" wrapText="false" indent="0" shrinkToFit="false"/>
      <protection locked="true" hidden="false"/>
    </xf>
    <xf numFmtId="165" fontId="16" fillId="0" borderId="0"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true" applyAlignment="true" applyProtection="false">
      <alignment horizontal="center"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6" fontId="0" fillId="9" borderId="0" xfId="0" applyFont="false" applyBorder="false" applyAlignment="false" applyProtection="false">
      <alignment horizontal="general" vertical="bottom" textRotation="0" wrapText="false" indent="0" shrinkToFit="false"/>
      <protection locked="true" hidden="false"/>
    </xf>
    <xf numFmtId="164" fontId="0" fillId="20" borderId="0" xfId="0" applyFont="false" applyBorder="true" applyAlignment="false" applyProtection="false">
      <alignment horizontal="general" vertical="bottom" textRotation="0" wrapText="false" indent="0" shrinkToFit="false"/>
      <protection locked="true" hidden="false"/>
    </xf>
    <xf numFmtId="164" fontId="15" fillId="12" borderId="0" xfId="21" applyFont="true" applyBorder="true" applyAlignment="true" applyProtection="false">
      <alignment horizontal="center" vertical="center" textRotation="0" wrapText="false" indent="0" shrinkToFit="false"/>
      <protection locked="true" hidden="false"/>
    </xf>
    <xf numFmtId="164" fontId="15" fillId="12" borderId="0" xfId="21" applyFont="true" applyBorder="true" applyAlignment="true" applyProtection="false">
      <alignment horizontal="center" vertical="center" textRotation="0" wrapText="true" indent="0" shrinkToFit="false"/>
      <protection locked="true" hidden="false"/>
    </xf>
    <xf numFmtId="164" fontId="19" fillId="2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true" applyProtection="true">
      <alignment horizontal="center" vertical="bottom" textRotation="0" wrapText="false" indent="0" shrinkToFit="false"/>
      <protection locked="fals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5" fontId="21" fillId="0" borderId="0" xfId="0" applyFont="true" applyBorder="true" applyAlignment="true" applyProtection="false">
      <alignment horizontal="general" vertical="bottom" textRotation="0" wrapText="false" indent="0" shrinkToFit="false"/>
      <protection locked="true" hidden="false"/>
    </xf>
    <xf numFmtId="165" fontId="0" fillId="20" borderId="0"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false" hidden="false"/>
    </xf>
    <xf numFmtId="165" fontId="0" fillId="0" borderId="1" xfId="0" applyFont="false" applyBorder="true" applyAlignment="true" applyProtection="true">
      <alignment horizontal="center" vertical="bottom" textRotation="0" wrapText="false" indent="0" shrinkToFit="false"/>
      <protection locked="false" hidden="false"/>
    </xf>
    <xf numFmtId="165" fontId="0" fillId="0" borderId="0" xfId="0" applyFont="false" applyBorder="false" applyAlignment="true" applyProtection="false">
      <alignment horizontal="left" vertical="top" textRotation="0" wrapText="false" indent="0" shrinkToFit="false"/>
      <protection locked="true" hidden="false"/>
    </xf>
    <xf numFmtId="165" fontId="22" fillId="12" borderId="0" xfId="0" applyFont="true" applyBorder="false" applyAlignment="true" applyProtection="false">
      <alignment horizontal="general" vertical="bottom" textRotation="0" wrapText="true" indent="0" shrinkToFit="false"/>
      <protection locked="true" hidden="false"/>
    </xf>
    <xf numFmtId="165" fontId="22" fillId="12" borderId="1" xfId="0" applyFont="true" applyBorder="true" applyAlignment="true" applyProtection="false">
      <alignment horizontal="general" vertical="bottom" textRotation="0" wrapText="true" indent="0" shrinkToFit="false"/>
      <protection locked="true" hidden="false"/>
    </xf>
    <xf numFmtId="165" fontId="22" fillId="12" borderId="0" xfId="0" applyFont="true" applyBorder="tru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true" applyProtection="false">
      <alignment horizontal="center" vertical="bottom" textRotation="0" wrapText="false" indent="0" shrinkToFit="false"/>
      <protection locked="true" hidden="false"/>
    </xf>
    <xf numFmtId="164" fontId="0" fillId="12" borderId="0" xfId="0" applyFont="false" applyBorder="true" applyAlignment="false" applyProtection="false">
      <alignment horizontal="general" vertical="bottom" textRotation="0" wrapText="false" indent="0" shrinkToFit="false"/>
      <protection locked="true" hidden="false"/>
    </xf>
    <xf numFmtId="165" fontId="4" fillId="0" borderId="0" xfId="0" applyFont="true" applyBorder="true" applyAlignment="tru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true" applyAlignment="true" applyProtection="false">
      <alignment horizontal="center" vertical="center" textRotation="0" wrapText="false" indent="0" shrinkToFit="false"/>
      <protection locked="true" hidden="false"/>
    </xf>
    <xf numFmtId="164" fontId="16" fillId="12" borderId="0" xfId="0" applyFont="true" applyBorder="true" applyAlignment="true" applyProtection="false">
      <alignment horizontal="center" vertical="center" textRotation="0" wrapText="false" indent="0" shrinkToFit="false"/>
      <protection locked="true" hidden="false"/>
    </xf>
    <xf numFmtId="164" fontId="19" fillId="12" borderId="0" xfId="0" applyFont="true" applyBorder="true" applyAlignment="true" applyProtection="false">
      <alignment horizontal="center" vertical="center" textRotation="0" wrapText="false" indent="0" shrinkToFit="false"/>
      <protection locked="true" hidden="false"/>
    </xf>
    <xf numFmtId="164" fontId="0" fillId="12" borderId="0" xfId="0" applyFont="false" applyBorder="false" applyAlignment="true" applyProtection="false">
      <alignment horizontal="center" vertical="top" textRotation="0" wrapText="false" indent="0" shrinkToFit="false"/>
      <protection locked="true" hidden="false"/>
    </xf>
    <xf numFmtId="164" fontId="0" fillId="12" borderId="0" xfId="0" applyFont="false" applyBorder="false" applyAlignment="true" applyProtection="false">
      <alignment horizontal="center" vertical="center"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32">
    <dxf>
      <fill>
        <patternFill patternType="solid">
          <fgColor rgb="00FFFFFF"/>
        </patternFill>
      </fill>
    </dxf>
    <dxf>
      <fill>
        <patternFill patternType="solid">
          <fgColor rgb="FF3D3D3D"/>
          <bgColor rgb="FFFFFFFF"/>
        </patternFill>
      </fill>
    </dxf>
    <dxf>
      <font>
        <name val="Calibri"/>
        <charset val="1"/>
        <family val="2"/>
        <color rgb="FF9C0006"/>
        <sz val="11"/>
      </font>
      <fill>
        <patternFill>
          <bgColor rgb="FFFFC7CE"/>
        </patternFill>
      </fill>
    </dxf>
    <dxf>
      <fill>
        <patternFill patternType="solid">
          <fgColor rgb="FFDDEBF7"/>
        </patternFill>
      </fill>
    </dxf>
    <dxf>
      <fill>
        <patternFill patternType="solid">
          <fgColor rgb="FFE2EFDA"/>
        </patternFill>
      </fill>
    </dxf>
    <dxf>
      <fill>
        <patternFill patternType="solid">
          <fgColor rgb="FFFFFF00"/>
        </patternFill>
      </fill>
    </dxf>
    <dxf>
      <fill>
        <patternFill patternType="solid">
          <fgColor rgb="FF0A0101"/>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ill>
        <patternFill patternType="solid">
          <fgColor rgb="FFDEE6EF"/>
        </patternFill>
      </fill>
    </dxf>
    <dxf>
      <fill>
        <patternFill patternType="solid">
          <fgColor rgb="FFFFC7CE"/>
        </patternFill>
      </fill>
    </dxf>
    <dxf>
      <fill>
        <patternFill patternType="solid">
          <fgColor rgb="FF9C0006"/>
        </patternFill>
      </fill>
    </dxf>
    <dxf>
      <fill>
        <patternFill patternType="solid">
          <fgColor rgb="FFD9E1F2"/>
        </patternFill>
      </fill>
    </dxf>
    <dxf>
      <fill>
        <patternFill patternType="solid">
          <fgColor rgb="FFFFBF00"/>
        </patternFill>
      </fill>
    </dxf>
    <dxf>
      <fill>
        <patternFill patternType="solid">
          <fgColor rgb="FFFF0000"/>
        </patternFill>
      </fill>
    </dxf>
    <dxf>
      <fill>
        <patternFill patternType="solid">
          <fgColor rgb="FFDDE8CB"/>
        </patternFill>
      </fill>
    </dxf>
    <dxf>
      <font>
        <name val="Calibri"/>
        <charset val="1"/>
        <family val="2"/>
        <color rgb="FF9C0006"/>
        <sz val="11"/>
      </font>
      <fill>
        <patternFill>
          <bgColor rgb="FFFFC7CE"/>
        </patternFill>
      </fill>
    </dxf>
    <dxf>
      <fill>
        <patternFill patternType="solid">
          <fgColor rgb="FFFFFFFF"/>
        </patternFill>
      </fill>
    </dxf>
    <dxf>
      <fill>
        <patternFill patternType="solid">
          <fgColor rgb="FF444444"/>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ill>
        <patternFill patternType="solid">
          <fgColor rgb="FF92D050"/>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ont>
        <name val="Calibri"/>
        <charset val="1"/>
        <family val="2"/>
        <color rgb="FF9C0006"/>
        <sz val="11"/>
      </font>
      <fill>
        <patternFill>
          <bgColor rgb="FFFF0000"/>
        </patternFill>
      </fill>
    </dxf>
    <dxf>
      <font>
        <name val="Calibri"/>
        <charset val="1"/>
        <family val="2"/>
        <color rgb="FF9C0006"/>
        <sz val="11"/>
      </font>
      <fill>
        <patternFill>
          <bgColor rgb="FFFFC7CE"/>
        </patternFill>
      </fill>
    </dxf>
    <dxf>
      <font>
        <name val="Calibri"/>
        <charset val="1"/>
        <family val="2"/>
        <color rgb="FF9C0006"/>
        <sz val="11"/>
      </font>
      <fill>
        <patternFill>
          <bgColor rgb="FFFFC7CE"/>
        </patternFill>
      </fill>
    </dxf>
    <dxf>
      <fill>
        <patternFill patternType="solid">
          <fgColor rgb="FFFFC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A087"/>
      <rgbColor rgb="FFD9E1F2"/>
      <rgbColor rgb="FF808080"/>
      <rgbColor rgb="FF9999FF"/>
      <rgbColor rgb="FF993366"/>
      <rgbColor rgb="FFF2F2F2"/>
      <rgbColor rgb="FFDDEBF7"/>
      <rgbColor rgb="FF660066"/>
      <rgbColor rgb="FFF39B7F"/>
      <rgbColor rgb="FF0563C1"/>
      <rgbColor rgb="FFD9D9D9"/>
      <rgbColor rgb="FF000080"/>
      <rgbColor rgb="FFFF00FF"/>
      <rgbColor rgb="FFFFFF00"/>
      <rgbColor rgb="FF00FFFF"/>
      <rgbColor rgb="FF800080"/>
      <rgbColor rgb="FF800000"/>
      <rgbColor rgb="FF008080"/>
      <rgbColor rgb="FF0000FF"/>
      <rgbColor rgb="FF00CCFF"/>
      <rgbColor rgb="FFDEE6EF"/>
      <rgbColor rgb="FFE2EFDA"/>
      <rgbColor rgb="FFDDE8CB"/>
      <rgbColor rgb="FF99CCFF"/>
      <rgbColor rgb="FFFF99CC"/>
      <rgbColor rgb="FFCC99FF"/>
      <rgbColor rgb="FFFFC7CE"/>
      <rgbColor rgb="FF3366FF"/>
      <rgbColor rgb="FF4DBBDF"/>
      <rgbColor rgb="FF92D050"/>
      <rgbColor rgb="FFFFC000"/>
      <rgbColor rgb="FFFFBF00"/>
      <rgbColor rgb="FFE64B35"/>
      <rgbColor rgb="FF666699"/>
      <rgbColor rgb="FF969696"/>
      <rgbColor rgb="FF003366"/>
      <rgbColor rgb="FF339966"/>
      <rgbColor rgb="FF0A0101"/>
      <rgbColor rgb="FF333300"/>
      <rgbColor rgb="FF993300"/>
      <rgbColor rgb="FF993366"/>
      <rgbColor rgb="FF3C5488"/>
      <rgbColor rgb="FF444444"/>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mail.google.com/mail/u/0/" TargetMode="Externa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hyperlink" Target="https://raw.githubusercontent.com/Boyle-Lab/Blacklist/master/lists/hg38-blacklist.v2.bed.gz" TargetMode="External"/><Relationship Id="rId2" Type="http://schemas.openxmlformats.org/officeDocument/2006/relationships/hyperlink" Target="https://ftp.ncbi.nlm.nih.gov/genomes/all/GCA/000/001/405/GCA_000001405.15_GRCh38/seqs_for_alignment_pipelines.ucsc_ids/GCA_000001405.15_GRCh38_no_alt_analysis_set.fna.gz" TargetMode="External"/><Relationship Id="rId3" Type="http://schemas.openxmlformats.org/officeDocument/2006/relationships/hyperlink" Target="https://hgdownload.cse.ucsc.edu/goldenpath/hg38/bigZips/hg38.chrom.sizes" TargetMode="Externa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9.xml"/><Relationship Id="rId3" Type="http://schemas.openxmlformats.org/officeDocument/2006/relationships/vmlDrawing" Target="../drawings/vmlDrawing4.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5.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0.xml"/><Relationship Id="rId3" Type="http://schemas.openxmlformats.org/officeDocument/2006/relationships/vmlDrawing" Target="../drawings/vmlDrawing6.vml"/>
</Relationships>
</file>

<file path=xl/worksheets/_rels/sheet19.xml.rels><?xml version="1.0" encoding="UTF-8"?>
<Relationships xmlns="http://schemas.openxmlformats.org/package/2006/relationships"><Relationship Id="rId1" Type="http://schemas.openxmlformats.org/officeDocument/2006/relationships/drawing" Target="../drawings/drawing11.x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7.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12.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selection pane="topLeft" activeCell="F5" activeCellId="0" sqref="F5"/>
    </sheetView>
  </sheetViews>
  <sheetFormatPr defaultColWidth="8.78515625" defaultRowHeight="13.8" zeroHeight="false" outlineLevelRow="0" outlineLevelCol="0"/>
  <cols>
    <col collapsed="false" customWidth="true" hidden="false" outlineLevel="0" max="1" min="1" style="0" width="8.57"/>
    <col collapsed="false" customWidth="true" hidden="false" outlineLevel="0" max="2" min="2" style="0" width="84.57"/>
    <col collapsed="false" customWidth="true" hidden="false" outlineLevel="0" max="3" min="3" style="0" width="8.57"/>
  </cols>
  <sheetData>
    <row r="1" customFormat="false" ht="35.25" hidden="false" customHeight="true" outlineLevel="0" collapsed="false">
      <c r="A1" s="1"/>
      <c r="B1" s="1"/>
      <c r="C1" s="1"/>
    </row>
    <row r="2" customFormat="false" ht="19.7" hidden="false" customHeight="false" outlineLevel="0" collapsed="false">
      <c r="A2" s="1"/>
      <c r="B2" s="2" t="s">
        <v>0</v>
      </c>
      <c r="C2" s="1"/>
    </row>
    <row r="3" customFormat="false" ht="13.8" hidden="false" customHeight="false" outlineLevel="0" collapsed="false">
      <c r="A3" s="1"/>
      <c r="C3" s="1"/>
    </row>
    <row r="4" customFormat="false" ht="17.35" hidden="false" customHeight="false" outlineLevel="0" collapsed="false">
      <c r="A4" s="1"/>
      <c r="B4" s="3" t="s">
        <v>1</v>
      </c>
      <c r="C4" s="1"/>
    </row>
    <row r="5" customFormat="false" ht="123.75" hidden="false" customHeight="true" outlineLevel="0" collapsed="false">
      <c r="A5" s="1"/>
      <c r="B5" s="4" t="s">
        <v>2</v>
      </c>
      <c r="C5" s="1"/>
    </row>
    <row r="6" customFormat="false" ht="90.75" hidden="false" customHeight="true" outlineLevel="0" collapsed="false">
      <c r="A6" s="1"/>
      <c r="B6" s="4" t="s">
        <v>3</v>
      </c>
      <c r="C6" s="1"/>
      <c r="D6" s="5"/>
    </row>
    <row r="7" customFormat="false" ht="13.8" hidden="false" customHeight="false" outlineLevel="0" collapsed="false">
      <c r="A7" s="1"/>
      <c r="C7" s="1"/>
    </row>
    <row r="8" customFormat="false" ht="17.35" hidden="false" customHeight="false" outlineLevel="0" collapsed="false">
      <c r="A8" s="1"/>
      <c r="B8" s="3" t="s">
        <v>4</v>
      </c>
      <c r="C8" s="1"/>
    </row>
    <row r="9" customFormat="false" ht="13.8" hidden="false" customHeight="false" outlineLevel="0" collapsed="false">
      <c r="A9" s="1"/>
      <c r="B9" s="0" t="s">
        <v>5</v>
      </c>
      <c r="C9" s="1"/>
    </row>
    <row r="10" customFormat="false" ht="13.8" hidden="false" customHeight="false" outlineLevel="0" collapsed="false">
      <c r="A10" s="1"/>
      <c r="B10" s="0" t="s">
        <v>6</v>
      </c>
      <c r="C10" s="1"/>
    </row>
    <row r="11" customFormat="false" ht="13.8" hidden="false" customHeight="false" outlineLevel="0" collapsed="false">
      <c r="A11" s="1"/>
      <c r="B11" s="0" t="s">
        <v>7</v>
      </c>
      <c r="C11" s="1"/>
    </row>
    <row r="12" customFormat="false" ht="13.8" hidden="false" customHeight="false" outlineLevel="0" collapsed="false">
      <c r="A12" s="1"/>
      <c r="B12" s="0" t="s">
        <v>8</v>
      </c>
      <c r="C12" s="1"/>
    </row>
    <row r="13" customFormat="false" ht="13.8" hidden="false" customHeight="false" outlineLevel="0" collapsed="false">
      <c r="A13" s="1"/>
      <c r="C13" s="1"/>
    </row>
    <row r="14" customFormat="false" ht="19.7" hidden="false" customHeight="false" outlineLevel="0" collapsed="false">
      <c r="A14" s="1"/>
      <c r="B14" s="6" t="s">
        <v>9</v>
      </c>
      <c r="C14" s="1"/>
    </row>
    <row r="15" customFormat="false" ht="23.85" hidden="false" customHeight="false" outlineLevel="0" collapsed="false">
      <c r="A15" s="1"/>
      <c r="B15" s="7" t="s">
        <v>10</v>
      </c>
      <c r="C15" s="1"/>
    </row>
    <row r="16" customFormat="false" ht="35.05" hidden="false" customHeight="false" outlineLevel="0" collapsed="false">
      <c r="A16" s="1"/>
      <c r="B16" s="4" t="s">
        <v>11</v>
      </c>
      <c r="C16" s="1"/>
    </row>
    <row r="17" customFormat="false" ht="13.8" hidden="false" customHeight="false" outlineLevel="0" collapsed="false">
      <c r="A17" s="1"/>
      <c r="C17" s="1"/>
    </row>
    <row r="18" customFormat="false" ht="19.7" hidden="false" customHeight="false" outlineLevel="0" collapsed="false">
      <c r="A18" s="1"/>
      <c r="B18" s="6" t="s">
        <v>12</v>
      </c>
      <c r="C18" s="1"/>
    </row>
    <row r="19" customFormat="false" ht="13.8" hidden="false" customHeight="false" outlineLevel="0" collapsed="false">
      <c r="A19" s="1"/>
      <c r="C19" s="1"/>
    </row>
    <row r="20" customFormat="false" ht="13.8" hidden="false" customHeight="false" outlineLevel="0" collapsed="false">
      <c r="A20" s="1"/>
      <c r="B20" s="0" t="s">
        <v>13</v>
      </c>
      <c r="C20" s="1"/>
    </row>
    <row r="21" customFormat="false" ht="13.8" hidden="false" customHeight="false" outlineLevel="0" collapsed="false">
      <c r="A21" s="1"/>
      <c r="B21" s="0" t="s">
        <v>14</v>
      </c>
      <c r="C21" s="1"/>
    </row>
    <row r="22" customFormat="false" ht="13.8" hidden="false" customHeight="false" outlineLevel="0" collapsed="false">
      <c r="A22" s="1"/>
      <c r="C22" s="1"/>
    </row>
    <row r="23" customFormat="false" ht="13.8" hidden="false" customHeight="false" outlineLevel="0" collapsed="false">
      <c r="A23" s="1"/>
      <c r="B23" s="0" t="s">
        <v>15</v>
      </c>
      <c r="C23" s="1"/>
    </row>
    <row r="24" customFormat="false" ht="13.8" hidden="false" customHeight="false" outlineLevel="0" collapsed="false">
      <c r="A24" s="1"/>
      <c r="B24" s="0" t="s">
        <v>16</v>
      </c>
      <c r="C24" s="1"/>
    </row>
    <row r="25" customFormat="false" ht="13.8" hidden="false" customHeight="false" outlineLevel="0" collapsed="false">
      <c r="A25" s="1"/>
      <c r="C25" s="1"/>
    </row>
    <row r="26" customFormat="false" ht="13.8" hidden="false" customHeight="false" outlineLevel="0" collapsed="false">
      <c r="A26" s="1"/>
      <c r="B26" s="0" t="s">
        <v>17</v>
      </c>
      <c r="C26" s="1"/>
    </row>
    <row r="27" customFormat="false" ht="13.8" hidden="false" customHeight="false" outlineLevel="0" collapsed="false">
      <c r="A27" s="1"/>
      <c r="B27" s="0" t="s">
        <v>18</v>
      </c>
      <c r="C27" s="1"/>
    </row>
    <row r="28" customFormat="false" ht="13.8" hidden="false" customHeight="false" outlineLevel="0" collapsed="false">
      <c r="A28" s="1"/>
      <c r="C28" s="1"/>
    </row>
    <row r="29" customFormat="false" ht="13.8" hidden="false" customHeight="false" outlineLevel="0" collapsed="false">
      <c r="A29" s="1"/>
      <c r="B29" s="0" t="s">
        <v>19</v>
      </c>
      <c r="C29" s="1"/>
    </row>
    <row r="30" customFormat="false" ht="13.8" hidden="false" customHeight="false" outlineLevel="0" collapsed="false">
      <c r="A30" s="1"/>
      <c r="B30" s="0" t="s">
        <v>20</v>
      </c>
      <c r="C30" s="1"/>
    </row>
    <row r="31" customFormat="false" ht="13.8" hidden="false" customHeight="false" outlineLevel="0" collapsed="false">
      <c r="A31" s="1"/>
      <c r="C31" s="1"/>
    </row>
    <row r="32" customFormat="false" ht="13.8" hidden="false" customHeight="false" outlineLevel="0" collapsed="false">
      <c r="A32" s="1"/>
      <c r="B32" s="0" t="s">
        <v>21</v>
      </c>
      <c r="C32" s="1"/>
    </row>
    <row r="33" customFormat="false" ht="13.8" hidden="false" customHeight="false" outlineLevel="0" collapsed="false">
      <c r="A33" s="1"/>
      <c r="B33" s="0" t="s">
        <v>22</v>
      </c>
      <c r="C33" s="1"/>
    </row>
    <row r="34" customFormat="false" ht="13.8" hidden="false" customHeight="false" outlineLevel="0" collapsed="false">
      <c r="A34" s="1"/>
      <c r="C34" s="1"/>
    </row>
    <row r="35" customFormat="false" ht="39" hidden="false" customHeight="true" outlineLevel="0" collapsed="false">
      <c r="A35" s="1"/>
      <c r="B35" s="1"/>
      <c r="C35"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5" activePane="bottomLeft" state="frozen"/>
      <selection pane="topLeft" activeCell="A1" activeCellId="0" sqref="A1"/>
      <selection pane="bottomLeft" activeCell="A68" activeCellId="0" sqref="A68"/>
    </sheetView>
  </sheetViews>
  <sheetFormatPr defaultColWidth="9.13671875" defaultRowHeight="13.8" zeroHeight="false" outlineLevelRow="0" outlineLevelCol="0"/>
  <cols>
    <col collapsed="false" customWidth="true" hidden="false" outlineLevel="0" max="1" min="1" style="8" width="28.98"/>
    <col collapsed="false" customWidth="true" hidden="false" outlineLevel="0" max="2" min="2" style="8" width="7.57"/>
    <col collapsed="false" customWidth="true" hidden="false" outlineLevel="0" max="3" min="3" style="8" width="10.71"/>
    <col collapsed="false" customWidth="true" hidden="false" outlineLevel="0" max="4" min="4" style="8" width="38.29"/>
    <col collapsed="false" customWidth="true" hidden="false" outlineLevel="0" max="5" min="5" style="9" width="109.14"/>
    <col collapsed="false" customWidth="true" hidden="false" outlineLevel="0" max="6" min="6" style="8" width="58"/>
    <col collapsed="false" customWidth="true" hidden="false" outlineLevel="0" max="7" min="7" style="8" width="27.58"/>
    <col collapsed="false" customWidth="true" hidden="false" outlineLevel="0" max="8" min="8" style="0" width="8.67"/>
    <col collapsed="false" customWidth="false" hidden="false" outlineLevel="0" max="1024" min="9" style="8" width="9.13"/>
  </cols>
  <sheetData>
    <row r="1" s="8" customFormat="true" ht="13.8" hidden="false" customHeight="false" outlineLevel="0" collapsed="false">
      <c r="A1" s="10" t="s">
        <v>23</v>
      </c>
      <c r="B1" s="10" t="s">
        <v>24</v>
      </c>
      <c r="C1" s="10" t="s">
        <v>25</v>
      </c>
      <c r="D1" s="10" t="s">
        <v>26</v>
      </c>
      <c r="E1" s="11" t="s">
        <v>27</v>
      </c>
      <c r="F1" s="10" t="s">
        <v>28</v>
      </c>
      <c r="G1" s="10" t="s">
        <v>29</v>
      </c>
      <c r="I1" s="10"/>
      <c r="J1" s="10"/>
      <c r="K1" s="10"/>
      <c r="L1" s="10"/>
    </row>
    <row r="2" customFormat="false" ht="13.8" hidden="false" customHeight="false" outlineLevel="0" collapsed="false">
      <c r="A2" s="10" t="s">
        <v>30</v>
      </c>
      <c r="B2" s="10" t="s">
        <v>31</v>
      </c>
      <c r="C2" s="10" t="s">
        <v>32</v>
      </c>
      <c r="D2" s="10" t="s">
        <v>33</v>
      </c>
      <c r="E2" s="11" t="s">
        <v>34</v>
      </c>
      <c r="F2" s="8" t="s">
        <v>35</v>
      </c>
      <c r="G2" s="10" t="s">
        <v>36</v>
      </c>
      <c r="I2" s="10"/>
      <c r="J2" s="10"/>
      <c r="K2" s="10"/>
      <c r="L2" s="10"/>
    </row>
    <row r="3" s="8" customFormat="true" ht="13.8" hidden="false" customHeight="false" outlineLevel="0" collapsed="false">
      <c r="A3" s="10" t="s">
        <v>37</v>
      </c>
      <c r="B3" s="10" t="s">
        <v>31</v>
      </c>
      <c r="C3" s="10" t="s">
        <v>38</v>
      </c>
      <c r="D3" s="10" t="s">
        <v>39</v>
      </c>
      <c r="E3" s="9" t="s">
        <v>40</v>
      </c>
      <c r="F3" s="10" t="s">
        <v>41</v>
      </c>
      <c r="G3" s="10" t="s">
        <v>36</v>
      </c>
      <c r="I3" s="10"/>
      <c r="J3" s="10"/>
      <c r="K3" s="10"/>
      <c r="L3" s="10"/>
    </row>
    <row r="4" customFormat="false" ht="13.8" hidden="false" customHeight="false" outlineLevel="0" collapsed="false">
      <c r="A4" s="10" t="s">
        <v>42</v>
      </c>
      <c r="B4" s="10" t="s">
        <v>31</v>
      </c>
      <c r="C4" s="10" t="s">
        <v>32</v>
      </c>
      <c r="D4" s="10" t="s">
        <v>43</v>
      </c>
      <c r="F4" s="10"/>
      <c r="G4" s="10" t="s">
        <v>36</v>
      </c>
      <c r="H4" s="8"/>
      <c r="I4" s="10"/>
      <c r="J4" s="10"/>
      <c r="K4" s="10"/>
      <c r="L4" s="10"/>
    </row>
    <row r="5" s="8" customFormat="true" ht="40.5" hidden="false" customHeight="true" outlineLevel="0" collapsed="false">
      <c r="A5" s="10" t="s">
        <v>44</v>
      </c>
      <c r="B5" s="10" t="s">
        <v>31</v>
      </c>
      <c r="C5" s="10" t="s">
        <v>45</v>
      </c>
      <c r="D5" s="10" t="s">
        <v>46</v>
      </c>
      <c r="E5" s="9" t="s">
        <v>47</v>
      </c>
      <c r="F5" s="8" t="s">
        <v>48</v>
      </c>
      <c r="G5" s="10" t="s">
        <v>36</v>
      </c>
      <c r="I5" s="10"/>
      <c r="J5" s="10"/>
      <c r="K5" s="10"/>
      <c r="L5" s="10"/>
    </row>
    <row r="6" s="8" customFormat="true" ht="35.05" hidden="false" customHeight="false" outlineLevel="0" collapsed="false">
      <c r="A6" s="10" t="s">
        <v>49</v>
      </c>
      <c r="B6" s="10" t="s">
        <v>31</v>
      </c>
      <c r="C6" s="10" t="s">
        <v>32</v>
      </c>
      <c r="D6" s="10" t="s">
        <v>50</v>
      </c>
      <c r="E6" s="12" t="s">
        <v>51</v>
      </c>
      <c r="F6" s="10"/>
      <c r="G6" s="10" t="s">
        <v>36</v>
      </c>
      <c r="I6" s="10"/>
      <c r="J6" s="10"/>
      <c r="K6" s="10"/>
      <c r="L6" s="10"/>
    </row>
    <row r="7" s="8" customFormat="true" ht="13.8" hidden="false" customHeight="false" outlineLevel="0" collapsed="false">
      <c r="A7" s="10" t="s">
        <v>52</v>
      </c>
      <c r="B7" s="10" t="s">
        <v>31</v>
      </c>
      <c r="C7" s="10" t="s">
        <v>53</v>
      </c>
      <c r="D7" s="10" t="s">
        <v>54</v>
      </c>
      <c r="E7" s="11" t="s">
        <v>55</v>
      </c>
      <c r="F7" s="10" t="s">
        <v>56</v>
      </c>
      <c r="G7" s="10" t="s">
        <v>36</v>
      </c>
      <c r="I7" s="10"/>
      <c r="J7" s="10"/>
      <c r="K7" s="10"/>
      <c r="L7" s="10"/>
    </row>
    <row r="8" s="8" customFormat="true" ht="13.8" hidden="false" customHeight="false" outlineLevel="0" collapsed="false">
      <c r="A8" s="10" t="s">
        <v>57</v>
      </c>
      <c r="B8" s="10" t="s">
        <v>31</v>
      </c>
      <c r="C8" s="10" t="s">
        <v>32</v>
      </c>
      <c r="D8" s="10" t="s">
        <v>58</v>
      </c>
      <c r="E8" s="11" t="s">
        <v>59</v>
      </c>
      <c r="F8" s="10" t="s">
        <v>60</v>
      </c>
      <c r="G8" s="10" t="s">
        <v>36</v>
      </c>
      <c r="I8" s="10"/>
      <c r="J8" s="10"/>
      <c r="K8" s="10"/>
      <c r="L8" s="10"/>
    </row>
    <row r="9" s="8" customFormat="true" ht="13.8" hidden="false" customHeight="false" outlineLevel="0" collapsed="false">
      <c r="A9" s="10" t="s">
        <v>61</v>
      </c>
      <c r="B9" s="10" t="s">
        <v>31</v>
      </c>
      <c r="C9" s="10" t="s">
        <v>45</v>
      </c>
      <c r="D9" s="10" t="s">
        <v>62</v>
      </c>
      <c r="E9" s="9" t="s">
        <v>63</v>
      </c>
      <c r="F9" s="10" t="s">
        <v>64</v>
      </c>
      <c r="G9" s="10" t="s">
        <v>36</v>
      </c>
      <c r="I9" s="10"/>
      <c r="J9" s="10"/>
      <c r="K9" s="10"/>
      <c r="L9" s="10"/>
    </row>
    <row r="10" s="8" customFormat="true" ht="13.8" hidden="false" customHeight="false" outlineLevel="0" collapsed="false">
      <c r="A10" s="10" t="s">
        <v>65</v>
      </c>
      <c r="B10" s="10" t="s">
        <v>31</v>
      </c>
      <c r="C10" s="10" t="s">
        <v>32</v>
      </c>
      <c r="D10" s="10" t="s">
        <v>66</v>
      </c>
      <c r="E10" s="11" t="s">
        <v>67</v>
      </c>
      <c r="F10" s="10" t="s">
        <v>68</v>
      </c>
      <c r="G10" s="10" t="s">
        <v>36</v>
      </c>
      <c r="I10" s="10"/>
      <c r="J10" s="10"/>
      <c r="K10" s="10"/>
      <c r="L10" s="10"/>
    </row>
    <row r="11" s="8" customFormat="true" ht="13.8" hidden="false" customHeight="false" outlineLevel="0" collapsed="false">
      <c r="A11" s="8" t="s">
        <v>69</v>
      </c>
      <c r="B11" s="8" t="s">
        <v>31</v>
      </c>
      <c r="C11" s="8" t="s">
        <v>70</v>
      </c>
      <c r="D11" s="8" t="s">
        <v>71</v>
      </c>
      <c r="E11" s="9" t="s">
        <v>72</v>
      </c>
      <c r="F11" s="8" t="s">
        <v>73</v>
      </c>
    </row>
    <row r="12" s="8" customFormat="true" ht="13.8" hidden="false" customHeight="false" outlineLevel="0" collapsed="false">
      <c r="A12" s="8" t="s">
        <v>74</v>
      </c>
      <c r="B12" s="8" t="s">
        <v>31</v>
      </c>
      <c r="C12" s="8" t="s">
        <v>32</v>
      </c>
      <c r="D12" s="8" t="s">
        <v>75</v>
      </c>
      <c r="E12" s="11" t="s">
        <v>76</v>
      </c>
      <c r="F12" s="10" t="s">
        <v>77</v>
      </c>
      <c r="G12" s="8" t="s">
        <v>36</v>
      </c>
    </row>
    <row r="13" s="8" customFormat="true" ht="84.75" hidden="false" customHeight="true" outlineLevel="0" collapsed="false">
      <c r="A13" s="10" t="s">
        <v>78</v>
      </c>
      <c r="B13" s="10" t="s">
        <v>31</v>
      </c>
      <c r="C13" s="10" t="s">
        <v>32</v>
      </c>
      <c r="D13" s="10" t="s">
        <v>79</v>
      </c>
      <c r="E13" s="11" t="s">
        <v>80</v>
      </c>
      <c r="F13" s="10" t="s">
        <v>81</v>
      </c>
      <c r="G13" s="10"/>
      <c r="I13" s="10"/>
      <c r="J13" s="10"/>
      <c r="K13" s="10"/>
      <c r="L13" s="10"/>
    </row>
    <row r="14" s="8" customFormat="true" ht="57.45" hidden="false" customHeight="false" outlineLevel="0" collapsed="false">
      <c r="A14" s="10" t="s">
        <v>82</v>
      </c>
      <c r="B14" s="10" t="s">
        <v>31</v>
      </c>
      <c r="C14" s="10" t="s">
        <v>32</v>
      </c>
      <c r="D14" s="10" t="s">
        <v>83</v>
      </c>
      <c r="E14" s="12" t="s">
        <v>84</v>
      </c>
      <c r="F14" s="10"/>
      <c r="G14" s="10"/>
      <c r="I14" s="10"/>
      <c r="J14" s="10"/>
      <c r="K14" s="10"/>
      <c r="L14" s="10"/>
    </row>
    <row r="15" s="8" customFormat="true" ht="13.8" hidden="false" customHeight="false" outlineLevel="0" collapsed="false">
      <c r="A15" s="10" t="s">
        <v>85</v>
      </c>
      <c r="B15" s="10" t="s">
        <v>31</v>
      </c>
      <c r="C15" s="10" t="s">
        <v>70</v>
      </c>
      <c r="D15" s="10" t="s">
        <v>86</v>
      </c>
      <c r="E15" s="11" t="s">
        <v>87</v>
      </c>
      <c r="F15" s="10" t="s">
        <v>88</v>
      </c>
      <c r="G15" s="10"/>
      <c r="I15" s="10"/>
      <c r="J15" s="10"/>
      <c r="K15" s="10"/>
      <c r="L15" s="10"/>
    </row>
    <row r="16" s="8" customFormat="true" ht="13.8" hidden="false" customHeight="false" outlineLevel="0" collapsed="false">
      <c r="A16" s="10" t="s">
        <v>89</v>
      </c>
      <c r="B16" s="10" t="s">
        <v>31</v>
      </c>
      <c r="C16" s="10" t="s">
        <v>32</v>
      </c>
      <c r="D16" s="10" t="s">
        <v>90</v>
      </c>
      <c r="E16" s="11" t="s">
        <v>91</v>
      </c>
      <c r="F16" s="10" t="s">
        <v>92</v>
      </c>
      <c r="G16" s="10"/>
      <c r="I16" s="10"/>
      <c r="J16" s="10"/>
      <c r="K16" s="10"/>
      <c r="L16" s="10"/>
    </row>
    <row r="17" s="8" customFormat="true" ht="13.8" hidden="false" customHeight="false" outlineLevel="0" collapsed="false">
      <c r="A17" s="10" t="s">
        <v>93</v>
      </c>
      <c r="B17" s="10" t="s">
        <v>31</v>
      </c>
      <c r="C17" s="10" t="s">
        <v>53</v>
      </c>
      <c r="D17" s="10" t="s">
        <v>94</v>
      </c>
      <c r="E17" s="11" t="s">
        <v>95</v>
      </c>
      <c r="F17" s="10" t="s">
        <v>60</v>
      </c>
      <c r="G17" s="10"/>
      <c r="I17" s="10"/>
      <c r="J17" s="10"/>
      <c r="K17" s="10"/>
      <c r="L17" s="10"/>
    </row>
    <row r="18" s="8" customFormat="true" ht="13.8" hidden="false" customHeight="false" outlineLevel="0" collapsed="false">
      <c r="A18" s="10" t="s">
        <v>96</v>
      </c>
      <c r="B18" s="10" t="s">
        <v>31</v>
      </c>
      <c r="C18" s="10" t="s">
        <v>53</v>
      </c>
      <c r="D18" s="10" t="s">
        <v>97</v>
      </c>
      <c r="E18" s="11" t="s">
        <v>98</v>
      </c>
      <c r="F18" s="10" t="s">
        <v>99</v>
      </c>
      <c r="G18" s="10"/>
      <c r="I18" s="10"/>
      <c r="J18" s="10"/>
      <c r="K18" s="10"/>
      <c r="L18" s="10"/>
    </row>
    <row r="19" s="8" customFormat="true" ht="13.8" hidden="false" customHeight="false" outlineLevel="0" collapsed="false">
      <c r="A19" s="8" t="s">
        <v>100</v>
      </c>
      <c r="B19" s="8" t="s">
        <v>31</v>
      </c>
      <c r="C19" s="8" t="s">
        <v>38</v>
      </c>
      <c r="D19" s="8" t="s">
        <v>101</v>
      </c>
      <c r="E19" s="9" t="s">
        <v>102</v>
      </c>
      <c r="F19" s="8" t="s">
        <v>38</v>
      </c>
    </row>
    <row r="20" s="8" customFormat="true" ht="13.8" hidden="false" customHeight="false" outlineLevel="0" collapsed="false">
      <c r="A20" s="8" t="s">
        <v>103</v>
      </c>
      <c r="B20" s="8" t="s">
        <v>31</v>
      </c>
      <c r="C20" s="8" t="s">
        <v>70</v>
      </c>
      <c r="D20" s="8" t="s">
        <v>104</v>
      </c>
      <c r="E20" s="9" t="s">
        <v>105</v>
      </c>
      <c r="F20" s="8" t="s">
        <v>88</v>
      </c>
    </row>
    <row r="21" s="8" customFormat="true" ht="13.8" hidden="false" customHeight="false" outlineLevel="0" collapsed="false">
      <c r="A21" s="8" t="s">
        <v>106</v>
      </c>
      <c r="B21" s="8" t="s">
        <v>31</v>
      </c>
      <c r="C21" s="8" t="s">
        <v>70</v>
      </c>
      <c r="D21" s="8" t="s">
        <v>107</v>
      </c>
      <c r="E21" s="9" t="s">
        <v>108</v>
      </c>
      <c r="F21" s="8" t="s">
        <v>88</v>
      </c>
    </row>
    <row r="22" s="15" customFormat="true" ht="13.8" hidden="false" customHeight="false" outlineLevel="0" collapsed="false">
      <c r="A22" s="13" t="s">
        <v>109</v>
      </c>
      <c r="B22" s="13" t="s">
        <v>31</v>
      </c>
      <c r="C22" s="13" t="s">
        <v>70</v>
      </c>
      <c r="D22" s="13" t="s">
        <v>110</v>
      </c>
      <c r="E22" s="14" t="s">
        <v>111</v>
      </c>
      <c r="F22" s="13"/>
      <c r="G22" s="13"/>
      <c r="I22" s="13"/>
      <c r="J22" s="13"/>
      <c r="K22" s="13"/>
      <c r="L22" s="13"/>
    </row>
    <row r="23" s="15" customFormat="true" ht="13.8" hidden="false" customHeight="false" outlineLevel="0" collapsed="false">
      <c r="A23" s="13" t="s">
        <v>112</v>
      </c>
      <c r="B23" s="13" t="s">
        <v>31</v>
      </c>
      <c r="C23" s="13" t="s">
        <v>70</v>
      </c>
      <c r="D23" s="13" t="s">
        <v>113</v>
      </c>
      <c r="E23" s="14" t="s">
        <v>114</v>
      </c>
      <c r="F23" s="13" t="s">
        <v>88</v>
      </c>
      <c r="G23" s="13"/>
      <c r="I23" s="13"/>
      <c r="J23" s="13"/>
      <c r="K23" s="13"/>
      <c r="L23" s="13"/>
    </row>
    <row r="24" s="8" customFormat="true" ht="13.8" hidden="false" customHeight="false" outlineLevel="0" collapsed="false">
      <c r="A24" s="10" t="s">
        <v>115</v>
      </c>
      <c r="B24" s="10" t="s">
        <v>31</v>
      </c>
      <c r="C24" s="10" t="s">
        <v>116</v>
      </c>
      <c r="D24" s="10" t="s">
        <v>117</v>
      </c>
      <c r="E24" s="9" t="s">
        <v>118</v>
      </c>
      <c r="F24" s="8" t="s">
        <v>119</v>
      </c>
      <c r="G24" s="10"/>
      <c r="I24" s="10"/>
      <c r="J24" s="10"/>
      <c r="K24" s="10"/>
      <c r="L24" s="10"/>
    </row>
    <row r="25" s="8" customFormat="true" ht="13.8" hidden="false" customHeight="false" outlineLevel="0" collapsed="false">
      <c r="A25" s="8" t="s">
        <v>120</v>
      </c>
      <c r="B25" s="8" t="s">
        <v>31</v>
      </c>
      <c r="C25" s="8" t="s">
        <v>116</v>
      </c>
      <c r="D25" s="8" t="s">
        <v>121</v>
      </c>
      <c r="E25" s="9" t="s">
        <v>122</v>
      </c>
      <c r="F25" s="8" t="s">
        <v>119</v>
      </c>
      <c r="I25" s="10"/>
      <c r="J25" s="10"/>
      <c r="K25" s="10"/>
      <c r="L25" s="10"/>
    </row>
    <row r="26" s="16" customFormat="true" ht="13.8" hidden="false" customHeight="false" outlineLevel="0" collapsed="false">
      <c r="A26" s="10" t="s">
        <v>123</v>
      </c>
      <c r="B26" s="10" t="s">
        <v>31</v>
      </c>
      <c r="C26" s="10" t="s">
        <v>70</v>
      </c>
      <c r="D26" s="10" t="s">
        <v>124</v>
      </c>
      <c r="E26" s="11" t="s">
        <v>125</v>
      </c>
      <c r="F26" s="10" t="s">
        <v>88</v>
      </c>
      <c r="G26" s="10"/>
      <c r="H26" s="8"/>
      <c r="I26" s="10"/>
      <c r="J26" s="10"/>
      <c r="K26" s="10"/>
      <c r="L26" s="10"/>
    </row>
    <row r="27" s="8" customFormat="true" ht="13.8" hidden="false" customHeight="false" outlineLevel="0" collapsed="false">
      <c r="A27" s="8" t="s">
        <v>126</v>
      </c>
      <c r="B27" s="8" t="s">
        <v>31</v>
      </c>
      <c r="C27" s="8" t="s">
        <v>32</v>
      </c>
      <c r="D27" s="8" t="s">
        <v>127</v>
      </c>
      <c r="E27" s="11" t="s">
        <v>128</v>
      </c>
      <c r="F27" s="10" t="s">
        <v>77</v>
      </c>
    </row>
    <row r="28" s="15" customFormat="true" ht="13.8" hidden="false" customHeight="false" outlineLevel="0" collapsed="false">
      <c r="A28" s="17" t="s">
        <v>129</v>
      </c>
      <c r="B28" s="17" t="s">
        <v>31</v>
      </c>
      <c r="C28" s="17" t="s">
        <v>45</v>
      </c>
      <c r="D28" s="17" t="s">
        <v>130</v>
      </c>
      <c r="E28" s="18" t="s">
        <v>131</v>
      </c>
      <c r="G28" s="17"/>
    </row>
    <row r="29" s="8" customFormat="true" ht="13.8" hidden="false" customHeight="false" outlineLevel="0" collapsed="false">
      <c r="A29" s="8" t="s">
        <v>132</v>
      </c>
      <c r="B29" s="8" t="s">
        <v>31</v>
      </c>
      <c r="C29" s="8" t="s">
        <v>32</v>
      </c>
      <c r="D29" s="8" t="s">
        <v>133</v>
      </c>
      <c r="E29" s="9" t="s">
        <v>133</v>
      </c>
      <c r="F29" s="8" t="s">
        <v>134</v>
      </c>
    </row>
    <row r="30" s="8" customFormat="true" ht="13.8" hidden="false" customHeight="false" outlineLevel="0" collapsed="false">
      <c r="A30" s="8" t="s">
        <v>135</v>
      </c>
      <c r="B30" s="8" t="s">
        <v>31</v>
      </c>
      <c r="C30" s="8" t="s">
        <v>32</v>
      </c>
      <c r="D30" s="8" t="s">
        <v>136</v>
      </c>
      <c r="E30" s="11" t="s">
        <v>137</v>
      </c>
      <c r="F30" s="10" t="s">
        <v>138</v>
      </c>
    </row>
    <row r="31" s="8" customFormat="true" ht="13.8" hidden="false" customHeight="false" outlineLevel="0" collapsed="false">
      <c r="A31" s="10" t="s">
        <v>139</v>
      </c>
      <c r="B31" s="10" t="s">
        <v>31</v>
      </c>
      <c r="C31" s="10" t="s">
        <v>53</v>
      </c>
      <c r="D31" s="10" t="s">
        <v>140</v>
      </c>
      <c r="E31" s="11" t="s">
        <v>141</v>
      </c>
      <c r="F31" s="10" t="s">
        <v>142</v>
      </c>
      <c r="G31" s="10"/>
      <c r="I31" s="10"/>
      <c r="J31" s="10"/>
      <c r="K31" s="10"/>
      <c r="L31" s="10"/>
    </row>
    <row r="32" s="8" customFormat="true" ht="13.8" hidden="false" customHeight="false" outlineLevel="0" collapsed="false">
      <c r="A32" s="10" t="s">
        <v>143</v>
      </c>
      <c r="B32" s="10" t="s">
        <v>31</v>
      </c>
      <c r="C32" s="10" t="s">
        <v>53</v>
      </c>
      <c r="D32" s="10" t="s">
        <v>144</v>
      </c>
      <c r="E32" s="11" t="s">
        <v>145</v>
      </c>
      <c r="F32" s="10" t="s">
        <v>146</v>
      </c>
      <c r="G32" s="10"/>
      <c r="I32" s="10"/>
      <c r="J32" s="10"/>
      <c r="K32" s="10"/>
      <c r="L32" s="10"/>
    </row>
    <row r="33" s="16" customFormat="true" ht="13.8" hidden="false" customHeight="false" outlineLevel="0" collapsed="false">
      <c r="A33" s="10" t="s">
        <v>147</v>
      </c>
      <c r="B33" s="10" t="s">
        <v>31</v>
      </c>
      <c r="C33" s="10" t="s">
        <v>32</v>
      </c>
      <c r="D33" s="10" t="s">
        <v>148</v>
      </c>
      <c r="E33" s="9" t="s">
        <v>149</v>
      </c>
      <c r="F33" s="16" t="s">
        <v>150</v>
      </c>
      <c r="G33" s="10"/>
      <c r="H33" s="8"/>
      <c r="I33" s="10"/>
      <c r="J33" s="10"/>
      <c r="K33" s="10"/>
      <c r="L33" s="10"/>
    </row>
    <row r="34" s="15" customFormat="true" ht="13.8" hidden="false" customHeight="false" outlineLevel="0" collapsed="false">
      <c r="A34" s="10" t="s">
        <v>151</v>
      </c>
      <c r="B34" s="10" t="s">
        <v>31</v>
      </c>
      <c r="C34" s="10" t="s">
        <v>53</v>
      </c>
      <c r="D34" s="10" t="s">
        <v>152</v>
      </c>
      <c r="E34" s="11" t="s">
        <v>153</v>
      </c>
      <c r="F34" s="10" t="s">
        <v>154</v>
      </c>
      <c r="G34" s="10"/>
      <c r="H34" s="8"/>
      <c r="I34" s="10"/>
      <c r="J34" s="10"/>
      <c r="K34" s="10"/>
      <c r="L34" s="10"/>
    </row>
    <row r="35" s="15" customFormat="true" ht="13.8" hidden="false" customHeight="false" outlineLevel="0" collapsed="false">
      <c r="A35" s="15" t="s">
        <v>155</v>
      </c>
      <c r="B35" s="15" t="s">
        <v>31</v>
      </c>
      <c r="C35" s="15" t="s">
        <v>32</v>
      </c>
      <c r="D35" s="15" t="s">
        <v>156</v>
      </c>
      <c r="E35" s="9" t="s">
        <v>157</v>
      </c>
      <c r="F35" s="15" t="s">
        <v>158</v>
      </c>
      <c r="H35" s="8"/>
      <c r="L35" s="8"/>
    </row>
    <row r="36" s="8" customFormat="true" ht="13.8" hidden="false" customHeight="false" outlineLevel="0" collapsed="false">
      <c r="A36" s="8" t="s">
        <v>159</v>
      </c>
      <c r="B36" s="8" t="s">
        <v>31</v>
      </c>
      <c r="C36" s="8" t="s">
        <v>32</v>
      </c>
      <c r="D36" s="8" t="s">
        <v>160</v>
      </c>
      <c r="E36" s="9" t="s">
        <v>161</v>
      </c>
      <c r="F36" s="8" t="s">
        <v>162</v>
      </c>
    </row>
    <row r="37" s="16" customFormat="true" ht="13.8" hidden="false" customHeight="false" outlineLevel="0" collapsed="false">
      <c r="A37" s="10" t="s">
        <v>163</v>
      </c>
      <c r="B37" s="10" t="s">
        <v>31</v>
      </c>
      <c r="C37" s="10" t="s">
        <v>70</v>
      </c>
      <c r="D37" s="10" t="s">
        <v>164</v>
      </c>
      <c r="E37" s="11" t="s">
        <v>165</v>
      </c>
      <c r="F37" s="10" t="s">
        <v>166</v>
      </c>
      <c r="G37" s="10"/>
      <c r="H37" s="8"/>
      <c r="I37" s="10"/>
      <c r="J37" s="10"/>
      <c r="K37" s="10"/>
      <c r="L37" s="10"/>
    </row>
    <row r="38" s="8" customFormat="true" ht="13.8" hidden="false" customHeight="false" outlineLevel="0" collapsed="false">
      <c r="A38" s="10" t="s">
        <v>167</v>
      </c>
      <c r="B38" s="10" t="s">
        <v>31</v>
      </c>
      <c r="C38" s="10" t="s">
        <v>70</v>
      </c>
      <c r="D38" s="10" t="s">
        <v>168</v>
      </c>
      <c r="E38" s="11" t="s">
        <v>169</v>
      </c>
      <c r="F38" s="10" t="s">
        <v>166</v>
      </c>
      <c r="G38" s="10"/>
      <c r="I38" s="10"/>
      <c r="J38" s="10"/>
      <c r="K38" s="10"/>
      <c r="L38" s="10"/>
    </row>
    <row r="39" s="8" customFormat="true" ht="13.8" hidden="false" customHeight="false" outlineLevel="0" collapsed="false">
      <c r="A39" s="10" t="s">
        <v>170</v>
      </c>
      <c r="B39" s="10" t="s">
        <v>31</v>
      </c>
      <c r="C39" s="10" t="s">
        <v>32</v>
      </c>
      <c r="D39" s="10" t="s">
        <v>171</v>
      </c>
      <c r="E39" s="11" t="s">
        <v>172</v>
      </c>
      <c r="F39" s="10" t="s">
        <v>173</v>
      </c>
      <c r="G39" s="10"/>
      <c r="I39" s="10"/>
      <c r="J39" s="10"/>
      <c r="K39" s="10"/>
      <c r="L39" s="10"/>
    </row>
    <row r="40" s="8" customFormat="true" ht="13.8" hidden="false" customHeight="false" outlineLevel="0" collapsed="false">
      <c r="A40" s="8" t="s">
        <v>174</v>
      </c>
      <c r="B40" s="8" t="s">
        <v>31</v>
      </c>
      <c r="C40" s="8" t="s">
        <v>175</v>
      </c>
      <c r="D40" s="8" t="s">
        <v>176</v>
      </c>
      <c r="E40" s="9" t="s">
        <v>177</v>
      </c>
      <c r="F40" s="8" t="s">
        <v>178</v>
      </c>
      <c r="I40" s="10"/>
      <c r="J40" s="10"/>
      <c r="K40" s="10"/>
      <c r="L40" s="10"/>
    </row>
    <row r="41" s="8" customFormat="true" ht="13.8" hidden="false" customHeight="false" outlineLevel="0" collapsed="false">
      <c r="A41" s="10" t="s">
        <v>179</v>
      </c>
      <c r="B41" s="10" t="s">
        <v>31</v>
      </c>
      <c r="C41" s="10" t="s">
        <v>53</v>
      </c>
      <c r="D41" s="10" t="s">
        <v>180</v>
      </c>
      <c r="E41" s="11" t="s">
        <v>181</v>
      </c>
      <c r="F41" s="10" t="s">
        <v>146</v>
      </c>
      <c r="G41" s="10"/>
      <c r="I41" s="10"/>
      <c r="J41" s="10"/>
      <c r="K41" s="10"/>
      <c r="L41" s="10"/>
    </row>
    <row r="42" s="8" customFormat="true" ht="13.8" hidden="false" customHeight="false" outlineLevel="0" collapsed="false">
      <c r="A42" s="10" t="s">
        <v>182</v>
      </c>
      <c r="B42" s="10" t="s">
        <v>31</v>
      </c>
      <c r="C42" s="10" t="s">
        <v>38</v>
      </c>
      <c r="D42" s="10" t="s">
        <v>183</v>
      </c>
      <c r="E42" s="11" t="s">
        <v>184</v>
      </c>
      <c r="F42" s="10"/>
      <c r="G42" s="10"/>
      <c r="I42" s="10"/>
      <c r="J42" s="10"/>
      <c r="K42" s="10"/>
      <c r="L42" s="10"/>
    </row>
    <row r="43" s="8" customFormat="true" ht="13.8" hidden="false" customHeight="false" outlineLevel="0" collapsed="false">
      <c r="A43" s="10" t="s">
        <v>185</v>
      </c>
      <c r="B43" s="10" t="s">
        <v>31</v>
      </c>
      <c r="C43" s="10" t="s">
        <v>32</v>
      </c>
      <c r="D43" s="10" t="s">
        <v>186</v>
      </c>
      <c r="E43" s="11" t="s">
        <v>187</v>
      </c>
      <c r="F43" s="10"/>
      <c r="G43" s="10"/>
      <c r="I43" s="10"/>
      <c r="J43" s="10"/>
      <c r="K43" s="10"/>
      <c r="L43" s="10"/>
    </row>
    <row r="44" s="8" customFormat="true" ht="13.8" hidden="false" customHeight="false" outlineLevel="0" collapsed="false">
      <c r="A44" s="8" t="s">
        <v>188</v>
      </c>
      <c r="B44" s="8" t="s">
        <v>31</v>
      </c>
      <c r="C44" s="8" t="s">
        <v>53</v>
      </c>
      <c r="D44" s="8" t="s">
        <v>189</v>
      </c>
      <c r="E44" s="9" t="s">
        <v>190</v>
      </c>
      <c r="F44" s="8" t="s">
        <v>191</v>
      </c>
      <c r="I44" s="10"/>
      <c r="J44" s="10"/>
      <c r="K44" s="10"/>
      <c r="L44" s="10"/>
    </row>
    <row r="45" s="16" customFormat="true" ht="13.8" hidden="false" customHeight="false" outlineLevel="0" collapsed="false">
      <c r="A45" s="10" t="s">
        <v>192</v>
      </c>
      <c r="B45" s="10" t="s">
        <v>31</v>
      </c>
      <c r="C45" s="10" t="s">
        <v>116</v>
      </c>
      <c r="D45" s="10" t="s">
        <v>193</v>
      </c>
      <c r="E45" s="11" t="s">
        <v>194</v>
      </c>
      <c r="F45" s="10"/>
      <c r="G45" s="10"/>
      <c r="H45" s="8"/>
      <c r="I45" s="10"/>
      <c r="J45" s="10"/>
      <c r="K45" s="10"/>
      <c r="L45" s="10"/>
    </row>
    <row r="46" s="8" customFormat="true" ht="13.8" hidden="false" customHeight="false" outlineLevel="0" collapsed="false">
      <c r="A46" s="10" t="s">
        <v>195</v>
      </c>
      <c r="B46" s="10" t="s">
        <v>31</v>
      </c>
      <c r="C46" s="10" t="s">
        <v>53</v>
      </c>
      <c r="D46" s="10" t="s">
        <v>196</v>
      </c>
      <c r="E46" s="11" t="s">
        <v>197</v>
      </c>
      <c r="F46" s="10" t="s">
        <v>154</v>
      </c>
      <c r="G46" s="10"/>
      <c r="I46" s="10"/>
      <c r="J46" s="10"/>
      <c r="K46" s="10"/>
      <c r="L46" s="10"/>
    </row>
    <row r="47" s="15" customFormat="true" ht="13.8" hidden="false" customHeight="false" outlineLevel="0" collapsed="false">
      <c r="A47" s="10" t="s">
        <v>198</v>
      </c>
      <c r="B47" s="10" t="s">
        <v>31</v>
      </c>
      <c r="C47" s="10" t="s">
        <v>32</v>
      </c>
      <c r="D47" s="10" t="s">
        <v>199</v>
      </c>
      <c r="E47" s="11" t="s">
        <v>200</v>
      </c>
      <c r="F47" s="10" t="s">
        <v>201</v>
      </c>
      <c r="G47" s="10"/>
      <c r="H47" s="8"/>
      <c r="I47" s="10"/>
      <c r="J47" s="10"/>
      <c r="K47" s="10"/>
      <c r="L47" s="10"/>
    </row>
    <row r="48" s="8" customFormat="true" ht="13.8" hidden="false" customHeight="false" outlineLevel="0" collapsed="false">
      <c r="A48" s="10" t="s">
        <v>202</v>
      </c>
      <c r="B48" s="10" t="s">
        <v>31</v>
      </c>
      <c r="C48" s="10" t="s">
        <v>53</v>
      </c>
      <c r="D48" s="10" t="s">
        <v>203</v>
      </c>
      <c r="E48" s="11" t="s">
        <v>204</v>
      </c>
      <c r="F48" s="10" t="s">
        <v>146</v>
      </c>
      <c r="G48" s="10"/>
      <c r="I48" s="10"/>
      <c r="J48" s="10"/>
      <c r="K48" s="10"/>
      <c r="L48" s="10"/>
    </row>
    <row r="49" s="8" customFormat="true" ht="13.8" hidden="false" customHeight="false" outlineLevel="0" collapsed="false">
      <c r="A49" s="10" t="s">
        <v>205</v>
      </c>
      <c r="B49" s="10" t="s">
        <v>31</v>
      </c>
      <c r="C49" s="10" t="s">
        <v>175</v>
      </c>
      <c r="D49" s="10" t="s">
        <v>206</v>
      </c>
      <c r="E49" s="11" t="s">
        <v>207</v>
      </c>
      <c r="F49" s="10" t="s">
        <v>208</v>
      </c>
      <c r="G49" s="10"/>
      <c r="I49" s="10"/>
      <c r="J49" s="10"/>
      <c r="K49" s="10"/>
      <c r="L49" s="10"/>
    </row>
    <row r="50" s="8" customFormat="true" ht="13.8" hidden="false" customHeight="false" outlineLevel="0" collapsed="false">
      <c r="A50" s="10" t="s">
        <v>209</v>
      </c>
      <c r="B50" s="10" t="s">
        <v>31</v>
      </c>
      <c r="C50" s="10" t="s">
        <v>175</v>
      </c>
      <c r="D50" s="10" t="s">
        <v>210</v>
      </c>
      <c r="E50" s="11" t="s">
        <v>211</v>
      </c>
      <c r="F50" s="10"/>
      <c r="G50" s="10"/>
      <c r="I50" s="10"/>
      <c r="J50" s="10"/>
      <c r="K50" s="10"/>
      <c r="L50" s="10"/>
    </row>
    <row r="51" s="8" customFormat="true" ht="13.8" hidden="false" customHeight="false" outlineLevel="0" collapsed="false">
      <c r="A51" s="10" t="s">
        <v>212</v>
      </c>
      <c r="B51" s="10" t="s">
        <v>31</v>
      </c>
      <c r="C51" s="10" t="s">
        <v>53</v>
      </c>
      <c r="D51" s="10" t="s">
        <v>213</v>
      </c>
      <c r="E51" s="11" t="s">
        <v>214</v>
      </c>
      <c r="F51" s="10" t="s">
        <v>142</v>
      </c>
      <c r="G51" s="10"/>
      <c r="I51" s="10"/>
      <c r="J51" s="10"/>
      <c r="K51" s="10"/>
      <c r="L51" s="10"/>
    </row>
    <row r="52" s="8" customFormat="true" ht="13.8" hidden="false" customHeight="false" outlineLevel="0" collapsed="false">
      <c r="A52" s="8" t="s">
        <v>215</v>
      </c>
      <c r="B52" s="8" t="s">
        <v>31</v>
      </c>
      <c r="C52" s="8" t="s">
        <v>175</v>
      </c>
      <c r="D52" s="8" t="s">
        <v>216</v>
      </c>
      <c r="E52" s="9" t="s">
        <v>217</v>
      </c>
      <c r="F52" s="8" t="s">
        <v>218</v>
      </c>
    </row>
    <row r="53" s="8" customFormat="true" ht="13.8" hidden="false" customHeight="false" outlineLevel="0" collapsed="false">
      <c r="A53" s="10" t="s">
        <v>219</v>
      </c>
      <c r="B53" s="10" t="s">
        <v>31</v>
      </c>
      <c r="C53" s="10" t="s">
        <v>175</v>
      </c>
      <c r="D53" s="10"/>
      <c r="E53" s="11" t="s">
        <v>220</v>
      </c>
      <c r="F53" s="10"/>
      <c r="G53" s="10"/>
      <c r="I53" s="10"/>
      <c r="J53" s="10"/>
      <c r="K53" s="10"/>
      <c r="L53" s="10"/>
    </row>
    <row r="54" s="15" customFormat="true" ht="13.8" hidden="false" customHeight="false" outlineLevel="0" collapsed="false">
      <c r="A54" s="15" t="s">
        <v>221</v>
      </c>
      <c r="B54" s="15" t="s">
        <v>31</v>
      </c>
      <c r="C54" s="15" t="s">
        <v>32</v>
      </c>
      <c r="E54" s="9" t="s">
        <v>222</v>
      </c>
      <c r="F54" s="15" t="s">
        <v>223</v>
      </c>
      <c r="H54" s="8"/>
      <c r="L54" s="8"/>
    </row>
    <row r="55" customFormat="false" ht="13.8" hidden="false" customHeight="false" outlineLevel="0" collapsed="false">
      <c r="A55" s="15" t="s">
        <v>224</v>
      </c>
      <c r="B55" s="15" t="s">
        <v>31</v>
      </c>
      <c r="C55" s="15" t="s">
        <v>38</v>
      </c>
      <c r="D55" s="15" t="s">
        <v>225</v>
      </c>
      <c r="E55" s="18" t="s">
        <v>226</v>
      </c>
      <c r="F55" s="15" t="s">
        <v>38</v>
      </c>
      <c r="G55" s="15"/>
      <c r="H55" s="15"/>
      <c r="I55" s="15"/>
      <c r="J55" s="15"/>
      <c r="K55" s="15"/>
      <c r="L55" s="15"/>
    </row>
    <row r="56" s="8" customFormat="true" ht="13.8" hidden="false" customHeight="false" outlineLevel="0" collapsed="false">
      <c r="A56" s="8" t="s">
        <v>227</v>
      </c>
      <c r="B56" s="8" t="s">
        <v>31</v>
      </c>
      <c r="C56" s="8" t="s">
        <v>53</v>
      </c>
      <c r="E56" s="11" t="s">
        <v>228</v>
      </c>
      <c r="F56" s="10" t="s">
        <v>154</v>
      </c>
    </row>
    <row r="57" s="8" customFormat="true" ht="13.8" hidden="false" customHeight="false" outlineLevel="0" collapsed="false">
      <c r="A57" s="10" t="s">
        <v>229</v>
      </c>
      <c r="B57" s="10" t="s">
        <v>31</v>
      </c>
      <c r="C57" s="10" t="s">
        <v>32</v>
      </c>
      <c r="D57" s="10"/>
      <c r="E57" s="11" t="s">
        <v>230</v>
      </c>
      <c r="F57" s="10" t="s">
        <v>142</v>
      </c>
      <c r="G57" s="10"/>
      <c r="I57" s="10"/>
      <c r="J57" s="10"/>
      <c r="K57" s="10"/>
      <c r="L57" s="10"/>
    </row>
    <row r="58" s="8" customFormat="true" ht="13.8" hidden="false" customHeight="false" outlineLevel="0" collapsed="false">
      <c r="A58" s="10" t="s">
        <v>231</v>
      </c>
      <c r="B58" s="10" t="s">
        <v>31</v>
      </c>
      <c r="C58" s="10" t="s">
        <v>32</v>
      </c>
      <c r="D58" s="10" t="s">
        <v>232</v>
      </c>
      <c r="E58" s="11" t="s">
        <v>232</v>
      </c>
      <c r="F58" s="10" t="s">
        <v>233</v>
      </c>
      <c r="G58" s="10"/>
      <c r="I58" s="10"/>
      <c r="J58" s="10"/>
      <c r="K58" s="10"/>
      <c r="L58" s="10"/>
    </row>
    <row r="59" s="8" customFormat="true" ht="13.8" hidden="false" customHeight="false" outlineLevel="0" collapsed="false">
      <c r="A59" s="10" t="s">
        <v>234</v>
      </c>
      <c r="B59" s="10" t="s">
        <v>31</v>
      </c>
      <c r="C59" s="10" t="s">
        <v>116</v>
      </c>
      <c r="D59" s="10" t="s">
        <v>235</v>
      </c>
      <c r="E59" s="11" t="s">
        <v>236</v>
      </c>
      <c r="F59" s="10" t="s">
        <v>237</v>
      </c>
      <c r="G59" s="10"/>
      <c r="I59" s="10"/>
      <c r="J59" s="10"/>
      <c r="K59" s="10"/>
      <c r="L59" s="10"/>
    </row>
    <row r="60" customFormat="false" ht="13.8" hidden="false" customHeight="false" outlineLevel="0" collapsed="false">
      <c r="A60" s="8" t="s">
        <v>238</v>
      </c>
      <c r="B60" s="8" t="s">
        <v>31</v>
      </c>
      <c r="D60" s="8" t="s">
        <v>239</v>
      </c>
      <c r="H60" s="8"/>
    </row>
    <row r="61" s="15" customFormat="true" ht="13.8" hidden="false" customHeight="false" outlineLevel="0" collapsed="false">
      <c r="A61" s="10" t="s">
        <v>240</v>
      </c>
      <c r="B61" s="10" t="s">
        <v>31</v>
      </c>
      <c r="C61" s="10" t="s">
        <v>32</v>
      </c>
      <c r="D61" s="10" t="s">
        <v>241</v>
      </c>
      <c r="E61" s="11" t="s">
        <v>242</v>
      </c>
      <c r="F61" s="10" t="s">
        <v>243</v>
      </c>
      <c r="G61" s="10"/>
      <c r="H61" s="8"/>
      <c r="I61" s="8"/>
      <c r="J61" s="8"/>
      <c r="K61" s="8"/>
      <c r="L61" s="8"/>
    </row>
    <row r="62" s="8" customFormat="true" ht="13.8" hidden="false" customHeight="false" outlineLevel="0" collapsed="false">
      <c r="A62" s="10" t="s">
        <v>244</v>
      </c>
      <c r="B62" s="10" t="s">
        <v>31</v>
      </c>
      <c r="C62" s="10" t="s">
        <v>70</v>
      </c>
      <c r="D62" s="10" t="s">
        <v>245</v>
      </c>
      <c r="E62" s="11" t="s">
        <v>246</v>
      </c>
      <c r="F62" s="10" t="s">
        <v>247</v>
      </c>
      <c r="G62" s="10"/>
      <c r="I62" s="10"/>
      <c r="J62" s="10"/>
      <c r="K62" s="10"/>
      <c r="L62" s="10"/>
    </row>
    <row r="63" s="8" customFormat="true" ht="13.8" hidden="false" customHeight="false" outlineLevel="0" collapsed="false">
      <c r="A63" s="10" t="s">
        <v>248</v>
      </c>
      <c r="B63" s="10" t="s">
        <v>31</v>
      </c>
      <c r="C63" s="10" t="s">
        <v>70</v>
      </c>
      <c r="D63" s="10" t="s">
        <v>249</v>
      </c>
      <c r="E63" s="11" t="s">
        <v>250</v>
      </c>
      <c r="F63" s="10" t="s">
        <v>251</v>
      </c>
      <c r="G63" s="10"/>
      <c r="I63" s="10"/>
      <c r="J63" s="10"/>
      <c r="K63" s="10"/>
      <c r="L63" s="10"/>
    </row>
    <row r="64" s="8" customFormat="true" ht="13.8" hidden="false" customHeight="false" outlineLevel="0" collapsed="false">
      <c r="A64" s="10" t="s">
        <v>252</v>
      </c>
      <c r="B64" s="10" t="s">
        <v>31</v>
      </c>
      <c r="C64" s="10" t="s">
        <v>116</v>
      </c>
      <c r="D64" s="10" t="s">
        <v>253</v>
      </c>
      <c r="E64" s="11" t="s">
        <v>254</v>
      </c>
      <c r="F64" s="10" t="s">
        <v>237</v>
      </c>
      <c r="G64" s="10"/>
      <c r="I64" s="10"/>
      <c r="J64" s="10"/>
      <c r="K64" s="10"/>
      <c r="L64" s="10"/>
    </row>
    <row r="65" s="8" customFormat="true" ht="13.8" hidden="false" customHeight="false" outlineLevel="0" collapsed="false">
      <c r="A65" s="10" t="s">
        <v>255</v>
      </c>
      <c r="B65" s="10" t="s">
        <v>31</v>
      </c>
      <c r="C65" s="10" t="s">
        <v>116</v>
      </c>
      <c r="D65" s="10" t="s">
        <v>256</v>
      </c>
      <c r="E65" s="11" t="s">
        <v>257</v>
      </c>
      <c r="F65" s="10" t="s">
        <v>258</v>
      </c>
      <c r="G65" s="10"/>
      <c r="I65" s="10"/>
      <c r="J65" s="10"/>
      <c r="K65" s="10"/>
      <c r="L65" s="10"/>
    </row>
    <row r="66" s="15" customFormat="true" ht="13.8" hidden="false" customHeight="false" outlineLevel="0" collapsed="false">
      <c r="A66" s="10" t="s">
        <v>259</v>
      </c>
      <c r="B66" s="10" t="s">
        <v>31</v>
      </c>
      <c r="C66" s="10" t="s">
        <v>53</v>
      </c>
      <c r="D66" s="10" t="s">
        <v>260</v>
      </c>
      <c r="E66" s="11" t="s">
        <v>261</v>
      </c>
      <c r="F66" s="10" t="s">
        <v>146</v>
      </c>
      <c r="G66" s="10"/>
      <c r="H66" s="8"/>
      <c r="I66" s="10"/>
      <c r="J66" s="10"/>
      <c r="K66" s="10"/>
      <c r="L66" s="10"/>
    </row>
    <row r="67" customFormat="false" ht="13.8" hidden="false" customHeight="false" outlineLevel="0" collapsed="false">
      <c r="A67" s="19" t="s">
        <v>262</v>
      </c>
      <c r="B67" s="19"/>
      <c r="C67" s="19"/>
      <c r="D67" s="19"/>
      <c r="E67" s="20" t="s">
        <v>263</v>
      </c>
      <c r="F67" s="19" t="s">
        <v>88</v>
      </c>
      <c r="G67" s="19"/>
      <c r="H67" s="16"/>
      <c r="I67" s="19"/>
      <c r="J67" s="19"/>
      <c r="K67" s="19"/>
      <c r="L67" s="19"/>
    </row>
    <row r="68" customFormat="false" ht="13.8" hidden="false" customHeight="false" outlineLevel="0" collapsed="false">
      <c r="A68" s="15" t="s">
        <v>264</v>
      </c>
      <c r="B68" s="15"/>
      <c r="C68" s="15"/>
      <c r="D68" s="15"/>
      <c r="E68" s="14" t="s">
        <v>265</v>
      </c>
      <c r="F68" s="15"/>
      <c r="G68" s="15"/>
      <c r="H68" s="15"/>
      <c r="I68" s="15"/>
      <c r="J68" s="15"/>
      <c r="K68" s="15"/>
      <c r="L68" s="15"/>
    </row>
    <row r="69" customFormat="false" ht="13.8" hidden="false" customHeight="false" outlineLevel="0" collapsed="false">
      <c r="A69" s="16" t="s">
        <v>266</v>
      </c>
      <c r="B69" s="21"/>
      <c r="C69" s="21"/>
      <c r="D69" s="21"/>
      <c r="E69" s="20"/>
      <c r="F69" s="19"/>
      <c r="G69" s="16"/>
      <c r="H69" s="16"/>
      <c r="I69" s="19"/>
      <c r="J69" s="19"/>
      <c r="K69" s="19"/>
      <c r="L69" s="19"/>
    </row>
    <row r="70" customFormat="false" ht="13.8" hidden="false" customHeight="false" outlineLevel="0" collapsed="false">
      <c r="A70" s="13" t="s">
        <v>267</v>
      </c>
      <c r="B70" s="13"/>
      <c r="C70" s="13"/>
      <c r="D70" s="13"/>
      <c r="E70" s="14" t="s">
        <v>268</v>
      </c>
      <c r="F70" s="13" t="s">
        <v>150</v>
      </c>
      <c r="G70" s="13"/>
      <c r="H70" s="15"/>
      <c r="I70" s="13"/>
      <c r="J70" s="13"/>
      <c r="K70" s="13"/>
      <c r="L70" s="13"/>
    </row>
    <row r="71" customFormat="false" ht="13.8" hidden="false" customHeight="false" outlineLevel="0" collapsed="false">
      <c r="A71" s="13" t="s">
        <v>269</v>
      </c>
      <c r="B71" s="13"/>
      <c r="C71" s="13"/>
      <c r="D71" s="13"/>
      <c r="E71" s="14" t="s">
        <v>270</v>
      </c>
      <c r="F71" s="13" t="s">
        <v>271</v>
      </c>
      <c r="G71" s="13"/>
      <c r="H71" s="15"/>
      <c r="I71" s="13"/>
      <c r="J71" s="13"/>
      <c r="K71" s="13"/>
      <c r="L71" s="13"/>
    </row>
    <row r="72" customFormat="false" ht="13.8" hidden="false" customHeight="false" outlineLevel="0" collapsed="false">
      <c r="A72" s="19" t="s">
        <v>272</v>
      </c>
      <c r="B72" s="19"/>
      <c r="C72" s="19"/>
      <c r="D72" s="19"/>
      <c r="E72" s="20" t="s">
        <v>273</v>
      </c>
      <c r="F72" s="19"/>
      <c r="G72" s="19"/>
      <c r="H72" s="16"/>
      <c r="I72" s="19"/>
      <c r="J72" s="19"/>
      <c r="K72" s="19"/>
      <c r="L72" s="19"/>
    </row>
    <row r="73" customFormat="false" ht="13.8" hidden="false" customHeight="false" outlineLevel="0" collapsed="false">
      <c r="A73" s="19" t="s">
        <v>274</v>
      </c>
      <c r="B73" s="19"/>
      <c r="C73" s="19"/>
      <c r="D73" s="19"/>
      <c r="E73" s="20" t="s">
        <v>275</v>
      </c>
      <c r="F73" s="19" t="s">
        <v>276</v>
      </c>
      <c r="G73" s="19"/>
      <c r="H73" s="16"/>
      <c r="I73" s="19"/>
      <c r="J73" s="19"/>
      <c r="K73" s="19"/>
      <c r="L73" s="19"/>
    </row>
    <row r="74" customFormat="false" ht="13.8" hidden="false" customHeight="false" outlineLevel="0" collapsed="false">
      <c r="A74" s="15" t="s">
        <v>277</v>
      </c>
      <c r="B74" s="15"/>
      <c r="C74" s="15"/>
      <c r="D74" s="15"/>
      <c r="E74" s="18" t="s">
        <v>278</v>
      </c>
      <c r="F74" s="15" t="s">
        <v>38</v>
      </c>
      <c r="G74" s="15"/>
      <c r="H74" s="15"/>
      <c r="I74" s="15"/>
      <c r="J74" s="15"/>
      <c r="K74" s="15"/>
      <c r="L74" s="15"/>
    </row>
    <row r="75" customFormat="false" ht="13.8" hidden="false" customHeight="false" outlineLevel="0" collapsed="false">
      <c r="A75" s="13" t="s">
        <v>279</v>
      </c>
      <c r="B75" s="13"/>
      <c r="C75" s="13"/>
      <c r="D75" s="13"/>
      <c r="E75" s="14" t="s">
        <v>280</v>
      </c>
      <c r="F75" s="13" t="s">
        <v>281</v>
      </c>
      <c r="G75" s="13"/>
      <c r="H75" s="15"/>
      <c r="I75" s="13"/>
      <c r="J75" s="13"/>
      <c r="K75" s="13"/>
      <c r="L75" s="13"/>
    </row>
    <row r="76" customFormat="false" ht="13.8" hidden="false" customHeight="false" outlineLevel="0" collapsed="false">
      <c r="A76" s="16" t="s">
        <v>282</v>
      </c>
      <c r="B76" s="21"/>
      <c r="C76" s="21"/>
      <c r="D76" s="21"/>
      <c r="E76" s="22" t="s">
        <v>283</v>
      </c>
      <c r="F76" s="16"/>
      <c r="G76" s="16"/>
      <c r="H76" s="16"/>
      <c r="I76" s="16"/>
      <c r="J76" s="16"/>
      <c r="K76" s="16"/>
      <c r="L76" s="16"/>
    </row>
    <row r="77" customFormat="false" ht="13.8" hidden="false" customHeight="false" outlineLevel="0" collapsed="false">
      <c r="A77" s="13" t="s">
        <v>284</v>
      </c>
      <c r="B77" s="13"/>
      <c r="C77" s="13"/>
      <c r="D77" s="13"/>
      <c r="E77" s="14" t="s">
        <v>285</v>
      </c>
      <c r="F77" s="13"/>
      <c r="G77" s="13"/>
      <c r="H77" s="15"/>
      <c r="I77" s="13"/>
      <c r="J77" s="13"/>
      <c r="K77" s="13"/>
      <c r="L77" s="13"/>
    </row>
    <row r="78" s="8" customFormat="true" ht="13.8" hidden="false" customHeight="false" outlineLevel="0" collapsed="false">
      <c r="A78" s="10" t="s">
        <v>286</v>
      </c>
      <c r="B78" s="10"/>
      <c r="C78" s="10"/>
      <c r="D78" s="10"/>
      <c r="E78" s="11" t="s">
        <v>287</v>
      </c>
      <c r="F78" s="10" t="s">
        <v>288</v>
      </c>
      <c r="G78" s="10"/>
      <c r="I78" s="10"/>
      <c r="J78" s="10"/>
      <c r="K78" s="10"/>
      <c r="L78" s="10"/>
    </row>
    <row r="79" s="8" customFormat="true" ht="13.8" hidden="false" customHeight="false" outlineLevel="0" collapsed="false">
      <c r="A79" s="8" t="s">
        <v>289</v>
      </c>
      <c r="E79" s="11" t="s">
        <v>290</v>
      </c>
      <c r="F79" s="10" t="s">
        <v>138</v>
      </c>
    </row>
    <row r="80" s="8" customFormat="true" ht="13.8" hidden="false" customHeight="false" outlineLevel="0" collapsed="false">
      <c r="A80" s="8" t="s">
        <v>291</v>
      </c>
      <c r="E80" s="11" t="s">
        <v>292</v>
      </c>
      <c r="F80" s="10" t="s">
        <v>77</v>
      </c>
    </row>
    <row r="81" s="8" customFormat="true" ht="13.8" hidden="false" customHeight="false" outlineLevel="0" collapsed="false">
      <c r="A81" s="10" t="s">
        <v>293</v>
      </c>
      <c r="B81" s="10"/>
      <c r="C81" s="10"/>
      <c r="D81" s="10" t="s">
        <v>294</v>
      </c>
      <c r="E81" s="11" t="s">
        <v>295</v>
      </c>
      <c r="F81" s="10" t="s">
        <v>146</v>
      </c>
      <c r="G81" s="10"/>
      <c r="I81" s="10"/>
      <c r="J81" s="10"/>
      <c r="K81" s="10"/>
      <c r="L81" s="10"/>
    </row>
    <row r="82" s="8" customFormat="true" ht="13.8" hidden="false" customHeight="false" outlineLevel="0" collapsed="false">
      <c r="A82" s="8" t="s">
        <v>296</v>
      </c>
      <c r="E82" s="9" t="s">
        <v>297</v>
      </c>
      <c r="F82" s="8" t="s">
        <v>298</v>
      </c>
    </row>
    <row r="83" s="8" customFormat="true" ht="13.8" hidden="false" customHeight="false" outlineLevel="0" collapsed="false">
      <c r="A83" s="8" t="s">
        <v>299</v>
      </c>
      <c r="E83" s="11" t="s">
        <v>300</v>
      </c>
      <c r="F83" s="8" t="s">
        <v>301</v>
      </c>
    </row>
    <row r="84" s="8" customFormat="true" ht="13.8" hidden="false" customHeight="false" outlineLevel="0" collapsed="false">
      <c r="A84" s="10" t="s">
        <v>302</v>
      </c>
      <c r="B84" s="10"/>
      <c r="C84" s="10"/>
      <c r="D84" s="10"/>
      <c r="E84" s="11" t="s">
        <v>303</v>
      </c>
      <c r="F84" s="10" t="s">
        <v>304</v>
      </c>
      <c r="G84" s="10"/>
      <c r="I84" s="10"/>
      <c r="J84" s="10"/>
      <c r="K84" s="10"/>
      <c r="L84" s="10"/>
    </row>
    <row r="85" s="8" customFormat="true" ht="13.8" hidden="false" customHeight="false" outlineLevel="0" collapsed="false">
      <c r="A85" s="10" t="s">
        <v>305</v>
      </c>
      <c r="B85" s="10"/>
      <c r="C85" s="10"/>
      <c r="D85" s="10"/>
      <c r="E85" s="11" t="s">
        <v>306</v>
      </c>
      <c r="F85" s="10" t="s">
        <v>307</v>
      </c>
      <c r="G85" s="10"/>
      <c r="I85" s="10"/>
      <c r="J85" s="10"/>
      <c r="K85" s="10"/>
      <c r="L85" s="10"/>
    </row>
    <row r="86" s="8" customFormat="true" ht="13.8" hidden="false" customHeight="false" outlineLevel="0" collapsed="false">
      <c r="A86" s="10" t="s">
        <v>308</v>
      </c>
      <c r="B86" s="10"/>
      <c r="C86" s="10"/>
      <c r="D86" s="10"/>
      <c r="E86" s="11" t="s">
        <v>309</v>
      </c>
      <c r="F86" s="10"/>
      <c r="G86" s="10"/>
      <c r="I86" s="10"/>
      <c r="J86" s="10"/>
      <c r="K86" s="10"/>
      <c r="L86" s="10"/>
    </row>
    <row r="87" s="15" customFormat="true" ht="13.8" hidden="false" customHeight="false" outlineLevel="0" collapsed="false">
      <c r="A87" s="10" t="s">
        <v>310</v>
      </c>
      <c r="B87" s="10"/>
      <c r="C87" s="10"/>
      <c r="D87" s="10"/>
      <c r="E87" s="11" t="s">
        <v>311</v>
      </c>
      <c r="F87" s="10"/>
      <c r="G87" s="10"/>
      <c r="H87" s="8"/>
      <c r="I87" s="10"/>
      <c r="J87" s="10"/>
      <c r="K87" s="10"/>
      <c r="L87" s="10"/>
    </row>
    <row r="88" s="15" customFormat="true" ht="13.8" hidden="false" customHeight="false" outlineLevel="0" collapsed="false">
      <c r="A88" s="10" t="s">
        <v>312</v>
      </c>
      <c r="B88" s="10"/>
      <c r="C88" s="10"/>
      <c r="D88" s="10"/>
      <c r="E88" s="11" t="s">
        <v>313</v>
      </c>
      <c r="F88" s="10"/>
      <c r="G88" s="10"/>
      <c r="H88" s="8"/>
      <c r="I88" s="10"/>
      <c r="J88" s="10"/>
      <c r="K88" s="10"/>
      <c r="L88" s="10"/>
    </row>
    <row r="89" s="15" customFormat="true" ht="13.8" hidden="false" customHeight="false" outlineLevel="0" collapsed="false">
      <c r="A89" s="10" t="s">
        <v>314</v>
      </c>
      <c r="B89" s="10"/>
      <c r="C89" s="10"/>
      <c r="D89" s="10"/>
      <c r="E89" s="11" t="s">
        <v>315</v>
      </c>
      <c r="F89" s="10" t="s">
        <v>154</v>
      </c>
      <c r="G89" s="10"/>
      <c r="H89" s="8"/>
      <c r="I89" s="10"/>
      <c r="J89" s="10"/>
      <c r="K89" s="10"/>
      <c r="L89" s="10"/>
    </row>
    <row r="90" s="15" customFormat="true" ht="13.8" hidden="false" customHeight="false" outlineLevel="0" collapsed="false">
      <c r="A90" s="10" t="s">
        <v>316</v>
      </c>
      <c r="B90" s="10"/>
      <c r="C90" s="10"/>
      <c r="D90" s="10"/>
      <c r="E90" s="11" t="s">
        <v>257</v>
      </c>
      <c r="F90" s="10" t="s">
        <v>258</v>
      </c>
      <c r="G90" s="10"/>
      <c r="H90" s="8"/>
      <c r="I90" s="10"/>
      <c r="J90" s="10"/>
      <c r="K90" s="10"/>
      <c r="L90" s="10"/>
    </row>
    <row r="91" s="15" customFormat="true" ht="13.8" hidden="false" customHeight="false" outlineLevel="0" collapsed="false">
      <c r="A91" s="10" t="s">
        <v>317</v>
      </c>
      <c r="B91" s="10"/>
      <c r="C91" s="10"/>
      <c r="D91" s="10"/>
      <c r="E91" s="11" t="s">
        <v>311</v>
      </c>
      <c r="F91" s="10"/>
      <c r="G91" s="10"/>
      <c r="H91" s="8"/>
      <c r="I91" s="10"/>
      <c r="J91" s="10"/>
      <c r="K91" s="10"/>
      <c r="L91" s="10"/>
    </row>
    <row r="92" s="15" customFormat="true" ht="13.8" hidden="false" customHeight="false" outlineLevel="0" collapsed="false">
      <c r="A92" s="10" t="s">
        <v>318</v>
      </c>
      <c r="B92" s="10"/>
      <c r="C92" s="10"/>
      <c r="D92" s="10"/>
      <c r="E92" s="11" t="s">
        <v>257</v>
      </c>
      <c r="F92" s="10" t="s">
        <v>258</v>
      </c>
      <c r="G92" s="10"/>
      <c r="H92" s="8"/>
      <c r="I92" s="10"/>
      <c r="J92" s="10"/>
      <c r="K92" s="10"/>
      <c r="L92" s="10"/>
    </row>
    <row r="93" s="15" customFormat="true" ht="13.8" hidden="false" customHeight="false" outlineLevel="0" collapsed="false">
      <c r="A93" s="15" t="s">
        <v>319</v>
      </c>
      <c r="E93" s="11" t="s">
        <v>320</v>
      </c>
      <c r="F93" s="10" t="s">
        <v>138</v>
      </c>
      <c r="H93" s="8"/>
      <c r="L93" s="8"/>
    </row>
    <row r="94" s="15" customFormat="true" ht="13.8" hidden="false" customHeight="false" outlineLevel="0" collapsed="false">
      <c r="A94" s="10" t="s">
        <v>321</v>
      </c>
      <c r="B94" s="10"/>
      <c r="C94" s="10"/>
      <c r="D94" s="10"/>
      <c r="E94" s="11" t="s">
        <v>322</v>
      </c>
      <c r="F94" s="10" t="s">
        <v>323</v>
      </c>
      <c r="G94" s="10"/>
      <c r="H94" s="8"/>
      <c r="I94" s="10"/>
      <c r="J94" s="10"/>
      <c r="K94" s="10"/>
      <c r="L94" s="10"/>
    </row>
    <row r="95" s="15" customFormat="true" ht="13.8" hidden="false" customHeight="false" outlineLevel="0" collapsed="false">
      <c r="A95" s="10" t="s">
        <v>324</v>
      </c>
      <c r="B95" s="10"/>
      <c r="C95" s="10"/>
      <c r="D95" s="10"/>
      <c r="E95" s="11" t="s">
        <v>325</v>
      </c>
      <c r="F95" s="10" t="s">
        <v>88</v>
      </c>
      <c r="G95" s="10"/>
      <c r="H95" s="8"/>
      <c r="I95" s="10"/>
      <c r="J95" s="10"/>
      <c r="K95" s="10"/>
      <c r="L95" s="10"/>
    </row>
    <row r="96" s="8" customFormat="true" ht="13.8" hidden="false" customHeight="false" outlineLevel="0" collapsed="false">
      <c r="A96" s="8" t="s">
        <v>326</v>
      </c>
      <c r="E96" s="9" t="s">
        <v>327</v>
      </c>
      <c r="F96" s="8" t="s">
        <v>328</v>
      </c>
      <c r="I96" s="10"/>
      <c r="J96" s="10"/>
      <c r="K96" s="10"/>
      <c r="L96" s="10"/>
    </row>
    <row r="97" s="8" customFormat="true" ht="13.8" hidden="false" customHeight="false" outlineLevel="0" collapsed="false">
      <c r="A97" s="10" t="s">
        <v>329</v>
      </c>
      <c r="B97" s="10"/>
      <c r="C97" s="10"/>
      <c r="D97" s="10"/>
      <c r="E97" s="11" t="s">
        <v>330</v>
      </c>
      <c r="F97" s="10" t="s">
        <v>331</v>
      </c>
      <c r="G97" s="10"/>
      <c r="I97" s="10"/>
      <c r="J97" s="10"/>
      <c r="K97" s="10"/>
      <c r="L97" s="10"/>
    </row>
    <row r="98" s="8" customFormat="true" ht="13.8" hidden="false" customHeight="false" outlineLevel="0" collapsed="false">
      <c r="A98" s="10" t="s">
        <v>332</v>
      </c>
      <c r="B98" s="10"/>
      <c r="C98" s="10"/>
      <c r="D98" s="10"/>
      <c r="E98" s="11" t="s">
        <v>333</v>
      </c>
      <c r="F98" s="10" t="s">
        <v>38</v>
      </c>
      <c r="G98" s="10"/>
      <c r="I98" s="10"/>
      <c r="J98" s="10"/>
      <c r="K98" s="10"/>
      <c r="L98" s="10"/>
    </row>
    <row r="99" s="8" customFormat="true" ht="13.8" hidden="false" customHeight="false" outlineLevel="0" collapsed="false">
      <c r="A99" s="10" t="s">
        <v>334</v>
      </c>
      <c r="B99" s="10"/>
      <c r="C99" s="10"/>
      <c r="D99" s="10"/>
      <c r="E99" s="11" t="s">
        <v>335</v>
      </c>
      <c r="F99" s="10" t="s">
        <v>146</v>
      </c>
      <c r="G99" s="10"/>
      <c r="I99" s="10"/>
      <c r="J99" s="10"/>
      <c r="K99" s="10"/>
      <c r="L99" s="10"/>
    </row>
    <row r="100" s="8" customFormat="true" ht="13.8" hidden="false" customHeight="false" outlineLevel="0" collapsed="false">
      <c r="A100" s="8" t="s">
        <v>336</v>
      </c>
      <c r="E100" s="9" t="s">
        <v>337</v>
      </c>
      <c r="F100" s="8" t="s">
        <v>338</v>
      </c>
    </row>
    <row r="101" customFormat="false" ht="13.8" hidden="false" customHeight="false" outlineLevel="0" collapsed="false">
      <c r="A101" s="13" t="s">
        <v>339</v>
      </c>
      <c r="B101" s="13"/>
      <c r="C101" s="13"/>
      <c r="D101" s="13"/>
      <c r="E101" s="14" t="s">
        <v>340</v>
      </c>
      <c r="F101" s="13"/>
      <c r="G101" s="13"/>
      <c r="H101" s="15"/>
      <c r="I101" s="13"/>
      <c r="J101" s="13"/>
      <c r="K101" s="13"/>
      <c r="L101" s="13"/>
    </row>
    <row r="102" customFormat="false" ht="13.8" hidden="false" customHeight="false" outlineLevel="0" collapsed="false">
      <c r="A102" s="13" t="s">
        <v>339</v>
      </c>
      <c r="B102" s="13"/>
      <c r="C102" s="13"/>
      <c r="D102" s="13"/>
      <c r="E102" s="14" t="s">
        <v>341</v>
      </c>
      <c r="F102" s="13"/>
      <c r="G102" s="13"/>
      <c r="H102" s="15"/>
      <c r="I102" s="13"/>
      <c r="J102" s="13"/>
      <c r="K102" s="13"/>
      <c r="L102" s="13"/>
    </row>
    <row r="103" customFormat="false" ht="13.8" hidden="false" customHeight="false" outlineLevel="0" collapsed="false">
      <c r="A103" s="13" t="s">
        <v>339</v>
      </c>
      <c r="B103" s="13"/>
      <c r="C103" s="13"/>
      <c r="D103" s="13"/>
      <c r="E103" s="14" t="s">
        <v>342</v>
      </c>
      <c r="F103" s="13"/>
      <c r="G103" s="13"/>
      <c r="H103" s="15"/>
      <c r="I103" s="13"/>
      <c r="J103" s="13"/>
      <c r="K103" s="13"/>
      <c r="L103" s="13"/>
    </row>
    <row r="104" customFormat="false" ht="13.8" hidden="false" customHeight="false" outlineLevel="0" collapsed="false">
      <c r="A104" s="13" t="s">
        <v>339</v>
      </c>
      <c r="B104" s="13"/>
      <c r="C104" s="13"/>
      <c r="D104" s="13"/>
      <c r="E104" s="14" t="s">
        <v>343</v>
      </c>
      <c r="F104" s="13"/>
      <c r="G104" s="13"/>
      <c r="H104" s="15"/>
      <c r="I104" s="13"/>
      <c r="J104" s="13"/>
      <c r="K104" s="13"/>
      <c r="L104" s="13"/>
    </row>
    <row r="105" customFormat="false" ht="13.8" hidden="false" customHeight="false" outlineLevel="0" collapsed="false">
      <c r="A105" s="13" t="s">
        <v>339</v>
      </c>
      <c r="B105" s="13"/>
      <c r="C105" s="13"/>
      <c r="D105" s="13"/>
      <c r="E105" s="14" t="s">
        <v>344</v>
      </c>
      <c r="F105" s="13"/>
      <c r="G105" s="13"/>
      <c r="H105" s="15"/>
      <c r="I105" s="13"/>
      <c r="J105" s="13"/>
      <c r="K105" s="13"/>
      <c r="L105" s="13"/>
    </row>
    <row r="106" customFormat="false" ht="13.8" hidden="false" customHeight="false" outlineLevel="0" collapsed="false">
      <c r="A106" s="13" t="s">
        <v>339</v>
      </c>
      <c r="B106" s="13"/>
      <c r="C106" s="13"/>
      <c r="D106" s="13"/>
      <c r="E106" s="14" t="s">
        <v>345</v>
      </c>
      <c r="F106" s="13"/>
      <c r="G106" s="13"/>
      <c r="H106" s="15"/>
      <c r="I106" s="13"/>
      <c r="J106" s="13"/>
      <c r="K106" s="13"/>
      <c r="L106" s="13"/>
    </row>
    <row r="107" customFormat="false" ht="13.8" hidden="false" customHeight="false" outlineLevel="0" collapsed="false">
      <c r="A107" s="13" t="s">
        <v>339</v>
      </c>
      <c r="B107" s="13"/>
      <c r="C107" s="13"/>
      <c r="D107" s="13"/>
      <c r="E107" s="14" t="s">
        <v>346</v>
      </c>
      <c r="F107" s="13"/>
      <c r="G107" s="13"/>
      <c r="H107" s="15"/>
      <c r="I107" s="13"/>
      <c r="J107" s="13"/>
      <c r="K107" s="13"/>
      <c r="L107" s="13"/>
    </row>
    <row r="108" customFormat="false" ht="13.8" hidden="false" customHeight="false" outlineLevel="0" collapsed="false">
      <c r="A108" s="13" t="s">
        <v>339</v>
      </c>
      <c r="B108" s="13"/>
      <c r="C108" s="13"/>
      <c r="D108" s="13"/>
      <c r="E108" s="14" t="s">
        <v>343</v>
      </c>
      <c r="F108" s="13"/>
      <c r="G108" s="13"/>
      <c r="H108" s="15"/>
      <c r="I108" s="13"/>
      <c r="J108" s="13"/>
      <c r="K108" s="13"/>
      <c r="L108" s="13"/>
    </row>
    <row r="109" customFormat="false" ht="13.8" hidden="false" customHeight="false" outlineLevel="0" collapsed="false">
      <c r="A109" s="13" t="s">
        <v>339</v>
      </c>
      <c r="B109" s="13"/>
      <c r="C109" s="13"/>
      <c r="D109" s="13"/>
      <c r="E109" s="14" t="s">
        <v>347</v>
      </c>
      <c r="F109" s="13"/>
      <c r="G109" s="13"/>
      <c r="H109" s="15"/>
      <c r="I109" s="13"/>
      <c r="J109" s="13"/>
      <c r="K109" s="13"/>
      <c r="L109" s="13"/>
    </row>
    <row r="110" s="8" customFormat="true" ht="13.8" hidden="false" customHeight="false" outlineLevel="0" collapsed="false">
      <c r="A110" s="8" t="s">
        <v>339</v>
      </c>
      <c r="E110" s="11" t="s">
        <v>348</v>
      </c>
    </row>
    <row r="111" s="8" customFormat="true" ht="13.8" hidden="false" customHeight="false" outlineLevel="0" collapsed="false">
      <c r="A111" s="8" t="s">
        <v>339</v>
      </c>
      <c r="E111" s="9" t="s">
        <v>349</v>
      </c>
    </row>
    <row r="112" s="8" customFormat="true" ht="13.8" hidden="false" customHeight="false" outlineLevel="0" collapsed="false">
      <c r="A112" s="10" t="s">
        <v>350</v>
      </c>
      <c r="B112" s="10"/>
      <c r="C112" s="10"/>
      <c r="D112" s="10"/>
      <c r="E112" s="11" t="s">
        <v>351</v>
      </c>
      <c r="F112" s="10" t="s">
        <v>352</v>
      </c>
      <c r="G112" s="10"/>
      <c r="I112" s="10"/>
      <c r="J112" s="10"/>
      <c r="K112" s="10"/>
      <c r="L112" s="10"/>
    </row>
    <row r="113" s="8" customFormat="true" ht="13.8" hidden="false" customHeight="false" outlineLevel="0" collapsed="false">
      <c r="A113" s="10" t="s">
        <v>353</v>
      </c>
      <c r="B113" s="10"/>
      <c r="C113" s="10"/>
      <c r="D113" s="10" t="s">
        <v>354</v>
      </c>
      <c r="E113" s="12"/>
      <c r="F113" s="10"/>
      <c r="G113" s="10"/>
      <c r="I113" s="10"/>
      <c r="J113" s="10"/>
      <c r="K113" s="10"/>
      <c r="L113" s="10"/>
    </row>
    <row r="114" s="8" customFormat="true" ht="23.85" hidden="false" customHeight="false" outlineLevel="0" collapsed="false">
      <c r="A114" s="10" t="s">
        <v>355</v>
      </c>
      <c r="B114" s="10"/>
      <c r="C114" s="10"/>
      <c r="D114" s="10"/>
      <c r="E114" s="12" t="s">
        <v>356</v>
      </c>
      <c r="F114" s="10"/>
      <c r="G114" s="10"/>
      <c r="I114" s="10"/>
      <c r="J114" s="10"/>
      <c r="K114" s="10"/>
      <c r="L114" s="10"/>
    </row>
    <row r="115" s="8" customFormat="true" ht="13.8" hidden="false" customHeight="false" outlineLevel="0" collapsed="false">
      <c r="A115" s="8" t="s">
        <v>357</v>
      </c>
      <c r="E115" s="11" t="s">
        <v>358</v>
      </c>
      <c r="F115" s="10" t="s">
        <v>359</v>
      </c>
    </row>
    <row r="116" s="8" customFormat="true" ht="13.8" hidden="false" customHeight="false" outlineLevel="0" collapsed="false">
      <c r="A116" s="10" t="s">
        <v>360</v>
      </c>
      <c r="B116" s="10"/>
      <c r="C116" s="10"/>
      <c r="D116" s="10"/>
      <c r="E116" s="11" t="s">
        <v>358</v>
      </c>
      <c r="F116" s="10" t="s">
        <v>359</v>
      </c>
      <c r="G116" s="10"/>
      <c r="I116" s="10"/>
      <c r="J116" s="10"/>
      <c r="K116" s="23" t="s">
        <v>361</v>
      </c>
      <c r="L116" s="10"/>
    </row>
    <row r="117" s="8" customFormat="true" ht="13.8" hidden="false" customHeight="false" outlineLevel="0" collapsed="false">
      <c r="A117" s="8" t="s">
        <v>362</v>
      </c>
      <c r="E117" s="11" t="s">
        <v>363</v>
      </c>
      <c r="F117" s="10" t="s">
        <v>77</v>
      </c>
    </row>
    <row r="118" s="8" customFormat="true" ht="13.8" hidden="false" customHeight="false" outlineLevel="0" collapsed="false">
      <c r="A118" s="10" t="s">
        <v>364</v>
      </c>
      <c r="B118" s="10"/>
      <c r="C118" s="10"/>
      <c r="D118" s="10"/>
      <c r="E118" s="11" t="s">
        <v>365</v>
      </c>
      <c r="F118" s="10"/>
      <c r="G118" s="10"/>
      <c r="I118" s="10"/>
      <c r="J118" s="10"/>
      <c r="K118" s="10"/>
      <c r="L118" s="10"/>
    </row>
    <row r="119" s="8" customFormat="true" ht="13.8" hidden="false" customHeight="false" outlineLevel="0" collapsed="false">
      <c r="A119" s="10" t="s">
        <v>366</v>
      </c>
      <c r="B119" s="10"/>
      <c r="C119" s="10"/>
      <c r="D119" s="10"/>
      <c r="E119" s="11" t="s">
        <v>367</v>
      </c>
      <c r="F119" s="10"/>
      <c r="G119" s="10"/>
      <c r="I119" s="10"/>
      <c r="J119" s="10"/>
      <c r="K119" s="10"/>
      <c r="L119" s="10"/>
    </row>
    <row r="120" s="8" customFormat="true" ht="13.8" hidden="false" customHeight="false" outlineLevel="0" collapsed="false">
      <c r="A120" s="10" t="s">
        <v>368</v>
      </c>
      <c r="B120" s="10"/>
      <c r="C120" s="10"/>
      <c r="D120" s="10"/>
      <c r="E120" s="11" t="s">
        <v>369</v>
      </c>
      <c r="F120" s="10" t="s">
        <v>370</v>
      </c>
      <c r="G120" s="10"/>
      <c r="I120" s="10"/>
      <c r="J120" s="10"/>
      <c r="K120" s="10"/>
      <c r="L120" s="10"/>
    </row>
    <row r="121" s="8" customFormat="true" ht="13.8" hidden="false" customHeight="false" outlineLevel="0" collapsed="false">
      <c r="A121" s="10" t="s">
        <v>371</v>
      </c>
      <c r="B121" s="10"/>
      <c r="C121" s="10"/>
      <c r="D121" s="10"/>
      <c r="E121" s="11" t="s">
        <v>372</v>
      </c>
      <c r="F121" s="10"/>
      <c r="G121" s="10"/>
      <c r="I121" s="10"/>
      <c r="J121" s="10"/>
      <c r="K121" s="10"/>
      <c r="L121" s="10"/>
    </row>
    <row r="122" s="8" customFormat="true" ht="13.8" hidden="false" customHeight="false" outlineLevel="0" collapsed="false">
      <c r="A122" s="10" t="s">
        <v>373</v>
      </c>
      <c r="B122" s="10"/>
      <c r="C122" s="10"/>
      <c r="D122" s="10"/>
      <c r="E122" s="11" t="s">
        <v>374</v>
      </c>
      <c r="F122" s="10"/>
      <c r="G122" s="10"/>
      <c r="I122" s="10"/>
      <c r="J122" s="10"/>
      <c r="K122" s="10"/>
      <c r="L122" s="10"/>
    </row>
    <row r="123" s="8" customFormat="true" ht="13.8" hidden="false" customHeight="false" outlineLevel="0" collapsed="false">
      <c r="A123" s="10" t="s">
        <v>375</v>
      </c>
      <c r="B123" s="10"/>
      <c r="C123" s="10"/>
      <c r="D123" s="10"/>
      <c r="E123" s="11" t="s">
        <v>376</v>
      </c>
      <c r="F123" s="10" t="s">
        <v>146</v>
      </c>
      <c r="G123" s="10"/>
      <c r="I123" s="10"/>
      <c r="J123" s="10"/>
      <c r="K123" s="10"/>
      <c r="L123" s="10"/>
    </row>
    <row r="124" s="8" customFormat="true" ht="13.8" hidden="false" customHeight="false" outlineLevel="0" collapsed="false">
      <c r="A124" s="10" t="s">
        <v>377</v>
      </c>
      <c r="B124" s="10"/>
      <c r="C124" s="10"/>
      <c r="D124" s="10"/>
      <c r="E124" s="11" t="s">
        <v>378</v>
      </c>
      <c r="F124" s="10" t="s">
        <v>379</v>
      </c>
      <c r="G124" s="10"/>
    </row>
    <row r="125" s="8" customFormat="true" ht="13.8" hidden="false" customHeight="false" outlineLevel="0" collapsed="false">
      <c r="A125" s="10" t="s">
        <v>380</v>
      </c>
      <c r="B125" s="10"/>
      <c r="C125" s="10"/>
      <c r="D125" s="10"/>
      <c r="E125" s="11" t="s">
        <v>381</v>
      </c>
      <c r="F125" s="10"/>
      <c r="G125" s="10"/>
    </row>
    <row r="126" s="8" customFormat="true" ht="13.8" hidden="false" customHeight="false" outlineLevel="0" collapsed="false">
      <c r="A126" s="10" t="s">
        <v>382</v>
      </c>
      <c r="B126" s="10"/>
      <c r="C126" s="10"/>
      <c r="D126" s="10"/>
      <c r="E126" s="11" t="s">
        <v>383</v>
      </c>
      <c r="F126" s="10"/>
      <c r="G126" s="10"/>
      <c r="I126" s="10"/>
      <c r="J126" s="10"/>
      <c r="K126" s="10"/>
      <c r="L126" s="10"/>
    </row>
    <row r="127" s="8" customFormat="true" ht="13.8" hidden="false" customHeight="false" outlineLevel="0" collapsed="false">
      <c r="A127" s="8" t="s">
        <v>384</v>
      </c>
      <c r="E127" s="9" t="s">
        <v>385</v>
      </c>
      <c r="F127" s="8" t="s">
        <v>386</v>
      </c>
    </row>
    <row r="128" s="8" customFormat="true" ht="13.8" hidden="false" customHeight="false" outlineLevel="0" collapsed="false">
      <c r="A128" s="8" t="s">
        <v>387</v>
      </c>
      <c r="E128" s="9" t="s">
        <v>388</v>
      </c>
      <c r="F128" s="8" t="s">
        <v>389</v>
      </c>
    </row>
    <row r="129" s="8" customFormat="true" ht="13.8" hidden="false" customHeight="false" outlineLevel="0" collapsed="false">
      <c r="A129" s="8" t="s">
        <v>390</v>
      </c>
      <c r="E129" s="9" t="s">
        <v>391</v>
      </c>
      <c r="F129" s="8" t="s">
        <v>392</v>
      </c>
    </row>
    <row r="130" s="8" customFormat="true" ht="13.8" hidden="false" customHeight="false" outlineLevel="0" collapsed="false">
      <c r="A130" s="8" t="s">
        <v>393</v>
      </c>
      <c r="E130" s="9" t="s">
        <v>394</v>
      </c>
      <c r="F130" s="8" t="s">
        <v>88</v>
      </c>
    </row>
    <row r="131" s="8" customFormat="true" ht="13.8" hidden="false" customHeight="false" outlineLevel="0" collapsed="false">
      <c r="A131" s="10" t="s">
        <v>395</v>
      </c>
      <c r="B131" s="10"/>
      <c r="C131" s="10"/>
      <c r="D131" s="10"/>
      <c r="E131" s="11" t="s">
        <v>396</v>
      </c>
      <c r="F131" s="10"/>
      <c r="G131" s="10"/>
      <c r="I131" s="10"/>
      <c r="J131" s="10"/>
      <c r="K131" s="10"/>
      <c r="L131" s="10"/>
    </row>
    <row r="132" s="8" customFormat="true" ht="13.8" hidden="false" customHeight="false" outlineLevel="0" collapsed="false">
      <c r="A132" s="10" t="s">
        <v>397</v>
      </c>
      <c r="B132" s="10"/>
      <c r="C132" s="10"/>
      <c r="D132" s="10"/>
      <c r="E132" s="11" t="s">
        <v>398</v>
      </c>
      <c r="F132" s="10"/>
      <c r="G132" s="10"/>
      <c r="I132" s="10"/>
      <c r="J132" s="10"/>
      <c r="K132" s="10"/>
      <c r="L132" s="10"/>
    </row>
    <row r="133" s="8" customFormat="true" ht="13.8" hidden="false" customHeight="false" outlineLevel="0" collapsed="false">
      <c r="A133" s="10" t="s">
        <v>399</v>
      </c>
      <c r="B133" s="10"/>
      <c r="C133" s="10"/>
      <c r="D133" s="10"/>
      <c r="E133" s="11" t="s">
        <v>400</v>
      </c>
      <c r="F133" s="24"/>
      <c r="G133" s="10"/>
      <c r="I133" s="10"/>
      <c r="J133" s="10"/>
      <c r="K133" s="10"/>
      <c r="L133" s="10"/>
    </row>
    <row r="134" s="8" customFormat="true" ht="13.8" hidden="false" customHeight="false" outlineLevel="0" collapsed="false">
      <c r="A134" s="10" t="s">
        <v>401</v>
      </c>
      <c r="B134" s="10"/>
      <c r="C134" s="10"/>
      <c r="D134" s="10"/>
      <c r="E134" s="11" t="s">
        <v>402</v>
      </c>
      <c r="F134" s="10"/>
      <c r="G134" s="10"/>
      <c r="I134" s="10"/>
      <c r="J134" s="10"/>
      <c r="K134" s="10"/>
      <c r="L134" s="10"/>
    </row>
    <row r="135" s="8" customFormat="true" ht="13.8" hidden="false" customHeight="false" outlineLevel="0" collapsed="false">
      <c r="A135" s="10" t="s">
        <v>403</v>
      </c>
      <c r="B135" s="10"/>
      <c r="C135" s="10"/>
      <c r="D135" s="10"/>
      <c r="E135" s="11" t="s">
        <v>404</v>
      </c>
      <c r="F135" s="10"/>
      <c r="G135" s="10"/>
      <c r="I135" s="10"/>
      <c r="J135" s="10"/>
      <c r="K135" s="10"/>
      <c r="L135" s="10"/>
    </row>
    <row r="136" s="8" customFormat="true" ht="13.8" hidden="false" customHeight="false" outlineLevel="0" collapsed="false">
      <c r="A136" s="10" t="s">
        <v>405</v>
      </c>
      <c r="B136" s="10"/>
      <c r="C136" s="10"/>
      <c r="D136" s="10"/>
      <c r="E136" s="11" t="s">
        <v>406</v>
      </c>
      <c r="F136" s="10"/>
      <c r="G136" s="10"/>
      <c r="I136" s="10"/>
      <c r="J136" s="10"/>
      <c r="K136" s="10"/>
      <c r="L136" s="10"/>
    </row>
    <row r="137" s="16" customFormat="true" ht="13.8" hidden="false" customHeight="false" outlineLevel="0" collapsed="false">
      <c r="A137" s="16" t="s">
        <v>407</v>
      </c>
      <c r="E137" s="9" t="s">
        <v>408</v>
      </c>
      <c r="F137" s="8"/>
      <c r="H137" s="8"/>
      <c r="I137" s="8"/>
      <c r="J137" s="8"/>
      <c r="K137" s="8"/>
      <c r="L137" s="8"/>
    </row>
    <row r="138" s="8" customFormat="true" ht="13.8" hidden="false" customHeight="false" outlineLevel="0" collapsed="false">
      <c r="A138" s="8" t="s">
        <v>409</v>
      </c>
      <c r="E138" s="9" t="s">
        <v>410</v>
      </c>
      <c r="F138" s="8" t="s">
        <v>411</v>
      </c>
    </row>
    <row r="139" s="8" customFormat="true" ht="13.8" hidden="false" customHeight="false" outlineLevel="0" collapsed="false">
      <c r="A139" s="10" t="s">
        <v>412</v>
      </c>
      <c r="B139" s="10"/>
      <c r="C139" s="10"/>
      <c r="D139" s="10"/>
      <c r="E139" s="11" t="s">
        <v>242</v>
      </c>
      <c r="F139" s="10" t="s">
        <v>413</v>
      </c>
      <c r="G139" s="10"/>
      <c r="I139" s="10"/>
      <c r="J139" s="10"/>
      <c r="K139" s="10"/>
      <c r="L139" s="10"/>
    </row>
    <row r="140" customFormat="false" ht="13.8" hidden="false" customHeight="false" outlineLevel="0" collapsed="false">
      <c r="H140" s="8"/>
    </row>
    <row r="141" customFormat="false" ht="13.8" hidden="false" customHeight="false" outlineLevel="0" collapsed="false">
      <c r="H141" s="8"/>
    </row>
    <row r="142" customFormat="false" ht="13.8" hidden="false" customHeight="false" outlineLevel="0" collapsed="false">
      <c r="H142" s="8"/>
    </row>
  </sheetData>
  <autoFilter ref="A1:L1"/>
  <conditionalFormatting sqref="A137:G137">
    <cfRule type="containsText" priority="2" operator="containsText" aboveAverage="0" equalAverage="0" bottom="0" percent="0" rank="0" text="GET" dxfId="2">
      <formula>NOT(ISERROR(SEARCH("GET",A137)))</formula>
    </cfRule>
  </conditionalFormatting>
  <dataValidations count="4">
    <dataValidation allowBlank="true" errorStyle="stop" operator="equal" showDropDown="false" showErrorMessage="true" showInputMessage="true" sqref="B1:B1139" type="list">
      <formula1>"class,table,tuple,value"</formula1>
      <formula2>0</formula2>
    </dataValidation>
    <dataValidation allowBlank="true" errorStyle="stop" operator="equal" showDropDown="false" showErrorMessage="true" showInputMessage="true" sqref="C1:C1139" type="list">
      <formula1>"boolean,categorical,character,date,float,integer,NA,padded"</formula1>
      <formula2>0</formula2>
    </dataValidation>
    <dataValidation allowBlank="true" errorStyle="stop" operator="equal" showDropDown="false" showErrorMessage="true" showInputMessage="true" sqref="D1:E1139" type="none">
      <formula1>0</formula1>
      <formula2>0</formula2>
    </dataValidation>
    <dataValidation allowBlank="true" errorStyle="stop" operator="equal" showDropDown="false" showErrorMessage="true" showInputMessage="true" sqref="F1:F1139" type="list">
      <formula1>"boolean,categorical,character,integer"</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3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 activeCellId="0" sqref="C1"/>
    </sheetView>
  </sheetViews>
  <sheetFormatPr defaultColWidth="8.78515625" defaultRowHeight="13.8" zeroHeight="false" outlineLevelRow="0" outlineLevelCol="0"/>
  <cols>
    <col collapsed="false" customWidth="true" hidden="false" outlineLevel="0" max="1" min="1" style="25" width="14.49"/>
    <col collapsed="false" customWidth="true" hidden="false" outlineLevel="0" max="3" min="2" style="0" width="14.49"/>
    <col collapsed="false" customWidth="true" hidden="false" outlineLevel="0" max="4" min="4" style="26" width="14.49"/>
    <col collapsed="false" customWidth="true" hidden="false" outlineLevel="0" max="5" min="5" style="8" width="22.28"/>
    <col collapsed="false" customWidth="true" hidden="false" outlineLevel="0" max="7" min="7" style="0" width="10.85"/>
    <col collapsed="false" customWidth="true" hidden="false" outlineLevel="0" max="10" min="10" style="0" width="16.87"/>
    <col collapsed="false" customWidth="true" hidden="false" outlineLevel="0" max="13" min="13" style="0" width="12.86"/>
    <col collapsed="false" customWidth="true" hidden="false" outlineLevel="0" max="14" min="14" style="0" width="10.12"/>
    <col collapsed="false" customWidth="true" hidden="false" outlineLevel="0" max="16" min="16" style="0" width="14.69"/>
    <col collapsed="false" customWidth="true" hidden="false" outlineLevel="0" max="17" min="17" style="0" width="13.57"/>
    <col collapsed="false" customWidth="true" hidden="false" outlineLevel="0" max="18" min="18" style="0" width="51"/>
    <col collapsed="false" customWidth="true" hidden="false" outlineLevel="0" max="19" min="19" style="0" width="17.86"/>
    <col collapsed="false" customWidth="true" hidden="false" outlineLevel="0" max="20" min="20" style="0" width="17.4"/>
    <col collapsed="false" customWidth="true" hidden="false" outlineLevel="0" max="21" min="21" style="0" width="26.71"/>
    <col collapsed="false" customWidth="true" hidden="false" outlineLevel="0" max="22" min="22" style="0" width="10.12"/>
    <col collapsed="false" customWidth="true" hidden="false" outlineLevel="0" max="24" min="24" style="0" width="13.02"/>
    <col collapsed="false" customWidth="true" hidden="false" outlineLevel="0" max="25" min="25" style="0" width="10.85"/>
    <col collapsed="false" customWidth="true" hidden="false" outlineLevel="0" max="28" min="28" style="0" width="12.86"/>
    <col collapsed="false" customWidth="true" hidden="false" outlineLevel="0" max="29" min="29" style="0" width="10.12"/>
    <col collapsed="false" customWidth="true" hidden="false" outlineLevel="0" max="37" min="37" style="0" width="10.12"/>
    <col collapsed="false" customWidth="true" hidden="false" outlineLevel="0" max="39" min="39" style="0" width="10.12"/>
  </cols>
  <sheetData>
    <row r="1" customFormat="false" ht="13.8" hidden="false" customHeight="false" outlineLevel="0" collapsed="false">
      <c r="A1" s="25" t="s">
        <v>360</v>
      </c>
      <c r="B1" s="0" t="s">
        <v>414</v>
      </c>
      <c r="C1" s="0" t="s">
        <v>415</v>
      </c>
      <c r="D1" s="27" t="s">
        <v>416</v>
      </c>
      <c r="E1" s="28" t="s">
        <v>44</v>
      </c>
      <c r="F1" s="28" t="s">
        <v>147</v>
      </c>
      <c r="G1" s="28" t="s">
        <v>417</v>
      </c>
      <c r="I1" s="28" t="s">
        <v>231</v>
      </c>
      <c r="J1" s="28" t="s">
        <v>205</v>
      </c>
      <c r="K1" s="8"/>
      <c r="L1" s="28" t="s">
        <v>198</v>
      </c>
      <c r="M1" s="8" t="s">
        <v>415</v>
      </c>
      <c r="N1" s="29" t="s">
        <v>418</v>
      </c>
      <c r="O1" s="28" t="s">
        <v>82</v>
      </c>
      <c r="P1" s="28" t="s">
        <v>286</v>
      </c>
      <c r="Q1" s="28" t="s">
        <v>212</v>
      </c>
      <c r="R1" s="28" t="s">
        <v>284</v>
      </c>
      <c r="S1" s="28" t="s">
        <v>419</v>
      </c>
      <c r="T1" s="28" t="s">
        <v>420</v>
      </c>
      <c r="U1" s="28" t="s">
        <v>421</v>
      </c>
      <c r="V1" s="28"/>
    </row>
    <row r="2" customFormat="false" ht="13.8" hidden="false" customHeight="false" outlineLevel="0" collapsed="false">
      <c r="A2" s="25" t="s">
        <v>422</v>
      </c>
      <c r="B2" s="0" t="s">
        <v>423</v>
      </c>
      <c r="D2" s="26" t="s">
        <v>424</v>
      </c>
      <c r="E2" s="30" t="s">
        <v>425</v>
      </c>
      <c r="F2" s="0" t="s">
        <v>426</v>
      </c>
      <c r="G2" s="0" t="s">
        <v>427</v>
      </c>
      <c r="I2" s="0" t="s">
        <v>427</v>
      </c>
      <c r="N2" s="29" t="s">
        <v>427</v>
      </c>
      <c r="V2" s="28"/>
    </row>
    <row r="3" customFormat="false" ht="13.8" hidden="false" customHeight="false" outlineLevel="0" collapsed="false">
      <c r="A3" s="25" t="s">
        <v>428</v>
      </c>
      <c r="B3" s="0" t="s">
        <v>423</v>
      </c>
      <c r="D3" s="26" t="s">
        <v>429</v>
      </c>
      <c r="E3" s="30" t="s">
        <v>430</v>
      </c>
      <c r="F3" s="0" t="s">
        <v>426</v>
      </c>
      <c r="G3" s="0" t="s">
        <v>427</v>
      </c>
      <c r="I3" s="0" t="s">
        <v>427</v>
      </c>
      <c r="N3" s="29" t="s">
        <v>427</v>
      </c>
    </row>
    <row r="4" customFormat="false" ht="13.8" hidden="false" customHeight="false" outlineLevel="0" collapsed="false">
      <c r="A4" s="25" t="s">
        <v>431</v>
      </c>
      <c r="B4" s="0" t="s">
        <v>423</v>
      </c>
      <c r="D4" s="26" t="s">
        <v>432</v>
      </c>
      <c r="E4" s="30" t="s">
        <v>433</v>
      </c>
      <c r="F4" s="0" t="s">
        <v>426</v>
      </c>
      <c r="G4" s="0" t="s">
        <v>427</v>
      </c>
      <c r="I4" s="0" t="s">
        <v>427</v>
      </c>
      <c r="N4" s="29" t="s">
        <v>427</v>
      </c>
    </row>
    <row r="5" customFormat="false" ht="13.8" hidden="false" customHeight="false" outlineLevel="0" collapsed="false">
      <c r="A5" s="25" t="s">
        <v>434</v>
      </c>
      <c r="B5" s="0" t="s">
        <v>423</v>
      </c>
      <c r="D5" s="26" t="s">
        <v>435</v>
      </c>
      <c r="E5" s="30" t="s">
        <v>436</v>
      </c>
      <c r="F5" s="0" t="s">
        <v>426</v>
      </c>
      <c r="G5" s="0" t="s">
        <v>427</v>
      </c>
      <c r="I5" s="0" t="s">
        <v>427</v>
      </c>
      <c r="N5" s="29" t="s">
        <v>427</v>
      </c>
    </row>
    <row r="6" customFormat="false" ht="13.8" hidden="false" customHeight="false" outlineLevel="0" collapsed="false">
      <c r="A6" s="25" t="s">
        <v>437</v>
      </c>
      <c r="B6" s="0" t="s">
        <v>423</v>
      </c>
      <c r="D6" s="26" t="s">
        <v>438</v>
      </c>
      <c r="E6" s="30" t="s">
        <v>439</v>
      </c>
      <c r="F6" s="0" t="s">
        <v>426</v>
      </c>
      <c r="G6" s="0" t="s">
        <v>427</v>
      </c>
      <c r="I6" s="0" t="s">
        <v>427</v>
      </c>
      <c r="N6" s="29" t="s">
        <v>427</v>
      </c>
    </row>
    <row r="7" customFormat="false" ht="13.8" hidden="false" customHeight="false" outlineLevel="0" collapsed="false">
      <c r="A7" s="25" t="s">
        <v>440</v>
      </c>
      <c r="B7" s="0" t="s">
        <v>423</v>
      </c>
      <c r="D7" s="26" t="s">
        <v>441</v>
      </c>
      <c r="E7" s="30" t="s">
        <v>442</v>
      </c>
      <c r="F7" s="0" t="s">
        <v>426</v>
      </c>
      <c r="G7" s="0" t="s">
        <v>427</v>
      </c>
      <c r="I7" s="0" t="s">
        <v>427</v>
      </c>
      <c r="N7" s="29" t="s">
        <v>427</v>
      </c>
    </row>
    <row r="8" customFormat="false" ht="13.8" hidden="false" customHeight="false" outlineLevel="0" collapsed="false">
      <c r="A8" s="25" t="s">
        <v>443</v>
      </c>
      <c r="B8" s="0" t="s">
        <v>423</v>
      </c>
      <c r="D8" s="26" t="s">
        <v>444</v>
      </c>
      <c r="E8" s="30" t="s">
        <v>445</v>
      </c>
      <c r="F8" s="0" t="s">
        <v>426</v>
      </c>
      <c r="N8" s="29" t="s">
        <v>427</v>
      </c>
    </row>
    <row r="9" customFormat="false" ht="13.8" hidden="false" customHeight="false" outlineLevel="0" collapsed="false">
      <c r="A9" s="25" t="s">
        <v>446</v>
      </c>
      <c r="B9" s="0" t="s">
        <v>423</v>
      </c>
      <c r="D9" s="26" t="s">
        <v>447</v>
      </c>
      <c r="E9" s="30" t="s">
        <v>448</v>
      </c>
      <c r="F9" s="0" t="s">
        <v>426</v>
      </c>
      <c r="N9" s="29" t="s">
        <v>427</v>
      </c>
    </row>
    <row r="10" customFormat="false" ht="13.8" hidden="false" customHeight="false" outlineLevel="0" collapsed="false">
      <c r="A10" s="25" t="s">
        <v>449</v>
      </c>
      <c r="B10" s="0" t="s">
        <v>423</v>
      </c>
      <c r="D10" s="26" t="s">
        <v>450</v>
      </c>
      <c r="E10" s="30" t="s">
        <v>451</v>
      </c>
      <c r="F10" s="0" t="s">
        <v>426</v>
      </c>
      <c r="N10" s="29" t="s">
        <v>427</v>
      </c>
    </row>
    <row r="11" customFormat="false" ht="13.8" hidden="false" customHeight="false" outlineLevel="0" collapsed="false">
      <c r="A11" s="25" t="s">
        <v>452</v>
      </c>
      <c r="B11" s="0" t="s">
        <v>423</v>
      </c>
      <c r="D11" s="26" t="s">
        <v>453</v>
      </c>
      <c r="E11" s="30" t="s">
        <v>454</v>
      </c>
      <c r="F11" s="0" t="s">
        <v>426</v>
      </c>
      <c r="N11" s="29" t="s">
        <v>427</v>
      </c>
    </row>
    <row r="12" customFormat="false" ht="13.8" hidden="false" customHeight="false" outlineLevel="0" collapsed="false">
      <c r="A12" s="25" t="s">
        <v>455</v>
      </c>
      <c r="B12" s="0" t="s">
        <v>423</v>
      </c>
      <c r="D12" s="26" t="s">
        <v>456</v>
      </c>
      <c r="E12" s="30" t="s">
        <v>457</v>
      </c>
      <c r="F12" s="0" t="s">
        <v>426</v>
      </c>
      <c r="N12" s="29" t="s">
        <v>427</v>
      </c>
    </row>
    <row r="13" customFormat="false" ht="13.8" hidden="false" customHeight="false" outlineLevel="0" collapsed="false">
      <c r="A13" s="25" t="s">
        <v>458</v>
      </c>
      <c r="B13" s="0" t="s">
        <v>423</v>
      </c>
      <c r="D13" s="26" t="s">
        <v>459</v>
      </c>
      <c r="E13" s="30" t="s">
        <v>460</v>
      </c>
      <c r="F13" s="0" t="s">
        <v>426</v>
      </c>
      <c r="N13" s="29" t="s">
        <v>427</v>
      </c>
    </row>
    <row r="14" customFormat="false" ht="13.8" hidden="false" customHeight="false" outlineLevel="0" collapsed="false">
      <c r="A14" s="25" t="s">
        <v>461</v>
      </c>
      <c r="B14" s="0" t="s">
        <v>423</v>
      </c>
      <c r="D14" s="26" t="s">
        <v>462</v>
      </c>
      <c r="E14" s="8" t="s">
        <v>463</v>
      </c>
      <c r="F14" s="0" t="s">
        <v>426</v>
      </c>
      <c r="G14" s="0" t="s">
        <v>427</v>
      </c>
      <c r="N14" s="29" t="s">
        <v>427</v>
      </c>
    </row>
    <row r="15" customFormat="false" ht="13.8" hidden="false" customHeight="false" outlineLevel="0" collapsed="false">
      <c r="A15" s="25" t="s">
        <v>464</v>
      </c>
      <c r="B15" s="0" t="s">
        <v>423</v>
      </c>
      <c r="D15" s="26" t="s">
        <v>465</v>
      </c>
      <c r="E15" s="8" t="s">
        <v>466</v>
      </c>
      <c r="F15" s="0" t="s">
        <v>426</v>
      </c>
      <c r="G15" s="0" t="s">
        <v>427</v>
      </c>
      <c r="N15" s="29" t="s">
        <v>427</v>
      </c>
    </row>
    <row r="16" customFormat="false" ht="13.8" hidden="false" customHeight="false" outlineLevel="0" collapsed="false">
      <c r="A16" s="25" t="s">
        <v>467</v>
      </c>
      <c r="B16" s="0" t="s">
        <v>423</v>
      </c>
      <c r="D16" s="26" t="s">
        <v>468</v>
      </c>
      <c r="E16" s="8" t="s">
        <v>469</v>
      </c>
      <c r="F16" s="0" t="s">
        <v>426</v>
      </c>
      <c r="G16" s="0" t="s">
        <v>427</v>
      </c>
      <c r="N16" s="29" t="s">
        <v>427</v>
      </c>
    </row>
    <row r="17" customFormat="false" ht="13.8" hidden="false" customHeight="false" outlineLevel="0" collapsed="false">
      <c r="A17" s="25" t="s">
        <v>470</v>
      </c>
      <c r="B17" s="0" t="s">
        <v>423</v>
      </c>
      <c r="D17" s="26" t="s">
        <v>471</v>
      </c>
      <c r="E17" s="8" t="s">
        <v>472</v>
      </c>
      <c r="F17" s="0" t="s">
        <v>426</v>
      </c>
      <c r="G17" s="0" t="s">
        <v>427</v>
      </c>
      <c r="N17" s="29" t="s">
        <v>427</v>
      </c>
    </row>
    <row r="18" customFormat="false" ht="13.8" hidden="false" customHeight="false" outlineLevel="0" collapsed="false">
      <c r="A18" s="25" t="s">
        <v>473</v>
      </c>
      <c r="B18" s="0" t="s">
        <v>423</v>
      </c>
      <c r="D18" s="26" t="s">
        <v>474</v>
      </c>
      <c r="E18" s="8" t="s">
        <v>475</v>
      </c>
      <c r="F18" s="0" t="s">
        <v>426</v>
      </c>
      <c r="G18" s="0" t="s">
        <v>427</v>
      </c>
      <c r="N18" s="29" t="s">
        <v>427</v>
      </c>
    </row>
    <row r="19" customFormat="false" ht="13.8" hidden="false" customHeight="false" outlineLevel="0" collapsed="false">
      <c r="A19" s="25" t="s">
        <v>476</v>
      </c>
      <c r="B19" s="0" t="s">
        <v>423</v>
      </c>
      <c r="D19" s="26" t="s">
        <v>477</v>
      </c>
      <c r="E19" s="8" t="s">
        <v>478</v>
      </c>
      <c r="F19" s="0" t="s">
        <v>426</v>
      </c>
      <c r="G19" s="0" t="s">
        <v>427</v>
      </c>
      <c r="N19" s="29" t="s">
        <v>427</v>
      </c>
    </row>
    <row r="20" customFormat="false" ht="13.8" hidden="false" customHeight="false" outlineLevel="0" collapsed="false">
      <c r="A20" s="25" t="s">
        <v>479</v>
      </c>
      <c r="B20" s="0" t="s">
        <v>480</v>
      </c>
      <c r="D20" s="27" t="s">
        <v>481</v>
      </c>
      <c r="E20" s="8" t="s">
        <v>482</v>
      </c>
      <c r="F20" s="0" t="s">
        <v>483</v>
      </c>
      <c r="G20" s="0" t="s">
        <v>484</v>
      </c>
      <c r="I20" s="0" t="s">
        <v>485</v>
      </c>
      <c r="N20" s="29" t="s">
        <v>427</v>
      </c>
      <c r="O20" s="0" t="s">
        <v>486</v>
      </c>
      <c r="S20" s="0" t="s">
        <v>487</v>
      </c>
      <c r="T20" s="0" t="s">
        <v>487</v>
      </c>
      <c r="U20" s="0" t="s">
        <v>487</v>
      </c>
    </row>
    <row r="21" customFormat="false" ht="13.8" hidden="false" customHeight="false" outlineLevel="0" collapsed="false">
      <c r="A21" s="25" t="s">
        <v>488</v>
      </c>
      <c r="B21" s="0" t="s">
        <v>480</v>
      </c>
      <c r="D21" s="27" t="s">
        <v>489</v>
      </c>
      <c r="E21" s="8" t="s">
        <v>490</v>
      </c>
      <c r="F21" s="0" t="s">
        <v>483</v>
      </c>
      <c r="G21" s="0" t="s">
        <v>484</v>
      </c>
      <c r="I21" s="0" t="s">
        <v>485</v>
      </c>
      <c r="L21" s="0" t="s">
        <v>487</v>
      </c>
      <c r="N21" s="29" t="s">
        <v>487</v>
      </c>
      <c r="O21" s="0" t="s">
        <v>486</v>
      </c>
      <c r="P21" s="0" t="s">
        <v>487</v>
      </c>
      <c r="Q21" s="0" t="s">
        <v>487</v>
      </c>
      <c r="R21" s="0" t="s">
        <v>487</v>
      </c>
      <c r="S21" s="0" t="s">
        <v>487</v>
      </c>
      <c r="T21" s="0" t="s">
        <v>487</v>
      </c>
      <c r="U21" s="0" t="s">
        <v>487</v>
      </c>
    </row>
    <row r="22" customFormat="false" ht="13.8" hidden="false" customHeight="false" outlineLevel="0" collapsed="false">
      <c r="A22" s="25" t="s">
        <v>491</v>
      </c>
      <c r="B22" s="0" t="s">
        <v>480</v>
      </c>
      <c r="D22" s="27" t="s">
        <v>492</v>
      </c>
      <c r="E22" s="8" t="s">
        <v>493</v>
      </c>
      <c r="F22" s="0" t="s">
        <v>483</v>
      </c>
      <c r="G22" s="0" t="s">
        <v>484</v>
      </c>
      <c r="I22" s="0" t="s">
        <v>485</v>
      </c>
      <c r="L22" s="0" t="s">
        <v>487</v>
      </c>
      <c r="N22" s="29" t="s">
        <v>487</v>
      </c>
      <c r="O22" s="0" t="s">
        <v>486</v>
      </c>
      <c r="P22" s="0" t="s">
        <v>487</v>
      </c>
      <c r="Q22" s="0" t="s">
        <v>487</v>
      </c>
      <c r="R22" s="0" t="s">
        <v>487</v>
      </c>
      <c r="S22" s="0" t="s">
        <v>487</v>
      </c>
      <c r="T22" s="0" t="s">
        <v>487</v>
      </c>
      <c r="U22" s="0" t="s">
        <v>487</v>
      </c>
    </row>
    <row r="23" customFormat="false" ht="13.8" hidden="false" customHeight="false" outlineLevel="0" collapsed="false">
      <c r="A23" s="25" t="s">
        <v>494</v>
      </c>
      <c r="B23" s="0" t="s">
        <v>480</v>
      </c>
      <c r="D23" s="27" t="s">
        <v>495</v>
      </c>
      <c r="E23" s="8" t="s">
        <v>496</v>
      </c>
      <c r="F23" s="0" t="s">
        <v>483</v>
      </c>
      <c r="G23" s="0" t="s">
        <v>484</v>
      </c>
      <c r="I23" s="0" t="s">
        <v>485</v>
      </c>
      <c r="L23" s="0" t="s">
        <v>487</v>
      </c>
      <c r="N23" s="29" t="s">
        <v>487</v>
      </c>
      <c r="O23" s="0" t="s">
        <v>486</v>
      </c>
      <c r="P23" s="0" t="s">
        <v>487</v>
      </c>
      <c r="Q23" s="0" t="s">
        <v>487</v>
      </c>
      <c r="R23" s="0" t="s">
        <v>487</v>
      </c>
      <c r="S23" s="0" t="s">
        <v>487</v>
      </c>
      <c r="T23" s="0" t="s">
        <v>487</v>
      </c>
      <c r="U23" s="0" t="s">
        <v>487</v>
      </c>
    </row>
    <row r="24" customFormat="false" ht="13.8" hidden="false" customHeight="false" outlineLevel="0" collapsed="false">
      <c r="A24" s="25" t="s">
        <v>497</v>
      </c>
      <c r="B24" s="0" t="s">
        <v>480</v>
      </c>
      <c r="D24" s="27" t="s">
        <v>498</v>
      </c>
      <c r="E24" s="8" t="s">
        <v>499</v>
      </c>
      <c r="F24" s="0" t="s">
        <v>483</v>
      </c>
      <c r="G24" s="0" t="s">
        <v>484</v>
      </c>
      <c r="I24" s="0" t="s">
        <v>485</v>
      </c>
      <c r="L24" s="0" t="s">
        <v>487</v>
      </c>
      <c r="N24" s="29" t="s">
        <v>487</v>
      </c>
      <c r="O24" s="0" t="s">
        <v>486</v>
      </c>
      <c r="P24" s="0" t="s">
        <v>487</v>
      </c>
      <c r="Q24" s="0" t="s">
        <v>487</v>
      </c>
      <c r="R24" s="0" t="s">
        <v>487</v>
      </c>
      <c r="S24" s="0" t="s">
        <v>487</v>
      </c>
      <c r="T24" s="0" t="s">
        <v>487</v>
      </c>
      <c r="U24" s="0" t="s">
        <v>487</v>
      </c>
    </row>
    <row r="25" customFormat="false" ht="13.8" hidden="false" customHeight="false" outlineLevel="0" collapsed="false">
      <c r="A25" s="25" t="s">
        <v>500</v>
      </c>
      <c r="B25" s="0" t="s">
        <v>480</v>
      </c>
      <c r="D25" s="27" t="s">
        <v>501</v>
      </c>
      <c r="E25" s="8" t="s">
        <v>502</v>
      </c>
      <c r="F25" s="0" t="s">
        <v>483</v>
      </c>
      <c r="G25" s="0" t="s">
        <v>484</v>
      </c>
      <c r="I25" s="0" t="s">
        <v>485</v>
      </c>
      <c r="L25" s="0" t="s">
        <v>487</v>
      </c>
      <c r="N25" s="29" t="s">
        <v>487</v>
      </c>
      <c r="O25" s="0" t="s">
        <v>486</v>
      </c>
      <c r="P25" s="0" t="s">
        <v>487</v>
      </c>
      <c r="Q25" s="0" t="s">
        <v>487</v>
      </c>
      <c r="R25" s="0" t="s">
        <v>487</v>
      </c>
      <c r="S25" s="0" t="s">
        <v>487</v>
      </c>
      <c r="T25" s="0" t="s">
        <v>487</v>
      </c>
      <c r="U25" s="0" t="s">
        <v>487</v>
      </c>
    </row>
    <row r="26" customFormat="false" ht="13.8" hidden="false" customHeight="false" outlineLevel="0" collapsed="false">
      <c r="A26" s="25" t="s">
        <v>503</v>
      </c>
      <c r="B26" s="0" t="s">
        <v>480</v>
      </c>
      <c r="D26" s="27" t="s">
        <v>504</v>
      </c>
      <c r="E26" s="8" t="s">
        <v>505</v>
      </c>
      <c r="F26" s="0" t="s">
        <v>483</v>
      </c>
      <c r="G26" s="0" t="s">
        <v>484</v>
      </c>
      <c r="I26" s="0" t="s">
        <v>485</v>
      </c>
      <c r="L26" s="0" t="s">
        <v>487</v>
      </c>
      <c r="N26" s="29" t="s">
        <v>487</v>
      </c>
      <c r="O26" s="0" t="s">
        <v>486</v>
      </c>
      <c r="P26" s="0" t="s">
        <v>487</v>
      </c>
      <c r="Q26" s="0" t="s">
        <v>487</v>
      </c>
      <c r="R26" s="0" t="s">
        <v>487</v>
      </c>
      <c r="S26" s="0" t="s">
        <v>487</v>
      </c>
      <c r="T26" s="0" t="s">
        <v>487</v>
      </c>
      <c r="U26" s="0" t="s">
        <v>487</v>
      </c>
    </row>
    <row r="27" customFormat="false" ht="13.8" hidden="false" customHeight="false" outlineLevel="0" collapsed="false">
      <c r="A27" s="25" t="s">
        <v>506</v>
      </c>
      <c r="B27" s="0" t="s">
        <v>480</v>
      </c>
      <c r="D27" s="27" t="s">
        <v>507</v>
      </c>
      <c r="E27" s="8" t="s">
        <v>508</v>
      </c>
      <c r="F27" s="0" t="s">
        <v>509</v>
      </c>
      <c r="I27" s="10" t="s">
        <v>510</v>
      </c>
      <c r="L27" s="10" t="s">
        <v>511</v>
      </c>
      <c r="N27" s="29" t="s">
        <v>512</v>
      </c>
      <c r="O27" s="0" t="s">
        <v>486</v>
      </c>
    </row>
    <row r="28" customFormat="false" ht="13.8" hidden="false" customHeight="false" outlineLevel="0" collapsed="false">
      <c r="A28" s="25" t="s">
        <v>513</v>
      </c>
      <c r="B28" s="0" t="s">
        <v>480</v>
      </c>
      <c r="D28" s="27" t="s">
        <v>514</v>
      </c>
      <c r="E28" s="8" t="s">
        <v>515</v>
      </c>
      <c r="F28" s="0" t="s">
        <v>509</v>
      </c>
      <c r="I28" s="10" t="s">
        <v>516</v>
      </c>
      <c r="L28" s="10" t="s">
        <v>511</v>
      </c>
      <c r="N28" s="29" t="s">
        <v>517</v>
      </c>
      <c r="O28" s="0" t="s">
        <v>486</v>
      </c>
    </row>
    <row r="29" customFormat="false" ht="13.8" hidden="false" customHeight="false" outlineLevel="0" collapsed="false">
      <c r="A29" s="25" t="s">
        <v>518</v>
      </c>
      <c r="B29" s="0" t="s">
        <v>480</v>
      </c>
      <c r="D29" s="27" t="s">
        <v>519</v>
      </c>
      <c r="E29" s="8" t="s">
        <v>520</v>
      </c>
      <c r="F29" s="0" t="s">
        <v>509</v>
      </c>
      <c r="I29" s="10" t="s">
        <v>510</v>
      </c>
      <c r="L29" s="10" t="s">
        <v>511</v>
      </c>
      <c r="N29" s="29" t="s">
        <v>521</v>
      </c>
      <c r="O29" s="0" t="s">
        <v>486</v>
      </c>
    </row>
    <row r="30" customFormat="false" ht="13.8" hidden="false" customHeight="false" outlineLevel="0" collapsed="false">
      <c r="A30" s="25" t="s">
        <v>522</v>
      </c>
      <c r="B30" s="0" t="s">
        <v>480</v>
      </c>
      <c r="D30" s="27" t="s">
        <v>523</v>
      </c>
      <c r="E30" s="8" t="s">
        <v>524</v>
      </c>
      <c r="F30" s="0" t="s">
        <v>509</v>
      </c>
      <c r="I30" s="10" t="s">
        <v>516</v>
      </c>
      <c r="L30" s="10" t="s">
        <v>511</v>
      </c>
      <c r="N30" s="29" t="s">
        <v>525</v>
      </c>
      <c r="O30" s="0" t="s">
        <v>526</v>
      </c>
    </row>
    <row r="31" customFormat="false" ht="13.8" hidden="false" customHeight="false" outlineLevel="0" collapsed="false">
      <c r="A31" s="25" t="s">
        <v>527</v>
      </c>
      <c r="B31" s="0" t="s">
        <v>480</v>
      </c>
      <c r="D31" s="27" t="s">
        <v>528</v>
      </c>
      <c r="E31" s="8" t="s">
        <v>529</v>
      </c>
      <c r="F31" s="0" t="s">
        <v>509</v>
      </c>
      <c r="I31" s="10" t="s">
        <v>510</v>
      </c>
      <c r="L31" s="10" t="s">
        <v>511</v>
      </c>
      <c r="N31" s="29" t="s">
        <v>525</v>
      </c>
      <c r="O31" s="0" t="s">
        <v>526</v>
      </c>
    </row>
    <row r="32" customFormat="false" ht="13.8" hidden="false" customHeight="false" outlineLevel="0" collapsed="false">
      <c r="A32" s="25" t="s">
        <v>530</v>
      </c>
      <c r="B32" s="0" t="s">
        <v>480</v>
      </c>
      <c r="D32" s="27" t="s">
        <v>531</v>
      </c>
      <c r="E32" s="8" t="s">
        <v>532</v>
      </c>
      <c r="F32" s="0" t="s">
        <v>509</v>
      </c>
      <c r="I32" s="10" t="s">
        <v>516</v>
      </c>
      <c r="L32" s="10" t="s">
        <v>511</v>
      </c>
      <c r="N32" s="29" t="s">
        <v>533</v>
      </c>
      <c r="O32" s="0" t="s">
        <v>526</v>
      </c>
    </row>
    <row r="33" customFormat="false" ht="13.8" hidden="false" customHeight="false" outlineLevel="0" collapsed="false">
      <c r="A33" s="25" t="s">
        <v>534</v>
      </c>
      <c r="B33" s="0" t="s">
        <v>480</v>
      </c>
      <c r="D33" s="27" t="s">
        <v>535</v>
      </c>
      <c r="E33" s="8" t="s">
        <v>536</v>
      </c>
      <c r="F33" s="0" t="s">
        <v>509</v>
      </c>
      <c r="I33" s="10" t="s">
        <v>516</v>
      </c>
      <c r="L33" s="10" t="s">
        <v>511</v>
      </c>
      <c r="N33" s="29" t="s">
        <v>537</v>
      </c>
      <c r="O33" s="0" t="s">
        <v>526</v>
      </c>
    </row>
    <row r="34" customFormat="false" ht="13.8" hidden="false" customHeight="false" outlineLevel="0" collapsed="false">
      <c r="A34" s="25" t="s">
        <v>538</v>
      </c>
      <c r="B34" s="0" t="s">
        <v>480</v>
      </c>
      <c r="D34" s="27" t="s">
        <v>539</v>
      </c>
      <c r="E34" s="8" t="s">
        <v>540</v>
      </c>
      <c r="F34" s="0" t="s">
        <v>509</v>
      </c>
      <c r="I34" s="10" t="s">
        <v>516</v>
      </c>
      <c r="L34" s="10" t="s">
        <v>511</v>
      </c>
      <c r="N34" s="29" t="s">
        <v>541</v>
      </c>
      <c r="O34" s="0" t="s">
        <v>542</v>
      </c>
    </row>
    <row r="35" customFormat="false" ht="13.8" hidden="false" customHeight="false" outlineLevel="0" collapsed="false">
      <c r="A35" s="25" t="s">
        <v>543</v>
      </c>
      <c r="B35" s="0" t="s">
        <v>480</v>
      </c>
      <c r="D35" s="27" t="s">
        <v>544</v>
      </c>
      <c r="E35" s="8" t="s">
        <v>545</v>
      </c>
      <c r="F35" s="0" t="s">
        <v>509</v>
      </c>
      <c r="I35" s="10" t="s">
        <v>510</v>
      </c>
      <c r="L35" s="10" t="s">
        <v>511</v>
      </c>
      <c r="N35" s="29" t="s">
        <v>546</v>
      </c>
      <c r="O35" s="0" t="s">
        <v>526</v>
      </c>
    </row>
    <row r="36" customFormat="false" ht="13.8" hidden="false" customHeight="false" outlineLevel="0" collapsed="false">
      <c r="A36" s="25" t="s">
        <v>547</v>
      </c>
      <c r="B36" s="0" t="s">
        <v>480</v>
      </c>
      <c r="D36" s="27" t="s">
        <v>548</v>
      </c>
      <c r="E36" s="8" t="s">
        <v>549</v>
      </c>
      <c r="F36" s="0" t="s">
        <v>509</v>
      </c>
      <c r="I36" s="10" t="s">
        <v>510</v>
      </c>
      <c r="L36" s="10" t="s">
        <v>511</v>
      </c>
      <c r="N36" s="29" t="s">
        <v>550</v>
      </c>
      <c r="O36" s="0" t="s">
        <v>526</v>
      </c>
    </row>
    <row r="37" customFormat="false" ht="13.8" hidden="false" customHeight="false" outlineLevel="0" collapsed="false">
      <c r="A37" s="25" t="s">
        <v>551</v>
      </c>
      <c r="B37" s="0" t="s">
        <v>480</v>
      </c>
      <c r="D37" s="27" t="s">
        <v>552</v>
      </c>
      <c r="E37" s="8" t="s">
        <v>553</v>
      </c>
      <c r="F37" s="0" t="s">
        <v>509</v>
      </c>
      <c r="I37" s="10" t="s">
        <v>516</v>
      </c>
      <c r="L37" s="10" t="s">
        <v>511</v>
      </c>
      <c r="N37" s="29" t="s">
        <v>554</v>
      </c>
      <c r="O37" s="0" t="s">
        <v>526</v>
      </c>
    </row>
    <row r="38" customFormat="false" ht="13.8" hidden="false" customHeight="false" outlineLevel="0" collapsed="false">
      <c r="A38" s="25" t="s">
        <v>555</v>
      </c>
      <c r="B38" s="0" t="s">
        <v>480</v>
      </c>
      <c r="D38" s="27" t="s">
        <v>556</v>
      </c>
      <c r="E38" s="8" t="s">
        <v>557</v>
      </c>
      <c r="F38" s="0" t="s">
        <v>509</v>
      </c>
      <c r="I38" s="10" t="s">
        <v>510</v>
      </c>
      <c r="L38" s="10" t="s">
        <v>558</v>
      </c>
      <c r="N38" s="29" t="s">
        <v>559</v>
      </c>
      <c r="O38" s="0" t="s">
        <v>526</v>
      </c>
    </row>
    <row r="39" customFormat="false" ht="13.8" hidden="false" customHeight="false" outlineLevel="0" collapsed="false">
      <c r="A39" s="25" t="s">
        <v>560</v>
      </c>
      <c r="B39" s="0" t="s">
        <v>480</v>
      </c>
      <c r="D39" s="27" t="s">
        <v>561</v>
      </c>
      <c r="E39" s="8" t="s">
        <v>562</v>
      </c>
      <c r="F39" s="0" t="s">
        <v>509</v>
      </c>
      <c r="I39" s="10" t="s">
        <v>516</v>
      </c>
      <c r="L39" s="10" t="s">
        <v>511</v>
      </c>
      <c r="N39" s="29" t="s">
        <v>546</v>
      </c>
      <c r="O39" s="0" t="s">
        <v>526</v>
      </c>
    </row>
    <row r="40" customFormat="false" ht="13.8" hidden="false" customHeight="false" outlineLevel="0" collapsed="false">
      <c r="A40" s="25" t="s">
        <v>563</v>
      </c>
      <c r="B40" s="0" t="s">
        <v>480</v>
      </c>
      <c r="D40" s="27" t="s">
        <v>564</v>
      </c>
      <c r="E40" s="8" t="s">
        <v>565</v>
      </c>
      <c r="F40" s="0" t="s">
        <v>509</v>
      </c>
      <c r="I40" s="10" t="s">
        <v>516</v>
      </c>
      <c r="L40" s="10" t="s">
        <v>511</v>
      </c>
      <c r="N40" s="29" t="s">
        <v>566</v>
      </c>
      <c r="O40" s="0" t="s">
        <v>526</v>
      </c>
    </row>
    <row r="41" customFormat="false" ht="13.8" hidden="false" customHeight="false" outlineLevel="0" collapsed="false">
      <c r="A41" s="25" t="s">
        <v>567</v>
      </c>
      <c r="B41" s="0" t="s">
        <v>480</v>
      </c>
      <c r="D41" s="27" t="s">
        <v>568</v>
      </c>
      <c r="E41" s="8" t="s">
        <v>569</v>
      </c>
      <c r="F41" s="0" t="s">
        <v>509</v>
      </c>
      <c r="I41" s="10" t="s">
        <v>516</v>
      </c>
      <c r="L41" s="10" t="s">
        <v>511</v>
      </c>
      <c r="N41" s="29" t="s">
        <v>537</v>
      </c>
      <c r="O41" s="0" t="s">
        <v>526</v>
      </c>
    </row>
    <row r="42" customFormat="false" ht="13.8" hidden="false" customHeight="false" outlineLevel="0" collapsed="false">
      <c r="A42" s="25" t="s">
        <v>570</v>
      </c>
      <c r="B42" s="0" t="s">
        <v>480</v>
      </c>
      <c r="D42" s="27" t="s">
        <v>571</v>
      </c>
      <c r="E42" s="8" t="s">
        <v>572</v>
      </c>
      <c r="F42" s="0" t="s">
        <v>509</v>
      </c>
      <c r="I42" s="10" t="s">
        <v>516</v>
      </c>
      <c r="L42" s="10" t="s">
        <v>511</v>
      </c>
      <c r="N42" s="29" t="s">
        <v>573</v>
      </c>
      <c r="O42" s="0" t="s">
        <v>526</v>
      </c>
    </row>
    <row r="43" customFormat="false" ht="13.8" hidden="false" customHeight="false" outlineLevel="0" collapsed="false">
      <c r="A43" s="25" t="s">
        <v>574</v>
      </c>
      <c r="B43" s="0" t="s">
        <v>480</v>
      </c>
      <c r="D43" s="27" t="s">
        <v>575</v>
      </c>
      <c r="E43" s="8" t="s">
        <v>576</v>
      </c>
      <c r="F43" s="0" t="s">
        <v>509</v>
      </c>
      <c r="I43" s="10" t="s">
        <v>516</v>
      </c>
      <c r="L43" s="10" t="s">
        <v>511</v>
      </c>
      <c r="N43" s="29" t="s">
        <v>517</v>
      </c>
      <c r="O43" s="0" t="s">
        <v>526</v>
      </c>
    </row>
    <row r="44" customFormat="false" ht="13.8" hidden="false" customHeight="false" outlineLevel="0" collapsed="false">
      <c r="A44" s="25" t="s">
        <v>577</v>
      </c>
      <c r="B44" s="0" t="s">
        <v>480</v>
      </c>
      <c r="D44" s="27" t="s">
        <v>578</v>
      </c>
      <c r="E44" s="8" t="s">
        <v>579</v>
      </c>
      <c r="F44" s="0" t="s">
        <v>509</v>
      </c>
      <c r="I44" s="10" t="s">
        <v>510</v>
      </c>
      <c r="L44" s="10" t="s">
        <v>511</v>
      </c>
      <c r="N44" s="29" t="s">
        <v>580</v>
      </c>
      <c r="O44" s="0" t="s">
        <v>526</v>
      </c>
    </row>
    <row r="45" customFormat="false" ht="13.8" hidden="false" customHeight="false" outlineLevel="0" collapsed="false">
      <c r="A45" s="25" t="s">
        <v>581</v>
      </c>
      <c r="B45" s="0" t="s">
        <v>480</v>
      </c>
      <c r="D45" s="27" t="s">
        <v>582</v>
      </c>
      <c r="E45" s="8" t="s">
        <v>583</v>
      </c>
      <c r="F45" s="0" t="s">
        <v>509</v>
      </c>
      <c r="I45" s="10" t="s">
        <v>510</v>
      </c>
      <c r="L45" s="10" t="s">
        <v>511</v>
      </c>
      <c r="N45" s="29" t="s">
        <v>584</v>
      </c>
      <c r="O45" s="0" t="s">
        <v>585</v>
      </c>
    </row>
    <row r="46" customFormat="false" ht="13.8" hidden="false" customHeight="false" outlineLevel="0" collapsed="false">
      <c r="A46" s="25" t="s">
        <v>586</v>
      </c>
      <c r="B46" s="0" t="s">
        <v>480</v>
      </c>
      <c r="D46" s="27" t="s">
        <v>587</v>
      </c>
      <c r="E46" s="8" t="s">
        <v>588</v>
      </c>
      <c r="F46" s="0" t="s">
        <v>509</v>
      </c>
      <c r="I46" s="10" t="s">
        <v>516</v>
      </c>
      <c r="L46" s="10" t="s">
        <v>511</v>
      </c>
      <c r="N46" s="29" t="s">
        <v>541</v>
      </c>
      <c r="O46" s="0" t="s">
        <v>526</v>
      </c>
    </row>
    <row r="47" customFormat="false" ht="13.8" hidden="false" customHeight="false" outlineLevel="0" collapsed="false">
      <c r="A47" s="25" t="s">
        <v>589</v>
      </c>
      <c r="B47" s="0" t="s">
        <v>480</v>
      </c>
      <c r="D47" s="27" t="s">
        <v>590</v>
      </c>
      <c r="E47" s="8" t="s">
        <v>591</v>
      </c>
      <c r="F47" s="0" t="s">
        <v>509</v>
      </c>
      <c r="I47" s="10" t="s">
        <v>510</v>
      </c>
      <c r="L47" s="10" t="s">
        <v>511</v>
      </c>
      <c r="N47" s="29" t="s">
        <v>541</v>
      </c>
      <c r="O47" s="0" t="s">
        <v>526</v>
      </c>
    </row>
    <row r="48" customFormat="false" ht="13.8" hidden="false" customHeight="false" outlineLevel="0" collapsed="false">
      <c r="A48" s="25" t="s">
        <v>592</v>
      </c>
      <c r="B48" s="0" t="s">
        <v>480</v>
      </c>
      <c r="D48" s="27" t="s">
        <v>593</v>
      </c>
      <c r="E48" s="8" t="s">
        <v>594</v>
      </c>
      <c r="F48" s="0" t="s">
        <v>509</v>
      </c>
      <c r="I48" s="10" t="s">
        <v>516</v>
      </c>
      <c r="L48" s="10" t="s">
        <v>511</v>
      </c>
      <c r="N48" s="29" t="s">
        <v>595</v>
      </c>
      <c r="O48" s="0" t="s">
        <v>526</v>
      </c>
    </row>
    <row r="49" customFormat="false" ht="13.8" hidden="false" customHeight="false" outlineLevel="0" collapsed="false">
      <c r="A49" s="25" t="s">
        <v>596</v>
      </c>
      <c r="B49" s="0" t="s">
        <v>480</v>
      </c>
      <c r="D49" s="27" t="s">
        <v>597</v>
      </c>
      <c r="E49" s="8" t="s">
        <v>598</v>
      </c>
      <c r="F49" s="0" t="s">
        <v>509</v>
      </c>
      <c r="I49" s="10" t="s">
        <v>510</v>
      </c>
      <c r="L49" s="10" t="s">
        <v>511</v>
      </c>
      <c r="N49" s="29" t="s">
        <v>521</v>
      </c>
      <c r="O49" s="0" t="s">
        <v>526</v>
      </c>
    </row>
    <row r="50" customFormat="false" ht="13.8" hidden="false" customHeight="false" outlineLevel="0" collapsed="false">
      <c r="A50" s="25" t="s">
        <v>599</v>
      </c>
      <c r="B50" s="0" t="s">
        <v>480</v>
      </c>
      <c r="D50" s="27" t="s">
        <v>600</v>
      </c>
      <c r="E50" s="8" t="s">
        <v>601</v>
      </c>
      <c r="F50" s="0" t="s">
        <v>509</v>
      </c>
      <c r="I50" s="10" t="s">
        <v>516</v>
      </c>
      <c r="L50" s="10" t="s">
        <v>511</v>
      </c>
      <c r="N50" s="29" t="s">
        <v>602</v>
      </c>
      <c r="O50" s="0" t="s">
        <v>526</v>
      </c>
    </row>
    <row r="51" customFormat="false" ht="13.8" hidden="false" customHeight="false" outlineLevel="0" collapsed="false">
      <c r="A51" s="25" t="s">
        <v>603</v>
      </c>
      <c r="B51" s="0" t="s">
        <v>480</v>
      </c>
      <c r="D51" s="27" t="s">
        <v>604</v>
      </c>
      <c r="E51" s="8" t="s">
        <v>605</v>
      </c>
      <c r="F51" s="0" t="s">
        <v>509</v>
      </c>
      <c r="I51" s="10" t="s">
        <v>516</v>
      </c>
      <c r="L51" s="10" t="s">
        <v>511</v>
      </c>
      <c r="N51" s="29" t="s">
        <v>606</v>
      </c>
      <c r="O51" s="0" t="s">
        <v>526</v>
      </c>
    </row>
    <row r="52" customFormat="false" ht="13.8" hidden="false" customHeight="false" outlineLevel="0" collapsed="false">
      <c r="A52" s="25" t="s">
        <v>607</v>
      </c>
      <c r="B52" s="0" t="s">
        <v>480</v>
      </c>
      <c r="D52" s="27" t="s">
        <v>608</v>
      </c>
      <c r="E52" s="8" t="s">
        <v>609</v>
      </c>
      <c r="F52" s="0" t="s">
        <v>509</v>
      </c>
      <c r="I52" s="10" t="s">
        <v>516</v>
      </c>
      <c r="L52" s="10" t="s">
        <v>511</v>
      </c>
      <c r="N52" s="29" t="s">
        <v>517</v>
      </c>
      <c r="O52" s="0" t="s">
        <v>526</v>
      </c>
    </row>
    <row r="53" customFormat="false" ht="13.8" hidden="false" customHeight="false" outlineLevel="0" collapsed="false">
      <c r="A53" s="25" t="s">
        <v>610</v>
      </c>
      <c r="B53" s="0" t="s">
        <v>480</v>
      </c>
      <c r="D53" s="27" t="s">
        <v>611</v>
      </c>
      <c r="E53" s="8" t="s">
        <v>612</v>
      </c>
      <c r="F53" s="0" t="s">
        <v>509</v>
      </c>
      <c r="I53" s="10" t="s">
        <v>510</v>
      </c>
      <c r="L53" s="10" t="s">
        <v>511</v>
      </c>
      <c r="N53" s="29" t="s">
        <v>613</v>
      </c>
      <c r="O53" s="0" t="s">
        <v>585</v>
      </c>
    </row>
    <row r="54" customFormat="false" ht="13.8" hidden="false" customHeight="false" outlineLevel="0" collapsed="false">
      <c r="A54" s="25" t="s">
        <v>614</v>
      </c>
      <c r="B54" s="0" t="s">
        <v>480</v>
      </c>
      <c r="D54" s="27" t="s">
        <v>615</v>
      </c>
      <c r="E54" s="8" t="s">
        <v>616</v>
      </c>
      <c r="F54" s="0" t="s">
        <v>509</v>
      </c>
      <c r="I54" s="10" t="s">
        <v>516</v>
      </c>
      <c r="L54" s="10" t="s">
        <v>511</v>
      </c>
      <c r="N54" s="29" t="s">
        <v>554</v>
      </c>
      <c r="O54" s="0" t="s">
        <v>526</v>
      </c>
    </row>
    <row r="55" customFormat="false" ht="13.8" hidden="false" customHeight="false" outlineLevel="0" collapsed="false">
      <c r="A55" s="25" t="s">
        <v>617</v>
      </c>
      <c r="B55" s="0" t="s">
        <v>480</v>
      </c>
      <c r="D55" s="26" t="s">
        <v>618</v>
      </c>
      <c r="E55" s="8" t="s">
        <v>619</v>
      </c>
      <c r="F55" s="0" t="s">
        <v>509</v>
      </c>
      <c r="I55" s="10" t="s">
        <v>516</v>
      </c>
      <c r="L55" s="10" t="s">
        <v>511</v>
      </c>
      <c r="N55" s="29" t="s">
        <v>546</v>
      </c>
      <c r="O55" s="0" t="s">
        <v>526</v>
      </c>
    </row>
    <row r="56" customFormat="false" ht="13.8" hidden="false" customHeight="false" outlineLevel="0" collapsed="false">
      <c r="A56" s="25" t="s">
        <v>620</v>
      </c>
      <c r="B56" s="0" t="s">
        <v>480</v>
      </c>
      <c r="D56" s="27" t="s">
        <v>621</v>
      </c>
      <c r="E56" s="8" t="s">
        <v>622</v>
      </c>
      <c r="F56" s="0" t="s">
        <v>509</v>
      </c>
      <c r="I56" s="10" t="s">
        <v>516</v>
      </c>
      <c r="L56" s="10" t="s">
        <v>511</v>
      </c>
      <c r="N56" s="29" t="s">
        <v>546</v>
      </c>
      <c r="O56" s="0" t="s">
        <v>526</v>
      </c>
    </row>
    <row r="57" customFormat="false" ht="13.8" hidden="false" customHeight="false" outlineLevel="0" collapsed="false">
      <c r="A57" s="25" t="s">
        <v>623</v>
      </c>
      <c r="B57" s="0" t="s">
        <v>480</v>
      </c>
      <c r="D57" s="27" t="s">
        <v>624</v>
      </c>
      <c r="E57" s="8" t="s">
        <v>625</v>
      </c>
      <c r="F57" s="0" t="s">
        <v>509</v>
      </c>
      <c r="I57" s="10" t="s">
        <v>510</v>
      </c>
      <c r="L57" s="10" t="s">
        <v>511</v>
      </c>
      <c r="N57" s="29" t="s">
        <v>626</v>
      </c>
      <c r="O57" s="0" t="s">
        <v>526</v>
      </c>
    </row>
    <row r="58" customFormat="false" ht="13.8" hidden="false" customHeight="false" outlineLevel="0" collapsed="false">
      <c r="A58" s="25" t="s">
        <v>627</v>
      </c>
      <c r="B58" s="0" t="s">
        <v>480</v>
      </c>
      <c r="D58" s="27" t="s">
        <v>628</v>
      </c>
      <c r="E58" s="8" t="s">
        <v>629</v>
      </c>
      <c r="F58" s="0" t="s">
        <v>509</v>
      </c>
      <c r="I58" s="10" t="s">
        <v>510</v>
      </c>
      <c r="L58" s="10" t="s">
        <v>511</v>
      </c>
      <c r="N58" s="29" t="s">
        <v>606</v>
      </c>
      <c r="O58" s="0" t="s">
        <v>526</v>
      </c>
    </row>
    <row r="59" customFormat="false" ht="13.8" hidden="false" customHeight="false" outlineLevel="0" collapsed="false">
      <c r="A59" s="25" t="s">
        <v>630</v>
      </c>
      <c r="B59" s="0" t="s">
        <v>480</v>
      </c>
      <c r="D59" s="27" t="s">
        <v>631</v>
      </c>
      <c r="E59" s="8" t="s">
        <v>632</v>
      </c>
      <c r="F59" s="0" t="s">
        <v>509</v>
      </c>
      <c r="I59" s="10" t="s">
        <v>516</v>
      </c>
      <c r="L59" s="10" t="s">
        <v>511</v>
      </c>
      <c r="N59" s="29" t="s">
        <v>554</v>
      </c>
      <c r="O59" s="0" t="s">
        <v>526</v>
      </c>
    </row>
    <row r="60" customFormat="false" ht="13.8" hidden="false" customHeight="false" outlineLevel="0" collapsed="false">
      <c r="A60" s="25" t="s">
        <v>633</v>
      </c>
      <c r="B60" s="0" t="s">
        <v>480</v>
      </c>
      <c r="D60" s="27" t="s">
        <v>634</v>
      </c>
      <c r="E60" s="8" t="s">
        <v>635</v>
      </c>
      <c r="F60" s="0" t="s">
        <v>509</v>
      </c>
      <c r="I60" s="10" t="s">
        <v>516</v>
      </c>
      <c r="L60" s="10" t="s">
        <v>511</v>
      </c>
      <c r="N60" s="29" t="s">
        <v>595</v>
      </c>
      <c r="O60" s="0" t="s">
        <v>526</v>
      </c>
    </row>
    <row r="61" customFormat="false" ht="13.8" hidden="false" customHeight="false" outlineLevel="0" collapsed="false">
      <c r="A61" s="25" t="s">
        <v>636</v>
      </c>
      <c r="B61" s="0" t="s">
        <v>480</v>
      </c>
      <c r="D61" s="27" t="s">
        <v>637</v>
      </c>
      <c r="E61" s="8" t="s">
        <v>638</v>
      </c>
      <c r="F61" s="0" t="s">
        <v>509</v>
      </c>
      <c r="I61" s="10" t="s">
        <v>510</v>
      </c>
      <c r="L61" s="10" t="s">
        <v>511</v>
      </c>
      <c r="N61" s="29" t="s">
        <v>541</v>
      </c>
      <c r="O61" s="0" t="s">
        <v>526</v>
      </c>
    </row>
    <row r="62" customFormat="false" ht="13.8" hidden="false" customHeight="false" outlineLevel="0" collapsed="false">
      <c r="A62" s="25" t="s">
        <v>639</v>
      </c>
      <c r="B62" s="0" t="s">
        <v>480</v>
      </c>
      <c r="D62" s="27" t="s">
        <v>640</v>
      </c>
      <c r="E62" s="8" t="s">
        <v>641</v>
      </c>
      <c r="F62" s="0" t="s">
        <v>509</v>
      </c>
      <c r="I62" s="10" t="s">
        <v>510</v>
      </c>
      <c r="L62" s="10" t="s">
        <v>511</v>
      </c>
      <c r="N62" s="29" t="s">
        <v>642</v>
      </c>
      <c r="O62" s="0" t="s">
        <v>526</v>
      </c>
    </row>
    <row r="63" customFormat="false" ht="13.8" hidden="false" customHeight="false" outlineLevel="0" collapsed="false">
      <c r="A63" s="25" t="s">
        <v>643</v>
      </c>
      <c r="B63" s="0" t="s">
        <v>480</v>
      </c>
      <c r="D63" s="27" t="s">
        <v>644</v>
      </c>
      <c r="E63" s="8" t="s">
        <v>645</v>
      </c>
      <c r="F63" s="0" t="s">
        <v>509</v>
      </c>
      <c r="I63" s="10" t="s">
        <v>516</v>
      </c>
      <c r="L63" s="10" t="s">
        <v>511</v>
      </c>
      <c r="N63" s="29" t="s">
        <v>521</v>
      </c>
      <c r="O63" s="0" t="s">
        <v>526</v>
      </c>
    </row>
    <row r="64" customFormat="false" ht="13.8" hidden="false" customHeight="false" outlineLevel="0" collapsed="false">
      <c r="A64" s="25" t="s">
        <v>646</v>
      </c>
      <c r="B64" s="0" t="s">
        <v>480</v>
      </c>
      <c r="D64" s="27" t="s">
        <v>647</v>
      </c>
      <c r="E64" s="8" t="s">
        <v>648</v>
      </c>
      <c r="F64" s="0" t="s">
        <v>509</v>
      </c>
      <c r="I64" s="10" t="s">
        <v>510</v>
      </c>
      <c r="L64" s="10" t="s">
        <v>511</v>
      </c>
      <c r="N64" s="29" t="s">
        <v>517</v>
      </c>
      <c r="O64" s="0" t="s">
        <v>526</v>
      </c>
    </row>
    <row r="65" customFormat="false" ht="13.8" hidden="false" customHeight="false" outlineLevel="0" collapsed="false">
      <c r="A65" s="25" t="s">
        <v>649</v>
      </c>
      <c r="B65" s="0" t="s">
        <v>480</v>
      </c>
      <c r="D65" s="27" t="s">
        <v>650</v>
      </c>
      <c r="E65" s="8" t="s">
        <v>651</v>
      </c>
      <c r="F65" s="0" t="s">
        <v>509</v>
      </c>
      <c r="I65" s="10" t="s">
        <v>516</v>
      </c>
      <c r="L65" s="10" t="s">
        <v>511</v>
      </c>
      <c r="N65" s="29" t="s">
        <v>652</v>
      </c>
      <c r="O65" s="0" t="s">
        <v>526</v>
      </c>
    </row>
    <row r="66" customFormat="false" ht="13.8" hidden="false" customHeight="false" outlineLevel="0" collapsed="false">
      <c r="A66" s="25" t="s">
        <v>653</v>
      </c>
      <c r="B66" s="0" t="s">
        <v>480</v>
      </c>
      <c r="D66" s="27" t="s">
        <v>654</v>
      </c>
      <c r="E66" s="8" t="s">
        <v>655</v>
      </c>
      <c r="F66" s="0" t="s">
        <v>509</v>
      </c>
      <c r="I66" s="10" t="s">
        <v>510</v>
      </c>
      <c r="L66" s="10" t="s">
        <v>511</v>
      </c>
      <c r="N66" s="29" t="s">
        <v>554</v>
      </c>
      <c r="O66" s="0" t="s">
        <v>526</v>
      </c>
    </row>
    <row r="67" customFormat="false" ht="13.8" hidden="false" customHeight="false" outlineLevel="0" collapsed="false">
      <c r="A67" s="25" t="s">
        <v>656</v>
      </c>
      <c r="B67" s="0" t="s">
        <v>480</v>
      </c>
      <c r="D67" s="27" t="s">
        <v>657</v>
      </c>
      <c r="E67" s="8" t="s">
        <v>658</v>
      </c>
      <c r="F67" s="0" t="s">
        <v>509</v>
      </c>
      <c r="I67" s="10" t="s">
        <v>510</v>
      </c>
      <c r="L67" s="10" t="s">
        <v>511</v>
      </c>
      <c r="N67" s="29" t="s">
        <v>659</v>
      </c>
      <c r="O67" s="0" t="s">
        <v>526</v>
      </c>
    </row>
    <row r="68" customFormat="false" ht="13.8" hidden="false" customHeight="false" outlineLevel="0" collapsed="false">
      <c r="A68" s="25" t="s">
        <v>660</v>
      </c>
      <c r="B68" s="0" t="e">
        <f aca="false">#N/A</f>
        <v>#N/A</v>
      </c>
      <c r="D68" s="27" t="s">
        <v>661</v>
      </c>
      <c r="E68" s="8" t="s">
        <v>662</v>
      </c>
      <c r="F68" s="28" t="s">
        <v>426</v>
      </c>
      <c r="G68" s="28" t="n">
        <v>201203042</v>
      </c>
      <c r="I68" s="28" t="s">
        <v>510</v>
      </c>
      <c r="J68" s="28" t="s">
        <v>663</v>
      </c>
      <c r="L68" s="28" t="s">
        <v>511</v>
      </c>
      <c r="N68" s="29" t="s">
        <v>664</v>
      </c>
      <c r="O68" s="28" t="s">
        <v>486</v>
      </c>
      <c r="P68" s="28"/>
      <c r="Q68" s="28" t="s">
        <v>558</v>
      </c>
      <c r="R68" s="28" t="s">
        <v>487</v>
      </c>
      <c r="S68" s="28"/>
      <c r="T68" s="28"/>
      <c r="U68" s="28" t="s">
        <v>558</v>
      </c>
    </row>
    <row r="69" customFormat="false" ht="13.8" hidden="false" customHeight="false" outlineLevel="0" collapsed="false">
      <c r="A69" s="25" t="s">
        <v>665</v>
      </c>
      <c r="B69" s="0" t="s">
        <v>480</v>
      </c>
      <c r="D69" s="27" t="s">
        <v>666</v>
      </c>
      <c r="E69" s="8" t="s">
        <v>667</v>
      </c>
      <c r="F69" s="28" t="s">
        <v>426</v>
      </c>
      <c r="G69" s="28" t="n">
        <v>201203042</v>
      </c>
      <c r="I69" s="28" t="s">
        <v>516</v>
      </c>
      <c r="J69" s="28" t="s">
        <v>668</v>
      </c>
      <c r="L69" s="28" t="s">
        <v>558</v>
      </c>
      <c r="N69" s="29" t="s">
        <v>669</v>
      </c>
      <c r="O69" s="28" t="s">
        <v>526</v>
      </c>
      <c r="P69" s="28"/>
      <c r="Q69" s="28" t="s">
        <v>558</v>
      </c>
      <c r="R69" s="28" t="s">
        <v>487</v>
      </c>
      <c r="S69" s="28"/>
      <c r="T69" s="28"/>
      <c r="U69" s="28" t="s">
        <v>558</v>
      </c>
    </row>
    <row r="70" customFormat="false" ht="13.8" hidden="false" customHeight="false" outlineLevel="0" collapsed="false">
      <c r="A70" s="25" t="s">
        <v>670</v>
      </c>
      <c r="B70" s="0" t="s">
        <v>480</v>
      </c>
      <c r="D70" s="27" t="s">
        <v>671</v>
      </c>
      <c r="E70" s="8" t="s">
        <v>672</v>
      </c>
      <c r="F70" s="28" t="s">
        <v>426</v>
      </c>
      <c r="G70" s="28" t="n">
        <v>201203042</v>
      </c>
      <c r="I70" s="28" t="s">
        <v>516</v>
      </c>
      <c r="J70" s="28" t="s">
        <v>673</v>
      </c>
      <c r="L70" s="28" t="s">
        <v>511</v>
      </c>
      <c r="N70" s="29" t="s">
        <v>602</v>
      </c>
      <c r="O70" s="28" t="s">
        <v>585</v>
      </c>
      <c r="P70" s="28"/>
      <c r="Q70" s="28" t="s">
        <v>558</v>
      </c>
      <c r="R70" s="28" t="s">
        <v>487</v>
      </c>
      <c r="S70" s="28"/>
      <c r="T70" s="28"/>
      <c r="U70" s="28" t="s">
        <v>558</v>
      </c>
    </row>
    <row r="71" customFormat="false" ht="13.8" hidden="false" customHeight="false" outlineLevel="0" collapsed="false">
      <c r="A71" s="25" t="s">
        <v>674</v>
      </c>
      <c r="B71" s="0" t="s">
        <v>480</v>
      </c>
      <c r="D71" s="27" t="s">
        <v>675</v>
      </c>
      <c r="E71" s="0" t="n">
        <v>66</v>
      </c>
      <c r="F71" s="28" t="s">
        <v>426</v>
      </c>
      <c r="G71" s="28"/>
      <c r="I71" s="28" t="s">
        <v>516</v>
      </c>
      <c r="J71" s="28" t="n">
        <v>66</v>
      </c>
      <c r="L71" s="28" t="s">
        <v>558</v>
      </c>
      <c r="N71" s="29" t="s">
        <v>427</v>
      </c>
      <c r="O71" s="28" t="s">
        <v>676</v>
      </c>
      <c r="P71" s="28"/>
      <c r="Q71" s="28" t="s">
        <v>558</v>
      </c>
      <c r="R71" s="28" t="s">
        <v>487</v>
      </c>
      <c r="S71" s="28"/>
      <c r="T71" s="28"/>
      <c r="U71" s="28"/>
    </row>
    <row r="72" customFormat="false" ht="13.8" hidden="false" customHeight="false" outlineLevel="0" collapsed="false">
      <c r="A72" s="25" t="s">
        <v>677</v>
      </c>
      <c r="B72" s="0" t="s">
        <v>480</v>
      </c>
      <c r="D72" s="27" t="s">
        <v>678</v>
      </c>
      <c r="E72" s="8" t="n">
        <v>69</v>
      </c>
      <c r="F72" s="28" t="s">
        <v>426</v>
      </c>
      <c r="G72" s="28"/>
      <c r="I72" s="28" t="s">
        <v>516</v>
      </c>
      <c r="J72" s="28" t="n">
        <v>69</v>
      </c>
      <c r="L72" s="28" t="s">
        <v>558</v>
      </c>
      <c r="N72" s="29" t="s">
        <v>427</v>
      </c>
      <c r="O72" s="28" t="s">
        <v>676</v>
      </c>
      <c r="P72" s="28"/>
      <c r="Q72" s="28" t="s">
        <v>558</v>
      </c>
      <c r="R72" s="28" t="s">
        <v>487</v>
      </c>
      <c r="S72" s="28"/>
      <c r="T72" s="28"/>
      <c r="U72" s="28"/>
    </row>
    <row r="73" customFormat="false" ht="13.8" hidden="false" customHeight="false" outlineLevel="0" collapsed="false">
      <c r="A73" s="25" t="s">
        <v>679</v>
      </c>
      <c r="B73" s="0" t="s">
        <v>480</v>
      </c>
      <c r="D73" s="27" t="s">
        <v>680</v>
      </c>
      <c r="E73" s="8" t="n">
        <v>70</v>
      </c>
      <c r="F73" s="28" t="s">
        <v>426</v>
      </c>
      <c r="G73" s="28"/>
      <c r="I73" s="28" t="s">
        <v>516</v>
      </c>
      <c r="J73" s="28" t="n">
        <v>70</v>
      </c>
      <c r="L73" s="28" t="s">
        <v>558</v>
      </c>
      <c r="N73" s="29" t="s">
        <v>427</v>
      </c>
      <c r="O73" s="28" t="s">
        <v>676</v>
      </c>
      <c r="P73" s="28"/>
      <c r="Q73" s="28" t="s">
        <v>558</v>
      </c>
      <c r="R73" s="28" t="s">
        <v>487</v>
      </c>
      <c r="S73" s="28"/>
      <c r="T73" s="28"/>
      <c r="U73" s="28"/>
    </row>
    <row r="74" customFormat="false" ht="13.8" hidden="false" customHeight="false" outlineLevel="0" collapsed="false">
      <c r="A74" s="25" t="s">
        <v>681</v>
      </c>
      <c r="B74" s="0" t="s">
        <v>480</v>
      </c>
      <c r="D74" s="27" t="s">
        <v>682</v>
      </c>
      <c r="E74" s="8" t="n">
        <v>83</v>
      </c>
      <c r="F74" s="28" t="s">
        <v>426</v>
      </c>
      <c r="G74" s="28"/>
      <c r="I74" s="28" t="s">
        <v>516</v>
      </c>
      <c r="J74" s="28" t="n">
        <v>83</v>
      </c>
      <c r="L74" s="28" t="s">
        <v>558</v>
      </c>
      <c r="N74" s="29" t="s">
        <v>427</v>
      </c>
      <c r="O74" s="28" t="s">
        <v>676</v>
      </c>
      <c r="P74" s="28"/>
      <c r="Q74" s="28" t="s">
        <v>558</v>
      </c>
      <c r="R74" s="28" t="s">
        <v>487</v>
      </c>
      <c r="S74" s="28"/>
      <c r="T74" s="28"/>
      <c r="U74" s="28"/>
    </row>
    <row r="75" customFormat="false" ht="13.8" hidden="false" customHeight="false" outlineLevel="0" collapsed="false">
      <c r="A75" s="25" t="s">
        <v>683</v>
      </c>
      <c r="B75" s="0" t="s">
        <v>480</v>
      </c>
      <c r="D75" s="27" t="s">
        <v>684</v>
      </c>
      <c r="E75" s="8" t="n">
        <v>85</v>
      </c>
      <c r="F75" s="28" t="s">
        <v>426</v>
      </c>
      <c r="G75" s="28"/>
      <c r="I75" s="28" t="s">
        <v>516</v>
      </c>
      <c r="J75" s="28" t="n">
        <v>85</v>
      </c>
      <c r="L75" s="28" t="s">
        <v>558</v>
      </c>
      <c r="N75" s="29" t="s">
        <v>427</v>
      </c>
      <c r="O75" s="28" t="s">
        <v>676</v>
      </c>
      <c r="P75" s="28"/>
      <c r="Q75" s="28" t="s">
        <v>558</v>
      </c>
      <c r="R75" s="28" t="s">
        <v>487</v>
      </c>
      <c r="S75" s="28"/>
      <c r="T75" s="28"/>
      <c r="U75" s="28"/>
    </row>
    <row r="76" customFormat="false" ht="13.8" hidden="false" customHeight="false" outlineLevel="0" collapsed="false">
      <c r="A76" s="25" t="s">
        <v>685</v>
      </c>
      <c r="B76" s="0" t="s">
        <v>480</v>
      </c>
      <c r="D76" s="27" t="s">
        <v>686</v>
      </c>
      <c r="E76" s="8" t="n">
        <v>86</v>
      </c>
      <c r="F76" s="28" t="s">
        <v>426</v>
      </c>
      <c r="G76" s="28"/>
      <c r="I76" s="28" t="s">
        <v>516</v>
      </c>
      <c r="J76" s="28" t="n">
        <v>86</v>
      </c>
      <c r="L76" s="28" t="s">
        <v>558</v>
      </c>
      <c r="N76" s="29" t="s">
        <v>427</v>
      </c>
      <c r="O76" s="28" t="s">
        <v>676</v>
      </c>
      <c r="P76" s="28"/>
      <c r="Q76" s="28" t="s">
        <v>558</v>
      </c>
      <c r="R76" s="28" t="s">
        <v>487</v>
      </c>
      <c r="S76" s="28"/>
      <c r="T76" s="28"/>
      <c r="U76" s="28"/>
    </row>
    <row r="77" customFormat="false" ht="13.8" hidden="false" customHeight="false" outlineLevel="0" collapsed="false">
      <c r="A77" s="25" t="s">
        <v>687</v>
      </c>
      <c r="B77" s="0" t="s">
        <v>480</v>
      </c>
      <c r="D77" s="27" t="s">
        <v>688</v>
      </c>
      <c r="E77" s="0" t="s">
        <v>689</v>
      </c>
      <c r="N77" s="29" t="s">
        <v>427</v>
      </c>
      <c r="O77" s="0" t="s">
        <v>542</v>
      </c>
    </row>
    <row r="78" customFormat="false" ht="13.8" hidden="false" customHeight="false" outlineLevel="0" collapsed="false">
      <c r="A78" s="25" t="s">
        <v>690</v>
      </c>
      <c r="B78" s="0" t="s">
        <v>480</v>
      </c>
      <c r="D78" s="27" t="s">
        <v>691</v>
      </c>
      <c r="E78" s="8" t="s">
        <v>692</v>
      </c>
      <c r="F78" s="28" t="s">
        <v>426</v>
      </c>
      <c r="G78" s="28" t="n">
        <v>201203042</v>
      </c>
      <c r="I78" s="28" t="s">
        <v>516</v>
      </c>
      <c r="J78" s="28" t="s">
        <v>693</v>
      </c>
      <c r="L78" s="28" t="s">
        <v>511</v>
      </c>
      <c r="N78" s="29" t="s">
        <v>566</v>
      </c>
      <c r="O78" s="28" t="s">
        <v>486</v>
      </c>
      <c r="P78" s="28"/>
      <c r="Q78" s="28" t="s">
        <v>558</v>
      </c>
      <c r="R78" s="28" t="s">
        <v>487</v>
      </c>
      <c r="S78" s="28"/>
      <c r="T78" s="28"/>
      <c r="U78" s="28" t="s">
        <v>511</v>
      </c>
    </row>
    <row r="79" customFormat="false" ht="13.8" hidden="false" customHeight="false" outlineLevel="0" collapsed="false">
      <c r="A79" s="25" t="s">
        <v>694</v>
      </c>
      <c r="B79" s="0" t="s">
        <v>480</v>
      </c>
      <c r="D79" s="27" t="s">
        <v>695</v>
      </c>
      <c r="E79" s="8" t="s">
        <v>696</v>
      </c>
      <c r="F79" s="28" t="s">
        <v>426</v>
      </c>
      <c r="G79" s="28" t="n">
        <v>201203042</v>
      </c>
      <c r="I79" s="28" t="s">
        <v>510</v>
      </c>
      <c r="J79" s="28" t="s">
        <v>697</v>
      </c>
      <c r="L79" s="28" t="s">
        <v>511</v>
      </c>
      <c r="N79" s="29" t="s">
        <v>698</v>
      </c>
      <c r="O79" s="28" t="s">
        <v>486</v>
      </c>
      <c r="P79" s="28" t="s">
        <v>699</v>
      </c>
      <c r="Q79" s="28" t="s">
        <v>558</v>
      </c>
      <c r="R79" s="28" t="s">
        <v>487</v>
      </c>
      <c r="S79" s="28"/>
      <c r="T79" s="28"/>
      <c r="U79" s="28" t="s">
        <v>558</v>
      </c>
    </row>
    <row r="80" customFormat="false" ht="13.8" hidden="false" customHeight="false" outlineLevel="0" collapsed="false">
      <c r="A80" s="25" t="s">
        <v>700</v>
      </c>
      <c r="B80" s="0" t="s">
        <v>480</v>
      </c>
      <c r="D80" s="27" t="s">
        <v>701</v>
      </c>
      <c r="E80" s="8" t="s">
        <v>702</v>
      </c>
      <c r="F80" s="28" t="s">
        <v>426</v>
      </c>
      <c r="G80" s="28" t="n">
        <v>201203042</v>
      </c>
      <c r="I80" s="28" t="s">
        <v>510</v>
      </c>
      <c r="J80" s="28" t="s">
        <v>703</v>
      </c>
      <c r="L80" s="28" t="s">
        <v>511</v>
      </c>
      <c r="N80" s="29" t="s">
        <v>704</v>
      </c>
      <c r="O80" s="28" t="s">
        <v>486</v>
      </c>
      <c r="P80" s="28"/>
      <c r="Q80" s="28" t="s">
        <v>558</v>
      </c>
      <c r="R80" s="28" t="s">
        <v>487</v>
      </c>
      <c r="S80" s="28"/>
      <c r="T80" s="28"/>
      <c r="U80" s="28" t="s">
        <v>558</v>
      </c>
    </row>
    <row r="81" customFormat="false" ht="13.8" hidden="false" customHeight="false" outlineLevel="0" collapsed="false">
      <c r="A81" s="25" t="s">
        <v>705</v>
      </c>
      <c r="B81" s="0" t="s">
        <v>480</v>
      </c>
      <c r="D81" s="27" t="s">
        <v>706</v>
      </c>
      <c r="E81" s="8" t="s">
        <v>707</v>
      </c>
      <c r="F81" s="28" t="s">
        <v>426</v>
      </c>
      <c r="G81" s="28" t="n">
        <v>201203042</v>
      </c>
      <c r="I81" s="28" t="s">
        <v>510</v>
      </c>
      <c r="J81" s="28" t="s">
        <v>708</v>
      </c>
      <c r="L81" s="28" t="s">
        <v>558</v>
      </c>
      <c r="N81" s="29" t="s">
        <v>709</v>
      </c>
      <c r="O81" s="28" t="s">
        <v>486</v>
      </c>
      <c r="P81" s="28"/>
      <c r="Q81" s="28" t="s">
        <v>558</v>
      </c>
      <c r="R81" s="28" t="s">
        <v>710</v>
      </c>
      <c r="S81" s="28"/>
      <c r="T81" s="28"/>
      <c r="U81" s="28" t="s">
        <v>511</v>
      </c>
    </row>
    <row r="82" customFormat="false" ht="13.8" hidden="false" customHeight="false" outlineLevel="0" collapsed="false">
      <c r="A82" s="25" t="s">
        <v>711</v>
      </c>
      <c r="B82" s="0" t="s">
        <v>480</v>
      </c>
      <c r="D82" s="27" t="s">
        <v>712</v>
      </c>
      <c r="E82" s="8" t="s">
        <v>713</v>
      </c>
      <c r="F82" s="28" t="s">
        <v>426</v>
      </c>
      <c r="G82" s="28" t="n">
        <v>201203042</v>
      </c>
      <c r="I82" s="28" t="s">
        <v>516</v>
      </c>
      <c r="J82" s="28" t="s">
        <v>714</v>
      </c>
      <c r="L82" s="28" t="s">
        <v>558</v>
      </c>
      <c r="N82" s="29" t="s">
        <v>715</v>
      </c>
      <c r="O82" s="28" t="s">
        <v>486</v>
      </c>
      <c r="P82" s="28"/>
      <c r="Q82" s="28" t="s">
        <v>558</v>
      </c>
      <c r="R82" s="28" t="s">
        <v>716</v>
      </c>
      <c r="S82" s="28"/>
      <c r="T82" s="28"/>
      <c r="U82" s="28" t="s">
        <v>558</v>
      </c>
    </row>
    <row r="83" customFormat="false" ht="13.8" hidden="false" customHeight="false" outlineLevel="0" collapsed="false">
      <c r="A83" s="25" t="s">
        <v>717</v>
      </c>
      <c r="B83" s="0" t="s">
        <v>480</v>
      </c>
      <c r="D83" s="27" t="s">
        <v>718</v>
      </c>
      <c r="E83" s="8" t="s">
        <v>719</v>
      </c>
      <c r="F83" s="28" t="s">
        <v>426</v>
      </c>
      <c r="G83" s="28" t="n">
        <v>201203042</v>
      </c>
      <c r="I83" s="28" t="s">
        <v>510</v>
      </c>
      <c r="J83" s="28" t="s">
        <v>720</v>
      </c>
      <c r="L83" s="28" t="s">
        <v>558</v>
      </c>
      <c r="N83" s="29" t="s">
        <v>721</v>
      </c>
      <c r="O83" s="28" t="s">
        <v>486</v>
      </c>
      <c r="P83" s="28"/>
      <c r="Q83" s="28" t="s">
        <v>558</v>
      </c>
      <c r="R83" s="28" t="s">
        <v>487</v>
      </c>
      <c r="S83" s="28"/>
      <c r="T83" s="28"/>
      <c r="U83" s="28" t="s">
        <v>511</v>
      </c>
    </row>
    <row r="84" customFormat="false" ht="13.8" hidden="false" customHeight="false" outlineLevel="0" collapsed="false">
      <c r="A84" s="25" t="s">
        <v>722</v>
      </c>
      <c r="B84" s="0" t="s">
        <v>480</v>
      </c>
      <c r="D84" s="27" t="s">
        <v>723</v>
      </c>
      <c r="E84" s="8" t="s">
        <v>724</v>
      </c>
      <c r="F84" s="28" t="s">
        <v>426</v>
      </c>
      <c r="G84" s="28" t="n">
        <v>201203042</v>
      </c>
      <c r="I84" s="28" t="s">
        <v>516</v>
      </c>
      <c r="J84" s="28" t="s">
        <v>725</v>
      </c>
      <c r="L84" s="28" t="s">
        <v>511</v>
      </c>
      <c r="N84" s="29" t="s">
        <v>595</v>
      </c>
      <c r="O84" s="28" t="s">
        <v>486</v>
      </c>
      <c r="P84" s="28"/>
      <c r="Q84" s="28" t="s">
        <v>558</v>
      </c>
      <c r="R84" s="28" t="s">
        <v>487</v>
      </c>
      <c r="S84" s="28"/>
      <c r="T84" s="28"/>
      <c r="U84" s="28" t="s">
        <v>511</v>
      </c>
    </row>
    <row r="85" customFormat="false" ht="13.8" hidden="false" customHeight="false" outlineLevel="0" collapsed="false">
      <c r="A85" s="25" t="s">
        <v>726</v>
      </c>
      <c r="B85" s="0" t="s">
        <v>480</v>
      </c>
      <c r="D85" s="27" t="s">
        <v>727</v>
      </c>
      <c r="E85" s="8" t="s">
        <v>728</v>
      </c>
      <c r="F85" s="28" t="s">
        <v>426</v>
      </c>
      <c r="G85" s="28" t="n">
        <v>201203042</v>
      </c>
      <c r="I85" s="28" t="s">
        <v>516</v>
      </c>
      <c r="J85" s="28" t="s">
        <v>729</v>
      </c>
      <c r="L85" s="28" t="s">
        <v>511</v>
      </c>
      <c r="N85" s="29" t="s">
        <v>704</v>
      </c>
      <c r="O85" s="28" t="s">
        <v>526</v>
      </c>
      <c r="P85" s="28"/>
      <c r="Q85" s="28" t="s">
        <v>558</v>
      </c>
      <c r="R85" s="28" t="s">
        <v>487</v>
      </c>
      <c r="S85" s="28"/>
      <c r="T85" s="28"/>
      <c r="U85" s="28" t="s">
        <v>558</v>
      </c>
    </row>
    <row r="86" customFormat="false" ht="13.8" hidden="false" customHeight="false" outlineLevel="0" collapsed="false">
      <c r="A86" s="25" t="s">
        <v>730</v>
      </c>
      <c r="B86" s="0" t="s">
        <v>480</v>
      </c>
      <c r="D86" s="27" t="s">
        <v>731</v>
      </c>
      <c r="E86" s="8" t="s">
        <v>732</v>
      </c>
      <c r="F86" s="28" t="s">
        <v>426</v>
      </c>
      <c r="G86" s="28" t="n">
        <v>201203042</v>
      </c>
      <c r="I86" s="28" t="s">
        <v>516</v>
      </c>
      <c r="J86" s="28" t="s">
        <v>733</v>
      </c>
      <c r="L86" s="28" t="s">
        <v>511</v>
      </c>
      <c r="N86" s="29" t="s">
        <v>525</v>
      </c>
      <c r="O86" s="28" t="s">
        <v>526</v>
      </c>
      <c r="P86" s="28"/>
      <c r="Q86" s="28" t="s">
        <v>558</v>
      </c>
      <c r="R86" s="28" t="s">
        <v>487</v>
      </c>
      <c r="S86" s="28"/>
      <c r="T86" s="28"/>
      <c r="U86" s="28" t="s">
        <v>558</v>
      </c>
    </row>
    <row r="87" customFormat="false" ht="13.8" hidden="false" customHeight="false" outlineLevel="0" collapsed="false">
      <c r="A87" s="25" t="s">
        <v>734</v>
      </c>
      <c r="B87" s="0" t="s">
        <v>480</v>
      </c>
      <c r="D87" s="27" t="s">
        <v>735</v>
      </c>
      <c r="E87" s="8" t="s">
        <v>736</v>
      </c>
      <c r="F87" s="28" t="s">
        <v>426</v>
      </c>
      <c r="G87" s="28" t="n">
        <v>201203042</v>
      </c>
      <c r="I87" s="28" t="s">
        <v>510</v>
      </c>
      <c r="J87" s="28" t="s">
        <v>737</v>
      </c>
      <c r="L87" s="28" t="s">
        <v>511</v>
      </c>
      <c r="N87" s="29" t="s">
        <v>738</v>
      </c>
      <c r="O87" s="28" t="s">
        <v>526</v>
      </c>
      <c r="P87" s="28"/>
      <c r="Q87" s="28" t="s">
        <v>558</v>
      </c>
      <c r="R87" s="28" t="s">
        <v>487</v>
      </c>
      <c r="S87" s="28"/>
      <c r="T87" s="28"/>
      <c r="U87" s="28" t="s">
        <v>558</v>
      </c>
    </row>
    <row r="88" customFormat="false" ht="13.8" hidden="false" customHeight="false" outlineLevel="0" collapsed="false">
      <c r="A88" s="25" t="s">
        <v>739</v>
      </c>
      <c r="B88" s="0" t="s">
        <v>480</v>
      </c>
      <c r="D88" s="27" t="s">
        <v>740</v>
      </c>
      <c r="E88" s="8" t="s">
        <v>741</v>
      </c>
      <c r="F88" s="28" t="s">
        <v>426</v>
      </c>
      <c r="G88" s="28" t="n">
        <v>201203042</v>
      </c>
      <c r="I88" s="28" t="s">
        <v>510</v>
      </c>
      <c r="J88" s="28" t="s">
        <v>742</v>
      </c>
      <c r="L88" s="28" t="s">
        <v>511</v>
      </c>
      <c r="N88" s="29" t="s">
        <v>525</v>
      </c>
      <c r="O88" s="28" t="s">
        <v>526</v>
      </c>
      <c r="P88" s="28"/>
      <c r="Q88" s="28" t="s">
        <v>558</v>
      </c>
      <c r="R88" s="28" t="s">
        <v>487</v>
      </c>
      <c r="S88" s="28"/>
      <c r="T88" s="28"/>
      <c r="U88" s="28" t="s">
        <v>558</v>
      </c>
    </row>
    <row r="89" customFormat="false" ht="13.8" hidden="false" customHeight="false" outlineLevel="0" collapsed="false">
      <c r="A89" s="25" t="s">
        <v>743</v>
      </c>
      <c r="B89" s="0" t="s">
        <v>480</v>
      </c>
      <c r="D89" s="27" t="s">
        <v>744</v>
      </c>
      <c r="E89" s="8" t="s">
        <v>745</v>
      </c>
      <c r="F89" s="28" t="s">
        <v>426</v>
      </c>
      <c r="G89" s="28" t="n">
        <v>201203042</v>
      </c>
      <c r="I89" s="28" t="s">
        <v>510</v>
      </c>
      <c r="J89" s="28" t="s">
        <v>746</v>
      </c>
      <c r="L89" s="28" t="s">
        <v>511</v>
      </c>
      <c r="N89" s="29" t="s">
        <v>747</v>
      </c>
      <c r="O89" s="28" t="s">
        <v>526</v>
      </c>
      <c r="P89" s="28"/>
      <c r="Q89" s="28" t="s">
        <v>558</v>
      </c>
      <c r="R89" s="28" t="s">
        <v>487</v>
      </c>
      <c r="S89" s="28"/>
      <c r="T89" s="28"/>
      <c r="U89" s="28" t="s">
        <v>558</v>
      </c>
    </row>
    <row r="90" customFormat="false" ht="13.8" hidden="false" customHeight="false" outlineLevel="0" collapsed="false">
      <c r="A90" s="25" t="s">
        <v>748</v>
      </c>
      <c r="B90" s="0" t="s">
        <v>480</v>
      </c>
      <c r="D90" s="27" t="s">
        <v>749</v>
      </c>
      <c r="E90" s="8" t="s">
        <v>750</v>
      </c>
      <c r="F90" s="28" t="s">
        <v>426</v>
      </c>
      <c r="G90" s="28" t="n">
        <v>201203042</v>
      </c>
      <c r="I90" s="28" t="s">
        <v>510</v>
      </c>
      <c r="J90" s="28" t="s">
        <v>751</v>
      </c>
      <c r="L90" s="28" t="s">
        <v>511</v>
      </c>
      <c r="N90" s="29" t="s">
        <v>541</v>
      </c>
      <c r="O90" s="28" t="s">
        <v>752</v>
      </c>
      <c r="P90" s="28" t="s">
        <v>526</v>
      </c>
      <c r="Q90" s="28" t="s">
        <v>558</v>
      </c>
      <c r="R90" s="28" t="s">
        <v>753</v>
      </c>
      <c r="S90" s="28"/>
      <c r="T90" s="28"/>
      <c r="U90" s="28" t="s">
        <v>511</v>
      </c>
    </row>
    <row r="91" customFormat="false" ht="13.8" hidden="false" customHeight="false" outlineLevel="0" collapsed="false">
      <c r="A91" s="25" t="s">
        <v>754</v>
      </c>
      <c r="B91" s="0" t="s">
        <v>480</v>
      </c>
      <c r="D91" s="27" t="s">
        <v>755</v>
      </c>
      <c r="E91" s="8" t="s">
        <v>756</v>
      </c>
      <c r="F91" s="28" t="s">
        <v>426</v>
      </c>
      <c r="G91" s="28" t="n">
        <v>201203042</v>
      </c>
      <c r="I91" s="28" t="s">
        <v>516</v>
      </c>
      <c r="J91" s="28" t="s">
        <v>757</v>
      </c>
      <c r="L91" s="28" t="s">
        <v>511</v>
      </c>
      <c r="N91" s="29" t="s">
        <v>606</v>
      </c>
      <c r="O91" s="28" t="s">
        <v>526</v>
      </c>
      <c r="P91" s="28"/>
      <c r="Q91" s="28" t="s">
        <v>558</v>
      </c>
      <c r="R91" s="28" t="s">
        <v>758</v>
      </c>
      <c r="S91" s="28"/>
      <c r="T91" s="28"/>
      <c r="U91" s="28" t="s">
        <v>558</v>
      </c>
    </row>
    <row r="92" customFormat="false" ht="13.8" hidden="false" customHeight="false" outlineLevel="0" collapsed="false">
      <c r="A92" s="25" t="s">
        <v>759</v>
      </c>
      <c r="B92" s="0" t="s">
        <v>480</v>
      </c>
      <c r="D92" s="27" t="s">
        <v>760</v>
      </c>
      <c r="E92" s="8" t="s">
        <v>761</v>
      </c>
      <c r="F92" s="28" t="s">
        <v>426</v>
      </c>
      <c r="G92" s="28" t="n">
        <v>201203042</v>
      </c>
      <c r="I92" s="28" t="s">
        <v>510</v>
      </c>
      <c r="J92" s="28" t="s">
        <v>762</v>
      </c>
      <c r="L92" s="28" t="s">
        <v>511</v>
      </c>
      <c r="N92" s="29" t="s">
        <v>709</v>
      </c>
      <c r="O92" s="28" t="s">
        <v>526</v>
      </c>
      <c r="P92" s="28"/>
      <c r="Q92" s="28" t="s">
        <v>558</v>
      </c>
      <c r="R92" s="28" t="s">
        <v>487</v>
      </c>
      <c r="S92" s="28"/>
      <c r="T92" s="28"/>
      <c r="U92" s="28" t="s">
        <v>558</v>
      </c>
    </row>
    <row r="93" customFormat="false" ht="13.8" hidden="false" customHeight="false" outlineLevel="0" collapsed="false">
      <c r="A93" s="25" t="s">
        <v>763</v>
      </c>
      <c r="B93" s="0" t="s">
        <v>480</v>
      </c>
      <c r="D93" s="27" t="s">
        <v>764</v>
      </c>
      <c r="E93" s="8" t="s">
        <v>765</v>
      </c>
      <c r="F93" s="28" t="s">
        <v>426</v>
      </c>
      <c r="G93" s="28" t="n">
        <v>201203042</v>
      </c>
      <c r="I93" s="28" t="s">
        <v>516</v>
      </c>
      <c r="J93" s="28" t="s">
        <v>766</v>
      </c>
      <c r="L93" s="28" t="s">
        <v>511</v>
      </c>
      <c r="N93" s="29" t="s">
        <v>767</v>
      </c>
      <c r="O93" s="28" t="s">
        <v>526</v>
      </c>
      <c r="P93" s="28"/>
      <c r="Q93" s="28" t="s">
        <v>558</v>
      </c>
      <c r="R93" s="28" t="s">
        <v>487</v>
      </c>
      <c r="S93" s="28"/>
      <c r="T93" s="28"/>
      <c r="U93" s="28" t="s">
        <v>558</v>
      </c>
    </row>
    <row r="94" customFormat="false" ht="13.8" hidden="false" customHeight="false" outlineLevel="0" collapsed="false">
      <c r="A94" s="25" t="s">
        <v>768</v>
      </c>
      <c r="B94" s="0" t="s">
        <v>480</v>
      </c>
      <c r="D94" s="27" t="s">
        <v>769</v>
      </c>
      <c r="E94" s="8" t="s">
        <v>770</v>
      </c>
      <c r="F94" s="28" t="s">
        <v>426</v>
      </c>
      <c r="G94" s="28" t="n">
        <v>201203042</v>
      </c>
      <c r="I94" s="28" t="s">
        <v>516</v>
      </c>
      <c r="J94" s="28" t="s">
        <v>771</v>
      </c>
      <c r="L94" s="28" t="s">
        <v>511</v>
      </c>
      <c r="N94" s="29" t="s">
        <v>613</v>
      </c>
      <c r="O94" s="28" t="s">
        <v>526</v>
      </c>
      <c r="P94" s="28"/>
      <c r="Q94" s="28" t="s">
        <v>558</v>
      </c>
      <c r="R94" s="28" t="s">
        <v>487</v>
      </c>
      <c r="S94" s="28"/>
      <c r="T94" s="28"/>
      <c r="U94" s="28" t="s">
        <v>558</v>
      </c>
    </row>
    <row r="95" customFormat="false" ht="13.8" hidden="false" customHeight="false" outlineLevel="0" collapsed="false">
      <c r="A95" s="25" t="s">
        <v>772</v>
      </c>
      <c r="B95" s="0" t="s">
        <v>480</v>
      </c>
      <c r="D95" s="27" t="s">
        <v>773</v>
      </c>
      <c r="E95" s="8" t="s">
        <v>774</v>
      </c>
      <c r="F95" s="28" t="s">
        <v>426</v>
      </c>
      <c r="G95" s="28" t="n">
        <v>201203042</v>
      </c>
      <c r="I95" s="28" t="s">
        <v>510</v>
      </c>
      <c r="J95" s="28" t="s">
        <v>775</v>
      </c>
      <c r="L95" s="28" t="s">
        <v>511</v>
      </c>
      <c r="N95" s="29" t="s">
        <v>554</v>
      </c>
      <c r="O95" s="28" t="s">
        <v>526</v>
      </c>
      <c r="P95" s="28"/>
      <c r="Q95" s="28" t="s">
        <v>558</v>
      </c>
      <c r="R95" s="28" t="s">
        <v>487</v>
      </c>
      <c r="S95" s="28"/>
      <c r="T95" s="28"/>
      <c r="U95" s="28" t="s">
        <v>558</v>
      </c>
    </row>
    <row r="96" customFormat="false" ht="13.8" hidden="false" customHeight="false" outlineLevel="0" collapsed="false">
      <c r="A96" s="25" t="s">
        <v>776</v>
      </c>
      <c r="B96" s="0" t="s">
        <v>480</v>
      </c>
      <c r="D96" s="27" t="s">
        <v>777</v>
      </c>
      <c r="E96" s="8" t="s">
        <v>778</v>
      </c>
      <c r="F96" s="28" t="s">
        <v>426</v>
      </c>
      <c r="G96" s="28" t="n">
        <v>201203042</v>
      </c>
      <c r="I96" s="28" t="s">
        <v>516</v>
      </c>
      <c r="J96" s="28" t="s">
        <v>779</v>
      </c>
      <c r="L96" s="28" t="s">
        <v>511</v>
      </c>
      <c r="N96" s="29" t="s">
        <v>664</v>
      </c>
      <c r="O96" s="28" t="s">
        <v>526</v>
      </c>
      <c r="P96" s="28"/>
      <c r="Q96" s="28" t="s">
        <v>558</v>
      </c>
      <c r="R96" s="28" t="s">
        <v>487</v>
      </c>
      <c r="S96" s="28"/>
      <c r="T96" s="28"/>
      <c r="U96" s="28" t="s">
        <v>558</v>
      </c>
    </row>
    <row r="97" customFormat="false" ht="13.8" hidden="false" customHeight="false" outlineLevel="0" collapsed="false">
      <c r="A97" s="25" t="s">
        <v>780</v>
      </c>
      <c r="B97" s="0" t="s">
        <v>480</v>
      </c>
      <c r="D97" s="27" t="s">
        <v>781</v>
      </c>
      <c r="E97" s="8" t="s">
        <v>782</v>
      </c>
      <c r="F97" s="28" t="s">
        <v>426</v>
      </c>
      <c r="G97" s="28" t="n">
        <v>201203042</v>
      </c>
      <c r="I97" s="28" t="s">
        <v>516</v>
      </c>
      <c r="J97" s="28" t="s">
        <v>783</v>
      </c>
      <c r="L97" s="28" t="s">
        <v>511</v>
      </c>
      <c r="N97" s="29" t="s">
        <v>784</v>
      </c>
      <c r="O97" s="28" t="s">
        <v>526</v>
      </c>
      <c r="P97" s="28"/>
      <c r="Q97" s="28" t="s">
        <v>558</v>
      </c>
      <c r="R97" s="28" t="s">
        <v>487</v>
      </c>
      <c r="S97" s="28"/>
      <c r="T97" s="28"/>
      <c r="U97" s="28" t="s">
        <v>558</v>
      </c>
    </row>
    <row r="98" customFormat="false" ht="13.8" hidden="false" customHeight="false" outlineLevel="0" collapsed="false">
      <c r="A98" s="25" t="s">
        <v>785</v>
      </c>
      <c r="B98" s="0" t="s">
        <v>480</v>
      </c>
      <c r="D98" s="27" t="s">
        <v>786</v>
      </c>
      <c r="E98" s="8" t="s">
        <v>787</v>
      </c>
      <c r="F98" s="28" t="s">
        <v>426</v>
      </c>
      <c r="G98" s="28" t="n">
        <v>201203042</v>
      </c>
      <c r="I98" s="28" t="s">
        <v>516</v>
      </c>
      <c r="J98" s="28" t="s">
        <v>788</v>
      </c>
      <c r="L98" s="28" t="s">
        <v>511</v>
      </c>
      <c r="N98" s="29" t="s">
        <v>789</v>
      </c>
      <c r="O98" s="28" t="s">
        <v>526</v>
      </c>
      <c r="P98" s="28"/>
      <c r="Q98" s="28" t="s">
        <v>558</v>
      </c>
      <c r="R98" s="28" t="s">
        <v>790</v>
      </c>
      <c r="S98" s="28"/>
      <c r="T98" s="28"/>
      <c r="U98" s="28" t="s">
        <v>558</v>
      </c>
    </row>
    <row r="99" customFormat="false" ht="13.8" hidden="false" customHeight="false" outlineLevel="0" collapsed="false">
      <c r="A99" s="25" t="s">
        <v>791</v>
      </c>
      <c r="B99" s="0" t="s">
        <v>480</v>
      </c>
      <c r="D99" s="27" t="s">
        <v>792</v>
      </c>
      <c r="E99" s="8" t="s">
        <v>793</v>
      </c>
      <c r="F99" s="28" t="s">
        <v>426</v>
      </c>
      <c r="G99" s="28" t="n">
        <v>201203042</v>
      </c>
      <c r="I99" s="28" t="s">
        <v>516</v>
      </c>
      <c r="J99" s="28" t="s">
        <v>794</v>
      </c>
      <c r="L99" s="28" t="s">
        <v>511</v>
      </c>
      <c r="N99" s="29" t="s">
        <v>606</v>
      </c>
      <c r="O99" s="28" t="s">
        <v>486</v>
      </c>
      <c r="P99" s="28"/>
      <c r="Q99" s="28" t="s">
        <v>558</v>
      </c>
      <c r="R99" s="28" t="s">
        <v>758</v>
      </c>
      <c r="S99" s="28"/>
      <c r="T99" s="28"/>
      <c r="U99" s="28" t="s">
        <v>558</v>
      </c>
    </row>
    <row r="100" customFormat="false" ht="13.8" hidden="false" customHeight="false" outlineLevel="0" collapsed="false">
      <c r="A100" s="25" t="s">
        <v>795</v>
      </c>
      <c r="B100" s="0" t="s">
        <v>480</v>
      </c>
      <c r="D100" s="27" t="s">
        <v>796</v>
      </c>
      <c r="E100" s="8" t="s">
        <v>797</v>
      </c>
      <c r="F100" s="28" t="s">
        <v>426</v>
      </c>
      <c r="G100" s="28" t="n">
        <v>201203042</v>
      </c>
      <c r="I100" s="28" t="s">
        <v>510</v>
      </c>
      <c r="J100" s="28" t="s">
        <v>798</v>
      </c>
      <c r="L100" s="28" t="s">
        <v>511</v>
      </c>
      <c r="N100" s="29" t="s">
        <v>698</v>
      </c>
      <c r="O100" s="28" t="s">
        <v>526</v>
      </c>
      <c r="P100" s="28"/>
      <c r="Q100" s="28" t="s">
        <v>558</v>
      </c>
      <c r="R100" s="28" t="s">
        <v>799</v>
      </c>
      <c r="S100" s="28"/>
      <c r="T100" s="28"/>
      <c r="U100" s="28" t="s">
        <v>558</v>
      </c>
    </row>
    <row r="101" customFormat="false" ht="13.8" hidden="false" customHeight="false" outlineLevel="0" collapsed="false">
      <c r="A101" s="25" t="s">
        <v>800</v>
      </c>
      <c r="B101" s="0" t="s">
        <v>480</v>
      </c>
      <c r="D101" s="27" t="s">
        <v>801</v>
      </c>
      <c r="E101" s="8" t="s">
        <v>802</v>
      </c>
      <c r="F101" s="28" t="s">
        <v>426</v>
      </c>
      <c r="G101" s="28" t="n">
        <v>201203042</v>
      </c>
      <c r="I101" s="28" t="s">
        <v>510</v>
      </c>
      <c r="J101" s="28" t="s">
        <v>803</v>
      </c>
      <c r="L101" s="28" t="s">
        <v>511</v>
      </c>
      <c r="N101" s="29" t="s">
        <v>554</v>
      </c>
      <c r="O101" s="28" t="s">
        <v>526</v>
      </c>
      <c r="P101" s="28"/>
      <c r="Q101" s="28" t="s">
        <v>558</v>
      </c>
      <c r="R101" s="28" t="s">
        <v>487</v>
      </c>
      <c r="S101" s="28"/>
      <c r="T101" s="28"/>
      <c r="U101" s="28" t="s">
        <v>558</v>
      </c>
    </row>
    <row r="102" customFormat="false" ht="13.8" hidden="false" customHeight="false" outlineLevel="0" collapsed="false">
      <c r="A102" s="25" t="s">
        <v>804</v>
      </c>
      <c r="B102" s="0" t="s">
        <v>480</v>
      </c>
      <c r="D102" s="27" t="s">
        <v>805</v>
      </c>
      <c r="E102" s="8" t="s">
        <v>806</v>
      </c>
      <c r="F102" s="28" t="s">
        <v>426</v>
      </c>
      <c r="G102" s="28" t="n">
        <v>201203042</v>
      </c>
      <c r="I102" s="28" t="s">
        <v>516</v>
      </c>
      <c r="J102" s="28" t="s">
        <v>807</v>
      </c>
      <c r="L102" s="28" t="s">
        <v>808</v>
      </c>
      <c r="N102" s="29" t="s">
        <v>559</v>
      </c>
      <c r="O102" s="28" t="s">
        <v>526</v>
      </c>
      <c r="P102" s="28"/>
      <c r="Q102" s="28" t="s">
        <v>558</v>
      </c>
      <c r="R102" s="28" t="s">
        <v>487</v>
      </c>
      <c r="S102" s="28"/>
      <c r="T102" s="28"/>
      <c r="U102" s="28" t="s">
        <v>558</v>
      </c>
    </row>
    <row r="103" customFormat="false" ht="13.8" hidden="false" customHeight="false" outlineLevel="0" collapsed="false">
      <c r="A103" s="25" t="s">
        <v>809</v>
      </c>
      <c r="B103" s="0" t="s">
        <v>480</v>
      </c>
      <c r="D103" s="27" t="s">
        <v>810</v>
      </c>
      <c r="E103" s="8" t="s">
        <v>811</v>
      </c>
      <c r="F103" s="28" t="s">
        <v>426</v>
      </c>
      <c r="G103" s="28" t="n">
        <v>201203042</v>
      </c>
      <c r="I103" s="28" t="s">
        <v>510</v>
      </c>
      <c r="J103" s="28" t="s">
        <v>812</v>
      </c>
      <c r="L103" s="28" t="s">
        <v>511</v>
      </c>
      <c r="N103" s="29" t="s">
        <v>626</v>
      </c>
      <c r="O103" s="28" t="s">
        <v>526</v>
      </c>
      <c r="P103" s="28"/>
      <c r="Q103" s="28" t="s">
        <v>558</v>
      </c>
      <c r="R103" s="28" t="s">
        <v>487</v>
      </c>
      <c r="S103" s="28"/>
      <c r="T103" s="28"/>
      <c r="U103" s="28" t="s">
        <v>558</v>
      </c>
    </row>
    <row r="104" customFormat="false" ht="13.8" hidden="false" customHeight="false" outlineLevel="0" collapsed="false">
      <c r="A104" s="25" t="s">
        <v>813</v>
      </c>
      <c r="B104" s="0" t="s">
        <v>480</v>
      </c>
      <c r="D104" s="27" t="s">
        <v>814</v>
      </c>
      <c r="E104" s="8" t="s">
        <v>815</v>
      </c>
      <c r="F104" s="28" t="s">
        <v>426</v>
      </c>
      <c r="G104" s="28" t="n">
        <v>201203042</v>
      </c>
      <c r="I104" s="28" t="s">
        <v>510</v>
      </c>
      <c r="J104" s="28" t="s">
        <v>816</v>
      </c>
      <c r="L104" s="28" t="s">
        <v>558</v>
      </c>
      <c r="N104" s="29" t="s">
        <v>784</v>
      </c>
      <c r="O104" s="28" t="s">
        <v>486</v>
      </c>
      <c r="P104" s="28"/>
      <c r="Q104" s="28" t="s">
        <v>558</v>
      </c>
      <c r="R104" s="28" t="s">
        <v>487</v>
      </c>
      <c r="S104" s="28"/>
      <c r="T104" s="28"/>
      <c r="U104" s="28" t="s">
        <v>511</v>
      </c>
    </row>
    <row r="105" customFormat="false" ht="13.8" hidden="false" customHeight="false" outlineLevel="0" collapsed="false">
      <c r="A105" s="25" t="s">
        <v>817</v>
      </c>
      <c r="B105" s="0" t="s">
        <v>480</v>
      </c>
      <c r="D105" s="27" t="s">
        <v>818</v>
      </c>
      <c r="E105" s="8" t="s">
        <v>819</v>
      </c>
      <c r="F105" s="28" t="s">
        <v>426</v>
      </c>
      <c r="G105" s="28" t="n">
        <v>201203042</v>
      </c>
      <c r="I105" s="28" t="s">
        <v>510</v>
      </c>
      <c r="J105" s="28" t="s">
        <v>820</v>
      </c>
      <c r="L105" s="28" t="s">
        <v>511</v>
      </c>
      <c r="N105" s="29" t="s">
        <v>698</v>
      </c>
      <c r="O105" s="28" t="s">
        <v>526</v>
      </c>
      <c r="P105" s="28"/>
      <c r="Q105" s="28" t="s">
        <v>558</v>
      </c>
      <c r="R105" s="28" t="s">
        <v>487</v>
      </c>
      <c r="S105" s="28"/>
      <c r="T105" s="28"/>
      <c r="U105" s="28" t="s">
        <v>558</v>
      </c>
    </row>
    <row r="106" customFormat="false" ht="13.8" hidden="false" customHeight="false" outlineLevel="0" collapsed="false">
      <c r="A106" s="25" t="s">
        <v>821</v>
      </c>
      <c r="B106" s="0" t="s">
        <v>480</v>
      </c>
      <c r="D106" s="27" t="s">
        <v>822</v>
      </c>
      <c r="E106" s="8" t="s">
        <v>823</v>
      </c>
      <c r="F106" s="28" t="s">
        <v>426</v>
      </c>
      <c r="G106" s="28" t="n">
        <v>201203042</v>
      </c>
      <c r="I106" s="28" t="s">
        <v>510</v>
      </c>
      <c r="J106" s="28" t="s">
        <v>824</v>
      </c>
      <c r="L106" s="28" t="s">
        <v>511</v>
      </c>
      <c r="N106" s="29" t="s">
        <v>825</v>
      </c>
      <c r="O106" s="28" t="s">
        <v>526</v>
      </c>
      <c r="P106" s="28"/>
      <c r="Q106" s="28" t="s">
        <v>558</v>
      </c>
      <c r="R106" s="28" t="s">
        <v>487</v>
      </c>
      <c r="S106" s="28"/>
      <c r="T106" s="28"/>
      <c r="U106" s="28" t="s">
        <v>558</v>
      </c>
    </row>
    <row r="107" customFormat="false" ht="13.8" hidden="false" customHeight="false" outlineLevel="0" collapsed="false">
      <c r="A107" s="25" t="s">
        <v>826</v>
      </c>
      <c r="B107" s="0" t="s">
        <v>480</v>
      </c>
      <c r="D107" s="27" t="s">
        <v>827</v>
      </c>
      <c r="E107" s="8" t="s">
        <v>828</v>
      </c>
      <c r="F107" s="0" t="s">
        <v>509</v>
      </c>
      <c r="G107" s="0" t="s">
        <v>487</v>
      </c>
      <c r="I107" s="0" t="s">
        <v>516</v>
      </c>
      <c r="L107" s="10" t="s">
        <v>558</v>
      </c>
      <c r="N107" s="29" t="s">
        <v>829</v>
      </c>
      <c r="O107" s="0" t="s">
        <v>676</v>
      </c>
      <c r="P107" s="0" t="s">
        <v>487</v>
      </c>
      <c r="Q107" s="28" t="s">
        <v>558</v>
      </c>
      <c r="R107" s="28" t="s">
        <v>487</v>
      </c>
      <c r="S107" s="0" t="s">
        <v>487</v>
      </c>
      <c r="T107" s="0" t="s">
        <v>487</v>
      </c>
      <c r="U107" s="0" t="s">
        <v>487</v>
      </c>
    </row>
    <row r="108" customFormat="false" ht="13.8" hidden="false" customHeight="false" outlineLevel="0" collapsed="false">
      <c r="A108" s="25" t="s">
        <v>830</v>
      </c>
      <c r="B108" s="0" t="s">
        <v>480</v>
      </c>
      <c r="D108" s="27" t="s">
        <v>831</v>
      </c>
      <c r="E108" s="8" t="s">
        <v>832</v>
      </c>
      <c r="F108" s="0" t="s">
        <v>509</v>
      </c>
      <c r="G108" s="0" t="s">
        <v>487</v>
      </c>
      <c r="I108" s="0" t="s">
        <v>516</v>
      </c>
      <c r="L108" s="10" t="s">
        <v>558</v>
      </c>
      <c r="N108" s="29" t="s">
        <v>829</v>
      </c>
      <c r="O108" s="0" t="s">
        <v>676</v>
      </c>
      <c r="P108" s="0" t="s">
        <v>487</v>
      </c>
      <c r="Q108" s="28" t="s">
        <v>558</v>
      </c>
      <c r="R108" s="28" t="s">
        <v>487</v>
      </c>
      <c r="S108" s="0" t="s">
        <v>487</v>
      </c>
      <c r="T108" s="0" t="s">
        <v>487</v>
      </c>
      <c r="U108" s="0" t="s">
        <v>487</v>
      </c>
    </row>
    <row r="109" customFormat="false" ht="13.8" hidden="false" customHeight="false" outlineLevel="0" collapsed="false">
      <c r="A109" s="25" t="s">
        <v>833</v>
      </c>
      <c r="B109" s="0" t="s">
        <v>480</v>
      </c>
      <c r="D109" s="27" t="s">
        <v>834</v>
      </c>
      <c r="E109" s="8" t="s">
        <v>835</v>
      </c>
      <c r="F109" s="0" t="s">
        <v>509</v>
      </c>
      <c r="G109" s="0" t="s">
        <v>487</v>
      </c>
      <c r="I109" s="0" t="s">
        <v>510</v>
      </c>
      <c r="L109" s="10" t="s">
        <v>558</v>
      </c>
      <c r="N109" s="29" t="s">
        <v>829</v>
      </c>
      <c r="O109" s="0" t="s">
        <v>676</v>
      </c>
      <c r="P109" s="0" t="s">
        <v>487</v>
      </c>
      <c r="Q109" s="28" t="s">
        <v>558</v>
      </c>
      <c r="R109" s="28" t="s">
        <v>487</v>
      </c>
      <c r="S109" s="0" t="s">
        <v>487</v>
      </c>
      <c r="T109" s="0" t="s">
        <v>487</v>
      </c>
      <c r="U109" s="0" t="s">
        <v>487</v>
      </c>
    </row>
    <row r="110" customFormat="false" ht="13.8" hidden="false" customHeight="false" outlineLevel="0" collapsed="false">
      <c r="A110" s="25" t="s">
        <v>836</v>
      </c>
      <c r="B110" s="0" t="s">
        <v>480</v>
      </c>
      <c r="D110" s="27" t="s">
        <v>837</v>
      </c>
      <c r="E110" s="8" t="s">
        <v>838</v>
      </c>
      <c r="F110" s="0" t="s">
        <v>509</v>
      </c>
      <c r="G110" s="0" t="s">
        <v>487</v>
      </c>
      <c r="I110" s="0" t="s">
        <v>427</v>
      </c>
      <c r="L110" s="10" t="s">
        <v>558</v>
      </c>
      <c r="N110" s="29" t="s">
        <v>829</v>
      </c>
      <c r="O110" s="0" t="s">
        <v>676</v>
      </c>
      <c r="P110" s="0" t="s">
        <v>487</v>
      </c>
      <c r="Q110" s="28" t="s">
        <v>558</v>
      </c>
      <c r="R110" s="0" t="s">
        <v>487</v>
      </c>
      <c r="S110" s="0" t="s">
        <v>487</v>
      </c>
      <c r="T110" s="0" t="s">
        <v>487</v>
      </c>
      <c r="U110" s="0" t="s">
        <v>487</v>
      </c>
    </row>
    <row r="111" customFormat="false" ht="13.8" hidden="false" customHeight="false" outlineLevel="0" collapsed="false">
      <c r="A111" s="25" t="s">
        <v>839</v>
      </c>
      <c r="B111" s="0" t="s">
        <v>480</v>
      </c>
      <c r="D111" s="27" t="s">
        <v>840</v>
      </c>
      <c r="E111" s="8" t="s">
        <v>841</v>
      </c>
      <c r="F111" s="0" t="s">
        <v>509</v>
      </c>
      <c r="G111" s="0" t="s">
        <v>487</v>
      </c>
      <c r="I111" s="0" t="s">
        <v>510</v>
      </c>
      <c r="L111" s="10" t="s">
        <v>558</v>
      </c>
      <c r="N111" s="29" t="s">
        <v>829</v>
      </c>
      <c r="O111" s="0" t="s">
        <v>676</v>
      </c>
      <c r="P111" s="0" t="s">
        <v>487</v>
      </c>
      <c r="Q111" s="28" t="s">
        <v>558</v>
      </c>
      <c r="R111" s="28" t="s">
        <v>487</v>
      </c>
      <c r="S111" s="0" t="s">
        <v>487</v>
      </c>
      <c r="T111" s="0" t="s">
        <v>487</v>
      </c>
      <c r="U111" s="0" t="s">
        <v>487</v>
      </c>
    </row>
    <row r="112" customFormat="false" ht="13.8" hidden="false" customHeight="false" outlineLevel="0" collapsed="false">
      <c r="A112" s="25" t="s">
        <v>842</v>
      </c>
      <c r="B112" s="0" t="s">
        <v>480</v>
      </c>
      <c r="D112" s="27" t="s">
        <v>843</v>
      </c>
      <c r="E112" s="8" t="s">
        <v>844</v>
      </c>
      <c r="F112" s="0" t="s">
        <v>509</v>
      </c>
      <c r="G112" s="0" t="s">
        <v>487</v>
      </c>
      <c r="I112" s="0" t="s">
        <v>427</v>
      </c>
      <c r="L112" s="10" t="s">
        <v>558</v>
      </c>
      <c r="N112" s="29" t="s">
        <v>829</v>
      </c>
      <c r="O112" s="0" t="s">
        <v>676</v>
      </c>
      <c r="P112" s="0" t="s">
        <v>487</v>
      </c>
      <c r="Q112" s="28" t="s">
        <v>558</v>
      </c>
      <c r="R112" s="28" t="s">
        <v>487</v>
      </c>
      <c r="S112" s="0" t="s">
        <v>487</v>
      </c>
      <c r="T112" s="0" t="s">
        <v>487</v>
      </c>
      <c r="U112" s="0" t="s">
        <v>487</v>
      </c>
    </row>
    <row r="113" customFormat="false" ht="13.8" hidden="false" customHeight="false" outlineLevel="0" collapsed="false">
      <c r="A113" s="25" t="s">
        <v>845</v>
      </c>
      <c r="B113" s="0" t="s">
        <v>480</v>
      </c>
      <c r="D113" s="27" t="s">
        <v>846</v>
      </c>
      <c r="E113" s="8" t="s">
        <v>847</v>
      </c>
      <c r="F113" s="0" t="s">
        <v>509</v>
      </c>
      <c r="G113" s="0" t="s">
        <v>487</v>
      </c>
      <c r="I113" s="0" t="s">
        <v>516</v>
      </c>
      <c r="L113" s="10" t="s">
        <v>558</v>
      </c>
      <c r="N113" s="29" t="s">
        <v>829</v>
      </c>
      <c r="O113" s="0" t="s">
        <v>676</v>
      </c>
      <c r="P113" s="0" t="s">
        <v>487</v>
      </c>
      <c r="Q113" s="28" t="s">
        <v>558</v>
      </c>
      <c r="R113" s="28" t="s">
        <v>487</v>
      </c>
      <c r="S113" s="0" t="s">
        <v>487</v>
      </c>
      <c r="T113" s="0" t="s">
        <v>487</v>
      </c>
      <c r="U113" s="0" t="s">
        <v>487</v>
      </c>
      <c r="V113" s="29" t="n">
        <v>43711</v>
      </c>
    </row>
    <row r="114" customFormat="false" ht="13.8" hidden="false" customHeight="false" outlineLevel="0" collapsed="false">
      <c r="A114" s="25" t="s">
        <v>848</v>
      </c>
      <c r="B114" s="0" t="s">
        <v>480</v>
      </c>
      <c r="D114" s="27" t="s">
        <v>849</v>
      </c>
      <c r="E114" s="8" t="s">
        <v>850</v>
      </c>
      <c r="F114" s="0" t="s">
        <v>509</v>
      </c>
      <c r="G114" s="0" t="s">
        <v>487</v>
      </c>
      <c r="I114" s="0" t="s">
        <v>510</v>
      </c>
      <c r="L114" s="10" t="s">
        <v>558</v>
      </c>
      <c r="N114" s="29" t="s">
        <v>829</v>
      </c>
      <c r="O114" s="0" t="s">
        <v>676</v>
      </c>
      <c r="P114" s="0" t="s">
        <v>487</v>
      </c>
      <c r="Q114" s="28" t="s">
        <v>558</v>
      </c>
      <c r="R114" s="28" t="s">
        <v>487</v>
      </c>
      <c r="S114" s="0" t="s">
        <v>487</v>
      </c>
      <c r="T114" s="0" t="s">
        <v>487</v>
      </c>
      <c r="U114" s="0" t="s">
        <v>487</v>
      </c>
      <c r="V114" s="29" t="n">
        <v>43872</v>
      </c>
    </row>
    <row r="115" customFormat="false" ht="13.8" hidden="false" customHeight="false" outlineLevel="0" collapsed="false">
      <c r="A115" s="25" t="s">
        <v>851</v>
      </c>
      <c r="B115" s="0" t="s">
        <v>480</v>
      </c>
      <c r="D115" s="27" t="s">
        <v>852</v>
      </c>
      <c r="E115" s="8" t="s">
        <v>853</v>
      </c>
      <c r="F115" s="0" t="s">
        <v>509</v>
      </c>
      <c r="G115" s="0" t="s">
        <v>487</v>
      </c>
      <c r="I115" s="0" t="s">
        <v>510</v>
      </c>
      <c r="L115" s="10" t="s">
        <v>558</v>
      </c>
      <c r="N115" s="29" t="s">
        <v>829</v>
      </c>
      <c r="O115" s="0" t="s">
        <v>676</v>
      </c>
      <c r="P115" s="0" t="s">
        <v>487</v>
      </c>
      <c r="Q115" s="28" t="s">
        <v>558</v>
      </c>
      <c r="R115" s="28" t="s">
        <v>487</v>
      </c>
      <c r="S115" s="0" t="s">
        <v>487</v>
      </c>
      <c r="T115" s="0" t="s">
        <v>487</v>
      </c>
      <c r="U115" s="0" t="s">
        <v>487</v>
      </c>
      <c r="V115" s="29" t="n">
        <v>43865</v>
      </c>
    </row>
    <row r="116" customFormat="false" ht="13.8" hidden="false" customHeight="false" outlineLevel="0" collapsed="false">
      <c r="A116" s="25" t="s">
        <v>854</v>
      </c>
      <c r="B116" s="0" t="s">
        <v>480</v>
      </c>
      <c r="D116" s="27" t="s">
        <v>855</v>
      </c>
      <c r="E116" s="8" t="s">
        <v>856</v>
      </c>
      <c r="F116" s="0" t="s">
        <v>509</v>
      </c>
      <c r="G116" s="0" t="s">
        <v>487</v>
      </c>
      <c r="I116" s="0" t="s">
        <v>516</v>
      </c>
      <c r="L116" s="10" t="s">
        <v>558</v>
      </c>
      <c r="N116" s="29" t="s">
        <v>829</v>
      </c>
      <c r="O116" s="0" t="s">
        <v>676</v>
      </c>
      <c r="P116" s="0" t="s">
        <v>487</v>
      </c>
      <c r="Q116" s="28" t="s">
        <v>558</v>
      </c>
      <c r="R116" s="28" t="s">
        <v>487</v>
      </c>
      <c r="S116" s="0" t="s">
        <v>487</v>
      </c>
      <c r="T116" s="0" t="s">
        <v>487</v>
      </c>
      <c r="U116" s="0" t="s">
        <v>487</v>
      </c>
      <c r="V116" s="28" t="s">
        <v>36</v>
      </c>
    </row>
    <row r="117" customFormat="false" ht="13.8" hidden="false" customHeight="false" outlineLevel="0" collapsed="false">
      <c r="A117" s="25" t="s">
        <v>857</v>
      </c>
      <c r="B117" s="0" t="s">
        <v>480</v>
      </c>
      <c r="D117" s="27" t="s">
        <v>858</v>
      </c>
      <c r="E117" s="8" t="s">
        <v>859</v>
      </c>
      <c r="F117" s="0" t="s">
        <v>509</v>
      </c>
      <c r="G117" s="0" t="s">
        <v>487</v>
      </c>
      <c r="I117" s="0" t="s">
        <v>510</v>
      </c>
      <c r="L117" s="10" t="s">
        <v>558</v>
      </c>
      <c r="N117" s="29" t="s">
        <v>829</v>
      </c>
      <c r="O117" s="0" t="s">
        <v>676</v>
      </c>
      <c r="P117" s="0" t="s">
        <v>487</v>
      </c>
      <c r="Q117" s="28" t="s">
        <v>558</v>
      </c>
      <c r="R117" s="28" t="s">
        <v>487</v>
      </c>
      <c r="S117" s="0" t="s">
        <v>487</v>
      </c>
      <c r="T117" s="0" t="s">
        <v>487</v>
      </c>
      <c r="U117" s="0" t="s">
        <v>487</v>
      </c>
      <c r="V117" s="29" t="n">
        <v>43425</v>
      </c>
    </row>
    <row r="118" customFormat="false" ht="13.8" hidden="false" customHeight="false" outlineLevel="0" collapsed="false">
      <c r="A118" s="25" t="s">
        <v>860</v>
      </c>
      <c r="B118" s="0" t="s">
        <v>480</v>
      </c>
      <c r="D118" s="27" t="s">
        <v>861</v>
      </c>
      <c r="E118" s="8" t="s">
        <v>862</v>
      </c>
      <c r="F118" s="0" t="s">
        <v>509</v>
      </c>
      <c r="G118" s="0" t="s">
        <v>487</v>
      </c>
      <c r="I118" s="0" t="s">
        <v>516</v>
      </c>
      <c r="L118" s="10" t="s">
        <v>558</v>
      </c>
      <c r="N118" s="29" t="s">
        <v>829</v>
      </c>
      <c r="O118" s="0" t="s">
        <v>676</v>
      </c>
      <c r="P118" s="0" t="s">
        <v>487</v>
      </c>
      <c r="Q118" s="28" t="s">
        <v>558</v>
      </c>
      <c r="R118" s="28" t="s">
        <v>487</v>
      </c>
      <c r="S118" s="0" t="s">
        <v>487</v>
      </c>
      <c r="T118" s="0" t="s">
        <v>487</v>
      </c>
      <c r="U118" s="0" t="s">
        <v>487</v>
      </c>
      <c r="V118" s="29" t="n">
        <v>43648</v>
      </c>
    </row>
    <row r="119" customFormat="false" ht="13.8" hidden="false" customHeight="false" outlineLevel="0" collapsed="false">
      <c r="A119" s="25" t="s">
        <v>863</v>
      </c>
      <c r="B119" s="0" t="s">
        <v>480</v>
      </c>
      <c r="D119" s="27" t="s">
        <v>864</v>
      </c>
      <c r="E119" s="8" t="s">
        <v>865</v>
      </c>
      <c r="F119" s="0" t="s">
        <v>509</v>
      </c>
      <c r="G119" s="0" t="s">
        <v>487</v>
      </c>
      <c r="I119" s="0" t="s">
        <v>510</v>
      </c>
      <c r="L119" s="10" t="s">
        <v>558</v>
      </c>
      <c r="N119" s="29" t="s">
        <v>829</v>
      </c>
      <c r="O119" s="0" t="s">
        <v>676</v>
      </c>
      <c r="P119" s="0" t="s">
        <v>487</v>
      </c>
      <c r="Q119" s="28" t="s">
        <v>558</v>
      </c>
      <c r="R119" s="28" t="s">
        <v>487</v>
      </c>
      <c r="S119" s="0" t="s">
        <v>487</v>
      </c>
      <c r="T119" s="0" t="s">
        <v>487</v>
      </c>
      <c r="U119" s="0" t="s">
        <v>487</v>
      </c>
      <c r="V119" s="29" t="n">
        <v>43648</v>
      </c>
    </row>
    <row r="120" customFormat="false" ht="13.8" hidden="false" customHeight="false" outlineLevel="0" collapsed="false">
      <c r="A120" s="25" t="s">
        <v>866</v>
      </c>
      <c r="B120" s="0" t="s">
        <v>480</v>
      </c>
      <c r="D120" s="27" t="s">
        <v>867</v>
      </c>
      <c r="E120" s="8" t="s">
        <v>868</v>
      </c>
      <c r="F120" s="0" t="s">
        <v>509</v>
      </c>
      <c r="G120" s="0" t="s">
        <v>487</v>
      </c>
      <c r="I120" s="0" t="s">
        <v>516</v>
      </c>
      <c r="L120" s="10" t="s">
        <v>558</v>
      </c>
      <c r="N120" s="29" t="s">
        <v>829</v>
      </c>
      <c r="O120" s="0" t="s">
        <v>676</v>
      </c>
      <c r="P120" s="0" t="s">
        <v>487</v>
      </c>
      <c r="Q120" s="28" t="s">
        <v>558</v>
      </c>
      <c r="R120" s="28" t="s">
        <v>487</v>
      </c>
      <c r="S120" s="0" t="s">
        <v>487</v>
      </c>
      <c r="T120" s="0" t="s">
        <v>487</v>
      </c>
      <c r="U120" s="0" t="s">
        <v>487</v>
      </c>
      <c r="V120" s="29" t="n">
        <v>43647</v>
      </c>
    </row>
    <row r="121" customFormat="false" ht="13.8" hidden="false" customHeight="false" outlineLevel="0" collapsed="false">
      <c r="A121" s="25" t="s">
        <v>869</v>
      </c>
      <c r="B121" s="0" t="s">
        <v>480</v>
      </c>
      <c r="D121" s="27" t="s">
        <v>870</v>
      </c>
      <c r="E121" s="8" t="s">
        <v>871</v>
      </c>
      <c r="F121" s="0" t="s">
        <v>509</v>
      </c>
      <c r="N121" s="29" t="s">
        <v>427</v>
      </c>
      <c r="O121" s="0" t="s">
        <v>872</v>
      </c>
      <c r="V121" s="29" t="n">
        <v>43644</v>
      </c>
    </row>
    <row r="122" customFormat="false" ht="13.8" hidden="false" customHeight="false" outlineLevel="0" collapsed="false">
      <c r="A122" s="25" t="s">
        <v>873</v>
      </c>
      <c r="B122" s="0" t="s">
        <v>480</v>
      </c>
      <c r="D122" s="27" t="s">
        <v>874</v>
      </c>
      <c r="E122" s="8" t="s">
        <v>875</v>
      </c>
      <c r="F122" s="0" t="s">
        <v>509</v>
      </c>
      <c r="I122" s="10" t="s">
        <v>510</v>
      </c>
      <c r="L122" s="10" t="s">
        <v>511</v>
      </c>
      <c r="N122" s="29" t="s">
        <v>554</v>
      </c>
      <c r="O122" s="0" t="s">
        <v>752</v>
      </c>
    </row>
    <row r="123" customFormat="false" ht="13.8" hidden="false" customHeight="false" outlineLevel="0" collapsed="false">
      <c r="A123" s="25" t="s">
        <v>876</v>
      </c>
      <c r="B123" s="0" t="s">
        <v>480</v>
      </c>
      <c r="D123" s="27" t="s">
        <v>877</v>
      </c>
      <c r="E123" s="8" t="s">
        <v>878</v>
      </c>
      <c r="F123" s="0" t="s">
        <v>509</v>
      </c>
      <c r="N123" s="29" t="s">
        <v>427</v>
      </c>
      <c r="O123" s="0" t="s">
        <v>526</v>
      </c>
      <c r="V123" s="29" t="n">
        <v>43593</v>
      </c>
    </row>
    <row r="124" customFormat="false" ht="13.8" hidden="false" customHeight="false" outlineLevel="0" collapsed="false">
      <c r="A124" s="25" t="s">
        <v>879</v>
      </c>
      <c r="B124" s="0" t="s">
        <v>480</v>
      </c>
      <c r="D124" s="27" t="s">
        <v>880</v>
      </c>
      <c r="E124" s="8" t="s">
        <v>881</v>
      </c>
      <c r="F124" s="0" t="s">
        <v>509</v>
      </c>
      <c r="N124" s="29" t="s">
        <v>427</v>
      </c>
      <c r="O124" s="0" t="s">
        <v>526</v>
      </c>
      <c r="V124" s="29" t="n">
        <v>43888</v>
      </c>
    </row>
    <row r="125" customFormat="false" ht="13.8" hidden="false" customHeight="false" outlineLevel="0" collapsed="false">
      <c r="A125" s="25" t="s">
        <v>882</v>
      </c>
      <c r="B125" s="0" t="s">
        <v>480</v>
      </c>
      <c r="D125" s="27" t="s">
        <v>883</v>
      </c>
      <c r="E125" s="8" t="s">
        <v>884</v>
      </c>
      <c r="F125" s="0" t="s">
        <v>509</v>
      </c>
      <c r="I125" s="10" t="s">
        <v>510</v>
      </c>
      <c r="L125" s="10" t="s">
        <v>511</v>
      </c>
      <c r="N125" s="29" t="s">
        <v>659</v>
      </c>
      <c r="O125" s="0" t="s">
        <v>486</v>
      </c>
      <c r="S125" s="31" t="n">
        <v>44029</v>
      </c>
      <c r="T125" s="31" t="s">
        <v>885</v>
      </c>
      <c r="V125" s="29" t="n">
        <v>43669</v>
      </c>
    </row>
    <row r="126" customFormat="false" ht="13.8" hidden="false" customHeight="false" outlineLevel="0" collapsed="false">
      <c r="A126" s="25" t="s">
        <v>886</v>
      </c>
      <c r="B126" s="0" t="s">
        <v>480</v>
      </c>
      <c r="D126" s="27" t="s">
        <v>887</v>
      </c>
      <c r="E126" s="8" t="s">
        <v>888</v>
      </c>
      <c r="F126" s="0" t="s">
        <v>509</v>
      </c>
      <c r="I126" s="10" t="s">
        <v>516</v>
      </c>
      <c r="L126" s="10" t="s">
        <v>511</v>
      </c>
      <c r="N126" s="29" t="s">
        <v>537</v>
      </c>
      <c r="O126" s="0" t="s">
        <v>486</v>
      </c>
      <c r="V126" s="29" t="n">
        <v>43627</v>
      </c>
    </row>
    <row r="127" customFormat="false" ht="13.8" hidden="false" customHeight="false" outlineLevel="0" collapsed="false">
      <c r="A127" s="25" t="s">
        <v>889</v>
      </c>
      <c r="B127" s="0" t="s">
        <v>480</v>
      </c>
      <c r="D127" s="27" t="s">
        <v>890</v>
      </c>
      <c r="E127" s="8" t="s">
        <v>891</v>
      </c>
      <c r="F127" s="28" t="s">
        <v>426</v>
      </c>
      <c r="G127" s="28" t="n">
        <v>201203042</v>
      </c>
      <c r="I127" s="28" t="s">
        <v>516</v>
      </c>
      <c r="J127" s="28" t="s">
        <v>892</v>
      </c>
      <c r="L127" s="28" t="s">
        <v>511</v>
      </c>
      <c r="N127" s="29" t="s">
        <v>626</v>
      </c>
      <c r="O127" s="28" t="s">
        <v>486</v>
      </c>
      <c r="P127" s="28"/>
      <c r="Q127" s="28" t="s">
        <v>558</v>
      </c>
      <c r="R127" s="28" t="s">
        <v>487</v>
      </c>
      <c r="S127" s="28"/>
      <c r="T127" s="28"/>
      <c r="U127" s="28" t="s">
        <v>511</v>
      </c>
      <c r="V127" s="28" t="s">
        <v>36</v>
      </c>
    </row>
    <row r="128" customFormat="false" ht="13.8" hidden="false" customHeight="false" outlineLevel="0" collapsed="false">
      <c r="A128" s="25" t="s">
        <v>893</v>
      </c>
      <c r="B128" s="0" t="s">
        <v>480</v>
      </c>
      <c r="D128" s="27" t="s">
        <v>894</v>
      </c>
      <c r="E128" s="8" t="s">
        <v>895</v>
      </c>
      <c r="F128" s="28" t="s">
        <v>426</v>
      </c>
      <c r="G128" s="28" t="n">
        <v>201203042</v>
      </c>
      <c r="I128" s="28" t="s">
        <v>510</v>
      </c>
      <c r="J128" s="28" t="s">
        <v>896</v>
      </c>
      <c r="L128" s="28" t="s">
        <v>511</v>
      </c>
      <c r="N128" s="29" t="s">
        <v>602</v>
      </c>
      <c r="O128" s="28" t="s">
        <v>526</v>
      </c>
      <c r="P128" s="28"/>
      <c r="Q128" s="28" t="s">
        <v>558</v>
      </c>
      <c r="R128" s="28" t="s">
        <v>487</v>
      </c>
      <c r="S128" s="28"/>
      <c r="T128" s="28"/>
      <c r="U128" s="28" t="s">
        <v>558</v>
      </c>
      <c r="V128" s="29" t="n">
        <v>43830</v>
      </c>
    </row>
    <row r="129" customFormat="false" ht="13.8" hidden="false" customHeight="false" outlineLevel="0" collapsed="false">
      <c r="A129" s="25" t="s">
        <v>897</v>
      </c>
      <c r="B129" s="0" t="s">
        <v>480</v>
      </c>
      <c r="D129" s="27" t="s">
        <v>898</v>
      </c>
      <c r="E129" s="8" t="s">
        <v>899</v>
      </c>
      <c r="F129" s="28" t="s">
        <v>426</v>
      </c>
      <c r="G129" s="28" t="n">
        <v>201203042</v>
      </c>
      <c r="I129" s="28" t="s">
        <v>510</v>
      </c>
      <c r="J129" s="28" t="s">
        <v>900</v>
      </c>
      <c r="L129" s="28" t="s">
        <v>558</v>
      </c>
      <c r="N129" s="29" t="s">
        <v>901</v>
      </c>
      <c r="O129" s="28" t="s">
        <v>486</v>
      </c>
      <c r="P129" s="28"/>
      <c r="Q129" s="28" t="s">
        <v>558</v>
      </c>
      <c r="R129" s="28" t="s">
        <v>487</v>
      </c>
      <c r="S129" s="28"/>
      <c r="T129" s="28"/>
      <c r="U129" s="28" t="s">
        <v>511</v>
      </c>
      <c r="V129" s="29" t="n">
        <v>43825</v>
      </c>
    </row>
    <row r="130" customFormat="false" ht="13.8" hidden="false" customHeight="false" outlineLevel="0" collapsed="false">
      <c r="A130" s="25" t="s">
        <v>902</v>
      </c>
      <c r="B130" s="0" t="s">
        <v>480</v>
      </c>
      <c r="D130" s="27" t="s">
        <v>903</v>
      </c>
      <c r="E130" s="8" t="s">
        <v>904</v>
      </c>
      <c r="F130" s="28" t="s">
        <v>426</v>
      </c>
      <c r="G130" s="28" t="n">
        <v>201203042</v>
      </c>
      <c r="I130" s="28" t="s">
        <v>516</v>
      </c>
      <c r="J130" s="28" t="s">
        <v>905</v>
      </c>
      <c r="L130" s="28" t="s">
        <v>511</v>
      </c>
      <c r="N130" s="29" t="s">
        <v>698</v>
      </c>
      <c r="O130" s="28" t="s">
        <v>526</v>
      </c>
      <c r="P130" s="28"/>
      <c r="Q130" s="28" t="s">
        <v>558</v>
      </c>
      <c r="R130" s="28" t="s">
        <v>487</v>
      </c>
      <c r="S130" s="28"/>
      <c r="T130" s="28"/>
      <c r="U130" s="28" t="s">
        <v>511</v>
      </c>
      <c r="V130" s="29" t="n">
        <v>43809</v>
      </c>
    </row>
    <row r="131" customFormat="false" ht="13.8" hidden="false" customHeight="false" outlineLevel="0" collapsed="false">
      <c r="A131" s="25" t="s">
        <v>906</v>
      </c>
      <c r="B131" s="0" t="s">
        <v>480</v>
      </c>
      <c r="D131" s="27" t="s">
        <v>907</v>
      </c>
      <c r="E131" s="8" t="s">
        <v>908</v>
      </c>
      <c r="F131" s="28" t="s">
        <v>426</v>
      </c>
      <c r="G131" s="28" t="n">
        <v>201203042</v>
      </c>
      <c r="I131" s="28" t="s">
        <v>516</v>
      </c>
      <c r="J131" s="28" t="s">
        <v>909</v>
      </c>
      <c r="L131" s="28" t="s">
        <v>511</v>
      </c>
      <c r="N131" s="29" t="s">
        <v>537</v>
      </c>
      <c r="O131" s="28" t="s">
        <v>526</v>
      </c>
      <c r="P131" s="28"/>
      <c r="Q131" s="28" t="s">
        <v>558</v>
      </c>
      <c r="R131" s="28" t="s">
        <v>487</v>
      </c>
      <c r="S131" s="28"/>
      <c r="T131" s="28"/>
      <c r="U131" s="28" t="s">
        <v>558</v>
      </c>
      <c r="V131" s="29" t="n">
        <v>43865</v>
      </c>
    </row>
    <row r="132" customFormat="false" ht="13.8" hidden="false" customHeight="false" outlineLevel="0" collapsed="false">
      <c r="A132" s="25" t="s">
        <v>910</v>
      </c>
      <c r="B132" s="0" t="s">
        <v>480</v>
      </c>
      <c r="D132" s="27" t="s">
        <v>911</v>
      </c>
      <c r="E132" s="8" t="s">
        <v>912</v>
      </c>
      <c r="F132" s="0" t="s">
        <v>509</v>
      </c>
      <c r="G132" s="0" t="s">
        <v>487</v>
      </c>
      <c r="I132" s="0" t="s">
        <v>510</v>
      </c>
      <c r="L132" s="0" t="s">
        <v>558</v>
      </c>
      <c r="N132" s="29" t="s">
        <v>829</v>
      </c>
      <c r="O132" s="0" t="s">
        <v>676</v>
      </c>
      <c r="P132" s="0" t="s">
        <v>487</v>
      </c>
      <c r="Q132" s="28" t="s">
        <v>558</v>
      </c>
      <c r="R132" s="28" t="s">
        <v>487</v>
      </c>
      <c r="S132" s="0" t="s">
        <v>487</v>
      </c>
      <c r="T132" s="0" t="s">
        <v>487</v>
      </c>
      <c r="U132" s="0" t="s">
        <v>487</v>
      </c>
      <c r="V132" s="29" t="n">
        <v>44390</v>
      </c>
    </row>
    <row r="133" customFormat="false" ht="13.8" hidden="false" customHeight="false" outlineLevel="0" collapsed="false">
      <c r="A133" s="25" t="s">
        <v>913</v>
      </c>
      <c r="B133" s="0" t="s">
        <v>480</v>
      </c>
      <c r="D133" s="27" t="s">
        <v>914</v>
      </c>
      <c r="E133" s="8" t="s">
        <v>915</v>
      </c>
      <c r="F133" s="0" t="s">
        <v>509</v>
      </c>
      <c r="I133" s="0" t="s">
        <v>510</v>
      </c>
      <c r="L133" s="0" t="s">
        <v>511</v>
      </c>
      <c r="N133" s="29" t="s">
        <v>533</v>
      </c>
      <c r="O133" s="0" t="s">
        <v>752</v>
      </c>
      <c r="V133" s="29" t="n">
        <v>43718</v>
      </c>
    </row>
    <row r="134" customFormat="false" ht="13.8" hidden="false" customHeight="false" outlineLevel="0" collapsed="false">
      <c r="A134" s="25" t="s">
        <v>916</v>
      </c>
      <c r="B134" s="0" t="s">
        <v>480</v>
      </c>
      <c r="D134" s="27" t="s">
        <v>917</v>
      </c>
      <c r="E134" s="8" t="s">
        <v>918</v>
      </c>
      <c r="F134" s="0" t="s">
        <v>509</v>
      </c>
      <c r="I134" s="0" t="s">
        <v>510</v>
      </c>
      <c r="L134" s="0" t="s">
        <v>511</v>
      </c>
      <c r="N134" s="29" t="s">
        <v>580</v>
      </c>
      <c r="O134" s="0" t="s">
        <v>585</v>
      </c>
      <c r="V134" s="29" t="n">
        <v>43642</v>
      </c>
    </row>
    <row r="135" customFormat="false" ht="13.8" hidden="false" customHeight="false" outlineLevel="0" collapsed="false">
      <c r="A135" s="25" t="s">
        <v>919</v>
      </c>
      <c r="B135" s="0" t="s">
        <v>480</v>
      </c>
      <c r="D135" s="27" t="s">
        <v>920</v>
      </c>
      <c r="E135" s="8" t="s">
        <v>921</v>
      </c>
      <c r="F135" s="0" t="s">
        <v>509</v>
      </c>
      <c r="I135" s="0" t="s">
        <v>516</v>
      </c>
      <c r="L135" s="0" t="s">
        <v>511</v>
      </c>
      <c r="N135" s="29" t="s">
        <v>767</v>
      </c>
      <c r="O135" s="0" t="s">
        <v>752</v>
      </c>
      <c r="V135" s="29" t="n">
        <v>43642</v>
      </c>
    </row>
    <row r="136" customFormat="false" ht="13.8" hidden="false" customHeight="false" outlineLevel="0" collapsed="false">
      <c r="A136" s="25" t="s">
        <v>922</v>
      </c>
      <c r="B136" s="0" t="s">
        <v>480</v>
      </c>
      <c r="D136" s="27" t="s">
        <v>923</v>
      </c>
      <c r="E136" s="8" t="s">
        <v>924</v>
      </c>
      <c r="F136" s="0" t="s">
        <v>509</v>
      </c>
      <c r="I136" s="0" t="s">
        <v>516</v>
      </c>
      <c r="L136" s="0" t="s">
        <v>511</v>
      </c>
      <c r="N136" s="29" t="s">
        <v>541</v>
      </c>
      <c r="O136" s="0" t="s">
        <v>752</v>
      </c>
      <c r="V136" s="29" t="n">
        <v>43690</v>
      </c>
    </row>
    <row r="137" customFormat="false" ht="13.8" hidden="false" customHeight="false" outlineLevel="0" collapsed="false">
      <c r="A137" s="25" t="s">
        <v>925</v>
      </c>
      <c r="B137" s="0" t="s">
        <v>480</v>
      </c>
      <c r="D137" s="27" t="s">
        <v>926</v>
      </c>
      <c r="E137" s="8" t="s">
        <v>927</v>
      </c>
      <c r="F137" s="0" t="s">
        <v>509</v>
      </c>
      <c r="N137" s="29" t="s">
        <v>427</v>
      </c>
      <c r="O137" s="0" t="s">
        <v>542</v>
      </c>
      <c r="V137" s="29" t="n">
        <v>43671</v>
      </c>
    </row>
    <row r="138" customFormat="false" ht="13.8" hidden="false" customHeight="false" outlineLevel="0" collapsed="false">
      <c r="A138" s="25" t="s">
        <v>928</v>
      </c>
      <c r="B138" s="0" t="s">
        <v>480</v>
      </c>
      <c r="D138" s="27" t="s">
        <v>929</v>
      </c>
      <c r="E138" s="8" t="s">
        <v>930</v>
      </c>
      <c r="F138" s="0" t="s">
        <v>509</v>
      </c>
      <c r="L138" s="0" t="s">
        <v>558</v>
      </c>
      <c r="N138" s="29" t="s">
        <v>427</v>
      </c>
      <c r="O138" s="0" t="s">
        <v>542</v>
      </c>
      <c r="P138" s="0" t="s">
        <v>931</v>
      </c>
      <c r="Q138" s="0" t="s">
        <v>511</v>
      </c>
      <c r="R138" s="0" t="s">
        <v>932</v>
      </c>
      <c r="V138" s="29" t="n">
        <v>43641</v>
      </c>
    </row>
    <row r="139" customFormat="false" ht="13.8" hidden="false" customHeight="false" outlineLevel="0" collapsed="false">
      <c r="A139" s="25" t="s">
        <v>933</v>
      </c>
      <c r="B139" s="0" t="s">
        <v>480</v>
      </c>
      <c r="D139" s="27" t="s">
        <v>934</v>
      </c>
      <c r="E139" s="8" t="s">
        <v>935</v>
      </c>
      <c r="F139" s="0" t="s">
        <v>509</v>
      </c>
      <c r="L139" s="0" t="s">
        <v>558</v>
      </c>
      <c r="N139" s="29" t="s">
        <v>427</v>
      </c>
      <c r="O139" s="0" t="s">
        <v>542</v>
      </c>
      <c r="V139" s="28" t="s">
        <v>36</v>
      </c>
    </row>
    <row r="140" customFormat="false" ht="13.8" hidden="false" customHeight="false" outlineLevel="0" collapsed="false">
      <c r="A140" s="25" t="s">
        <v>936</v>
      </c>
      <c r="B140" s="0" t="s">
        <v>480</v>
      </c>
      <c r="D140" s="27" t="s">
        <v>937</v>
      </c>
      <c r="E140" s="8" t="s">
        <v>938</v>
      </c>
      <c r="F140" s="0" t="s">
        <v>509</v>
      </c>
      <c r="N140" s="29" t="s">
        <v>427</v>
      </c>
      <c r="O140" s="0" t="s">
        <v>542</v>
      </c>
      <c r="V140" s="29" t="n">
        <v>43713</v>
      </c>
    </row>
    <row r="141" customFormat="false" ht="13.8" hidden="false" customHeight="false" outlineLevel="0" collapsed="false">
      <c r="A141" s="25" t="s">
        <v>939</v>
      </c>
      <c r="B141" s="0" t="s">
        <v>480</v>
      </c>
      <c r="D141" s="27" t="s">
        <v>940</v>
      </c>
      <c r="E141" s="8" t="s">
        <v>941</v>
      </c>
      <c r="F141" s="28" t="s">
        <v>426</v>
      </c>
      <c r="G141" s="28" t="n">
        <v>201203042</v>
      </c>
      <c r="I141" s="28" t="s">
        <v>510</v>
      </c>
      <c r="J141" s="28" t="s">
        <v>942</v>
      </c>
      <c r="L141" s="28" t="s">
        <v>511</v>
      </c>
      <c r="N141" s="29" t="s">
        <v>606</v>
      </c>
      <c r="O141" s="28" t="s">
        <v>526</v>
      </c>
      <c r="P141" s="28"/>
      <c r="Q141" s="28" t="s">
        <v>558</v>
      </c>
      <c r="R141" s="28" t="s">
        <v>487</v>
      </c>
      <c r="S141" s="28"/>
      <c r="T141" s="28"/>
      <c r="U141" s="28" t="s">
        <v>558</v>
      </c>
      <c r="V141" s="29" t="n">
        <v>43671</v>
      </c>
    </row>
    <row r="142" customFormat="false" ht="13.8" hidden="false" customHeight="false" outlineLevel="0" collapsed="false">
      <c r="A142" s="25" t="s">
        <v>943</v>
      </c>
      <c r="B142" s="0" t="s">
        <v>480</v>
      </c>
      <c r="D142" s="27" t="s">
        <v>944</v>
      </c>
      <c r="E142" s="8" t="s">
        <v>945</v>
      </c>
      <c r="F142" s="28" t="s">
        <v>426</v>
      </c>
      <c r="G142" s="28" t="n">
        <v>201203042</v>
      </c>
      <c r="I142" s="28" t="s">
        <v>516</v>
      </c>
      <c r="J142" s="28" t="s">
        <v>946</v>
      </c>
      <c r="L142" s="28" t="s">
        <v>808</v>
      </c>
      <c r="N142" s="29" t="s">
        <v>947</v>
      </c>
      <c r="O142" s="28" t="s">
        <v>526</v>
      </c>
      <c r="P142" s="28"/>
      <c r="Q142" s="28" t="s">
        <v>558</v>
      </c>
      <c r="R142" s="28" t="s">
        <v>487</v>
      </c>
      <c r="S142" s="28"/>
      <c r="T142" s="28"/>
      <c r="U142" s="28" t="s">
        <v>558</v>
      </c>
      <c r="V142" s="29" t="n">
        <v>43676</v>
      </c>
    </row>
    <row r="143" customFormat="false" ht="13.8" hidden="false" customHeight="false" outlineLevel="0" collapsed="false">
      <c r="A143" s="25" t="s">
        <v>948</v>
      </c>
      <c r="B143" s="0" t="s">
        <v>480</v>
      </c>
      <c r="D143" s="27" t="s">
        <v>949</v>
      </c>
      <c r="E143" s="8" t="s">
        <v>950</v>
      </c>
      <c r="F143" s="28" t="s">
        <v>426</v>
      </c>
      <c r="G143" s="28" t="n">
        <v>201203042</v>
      </c>
      <c r="I143" s="28" t="s">
        <v>510</v>
      </c>
      <c r="J143" s="28" t="s">
        <v>951</v>
      </c>
      <c r="L143" s="28" t="s">
        <v>511</v>
      </c>
      <c r="N143" s="29" t="s">
        <v>952</v>
      </c>
      <c r="O143" s="28" t="s">
        <v>526</v>
      </c>
      <c r="P143" s="28"/>
      <c r="Q143" s="28" t="s">
        <v>558</v>
      </c>
      <c r="R143" s="28" t="s">
        <v>487</v>
      </c>
      <c r="S143" s="28"/>
      <c r="T143" s="28"/>
      <c r="U143" s="28" t="s">
        <v>558</v>
      </c>
      <c r="V143" s="29" t="n">
        <v>43697</v>
      </c>
    </row>
    <row r="144" customFormat="false" ht="13.8" hidden="false" customHeight="false" outlineLevel="0" collapsed="false">
      <c r="A144" s="25" t="s">
        <v>953</v>
      </c>
      <c r="B144" s="0" t="s">
        <v>480</v>
      </c>
      <c r="D144" s="27" t="s">
        <v>954</v>
      </c>
      <c r="E144" s="8" t="s">
        <v>955</v>
      </c>
      <c r="F144" s="28" t="s">
        <v>426</v>
      </c>
      <c r="G144" s="28" t="n">
        <v>201203042</v>
      </c>
      <c r="I144" s="28" t="s">
        <v>510</v>
      </c>
      <c r="J144" s="28" t="s">
        <v>956</v>
      </c>
      <c r="L144" s="28" t="s">
        <v>511</v>
      </c>
      <c r="N144" s="29" t="s">
        <v>525</v>
      </c>
      <c r="O144" s="28" t="s">
        <v>526</v>
      </c>
      <c r="P144" s="28"/>
      <c r="Q144" s="28" t="s">
        <v>558</v>
      </c>
      <c r="R144" s="28" t="s">
        <v>487</v>
      </c>
      <c r="S144" s="28"/>
      <c r="T144" s="28"/>
      <c r="U144" s="28" t="s">
        <v>558</v>
      </c>
      <c r="V144" s="28" t="s">
        <v>36</v>
      </c>
    </row>
    <row r="145" customFormat="false" ht="13.8" hidden="false" customHeight="false" outlineLevel="0" collapsed="false">
      <c r="A145" s="25" t="s">
        <v>957</v>
      </c>
      <c r="B145" s="0" t="e">
        <f aca="false">#N/A</f>
        <v>#N/A</v>
      </c>
      <c r="D145" s="27" t="s">
        <v>958</v>
      </c>
      <c r="E145" s="8" t="s">
        <v>959</v>
      </c>
      <c r="F145" s="0" t="s">
        <v>509</v>
      </c>
      <c r="G145" s="0" t="s">
        <v>960</v>
      </c>
      <c r="I145" s="0" t="s">
        <v>510</v>
      </c>
      <c r="J145" s="0" t="s">
        <v>961</v>
      </c>
      <c r="N145" s="29" t="s">
        <v>829</v>
      </c>
      <c r="O145" s="28" t="s">
        <v>486</v>
      </c>
      <c r="S145" s="0" t="s">
        <v>487</v>
      </c>
      <c r="T145" s="0" t="s">
        <v>487</v>
      </c>
      <c r="V145" s="29" t="n">
        <v>44376</v>
      </c>
    </row>
    <row r="146" customFormat="false" ht="13.8" hidden="false" customHeight="false" outlineLevel="0" collapsed="false">
      <c r="A146" s="25" t="s">
        <v>962</v>
      </c>
      <c r="B146" s="0" t="s">
        <v>480</v>
      </c>
      <c r="D146" s="27" t="s">
        <v>963</v>
      </c>
      <c r="E146" s="8" t="s">
        <v>964</v>
      </c>
      <c r="F146" s="0" t="s">
        <v>509</v>
      </c>
      <c r="G146" s="0" t="s">
        <v>960</v>
      </c>
      <c r="I146" s="0" t="s">
        <v>516</v>
      </c>
      <c r="J146" s="10" t="s">
        <v>965</v>
      </c>
      <c r="N146" s="29" t="s">
        <v>829</v>
      </c>
      <c r="O146" s="28" t="s">
        <v>486</v>
      </c>
      <c r="S146" s="0" t="s">
        <v>487</v>
      </c>
      <c r="T146" s="0" t="s">
        <v>487</v>
      </c>
      <c r="V146" s="28" t="s">
        <v>36</v>
      </c>
    </row>
    <row r="147" customFormat="false" ht="13.8" hidden="false" customHeight="false" outlineLevel="0" collapsed="false">
      <c r="A147" s="25" t="s">
        <v>966</v>
      </c>
      <c r="B147" s="0" t="s">
        <v>480</v>
      </c>
      <c r="D147" s="27" t="s">
        <v>967</v>
      </c>
      <c r="E147" s="8" t="s">
        <v>968</v>
      </c>
      <c r="F147" s="0" t="s">
        <v>509</v>
      </c>
      <c r="G147" s="0" t="s">
        <v>960</v>
      </c>
      <c r="I147" s="0" t="s">
        <v>516</v>
      </c>
      <c r="J147" s="10" t="s">
        <v>969</v>
      </c>
      <c r="N147" s="29" t="s">
        <v>829</v>
      </c>
      <c r="O147" s="28" t="s">
        <v>486</v>
      </c>
      <c r="S147" s="0" t="s">
        <v>487</v>
      </c>
      <c r="T147" s="0" t="s">
        <v>487</v>
      </c>
      <c r="V147" s="29" t="n">
        <v>43774</v>
      </c>
    </row>
    <row r="148" customFormat="false" ht="13.8" hidden="false" customHeight="false" outlineLevel="0" collapsed="false">
      <c r="A148" s="25" t="s">
        <v>970</v>
      </c>
      <c r="B148" s="0" t="s">
        <v>480</v>
      </c>
      <c r="D148" s="27" t="s">
        <v>971</v>
      </c>
      <c r="E148" s="8" t="s">
        <v>972</v>
      </c>
      <c r="F148" s="0" t="s">
        <v>509</v>
      </c>
      <c r="G148" s="0" t="s">
        <v>960</v>
      </c>
      <c r="I148" s="0" t="s">
        <v>516</v>
      </c>
      <c r="J148" s="10" t="s">
        <v>973</v>
      </c>
      <c r="N148" s="29" t="s">
        <v>829</v>
      </c>
      <c r="O148" s="0" t="s">
        <v>486</v>
      </c>
      <c r="S148" s="0" t="s">
        <v>487</v>
      </c>
      <c r="T148" s="0" t="s">
        <v>487</v>
      </c>
      <c r="V148" s="29" t="n">
        <v>43790</v>
      </c>
    </row>
    <row r="149" customFormat="false" ht="13.8" hidden="false" customHeight="false" outlineLevel="0" collapsed="false">
      <c r="A149" s="25" t="s">
        <v>974</v>
      </c>
      <c r="B149" s="0" t="s">
        <v>480</v>
      </c>
      <c r="D149" s="27" t="s">
        <v>975</v>
      </c>
      <c r="E149" s="8" t="s">
        <v>976</v>
      </c>
      <c r="F149" s="0" t="s">
        <v>509</v>
      </c>
      <c r="G149" s="0" t="s">
        <v>960</v>
      </c>
      <c r="I149" s="0" t="s">
        <v>516</v>
      </c>
      <c r="J149" s="10" t="s">
        <v>977</v>
      </c>
      <c r="N149" s="29" t="s">
        <v>829</v>
      </c>
      <c r="O149" s="0" t="s">
        <v>486</v>
      </c>
      <c r="S149" s="0" t="s">
        <v>487</v>
      </c>
      <c r="T149" s="0" t="s">
        <v>487</v>
      </c>
      <c r="V149" s="29" t="n">
        <v>43886</v>
      </c>
    </row>
    <row r="150" customFormat="false" ht="13.8" hidden="false" customHeight="false" outlineLevel="0" collapsed="false">
      <c r="A150" s="25" t="s">
        <v>978</v>
      </c>
      <c r="B150" s="0" t="s">
        <v>480</v>
      </c>
      <c r="D150" s="27" t="s">
        <v>979</v>
      </c>
      <c r="E150" s="8" t="s">
        <v>980</v>
      </c>
      <c r="F150" s="0" t="s">
        <v>509</v>
      </c>
      <c r="G150" s="0" t="s">
        <v>960</v>
      </c>
      <c r="I150" s="0" t="s">
        <v>516</v>
      </c>
      <c r="J150" s="10" t="s">
        <v>981</v>
      </c>
      <c r="N150" s="29" t="s">
        <v>829</v>
      </c>
      <c r="O150" s="0" t="s">
        <v>486</v>
      </c>
      <c r="S150" s="0" t="s">
        <v>487</v>
      </c>
      <c r="T150" s="0" t="s">
        <v>487</v>
      </c>
      <c r="V150" s="28" t="s">
        <v>36</v>
      </c>
    </row>
    <row r="151" customFormat="false" ht="13.8" hidden="false" customHeight="false" outlineLevel="0" collapsed="false">
      <c r="A151" s="25" t="s">
        <v>982</v>
      </c>
      <c r="B151" s="0" t="s">
        <v>480</v>
      </c>
      <c r="D151" s="27" t="s">
        <v>983</v>
      </c>
      <c r="E151" s="8" t="s">
        <v>984</v>
      </c>
      <c r="F151" s="0" t="s">
        <v>509</v>
      </c>
      <c r="G151" s="0" t="s">
        <v>960</v>
      </c>
      <c r="I151" s="0" t="s">
        <v>510</v>
      </c>
      <c r="J151" s="10" t="s">
        <v>985</v>
      </c>
      <c r="N151" s="29" t="s">
        <v>829</v>
      </c>
      <c r="O151" s="0" t="s">
        <v>486</v>
      </c>
      <c r="S151" s="0" t="s">
        <v>487</v>
      </c>
      <c r="T151" s="0" t="s">
        <v>487</v>
      </c>
      <c r="V151" s="29" t="n">
        <v>43851</v>
      </c>
    </row>
    <row r="152" customFormat="false" ht="13.8" hidden="false" customHeight="false" outlineLevel="0" collapsed="false">
      <c r="A152" s="25" t="s">
        <v>986</v>
      </c>
      <c r="B152" s="0" t="s">
        <v>480</v>
      </c>
      <c r="D152" s="27" t="s">
        <v>987</v>
      </c>
      <c r="E152" s="8" t="s">
        <v>988</v>
      </c>
      <c r="F152" s="0" t="s">
        <v>509</v>
      </c>
      <c r="I152" s="10" t="s">
        <v>516</v>
      </c>
      <c r="L152" s="10" t="s">
        <v>511</v>
      </c>
      <c r="N152" s="29" t="s">
        <v>659</v>
      </c>
      <c r="O152" s="0" t="s">
        <v>486</v>
      </c>
      <c r="S152" s="31" t="n">
        <v>44153</v>
      </c>
      <c r="T152" s="31" t="n">
        <v>44183</v>
      </c>
      <c r="U152" s="0" t="s">
        <v>511</v>
      </c>
    </row>
    <row r="153" customFormat="false" ht="13.8" hidden="false" customHeight="false" outlineLevel="0" collapsed="false">
      <c r="A153" s="25" t="s">
        <v>989</v>
      </c>
      <c r="B153" s="0" t="s">
        <v>480</v>
      </c>
      <c r="D153" s="27" t="s">
        <v>990</v>
      </c>
      <c r="E153" s="8" t="s">
        <v>991</v>
      </c>
      <c r="F153" s="0" t="s">
        <v>509</v>
      </c>
      <c r="G153" s="0" t="s">
        <v>960</v>
      </c>
      <c r="I153" s="0" t="s">
        <v>516</v>
      </c>
      <c r="J153" s="10" t="s">
        <v>992</v>
      </c>
      <c r="N153" s="29" t="s">
        <v>829</v>
      </c>
      <c r="O153" s="0" t="s">
        <v>486</v>
      </c>
      <c r="S153" s="0" t="s">
        <v>487</v>
      </c>
      <c r="T153" s="0" t="s">
        <v>487</v>
      </c>
    </row>
    <row r="154" customFormat="false" ht="13.8" hidden="false" customHeight="false" outlineLevel="0" collapsed="false">
      <c r="A154" s="25" t="s">
        <v>993</v>
      </c>
      <c r="B154" s="0" t="s">
        <v>480</v>
      </c>
      <c r="D154" s="27" t="s">
        <v>994</v>
      </c>
      <c r="E154" s="8" t="s">
        <v>995</v>
      </c>
      <c r="F154" s="0" t="s">
        <v>509</v>
      </c>
      <c r="G154" s="0" t="s">
        <v>960</v>
      </c>
      <c r="I154" s="0" t="s">
        <v>510</v>
      </c>
      <c r="J154" s="10" t="s">
        <v>996</v>
      </c>
      <c r="N154" s="29" t="s">
        <v>829</v>
      </c>
      <c r="O154" s="0" t="s">
        <v>486</v>
      </c>
      <c r="S154" s="0" t="s">
        <v>487</v>
      </c>
      <c r="T154" s="0" t="s">
        <v>487</v>
      </c>
    </row>
    <row r="155" customFormat="false" ht="13.8" hidden="false" customHeight="false" outlineLevel="0" collapsed="false">
      <c r="A155" s="25" t="s">
        <v>997</v>
      </c>
      <c r="B155" s="0" t="s">
        <v>480</v>
      </c>
      <c r="D155" s="27" t="s">
        <v>998</v>
      </c>
      <c r="E155" s="8" t="s">
        <v>999</v>
      </c>
      <c r="F155" s="0" t="s">
        <v>509</v>
      </c>
      <c r="I155" s="10" t="s">
        <v>510</v>
      </c>
      <c r="L155" s="10" t="s">
        <v>511</v>
      </c>
      <c r="N155" s="29" t="s">
        <v>1000</v>
      </c>
      <c r="O155" s="0" t="s">
        <v>486</v>
      </c>
      <c r="S155" s="31" t="n">
        <v>43766</v>
      </c>
      <c r="T155" s="31" t="s">
        <v>1001</v>
      </c>
      <c r="U155" s="0" t="s">
        <v>1002</v>
      </c>
    </row>
    <row r="156" customFormat="false" ht="13.8" hidden="false" customHeight="false" outlineLevel="0" collapsed="false">
      <c r="A156" s="25" t="s">
        <v>1003</v>
      </c>
      <c r="B156" s="0" t="s">
        <v>480</v>
      </c>
      <c r="D156" s="27" t="s">
        <v>1004</v>
      </c>
      <c r="E156" s="8" t="s">
        <v>1005</v>
      </c>
      <c r="F156" s="0" t="s">
        <v>509</v>
      </c>
      <c r="I156" s="10" t="s">
        <v>516</v>
      </c>
      <c r="L156" s="10" t="s">
        <v>511</v>
      </c>
      <c r="N156" s="29" t="s">
        <v>669</v>
      </c>
      <c r="O156" s="0" t="s">
        <v>526</v>
      </c>
    </row>
    <row r="157" customFormat="false" ht="13.8" hidden="false" customHeight="false" outlineLevel="0" collapsed="false">
      <c r="A157" s="25" t="s">
        <v>1006</v>
      </c>
      <c r="B157" s="0" t="s">
        <v>480</v>
      </c>
      <c r="D157" s="27" t="s">
        <v>1007</v>
      </c>
      <c r="E157" s="8" t="s">
        <v>1008</v>
      </c>
      <c r="F157" s="0" t="s">
        <v>509</v>
      </c>
      <c r="I157" s="10" t="s">
        <v>516</v>
      </c>
      <c r="L157" s="10"/>
      <c r="N157" s="29" t="s">
        <v>427</v>
      </c>
      <c r="O157" s="0" t="s">
        <v>526</v>
      </c>
    </row>
    <row r="158" customFormat="false" ht="13.8" hidden="false" customHeight="false" outlineLevel="0" collapsed="false">
      <c r="A158" s="25" t="s">
        <v>1009</v>
      </c>
      <c r="B158" s="0" t="s">
        <v>480</v>
      </c>
      <c r="D158" s="27" t="s">
        <v>1010</v>
      </c>
      <c r="E158" s="8" t="s">
        <v>1011</v>
      </c>
      <c r="F158" s="0" t="s">
        <v>509</v>
      </c>
      <c r="I158" s="10" t="s">
        <v>510</v>
      </c>
      <c r="L158" s="10" t="s">
        <v>511</v>
      </c>
      <c r="N158" s="29" t="s">
        <v>546</v>
      </c>
      <c r="O158" s="0" t="s">
        <v>1012</v>
      </c>
    </row>
    <row r="159" customFormat="false" ht="13.8" hidden="false" customHeight="false" outlineLevel="0" collapsed="false">
      <c r="A159" s="25" t="s">
        <v>1013</v>
      </c>
      <c r="B159" s="0" t="s">
        <v>480</v>
      </c>
      <c r="D159" s="27" t="s">
        <v>1014</v>
      </c>
      <c r="E159" s="8" t="s">
        <v>1015</v>
      </c>
      <c r="F159" s="0" t="s">
        <v>509</v>
      </c>
      <c r="I159" s="10" t="s">
        <v>510</v>
      </c>
      <c r="L159" s="10" t="s">
        <v>511</v>
      </c>
      <c r="N159" s="29" t="s">
        <v>595</v>
      </c>
      <c r="O159" s="0" t="s">
        <v>526</v>
      </c>
    </row>
    <row r="160" customFormat="false" ht="13.8" hidden="false" customHeight="false" outlineLevel="0" collapsed="false">
      <c r="A160" s="25" t="s">
        <v>1016</v>
      </c>
      <c r="B160" s="0" t="s">
        <v>480</v>
      </c>
      <c r="D160" s="27" t="s">
        <v>1017</v>
      </c>
      <c r="E160" s="8" t="s">
        <v>1018</v>
      </c>
      <c r="F160" s="0" t="s">
        <v>509</v>
      </c>
      <c r="I160" s="10" t="s">
        <v>516</v>
      </c>
      <c r="L160" s="10" t="s">
        <v>511</v>
      </c>
      <c r="N160" s="29" t="s">
        <v>573</v>
      </c>
      <c r="O160" s="0" t="s">
        <v>526</v>
      </c>
    </row>
    <row r="161" customFormat="false" ht="13.8" hidden="false" customHeight="false" outlineLevel="0" collapsed="false">
      <c r="A161" s="25" t="s">
        <v>1019</v>
      </c>
      <c r="B161" s="0" t="s">
        <v>480</v>
      </c>
      <c r="D161" s="27" t="s">
        <v>1020</v>
      </c>
      <c r="E161" s="8" t="s">
        <v>1021</v>
      </c>
      <c r="F161" s="0" t="s">
        <v>509</v>
      </c>
      <c r="I161" s="10" t="s">
        <v>516</v>
      </c>
      <c r="L161" s="10" t="s">
        <v>511</v>
      </c>
      <c r="N161" s="29" t="s">
        <v>517</v>
      </c>
      <c r="O161" s="0" t="s">
        <v>526</v>
      </c>
    </row>
    <row r="162" customFormat="false" ht="13.8" hidden="false" customHeight="false" outlineLevel="0" collapsed="false">
      <c r="A162" s="25" t="s">
        <v>1022</v>
      </c>
      <c r="B162" s="0" t="s">
        <v>480</v>
      </c>
      <c r="D162" s="27" t="s">
        <v>1023</v>
      </c>
      <c r="E162" s="8" t="s">
        <v>1024</v>
      </c>
      <c r="F162" s="0" t="s">
        <v>509</v>
      </c>
      <c r="I162" s="10" t="s">
        <v>510</v>
      </c>
      <c r="L162" s="10" t="s">
        <v>511</v>
      </c>
      <c r="N162" s="29" t="s">
        <v>1000</v>
      </c>
      <c r="O162" s="0" t="s">
        <v>526</v>
      </c>
    </row>
    <row r="163" customFormat="false" ht="13.8" hidden="false" customHeight="false" outlineLevel="0" collapsed="false">
      <c r="A163" s="25" t="s">
        <v>1025</v>
      </c>
      <c r="B163" s="0" t="s">
        <v>480</v>
      </c>
      <c r="D163" s="27" t="s">
        <v>1026</v>
      </c>
      <c r="E163" s="8" t="s">
        <v>1027</v>
      </c>
      <c r="F163" s="0" t="s">
        <v>509</v>
      </c>
      <c r="I163" s="10" t="s">
        <v>516</v>
      </c>
      <c r="L163" s="10" t="s">
        <v>511</v>
      </c>
      <c r="N163" s="29" t="s">
        <v>767</v>
      </c>
      <c r="O163" s="0" t="s">
        <v>526</v>
      </c>
    </row>
    <row r="164" customFormat="false" ht="13.8" hidden="false" customHeight="false" outlineLevel="0" collapsed="false">
      <c r="A164" s="25" t="s">
        <v>1028</v>
      </c>
      <c r="B164" s="0" t="s">
        <v>480</v>
      </c>
      <c r="D164" s="27" t="s">
        <v>1029</v>
      </c>
      <c r="E164" s="8" t="s">
        <v>1030</v>
      </c>
      <c r="F164" s="0" t="s">
        <v>509</v>
      </c>
      <c r="I164" s="10" t="s">
        <v>516</v>
      </c>
      <c r="L164" s="10" t="s">
        <v>511</v>
      </c>
      <c r="N164" s="29" t="s">
        <v>652</v>
      </c>
      <c r="O164" s="0" t="s">
        <v>526</v>
      </c>
    </row>
    <row r="165" customFormat="false" ht="13.8" hidden="false" customHeight="false" outlineLevel="0" collapsed="false">
      <c r="A165" s="25" t="s">
        <v>1031</v>
      </c>
      <c r="B165" s="0" t="s">
        <v>480</v>
      </c>
      <c r="D165" s="27" t="s">
        <v>1032</v>
      </c>
      <c r="E165" s="8" t="s">
        <v>1033</v>
      </c>
      <c r="F165" s="0" t="s">
        <v>509</v>
      </c>
      <c r="I165" s="10" t="s">
        <v>516</v>
      </c>
      <c r="L165" s="10" t="s">
        <v>511</v>
      </c>
      <c r="N165" s="29" t="s">
        <v>554</v>
      </c>
      <c r="O165" s="0" t="s">
        <v>526</v>
      </c>
    </row>
    <row r="166" customFormat="false" ht="13.8" hidden="false" customHeight="false" outlineLevel="0" collapsed="false">
      <c r="A166" s="25" t="s">
        <v>1034</v>
      </c>
      <c r="B166" s="0" t="s">
        <v>480</v>
      </c>
      <c r="D166" s="27" t="s">
        <v>1035</v>
      </c>
      <c r="E166" s="8" t="s">
        <v>1036</v>
      </c>
      <c r="F166" s="0" t="s">
        <v>509</v>
      </c>
      <c r="I166" s="10" t="s">
        <v>510</v>
      </c>
      <c r="L166" s="10" t="s">
        <v>511</v>
      </c>
      <c r="N166" s="29" t="s">
        <v>554</v>
      </c>
      <c r="O166" s="0" t="s">
        <v>526</v>
      </c>
    </row>
    <row r="167" customFormat="false" ht="13.8" hidden="false" customHeight="false" outlineLevel="0" collapsed="false">
      <c r="A167" s="25" t="s">
        <v>1037</v>
      </c>
      <c r="B167" s="0" t="s">
        <v>480</v>
      </c>
      <c r="D167" s="27" t="s">
        <v>1038</v>
      </c>
      <c r="E167" s="8" t="s">
        <v>1039</v>
      </c>
      <c r="F167" s="0" t="s">
        <v>509</v>
      </c>
      <c r="I167" s="10" t="s">
        <v>510</v>
      </c>
      <c r="L167" s="10" t="s">
        <v>511</v>
      </c>
      <c r="N167" s="29" t="s">
        <v>606</v>
      </c>
      <c r="O167" s="0" t="s">
        <v>526</v>
      </c>
    </row>
    <row r="168" customFormat="false" ht="13.8" hidden="false" customHeight="false" outlineLevel="0" collapsed="false">
      <c r="A168" s="25" t="s">
        <v>1040</v>
      </c>
      <c r="B168" s="0" t="s">
        <v>480</v>
      </c>
      <c r="D168" s="27" t="s">
        <v>1041</v>
      </c>
      <c r="E168" s="8" t="s">
        <v>1042</v>
      </c>
      <c r="F168" s="0" t="s">
        <v>509</v>
      </c>
      <c r="I168" s="10" t="s">
        <v>510</v>
      </c>
      <c r="L168" s="10" t="s">
        <v>511</v>
      </c>
      <c r="N168" s="29" t="s">
        <v>550</v>
      </c>
      <c r="O168" s="0" t="s">
        <v>486</v>
      </c>
    </row>
    <row r="169" customFormat="false" ht="13.8" hidden="false" customHeight="false" outlineLevel="0" collapsed="false">
      <c r="A169" s="25" t="s">
        <v>1043</v>
      </c>
      <c r="B169" s="0" t="s">
        <v>480</v>
      </c>
      <c r="D169" s="27" t="s">
        <v>1044</v>
      </c>
      <c r="E169" s="8" t="s">
        <v>1045</v>
      </c>
      <c r="F169" s="0" t="s">
        <v>509</v>
      </c>
      <c r="I169" s="10" t="s">
        <v>510</v>
      </c>
      <c r="L169" s="10" t="s">
        <v>511</v>
      </c>
      <c r="N169" s="29" t="s">
        <v>550</v>
      </c>
      <c r="O169" s="0" t="s">
        <v>585</v>
      </c>
    </row>
    <row r="170" customFormat="false" ht="13.8" hidden="false" customHeight="false" outlineLevel="0" collapsed="false">
      <c r="A170" s="25" t="s">
        <v>1046</v>
      </c>
      <c r="B170" s="0" t="s">
        <v>480</v>
      </c>
      <c r="D170" s="27" t="s">
        <v>1047</v>
      </c>
      <c r="E170" s="8" t="s">
        <v>1048</v>
      </c>
      <c r="F170" s="0" t="s">
        <v>509</v>
      </c>
      <c r="I170" s="10" t="s">
        <v>510</v>
      </c>
      <c r="L170" s="10" t="s">
        <v>511</v>
      </c>
      <c r="N170" s="29" t="s">
        <v>580</v>
      </c>
      <c r="O170" s="0" t="s">
        <v>1049</v>
      </c>
    </row>
    <row r="171" customFormat="false" ht="13.8" hidden="false" customHeight="false" outlineLevel="0" collapsed="false">
      <c r="A171" s="25" t="s">
        <v>1050</v>
      </c>
      <c r="B171" s="0" t="s">
        <v>480</v>
      </c>
      <c r="D171" s="27" t="s">
        <v>1051</v>
      </c>
      <c r="E171" s="8" t="s">
        <v>1052</v>
      </c>
      <c r="F171" s="0" t="s">
        <v>509</v>
      </c>
      <c r="G171" s="0" t="s">
        <v>960</v>
      </c>
      <c r="I171" s="0" t="s">
        <v>516</v>
      </c>
      <c r="J171" s="10" t="s">
        <v>1053</v>
      </c>
      <c r="N171" s="29" t="s">
        <v>829</v>
      </c>
      <c r="O171" s="0" t="s">
        <v>486</v>
      </c>
    </row>
    <row r="172" customFormat="false" ht="13.8" hidden="false" customHeight="false" outlineLevel="0" collapsed="false">
      <c r="A172" s="25" t="s">
        <v>1054</v>
      </c>
      <c r="B172" s="0" t="s">
        <v>480</v>
      </c>
      <c r="D172" s="27" t="s">
        <v>1055</v>
      </c>
      <c r="E172" s="8" t="s">
        <v>1056</v>
      </c>
      <c r="F172" s="0" t="s">
        <v>509</v>
      </c>
      <c r="G172" s="0" t="s">
        <v>960</v>
      </c>
      <c r="I172" s="0" t="s">
        <v>510</v>
      </c>
      <c r="J172" s="10" t="s">
        <v>1057</v>
      </c>
      <c r="N172" s="29" t="s">
        <v>829</v>
      </c>
      <c r="O172" s="0" t="s">
        <v>486</v>
      </c>
      <c r="V172" s="29" t="n">
        <v>43860</v>
      </c>
    </row>
    <row r="173" customFormat="false" ht="13.8" hidden="false" customHeight="false" outlineLevel="0" collapsed="false">
      <c r="A173" s="25" t="s">
        <v>1058</v>
      </c>
      <c r="B173" s="0" t="s">
        <v>480</v>
      </c>
      <c r="D173" s="27" t="s">
        <v>1059</v>
      </c>
      <c r="E173" s="8" t="s">
        <v>1060</v>
      </c>
      <c r="F173" s="28" t="s">
        <v>426</v>
      </c>
      <c r="G173" s="28" t="n">
        <v>201203042</v>
      </c>
      <c r="I173" s="28" t="s">
        <v>516</v>
      </c>
      <c r="J173" s="28" t="s">
        <v>1061</v>
      </c>
      <c r="L173" s="28" t="s">
        <v>511</v>
      </c>
      <c r="N173" s="29" t="s">
        <v>1062</v>
      </c>
      <c r="O173" s="28" t="s">
        <v>526</v>
      </c>
      <c r="P173" s="28"/>
      <c r="Q173" s="28" t="s">
        <v>558</v>
      </c>
      <c r="R173" s="28" t="s">
        <v>487</v>
      </c>
      <c r="S173" s="28"/>
      <c r="T173" s="28"/>
      <c r="U173" s="28" t="s">
        <v>558</v>
      </c>
      <c r="V173" s="29" t="n">
        <v>44481</v>
      </c>
    </row>
    <row r="174" customFormat="false" ht="13.8" hidden="false" customHeight="false" outlineLevel="0" collapsed="false">
      <c r="A174" s="25" t="s">
        <v>1063</v>
      </c>
      <c r="B174" s="0" t="s">
        <v>480</v>
      </c>
      <c r="D174" s="27" t="s">
        <v>1064</v>
      </c>
      <c r="E174" s="8" t="s">
        <v>1065</v>
      </c>
      <c r="F174" s="28" t="s">
        <v>426</v>
      </c>
      <c r="G174" s="28" t="n">
        <v>201203042</v>
      </c>
      <c r="I174" s="28" t="s">
        <v>510</v>
      </c>
      <c r="J174" s="28" t="s">
        <v>1066</v>
      </c>
      <c r="L174" s="28" t="s">
        <v>511</v>
      </c>
      <c r="N174" s="29" t="s">
        <v>613</v>
      </c>
      <c r="O174" s="28" t="s">
        <v>526</v>
      </c>
      <c r="P174" s="28"/>
      <c r="Q174" s="28" t="s">
        <v>558</v>
      </c>
      <c r="R174" s="28" t="s">
        <v>487</v>
      </c>
      <c r="S174" s="28"/>
      <c r="T174" s="28"/>
      <c r="U174" s="28" t="s">
        <v>511</v>
      </c>
      <c r="V174" s="29" t="n">
        <v>43881</v>
      </c>
    </row>
    <row r="175" customFormat="false" ht="13.8" hidden="false" customHeight="false" outlineLevel="0" collapsed="false">
      <c r="A175" s="25" t="s">
        <v>1067</v>
      </c>
      <c r="B175" s="0" t="s">
        <v>480</v>
      </c>
      <c r="D175" s="27" t="s">
        <v>1068</v>
      </c>
      <c r="E175" s="8" t="s">
        <v>1069</v>
      </c>
      <c r="F175" s="28" t="s">
        <v>426</v>
      </c>
      <c r="G175" s="28" t="n">
        <v>201203042</v>
      </c>
      <c r="I175" s="28" t="s">
        <v>516</v>
      </c>
      <c r="J175" s="28" t="s">
        <v>1070</v>
      </c>
      <c r="L175" s="28" t="s">
        <v>511</v>
      </c>
      <c r="N175" s="29" t="s">
        <v>525</v>
      </c>
      <c r="O175" s="28" t="s">
        <v>526</v>
      </c>
      <c r="P175" s="28"/>
      <c r="Q175" s="28" t="s">
        <v>558</v>
      </c>
      <c r="R175" s="28" t="s">
        <v>487</v>
      </c>
      <c r="S175" s="28"/>
      <c r="T175" s="28"/>
      <c r="U175" s="28" t="s">
        <v>558</v>
      </c>
      <c r="V175" s="29" t="n">
        <v>44621</v>
      </c>
    </row>
    <row r="176" customFormat="false" ht="13.8" hidden="false" customHeight="false" outlineLevel="0" collapsed="false">
      <c r="A176" s="25" t="s">
        <v>1071</v>
      </c>
      <c r="B176" s="0" t="s">
        <v>480</v>
      </c>
      <c r="D176" s="27" t="s">
        <v>1072</v>
      </c>
      <c r="E176" s="8" t="s">
        <v>1073</v>
      </c>
      <c r="F176" s="28" t="s">
        <v>426</v>
      </c>
      <c r="G176" s="28" t="n">
        <v>201203042</v>
      </c>
      <c r="I176" s="28" t="s">
        <v>516</v>
      </c>
      <c r="J176" s="28" t="s">
        <v>1074</v>
      </c>
      <c r="L176" s="28" t="s">
        <v>511</v>
      </c>
      <c r="N176" s="29" t="s">
        <v>606</v>
      </c>
      <c r="O176" s="28" t="s">
        <v>526</v>
      </c>
      <c r="P176" s="28"/>
      <c r="Q176" s="28" t="s">
        <v>558</v>
      </c>
      <c r="R176" s="28" t="s">
        <v>487</v>
      </c>
      <c r="S176" s="28"/>
      <c r="T176" s="28"/>
      <c r="U176" s="28" t="s">
        <v>558</v>
      </c>
      <c r="V176" s="29" t="n">
        <v>43902</v>
      </c>
    </row>
    <row r="177" customFormat="false" ht="13.8" hidden="false" customHeight="false" outlineLevel="0" collapsed="false">
      <c r="A177" s="25" t="s">
        <v>1075</v>
      </c>
      <c r="B177" s="0" t="s">
        <v>480</v>
      </c>
      <c r="D177" s="27" t="s">
        <v>1076</v>
      </c>
      <c r="E177" s="8" t="s">
        <v>1077</v>
      </c>
      <c r="F177" s="28" t="s">
        <v>426</v>
      </c>
      <c r="G177" s="28" t="n">
        <v>201203042</v>
      </c>
      <c r="I177" s="28" t="s">
        <v>516</v>
      </c>
      <c r="J177" s="28" t="s">
        <v>1078</v>
      </c>
      <c r="L177" s="28" t="s">
        <v>511</v>
      </c>
      <c r="N177" s="29" t="s">
        <v>606</v>
      </c>
      <c r="O177" s="28" t="s">
        <v>526</v>
      </c>
      <c r="P177" s="28"/>
      <c r="Q177" s="28" t="s">
        <v>558</v>
      </c>
      <c r="R177" s="28" t="s">
        <v>487</v>
      </c>
      <c r="S177" s="28"/>
      <c r="T177" s="28"/>
      <c r="U177" s="28" t="s">
        <v>558</v>
      </c>
    </row>
    <row r="178" customFormat="false" ht="13.8" hidden="false" customHeight="false" outlineLevel="0" collapsed="false">
      <c r="A178" s="25" t="s">
        <v>1079</v>
      </c>
      <c r="B178" s="0" t="s">
        <v>480</v>
      </c>
      <c r="D178" s="27" t="s">
        <v>1080</v>
      </c>
      <c r="E178" s="8" t="s">
        <v>1081</v>
      </c>
      <c r="F178" s="28" t="s">
        <v>426</v>
      </c>
      <c r="G178" s="28" t="n">
        <v>201203042</v>
      </c>
      <c r="I178" s="28" t="s">
        <v>516</v>
      </c>
      <c r="J178" s="28" t="s">
        <v>1082</v>
      </c>
      <c r="L178" s="28" t="s">
        <v>511</v>
      </c>
      <c r="N178" s="29" t="s">
        <v>747</v>
      </c>
      <c r="O178" s="28" t="s">
        <v>486</v>
      </c>
      <c r="P178" s="28"/>
      <c r="Q178" s="28" t="s">
        <v>558</v>
      </c>
      <c r="R178" s="28" t="s">
        <v>1083</v>
      </c>
      <c r="S178" s="28"/>
      <c r="T178" s="28"/>
      <c r="U178" s="28" t="s">
        <v>511</v>
      </c>
    </row>
    <row r="179" customFormat="false" ht="13.8" hidden="false" customHeight="false" outlineLevel="0" collapsed="false">
      <c r="A179" s="25" t="s">
        <v>1084</v>
      </c>
      <c r="B179" s="0" t="s">
        <v>480</v>
      </c>
      <c r="D179" s="27" t="s">
        <v>1085</v>
      </c>
      <c r="E179" s="8" t="s">
        <v>1086</v>
      </c>
      <c r="F179" s="28" t="s">
        <v>426</v>
      </c>
      <c r="G179" s="28" t="n">
        <v>201203042</v>
      </c>
      <c r="I179" s="28" t="s">
        <v>516</v>
      </c>
      <c r="J179" s="28" t="s">
        <v>1087</v>
      </c>
      <c r="L179" s="28" t="s">
        <v>558</v>
      </c>
      <c r="N179" s="29" t="s">
        <v>704</v>
      </c>
      <c r="O179" s="28" t="s">
        <v>486</v>
      </c>
      <c r="P179" s="28"/>
      <c r="Q179" s="28" t="s">
        <v>558</v>
      </c>
      <c r="R179" s="28" t="s">
        <v>1088</v>
      </c>
      <c r="S179" s="28"/>
      <c r="T179" s="28"/>
      <c r="U179" s="28" t="s">
        <v>511</v>
      </c>
    </row>
    <row r="180" customFormat="false" ht="13.8" hidden="false" customHeight="false" outlineLevel="0" collapsed="false">
      <c r="A180" s="25" t="s">
        <v>1089</v>
      </c>
      <c r="B180" s="0" t="s">
        <v>480</v>
      </c>
      <c r="D180" s="27" t="s">
        <v>1090</v>
      </c>
      <c r="E180" s="8" t="s">
        <v>1091</v>
      </c>
      <c r="F180" s="28" t="s">
        <v>426</v>
      </c>
      <c r="G180" s="28" t="n">
        <v>201203042</v>
      </c>
      <c r="I180" s="28" t="s">
        <v>516</v>
      </c>
      <c r="J180" s="28" t="s">
        <v>1092</v>
      </c>
      <c r="L180" s="28" t="s">
        <v>511</v>
      </c>
      <c r="N180" s="29" t="s">
        <v>738</v>
      </c>
      <c r="O180" s="28" t="s">
        <v>486</v>
      </c>
      <c r="P180" s="28" t="s">
        <v>699</v>
      </c>
      <c r="Q180" s="28" t="s">
        <v>558</v>
      </c>
      <c r="R180" s="28" t="s">
        <v>487</v>
      </c>
      <c r="S180" s="28"/>
      <c r="T180" s="28"/>
      <c r="U180" s="28" t="s">
        <v>511</v>
      </c>
    </row>
    <row r="181" customFormat="false" ht="13.8" hidden="false" customHeight="false" outlineLevel="0" collapsed="false">
      <c r="A181" s="25" t="s">
        <v>1093</v>
      </c>
      <c r="B181" s="0" t="s">
        <v>480</v>
      </c>
      <c r="D181" s="27" t="s">
        <v>1094</v>
      </c>
      <c r="E181" s="8" t="s">
        <v>1095</v>
      </c>
      <c r="F181" s="28" t="s">
        <v>426</v>
      </c>
      <c r="G181" s="28" t="n">
        <v>201203042</v>
      </c>
      <c r="I181" s="28" t="s">
        <v>516</v>
      </c>
      <c r="J181" s="28" t="s">
        <v>1096</v>
      </c>
      <c r="L181" s="28" t="s">
        <v>511</v>
      </c>
      <c r="N181" s="29" t="s">
        <v>664</v>
      </c>
      <c r="O181" s="28" t="s">
        <v>526</v>
      </c>
      <c r="P181" s="28"/>
      <c r="Q181" s="28" t="s">
        <v>558</v>
      </c>
      <c r="R181" s="28" t="s">
        <v>487</v>
      </c>
      <c r="S181" s="28"/>
      <c r="T181" s="28"/>
      <c r="U181" s="0" t="s">
        <v>558</v>
      </c>
    </row>
    <row r="182" customFormat="false" ht="13.8" hidden="false" customHeight="false" outlineLevel="0" collapsed="false">
      <c r="A182" s="25" t="s">
        <v>1097</v>
      </c>
      <c r="B182" s="0" t="s">
        <v>480</v>
      </c>
      <c r="D182" s="27" t="s">
        <v>1098</v>
      </c>
      <c r="E182" s="8" t="s">
        <v>1099</v>
      </c>
      <c r="F182" s="28" t="s">
        <v>426</v>
      </c>
      <c r="G182" s="28" t="n">
        <v>201203042</v>
      </c>
      <c r="I182" s="28" t="s">
        <v>516</v>
      </c>
      <c r="J182" s="28" t="s">
        <v>1100</v>
      </c>
      <c r="L182" s="28" t="s">
        <v>511</v>
      </c>
      <c r="N182" s="29" t="s">
        <v>517</v>
      </c>
      <c r="O182" s="32" t="s">
        <v>752</v>
      </c>
      <c r="P182" s="28"/>
      <c r="Q182" s="28" t="s">
        <v>558</v>
      </c>
      <c r="R182" s="28" t="s">
        <v>487</v>
      </c>
      <c r="S182" s="28"/>
      <c r="T182" s="28"/>
      <c r="U182" s="0" t="s">
        <v>558</v>
      </c>
    </row>
    <row r="183" customFormat="false" ht="13.8" hidden="false" customHeight="false" outlineLevel="0" collapsed="false">
      <c r="A183" s="25" t="s">
        <v>1101</v>
      </c>
      <c r="B183" s="0" t="s">
        <v>480</v>
      </c>
      <c r="D183" s="27" t="s">
        <v>1102</v>
      </c>
      <c r="E183" s="8" t="s">
        <v>1103</v>
      </c>
      <c r="F183" s="28" t="s">
        <v>426</v>
      </c>
      <c r="G183" s="28" t="n">
        <v>201203042</v>
      </c>
      <c r="I183" s="28" t="s">
        <v>510</v>
      </c>
      <c r="J183" s="28" t="s">
        <v>1104</v>
      </c>
      <c r="L183" s="28" t="s">
        <v>511</v>
      </c>
      <c r="N183" s="29" t="s">
        <v>613</v>
      </c>
      <c r="O183" s="28" t="s">
        <v>526</v>
      </c>
      <c r="P183" s="28"/>
      <c r="Q183" s="28" t="s">
        <v>558</v>
      </c>
      <c r="R183" s="28" t="s">
        <v>487</v>
      </c>
      <c r="S183" s="28"/>
      <c r="T183" s="28"/>
      <c r="U183" s="0" t="s">
        <v>558</v>
      </c>
    </row>
    <row r="184" customFormat="false" ht="13.8" hidden="false" customHeight="false" outlineLevel="0" collapsed="false">
      <c r="A184" s="25" t="s">
        <v>1105</v>
      </c>
      <c r="B184" s="0" t="s">
        <v>480</v>
      </c>
      <c r="D184" s="27" t="s">
        <v>1106</v>
      </c>
      <c r="E184" s="8" t="s">
        <v>1107</v>
      </c>
      <c r="F184" s="28" t="s">
        <v>426</v>
      </c>
      <c r="G184" s="28" t="n">
        <v>201203042</v>
      </c>
      <c r="I184" s="28" t="s">
        <v>510</v>
      </c>
      <c r="J184" s="28" t="s">
        <v>1108</v>
      </c>
      <c r="L184" s="28" t="s">
        <v>511</v>
      </c>
      <c r="N184" s="29" t="s">
        <v>721</v>
      </c>
      <c r="O184" s="28" t="s">
        <v>526</v>
      </c>
      <c r="P184" s="28"/>
      <c r="Q184" s="28" t="s">
        <v>558</v>
      </c>
      <c r="R184" s="28" t="s">
        <v>487</v>
      </c>
      <c r="S184" s="28"/>
      <c r="T184" s="28"/>
      <c r="U184" s="0" t="s">
        <v>558</v>
      </c>
    </row>
    <row r="185" customFormat="false" ht="13.8" hidden="false" customHeight="false" outlineLevel="0" collapsed="false">
      <c r="A185" s="25" t="s">
        <v>1109</v>
      </c>
      <c r="B185" s="0" t="s">
        <v>480</v>
      </c>
      <c r="D185" s="27" t="s">
        <v>1110</v>
      </c>
      <c r="E185" s="8" t="s">
        <v>1111</v>
      </c>
      <c r="F185" s="28" t="s">
        <v>426</v>
      </c>
      <c r="G185" s="28" t="n">
        <v>201203042</v>
      </c>
      <c r="I185" s="28" t="s">
        <v>510</v>
      </c>
      <c r="J185" s="28" t="s">
        <v>1112</v>
      </c>
      <c r="L185" s="28" t="s">
        <v>511</v>
      </c>
      <c r="N185" s="29" t="s">
        <v>1113</v>
      </c>
      <c r="O185" s="28" t="s">
        <v>526</v>
      </c>
      <c r="P185" s="28"/>
      <c r="Q185" s="28" t="s">
        <v>558</v>
      </c>
      <c r="R185" s="28" t="s">
        <v>487</v>
      </c>
      <c r="S185" s="28"/>
      <c r="T185" s="28"/>
      <c r="U185" s="0" t="s">
        <v>511</v>
      </c>
    </row>
    <row r="186" customFormat="false" ht="13.8" hidden="false" customHeight="false" outlineLevel="0" collapsed="false">
      <c r="A186" s="25" t="s">
        <v>1114</v>
      </c>
      <c r="B186" s="0" t="s">
        <v>480</v>
      </c>
      <c r="D186" s="27" t="s">
        <v>1115</v>
      </c>
      <c r="E186" s="8" t="s">
        <v>1116</v>
      </c>
      <c r="F186" s="28" t="s">
        <v>426</v>
      </c>
      <c r="G186" s="28" t="n">
        <v>201203042</v>
      </c>
      <c r="I186" s="28" t="s">
        <v>510</v>
      </c>
      <c r="J186" s="28" t="s">
        <v>1117</v>
      </c>
      <c r="L186" s="28" t="s">
        <v>511</v>
      </c>
      <c r="N186" s="29" t="s">
        <v>554</v>
      </c>
      <c r="O186" s="28" t="s">
        <v>526</v>
      </c>
      <c r="P186" s="28"/>
      <c r="Q186" s="28" t="s">
        <v>558</v>
      </c>
      <c r="R186" s="28" t="s">
        <v>1118</v>
      </c>
      <c r="S186" s="28"/>
      <c r="T186" s="28"/>
      <c r="U186" s="0" t="s">
        <v>558</v>
      </c>
      <c r="V186" s="29" t="n">
        <v>43956</v>
      </c>
    </row>
    <row r="187" customFormat="false" ht="13.8" hidden="false" customHeight="false" outlineLevel="0" collapsed="false">
      <c r="A187" s="25" t="s">
        <v>1119</v>
      </c>
      <c r="B187" s="0" t="s">
        <v>480</v>
      </c>
      <c r="D187" s="27" t="s">
        <v>1120</v>
      </c>
      <c r="E187" s="8" t="s">
        <v>1121</v>
      </c>
      <c r="F187" s="28" t="s">
        <v>426</v>
      </c>
      <c r="G187" s="28" t="n">
        <v>201203042</v>
      </c>
      <c r="I187" s="28" t="s">
        <v>516</v>
      </c>
      <c r="J187" s="28" t="s">
        <v>1122</v>
      </c>
      <c r="L187" s="28" t="s">
        <v>558</v>
      </c>
      <c r="N187" s="29" t="s">
        <v>1123</v>
      </c>
      <c r="O187" s="28" t="s">
        <v>486</v>
      </c>
      <c r="P187" s="28"/>
      <c r="Q187" s="28" t="s">
        <v>558</v>
      </c>
      <c r="R187" s="28" t="s">
        <v>487</v>
      </c>
      <c r="S187" s="28"/>
      <c r="T187" s="28"/>
      <c r="U187" s="0" t="s">
        <v>511</v>
      </c>
      <c r="V187" s="29" t="n">
        <v>43998</v>
      </c>
    </row>
    <row r="188" customFormat="false" ht="13.8" hidden="false" customHeight="false" outlineLevel="0" collapsed="false">
      <c r="A188" s="25" t="s">
        <v>1124</v>
      </c>
      <c r="B188" s="0" t="s">
        <v>480</v>
      </c>
      <c r="D188" s="27" t="s">
        <v>1125</v>
      </c>
      <c r="E188" s="8" t="s">
        <v>1126</v>
      </c>
      <c r="F188" s="28" t="s">
        <v>426</v>
      </c>
      <c r="G188" s="28" t="n">
        <v>201203042</v>
      </c>
      <c r="I188" s="28" t="s">
        <v>516</v>
      </c>
      <c r="J188" s="28" t="s">
        <v>1127</v>
      </c>
      <c r="L188" s="28" t="s">
        <v>558</v>
      </c>
      <c r="N188" s="29" t="s">
        <v>559</v>
      </c>
      <c r="O188" s="28" t="s">
        <v>486</v>
      </c>
      <c r="P188" s="28"/>
      <c r="Q188" s="28" t="s">
        <v>558</v>
      </c>
      <c r="R188" s="28" t="s">
        <v>487</v>
      </c>
      <c r="S188" s="28"/>
      <c r="T188" s="28"/>
      <c r="U188" s="0" t="s">
        <v>511</v>
      </c>
      <c r="V188" s="29" t="n">
        <v>44684</v>
      </c>
    </row>
    <row r="189" customFormat="false" ht="13.8" hidden="false" customHeight="false" outlineLevel="0" collapsed="false">
      <c r="A189" s="25" t="s">
        <v>1128</v>
      </c>
      <c r="B189" s="0" t="s">
        <v>480</v>
      </c>
      <c r="D189" s="27" t="s">
        <v>1129</v>
      </c>
      <c r="E189" s="8" t="s">
        <v>1130</v>
      </c>
      <c r="F189" s="28" t="s">
        <v>426</v>
      </c>
      <c r="G189" s="28" t="n">
        <v>201203042</v>
      </c>
      <c r="I189" s="28" t="s">
        <v>510</v>
      </c>
      <c r="J189" s="28" t="s">
        <v>1131</v>
      </c>
      <c r="L189" s="28" t="s">
        <v>511</v>
      </c>
      <c r="N189" s="29" t="s">
        <v>709</v>
      </c>
      <c r="O189" s="28" t="s">
        <v>486</v>
      </c>
      <c r="P189" s="28"/>
      <c r="Q189" s="28" t="s">
        <v>558</v>
      </c>
      <c r="R189" s="28" t="s">
        <v>487</v>
      </c>
      <c r="S189" s="28"/>
      <c r="T189" s="28"/>
      <c r="U189" s="0" t="s">
        <v>511</v>
      </c>
      <c r="V189" s="29" t="n">
        <v>43949</v>
      </c>
    </row>
    <row r="190" customFormat="false" ht="13.8" hidden="false" customHeight="false" outlineLevel="0" collapsed="false">
      <c r="A190" s="25" t="s">
        <v>1132</v>
      </c>
      <c r="B190" s="0" t="s">
        <v>480</v>
      </c>
      <c r="D190" s="27" t="s">
        <v>1133</v>
      </c>
      <c r="E190" s="8" t="s">
        <v>1134</v>
      </c>
      <c r="F190" s="28" t="s">
        <v>426</v>
      </c>
      <c r="G190" s="28" t="n">
        <v>201203042</v>
      </c>
      <c r="I190" s="28" t="s">
        <v>516</v>
      </c>
      <c r="J190" s="28" t="s">
        <v>1135</v>
      </c>
      <c r="L190" s="28" t="s">
        <v>511</v>
      </c>
      <c r="N190" s="29" t="s">
        <v>517</v>
      </c>
      <c r="O190" s="28" t="s">
        <v>526</v>
      </c>
      <c r="P190" s="28"/>
      <c r="Q190" s="28" t="s">
        <v>558</v>
      </c>
      <c r="R190" s="28" t="s">
        <v>487</v>
      </c>
      <c r="S190" s="28"/>
      <c r="T190" s="28"/>
      <c r="U190" s="0" t="s">
        <v>558</v>
      </c>
    </row>
    <row r="191" customFormat="false" ht="13.8" hidden="false" customHeight="false" outlineLevel="0" collapsed="false">
      <c r="A191" s="25" t="s">
        <v>1136</v>
      </c>
      <c r="B191" s="0" t="s">
        <v>480</v>
      </c>
      <c r="D191" s="27" t="s">
        <v>1137</v>
      </c>
      <c r="E191" s="8" t="s">
        <v>1138</v>
      </c>
      <c r="F191" s="28" t="s">
        <v>426</v>
      </c>
      <c r="G191" s="28" t="n">
        <v>201203042</v>
      </c>
      <c r="I191" s="28" t="s">
        <v>516</v>
      </c>
      <c r="J191" s="28" t="s">
        <v>1139</v>
      </c>
      <c r="L191" s="28" t="s">
        <v>511</v>
      </c>
      <c r="N191" s="29" t="s">
        <v>584</v>
      </c>
      <c r="O191" s="28" t="s">
        <v>526</v>
      </c>
      <c r="P191" s="28"/>
      <c r="Q191" s="28" t="s">
        <v>558</v>
      </c>
      <c r="R191" s="28" t="s">
        <v>758</v>
      </c>
      <c r="S191" s="28"/>
      <c r="T191" s="28"/>
      <c r="U191" s="0" t="s">
        <v>558</v>
      </c>
    </row>
    <row r="192" customFormat="false" ht="13.8" hidden="false" customHeight="false" outlineLevel="0" collapsed="false">
      <c r="A192" s="25" t="s">
        <v>1140</v>
      </c>
      <c r="B192" s="0" t="s">
        <v>480</v>
      </c>
      <c r="D192" s="27" t="s">
        <v>1141</v>
      </c>
      <c r="E192" s="8" t="s">
        <v>1142</v>
      </c>
      <c r="F192" s="28" t="s">
        <v>426</v>
      </c>
      <c r="G192" s="28" t="n">
        <v>201203042</v>
      </c>
      <c r="I192" s="28" t="s">
        <v>510</v>
      </c>
      <c r="J192" s="28" t="s">
        <v>1143</v>
      </c>
      <c r="L192" s="28" t="s">
        <v>511</v>
      </c>
      <c r="N192" s="29" t="s">
        <v>537</v>
      </c>
      <c r="O192" s="28" t="s">
        <v>526</v>
      </c>
      <c r="P192" s="28"/>
      <c r="Q192" s="28" t="s">
        <v>558</v>
      </c>
      <c r="R192" s="28" t="s">
        <v>487</v>
      </c>
      <c r="S192" s="28"/>
      <c r="T192" s="28"/>
      <c r="U192" s="0" t="s">
        <v>558</v>
      </c>
    </row>
    <row r="193" customFormat="false" ht="13.8" hidden="false" customHeight="false" outlineLevel="0" collapsed="false">
      <c r="A193" s="25" t="s">
        <v>1144</v>
      </c>
      <c r="B193" s="0" t="s">
        <v>480</v>
      </c>
      <c r="D193" s="27" t="s">
        <v>1145</v>
      </c>
      <c r="E193" s="8" t="s">
        <v>1146</v>
      </c>
      <c r="F193" s="28" t="s">
        <v>426</v>
      </c>
      <c r="G193" s="28" t="n">
        <v>201203042</v>
      </c>
      <c r="I193" s="28" t="s">
        <v>510</v>
      </c>
      <c r="J193" s="28" t="s">
        <v>1147</v>
      </c>
      <c r="L193" s="28" t="s">
        <v>511</v>
      </c>
      <c r="N193" s="29" t="s">
        <v>767</v>
      </c>
      <c r="O193" s="28" t="s">
        <v>526</v>
      </c>
      <c r="P193" s="28"/>
      <c r="Q193" s="28" t="s">
        <v>558</v>
      </c>
      <c r="R193" s="28" t="s">
        <v>1148</v>
      </c>
      <c r="S193" s="28"/>
      <c r="T193" s="28"/>
      <c r="U193" s="0" t="s">
        <v>511</v>
      </c>
    </row>
    <row r="194" customFormat="false" ht="13.8" hidden="false" customHeight="false" outlineLevel="0" collapsed="false">
      <c r="A194" s="25" t="s">
        <v>1149</v>
      </c>
      <c r="B194" s="0" t="s">
        <v>480</v>
      </c>
      <c r="D194" s="27" t="s">
        <v>1150</v>
      </c>
      <c r="E194" s="8" t="s">
        <v>1151</v>
      </c>
      <c r="F194" s="28" t="s">
        <v>426</v>
      </c>
      <c r="G194" s="28" t="n">
        <v>201203042</v>
      </c>
      <c r="I194" s="28" t="s">
        <v>516</v>
      </c>
      <c r="J194" s="28" t="s">
        <v>1152</v>
      </c>
      <c r="L194" s="28" t="s">
        <v>511</v>
      </c>
      <c r="N194" s="29" t="s">
        <v>652</v>
      </c>
      <c r="O194" s="28" t="s">
        <v>486</v>
      </c>
      <c r="P194" s="28"/>
      <c r="Q194" s="28" t="s">
        <v>558</v>
      </c>
      <c r="R194" s="28" t="s">
        <v>487</v>
      </c>
      <c r="S194" s="28"/>
      <c r="T194" s="28"/>
      <c r="U194" s="0" t="s">
        <v>511</v>
      </c>
    </row>
    <row r="195" customFormat="false" ht="13.8" hidden="false" customHeight="false" outlineLevel="0" collapsed="false">
      <c r="A195" s="25" t="s">
        <v>1153</v>
      </c>
      <c r="B195" s="0" t="s">
        <v>480</v>
      </c>
      <c r="D195" s="27" t="s">
        <v>1154</v>
      </c>
      <c r="E195" s="8" t="s">
        <v>1155</v>
      </c>
      <c r="F195" s="28" t="s">
        <v>426</v>
      </c>
      <c r="G195" s="28" t="n">
        <v>201203042</v>
      </c>
      <c r="I195" s="28" t="s">
        <v>516</v>
      </c>
      <c r="J195" s="28" t="s">
        <v>1156</v>
      </c>
      <c r="L195" s="28" t="s">
        <v>511</v>
      </c>
      <c r="N195" s="29" t="s">
        <v>554</v>
      </c>
      <c r="O195" s="32" t="s">
        <v>752</v>
      </c>
      <c r="P195" s="28"/>
      <c r="Q195" s="28" t="s">
        <v>558</v>
      </c>
      <c r="R195" s="28" t="s">
        <v>1157</v>
      </c>
      <c r="S195" s="28"/>
      <c r="T195" s="28"/>
      <c r="U195" s="0" t="s">
        <v>558</v>
      </c>
    </row>
    <row r="196" customFormat="false" ht="13.8" hidden="false" customHeight="false" outlineLevel="0" collapsed="false">
      <c r="A196" s="25" t="s">
        <v>1158</v>
      </c>
      <c r="B196" s="0" t="s">
        <v>480</v>
      </c>
      <c r="D196" s="27" t="s">
        <v>1159</v>
      </c>
      <c r="E196" s="8" t="s">
        <v>1160</v>
      </c>
      <c r="F196" s="28" t="s">
        <v>426</v>
      </c>
      <c r="G196" s="28" t="n">
        <v>201203042</v>
      </c>
      <c r="I196" s="28" t="s">
        <v>510</v>
      </c>
      <c r="J196" s="28" t="s">
        <v>1161</v>
      </c>
      <c r="L196" s="28" t="s">
        <v>511</v>
      </c>
      <c r="N196" s="29" t="s">
        <v>573</v>
      </c>
      <c r="O196" s="32" t="s">
        <v>752</v>
      </c>
      <c r="P196" s="28"/>
      <c r="Q196" s="28" t="s">
        <v>558</v>
      </c>
      <c r="R196" s="28" t="s">
        <v>1157</v>
      </c>
      <c r="S196" s="28"/>
      <c r="T196" s="28"/>
      <c r="U196" s="0" t="s">
        <v>558</v>
      </c>
    </row>
    <row r="197" customFormat="false" ht="13.8" hidden="false" customHeight="false" outlineLevel="0" collapsed="false">
      <c r="A197" s="25" t="s">
        <v>1162</v>
      </c>
      <c r="B197" s="0" t="s">
        <v>480</v>
      </c>
      <c r="D197" s="27" t="s">
        <v>1163</v>
      </c>
      <c r="E197" s="8" t="s">
        <v>1164</v>
      </c>
      <c r="F197" s="28" t="s">
        <v>426</v>
      </c>
      <c r="G197" s="28" t="n">
        <v>201203042</v>
      </c>
      <c r="I197" s="28" t="s">
        <v>516</v>
      </c>
      <c r="J197" s="28" t="s">
        <v>1165</v>
      </c>
      <c r="L197" s="28" t="s">
        <v>511</v>
      </c>
      <c r="N197" s="29" t="s">
        <v>704</v>
      </c>
      <c r="O197" s="28" t="s">
        <v>526</v>
      </c>
      <c r="P197" s="28"/>
      <c r="Q197" s="28" t="s">
        <v>558</v>
      </c>
      <c r="R197" s="28" t="s">
        <v>487</v>
      </c>
      <c r="S197" s="28"/>
      <c r="T197" s="28"/>
      <c r="U197" s="0" t="s">
        <v>558</v>
      </c>
    </row>
    <row r="198" customFormat="false" ht="13.8" hidden="false" customHeight="false" outlineLevel="0" collapsed="false">
      <c r="A198" s="25" t="s">
        <v>1166</v>
      </c>
      <c r="B198" s="0" t="s">
        <v>480</v>
      </c>
      <c r="D198" s="27" t="s">
        <v>1167</v>
      </c>
      <c r="E198" s="8" t="s">
        <v>1168</v>
      </c>
      <c r="F198" s="28" t="s">
        <v>426</v>
      </c>
      <c r="G198" s="28" t="n">
        <v>201203042</v>
      </c>
      <c r="I198" s="28" t="s">
        <v>516</v>
      </c>
      <c r="J198" s="28" t="s">
        <v>1169</v>
      </c>
      <c r="L198" s="28" t="s">
        <v>511</v>
      </c>
      <c r="N198" s="29" t="s">
        <v>595</v>
      </c>
      <c r="O198" s="28" t="s">
        <v>526</v>
      </c>
      <c r="P198" s="28"/>
      <c r="Q198" s="28" t="s">
        <v>558</v>
      </c>
      <c r="R198" s="28" t="s">
        <v>487</v>
      </c>
      <c r="S198" s="28"/>
      <c r="T198" s="28"/>
      <c r="U198" s="0" t="s">
        <v>558</v>
      </c>
    </row>
    <row r="199" customFormat="false" ht="13.8" hidden="false" customHeight="false" outlineLevel="0" collapsed="false">
      <c r="A199" s="25" t="s">
        <v>1170</v>
      </c>
      <c r="B199" s="0" t="s">
        <v>480</v>
      </c>
      <c r="D199" s="27" t="s">
        <v>1171</v>
      </c>
      <c r="E199" s="8" t="s">
        <v>1172</v>
      </c>
      <c r="F199" s="28" t="s">
        <v>426</v>
      </c>
      <c r="G199" s="28" t="n">
        <v>201203042</v>
      </c>
      <c r="I199" s="28" t="s">
        <v>510</v>
      </c>
      <c r="J199" s="28" t="s">
        <v>1173</v>
      </c>
      <c r="L199" s="28" t="s">
        <v>511</v>
      </c>
      <c r="N199" s="29" t="s">
        <v>1174</v>
      </c>
      <c r="O199" s="28" t="s">
        <v>526</v>
      </c>
      <c r="P199" s="28"/>
      <c r="Q199" s="28" t="s">
        <v>558</v>
      </c>
      <c r="R199" s="28" t="s">
        <v>487</v>
      </c>
      <c r="S199" s="28"/>
      <c r="T199" s="28"/>
      <c r="U199" s="0" t="s">
        <v>558</v>
      </c>
    </row>
    <row r="200" customFormat="false" ht="13.8" hidden="false" customHeight="false" outlineLevel="0" collapsed="false">
      <c r="A200" s="25" t="s">
        <v>1175</v>
      </c>
      <c r="B200" s="0" t="s">
        <v>480</v>
      </c>
      <c r="D200" s="27" t="s">
        <v>1176</v>
      </c>
      <c r="E200" s="8" t="s">
        <v>1177</v>
      </c>
      <c r="F200" s="28" t="s">
        <v>426</v>
      </c>
      <c r="G200" s="28" t="n">
        <v>201203042</v>
      </c>
      <c r="I200" s="28" t="s">
        <v>510</v>
      </c>
      <c r="J200" s="28" t="s">
        <v>1178</v>
      </c>
      <c r="L200" s="28" t="s">
        <v>511</v>
      </c>
      <c r="N200" s="29" t="s">
        <v>517</v>
      </c>
      <c r="O200" s="28" t="s">
        <v>526</v>
      </c>
      <c r="P200" s="28"/>
      <c r="Q200" s="28" t="s">
        <v>558</v>
      </c>
      <c r="R200" s="28" t="s">
        <v>1179</v>
      </c>
      <c r="S200" s="28"/>
      <c r="T200" s="28"/>
      <c r="U200" s="0" t="s">
        <v>558</v>
      </c>
    </row>
    <row r="201" customFormat="false" ht="13.8" hidden="false" customHeight="false" outlineLevel="0" collapsed="false">
      <c r="A201" s="25" t="s">
        <v>1180</v>
      </c>
      <c r="B201" s="0" t="s">
        <v>480</v>
      </c>
      <c r="D201" s="27" t="s">
        <v>1181</v>
      </c>
      <c r="E201" s="8" t="s">
        <v>1182</v>
      </c>
      <c r="F201" s="28" t="s">
        <v>426</v>
      </c>
      <c r="G201" s="28" t="n">
        <v>201203042</v>
      </c>
      <c r="I201" s="28" t="s">
        <v>516</v>
      </c>
      <c r="J201" s="28" t="s">
        <v>1183</v>
      </c>
      <c r="L201" s="28" t="s">
        <v>511</v>
      </c>
      <c r="N201" s="29" t="s">
        <v>533</v>
      </c>
      <c r="O201" s="28" t="s">
        <v>526</v>
      </c>
      <c r="P201" s="28"/>
      <c r="Q201" s="28" t="s">
        <v>558</v>
      </c>
      <c r="R201" s="28" t="s">
        <v>487</v>
      </c>
      <c r="S201" s="28"/>
      <c r="T201" s="28"/>
      <c r="U201" s="0" t="s">
        <v>558</v>
      </c>
    </row>
    <row r="202" customFormat="false" ht="13.8" hidden="false" customHeight="false" outlineLevel="0" collapsed="false">
      <c r="A202" s="25" t="s">
        <v>1184</v>
      </c>
      <c r="B202" s="0" t="s">
        <v>480</v>
      </c>
      <c r="D202" s="27" t="s">
        <v>1185</v>
      </c>
      <c r="E202" s="8" t="s">
        <v>1186</v>
      </c>
      <c r="F202" s="28" t="s">
        <v>426</v>
      </c>
      <c r="G202" s="28" t="n">
        <v>201203042</v>
      </c>
      <c r="I202" s="28" t="s">
        <v>510</v>
      </c>
      <c r="J202" s="28" t="s">
        <v>1187</v>
      </c>
      <c r="L202" s="28" t="s">
        <v>808</v>
      </c>
      <c r="N202" s="29" t="s">
        <v>512</v>
      </c>
      <c r="O202" s="33" t="s">
        <v>486</v>
      </c>
      <c r="P202" s="28"/>
      <c r="Q202" s="28" t="s">
        <v>558</v>
      </c>
      <c r="R202" s="28" t="s">
        <v>1188</v>
      </c>
      <c r="S202" s="28"/>
      <c r="T202" s="28"/>
      <c r="U202" s="0" t="s">
        <v>511</v>
      </c>
    </row>
    <row r="203" customFormat="false" ht="13.8" hidden="false" customHeight="false" outlineLevel="0" collapsed="false">
      <c r="A203" s="25" t="s">
        <v>1189</v>
      </c>
      <c r="B203" s="0" t="s">
        <v>480</v>
      </c>
      <c r="D203" s="27" t="s">
        <v>1190</v>
      </c>
      <c r="E203" s="8" t="s">
        <v>1191</v>
      </c>
      <c r="F203" s="28" t="s">
        <v>426</v>
      </c>
      <c r="G203" s="28" t="n">
        <v>201203042</v>
      </c>
      <c r="I203" s="28" t="s">
        <v>510</v>
      </c>
      <c r="J203" s="28" t="s">
        <v>1192</v>
      </c>
      <c r="L203" s="28" t="s">
        <v>511</v>
      </c>
      <c r="N203" s="29" t="s">
        <v>537</v>
      </c>
      <c r="O203" s="28" t="s">
        <v>526</v>
      </c>
      <c r="P203" s="28"/>
      <c r="Q203" s="28" t="s">
        <v>558</v>
      </c>
      <c r="R203" s="28" t="s">
        <v>487</v>
      </c>
      <c r="S203" s="28"/>
      <c r="T203" s="28"/>
      <c r="U203" s="0" t="s">
        <v>558</v>
      </c>
    </row>
    <row r="204" customFormat="false" ht="13.8" hidden="false" customHeight="false" outlineLevel="0" collapsed="false">
      <c r="A204" s="25" t="s">
        <v>1193</v>
      </c>
      <c r="B204" s="0" t="s">
        <v>480</v>
      </c>
      <c r="D204" s="27" t="s">
        <v>1194</v>
      </c>
      <c r="E204" s="8" t="s">
        <v>1195</v>
      </c>
      <c r="F204" s="28" t="s">
        <v>426</v>
      </c>
      <c r="G204" s="28" t="n">
        <v>201203042</v>
      </c>
      <c r="I204" s="28" t="s">
        <v>516</v>
      </c>
      <c r="J204" s="28" t="s">
        <v>1196</v>
      </c>
      <c r="L204" s="28" t="s">
        <v>558</v>
      </c>
      <c r="N204" s="29" t="s">
        <v>537</v>
      </c>
      <c r="O204" s="28" t="s">
        <v>486</v>
      </c>
      <c r="P204" s="28"/>
      <c r="Q204" s="28" t="s">
        <v>558</v>
      </c>
      <c r="R204" s="28" t="s">
        <v>487</v>
      </c>
      <c r="T204" s="28"/>
      <c r="U204" s="0" t="s">
        <v>511</v>
      </c>
    </row>
    <row r="205" customFormat="false" ht="13.8" hidden="false" customHeight="false" outlineLevel="0" collapsed="false">
      <c r="A205" s="25" t="s">
        <v>1197</v>
      </c>
      <c r="B205" s="0" t="s">
        <v>480</v>
      </c>
      <c r="D205" s="27" t="s">
        <v>1198</v>
      </c>
      <c r="E205" s="8" t="s">
        <v>1199</v>
      </c>
      <c r="F205" s="28" t="s">
        <v>426</v>
      </c>
      <c r="G205" s="28" t="n">
        <v>201203042</v>
      </c>
      <c r="I205" s="28" t="s">
        <v>516</v>
      </c>
      <c r="J205" s="28" t="s">
        <v>1200</v>
      </c>
      <c r="L205" s="28" t="s">
        <v>511</v>
      </c>
      <c r="N205" s="29" t="s">
        <v>1201</v>
      </c>
      <c r="O205" s="28" t="s">
        <v>486</v>
      </c>
      <c r="P205" s="28"/>
      <c r="Q205" s="28" t="s">
        <v>558</v>
      </c>
      <c r="R205" s="28" t="s">
        <v>1202</v>
      </c>
      <c r="S205" s="28"/>
      <c r="T205" s="28"/>
      <c r="U205" s="0" t="s">
        <v>511</v>
      </c>
    </row>
    <row r="206" customFormat="false" ht="13.8" hidden="false" customHeight="false" outlineLevel="0" collapsed="false">
      <c r="A206" s="25" t="s">
        <v>1203</v>
      </c>
      <c r="B206" s="0" t="s">
        <v>480</v>
      </c>
      <c r="D206" s="27" t="s">
        <v>1204</v>
      </c>
      <c r="E206" s="8" t="s">
        <v>1205</v>
      </c>
      <c r="F206" s="28" t="s">
        <v>426</v>
      </c>
      <c r="G206" s="28" t="n">
        <v>201203042</v>
      </c>
      <c r="I206" s="28" t="s">
        <v>516</v>
      </c>
      <c r="J206" s="28" t="s">
        <v>1206</v>
      </c>
      <c r="L206" s="28" t="s">
        <v>808</v>
      </c>
      <c r="N206" s="29" t="s">
        <v>738</v>
      </c>
      <c r="O206" s="28" t="s">
        <v>526</v>
      </c>
      <c r="P206" s="28"/>
      <c r="Q206" s="28" t="s">
        <v>558</v>
      </c>
      <c r="R206" s="28" t="s">
        <v>487</v>
      </c>
      <c r="S206" s="28"/>
      <c r="T206" s="28"/>
      <c r="U206" s="0" t="s">
        <v>558</v>
      </c>
    </row>
    <row r="207" customFormat="false" ht="13.8" hidden="false" customHeight="false" outlineLevel="0" collapsed="false">
      <c r="A207" s="25" t="s">
        <v>1207</v>
      </c>
      <c r="B207" s="0" t="s">
        <v>480</v>
      </c>
      <c r="D207" s="27" t="s">
        <v>1208</v>
      </c>
      <c r="E207" s="8" t="s">
        <v>1209</v>
      </c>
      <c r="F207" s="28" t="s">
        <v>426</v>
      </c>
      <c r="G207" s="28" t="n">
        <v>201203042</v>
      </c>
      <c r="I207" s="28" t="s">
        <v>510</v>
      </c>
      <c r="J207" s="28" t="s">
        <v>1210</v>
      </c>
      <c r="L207" s="28" t="s">
        <v>511</v>
      </c>
      <c r="N207" s="29" t="s">
        <v>1211</v>
      </c>
      <c r="O207" s="32" t="s">
        <v>1012</v>
      </c>
      <c r="P207" s="28"/>
      <c r="Q207" s="28" t="s">
        <v>558</v>
      </c>
      <c r="R207" s="28" t="s">
        <v>487</v>
      </c>
      <c r="S207" s="28"/>
      <c r="T207" s="28"/>
      <c r="U207" s="0" t="s">
        <v>558</v>
      </c>
    </row>
    <row r="208" customFormat="false" ht="13.8" hidden="false" customHeight="false" outlineLevel="0" collapsed="false">
      <c r="A208" s="25" t="s">
        <v>1212</v>
      </c>
      <c r="B208" s="0" t="s">
        <v>480</v>
      </c>
      <c r="D208" s="27" t="s">
        <v>1213</v>
      </c>
      <c r="E208" s="8" t="s">
        <v>1214</v>
      </c>
      <c r="F208" s="28" t="s">
        <v>426</v>
      </c>
      <c r="G208" s="28" t="n">
        <v>201203042</v>
      </c>
      <c r="I208" s="28" t="s">
        <v>516</v>
      </c>
      <c r="J208" s="28" t="s">
        <v>1215</v>
      </c>
      <c r="L208" s="28" t="s">
        <v>511</v>
      </c>
      <c r="N208" s="29" t="s">
        <v>1211</v>
      </c>
      <c r="O208" s="28" t="s">
        <v>486</v>
      </c>
      <c r="P208" s="28" t="s">
        <v>699</v>
      </c>
      <c r="Q208" s="28" t="s">
        <v>511</v>
      </c>
      <c r="R208" s="28" t="s">
        <v>1216</v>
      </c>
      <c r="S208" s="28"/>
      <c r="T208" s="28"/>
      <c r="U208" s="0" t="s">
        <v>558</v>
      </c>
    </row>
    <row r="209" customFormat="false" ht="13.8" hidden="false" customHeight="false" outlineLevel="0" collapsed="false">
      <c r="A209" s="25" t="s">
        <v>1217</v>
      </c>
      <c r="B209" s="0" t="s">
        <v>480</v>
      </c>
      <c r="D209" s="27" t="s">
        <v>1218</v>
      </c>
      <c r="E209" s="8" t="s">
        <v>1219</v>
      </c>
      <c r="F209" s="28" t="s">
        <v>426</v>
      </c>
      <c r="G209" s="28" t="n">
        <v>201203042</v>
      </c>
      <c r="I209" s="28" t="s">
        <v>516</v>
      </c>
      <c r="J209" s="28" t="s">
        <v>1220</v>
      </c>
      <c r="L209" s="28" t="s">
        <v>558</v>
      </c>
      <c r="N209" s="29" t="s">
        <v>1221</v>
      </c>
      <c r="O209" s="28" t="s">
        <v>486</v>
      </c>
      <c r="P209" s="28"/>
      <c r="Q209" s="28" t="s">
        <v>558</v>
      </c>
      <c r="R209" s="28" t="s">
        <v>487</v>
      </c>
      <c r="S209" s="28"/>
      <c r="T209" s="28"/>
      <c r="U209" s="0" t="s">
        <v>558</v>
      </c>
    </row>
    <row r="210" customFormat="false" ht="13.8" hidden="false" customHeight="false" outlineLevel="0" collapsed="false">
      <c r="A210" s="25" t="s">
        <v>1222</v>
      </c>
      <c r="B210" s="0" t="s">
        <v>480</v>
      </c>
      <c r="D210" s="27" t="s">
        <v>1223</v>
      </c>
      <c r="E210" s="8" t="s">
        <v>1224</v>
      </c>
      <c r="F210" s="28" t="s">
        <v>426</v>
      </c>
      <c r="G210" s="28" t="n">
        <v>201203042</v>
      </c>
      <c r="I210" s="28" t="s">
        <v>516</v>
      </c>
      <c r="J210" s="28" t="s">
        <v>1225</v>
      </c>
      <c r="L210" s="28" t="s">
        <v>558</v>
      </c>
      <c r="N210" s="29" t="s">
        <v>709</v>
      </c>
      <c r="O210" s="28" t="s">
        <v>486</v>
      </c>
      <c r="P210" s="28"/>
      <c r="Q210" s="28" t="s">
        <v>558</v>
      </c>
      <c r="R210" s="28" t="s">
        <v>487</v>
      </c>
      <c r="S210" s="28"/>
      <c r="T210" s="28"/>
      <c r="U210" s="0" t="s">
        <v>511</v>
      </c>
    </row>
    <row r="211" customFormat="false" ht="13.8" hidden="false" customHeight="false" outlineLevel="0" collapsed="false">
      <c r="A211" s="25" t="s">
        <v>1226</v>
      </c>
      <c r="B211" s="0" t="s">
        <v>480</v>
      </c>
      <c r="D211" s="27" t="s">
        <v>1227</v>
      </c>
      <c r="E211" s="8" t="s">
        <v>1228</v>
      </c>
      <c r="F211" s="28" t="s">
        <v>426</v>
      </c>
      <c r="G211" s="28" t="n">
        <v>201203042</v>
      </c>
      <c r="I211" s="28" t="s">
        <v>516</v>
      </c>
      <c r="J211" s="28" t="s">
        <v>1229</v>
      </c>
      <c r="L211" s="28" t="s">
        <v>511</v>
      </c>
      <c r="N211" s="29" t="s">
        <v>767</v>
      </c>
      <c r="O211" s="28" t="s">
        <v>486</v>
      </c>
      <c r="P211" s="28" t="s">
        <v>699</v>
      </c>
      <c r="Q211" s="28" t="s">
        <v>558</v>
      </c>
      <c r="R211" s="28" t="s">
        <v>487</v>
      </c>
      <c r="S211" s="28"/>
      <c r="T211" s="28"/>
      <c r="U211" s="0" t="s">
        <v>558</v>
      </c>
    </row>
    <row r="212" customFormat="false" ht="13.8" hidden="false" customHeight="false" outlineLevel="0" collapsed="false">
      <c r="A212" s="25" t="s">
        <v>1230</v>
      </c>
      <c r="B212" s="0" t="s">
        <v>480</v>
      </c>
      <c r="D212" s="27" t="s">
        <v>1231</v>
      </c>
      <c r="E212" s="8" t="s">
        <v>1232</v>
      </c>
      <c r="F212" s="28" t="s">
        <v>426</v>
      </c>
      <c r="G212" s="28" t="n">
        <v>201203042</v>
      </c>
      <c r="I212" s="28" t="s">
        <v>510</v>
      </c>
      <c r="J212" s="28" t="s">
        <v>1233</v>
      </c>
      <c r="L212" s="28" t="s">
        <v>558</v>
      </c>
      <c r="N212" s="29" t="s">
        <v>709</v>
      </c>
      <c r="O212" s="28" t="s">
        <v>486</v>
      </c>
      <c r="P212" s="28"/>
      <c r="Q212" s="28" t="s">
        <v>558</v>
      </c>
      <c r="R212" s="28" t="s">
        <v>487</v>
      </c>
      <c r="S212" s="28"/>
      <c r="T212" s="28"/>
      <c r="U212" s="0" t="s">
        <v>511</v>
      </c>
    </row>
    <row r="213" customFormat="false" ht="13.8" hidden="false" customHeight="false" outlineLevel="0" collapsed="false">
      <c r="A213" s="25" t="s">
        <v>1234</v>
      </c>
      <c r="B213" s="0" t="s">
        <v>480</v>
      </c>
      <c r="D213" s="27" t="s">
        <v>1235</v>
      </c>
      <c r="E213" s="8" t="s">
        <v>1236</v>
      </c>
      <c r="F213" s="28" t="s">
        <v>426</v>
      </c>
      <c r="G213" s="28" t="n">
        <v>201203042</v>
      </c>
      <c r="I213" s="28" t="s">
        <v>516</v>
      </c>
      <c r="J213" s="28" t="s">
        <v>1237</v>
      </c>
      <c r="L213" s="28" t="s">
        <v>558</v>
      </c>
      <c r="N213" s="29" t="s">
        <v>566</v>
      </c>
      <c r="O213" s="28" t="s">
        <v>486</v>
      </c>
      <c r="P213" s="28"/>
      <c r="Q213" s="28" t="s">
        <v>558</v>
      </c>
      <c r="R213" s="28" t="s">
        <v>487</v>
      </c>
      <c r="S213" s="28"/>
      <c r="T213" s="28"/>
      <c r="U213" s="0" t="s">
        <v>558</v>
      </c>
    </row>
    <row r="214" customFormat="false" ht="13.8" hidden="false" customHeight="false" outlineLevel="0" collapsed="false">
      <c r="A214" s="25" t="s">
        <v>1238</v>
      </c>
      <c r="B214" s="0" t="s">
        <v>480</v>
      </c>
      <c r="D214" s="27" t="s">
        <v>1239</v>
      </c>
      <c r="E214" s="8" t="s">
        <v>1240</v>
      </c>
      <c r="F214" s="28" t="s">
        <v>426</v>
      </c>
      <c r="G214" s="28" t="n">
        <v>201203042</v>
      </c>
      <c r="I214" s="28" t="s">
        <v>510</v>
      </c>
      <c r="J214" s="28" t="s">
        <v>1241</v>
      </c>
      <c r="L214" s="28" t="s">
        <v>511</v>
      </c>
      <c r="N214" s="29" t="s">
        <v>626</v>
      </c>
      <c r="O214" s="28" t="s">
        <v>486</v>
      </c>
      <c r="Q214" s="28" t="s">
        <v>558</v>
      </c>
      <c r="R214" s="28" t="s">
        <v>487</v>
      </c>
      <c r="S214" s="28"/>
      <c r="T214" s="28"/>
      <c r="U214" s="28" t="s">
        <v>511</v>
      </c>
    </row>
    <row r="215" customFormat="false" ht="13.8" hidden="false" customHeight="false" outlineLevel="0" collapsed="false">
      <c r="A215" s="25" t="s">
        <v>1242</v>
      </c>
      <c r="B215" s="0" t="s">
        <v>480</v>
      </c>
      <c r="D215" s="27" t="s">
        <v>1243</v>
      </c>
      <c r="E215" s="8" t="s">
        <v>1244</v>
      </c>
      <c r="F215" s="28" t="s">
        <v>426</v>
      </c>
      <c r="G215" s="28" t="n">
        <v>201203042</v>
      </c>
      <c r="I215" s="28" t="s">
        <v>516</v>
      </c>
      <c r="J215" s="28" t="s">
        <v>1245</v>
      </c>
      <c r="L215" s="28" t="s">
        <v>511</v>
      </c>
      <c r="N215" s="29" t="s">
        <v>1246</v>
      </c>
      <c r="O215" s="28" t="s">
        <v>486</v>
      </c>
      <c r="Q215" s="28" t="s">
        <v>558</v>
      </c>
      <c r="R215" s="28" t="s">
        <v>1247</v>
      </c>
      <c r="S215" s="28"/>
      <c r="T215" s="28"/>
      <c r="U215" s="28" t="s">
        <v>511</v>
      </c>
    </row>
    <row r="216" customFormat="false" ht="13.8" hidden="false" customHeight="false" outlineLevel="0" collapsed="false">
      <c r="A216" s="25" t="s">
        <v>1248</v>
      </c>
      <c r="B216" s="0" t="s">
        <v>480</v>
      </c>
      <c r="D216" s="27" t="s">
        <v>1249</v>
      </c>
      <c r="E216" s="8" t="s">
        <v>1250</v>
      </c>
      <c r="F216" s="28" t="s">
        <v>426</v>
      </c>
      <c r="G216" s="28" t="n">
        <v>201203042</v>
      </c>
      <c r="I216" s="28" t="s">
        <v>510</v>
      </c>
      <c r="J216" s="28" t="s">
        <v>1251</v>
      </c>
      <c r="L216" s="28" t="s">
        <v>511</v>
      </c>
      <c r="N216" s="29" t="s">
        <v>559</v>
      </c>
      <c r="O216" s="28" t="s">
        <v>486</v>
      </c>
      <c r="Q216" s="28" t="s">
        <v>558</v>
      </c>
      <c r="R216" s="28" t="s">
        <v>1247</v>
      </c>
      <c r="S216" s="28"/>
      <c r="T216" s="28"/>
      <c r="U216" s="28" t="s">
        <v>511</v>
      </c>
    </row>
    <row r="217" customFormat="false" ht="13.8" hidden="false" customHeight="false" outlineLevel="0" collapsed="false">
      <c r="A217" s="25" t="s">
        <v>1252</v>
      </c>
      <c r="B217" s="0" t="s">
        <v>480</v>
      </c>
      <c r="D217" s="27" t="s">
        <v>1253</v>
      </c>
      <c r="E217" s="8" t="s">
        <v>1254</v>
      </c>
      <c r="F217" s="28" t="s">
        <v>426</v>
      </c>
      <c r="G217" s="28" t="n">
        <v>201203042</v>
      </c>
      <c r="I217" s="28" t="s">
        <v>510</v>
      </c>
      <c r="J217" s="28" t="s">
        <v>1255</v>
      </c>
      <c r="L217" s="28" t="s">
        <v>558</v>
      </c>
      <c r="N217" s="29" t="s">
        <v>664</v>
      </c>
      <c r="O217" s="28" t="s">
        <v>486</v>
      </c>
      <c r="Q217" s="28" t="s">
        <v>558</v>
      </c>
      <c r="R217" s="28" t="s">
        <v>1256</v>
      </c>
      <c r="S217" s="28"/>
      <c r="T217" s="28"/>
      <c r="U217" s="28" t="s">
        <v>558</v>
      </c>
    </row>
    <row r="218" customFormat="false" ht="13.8" hidden="false" customHeight="false" outlineLevel="0" collapsed="false">
      <c r="A218" s="25" t="s">
        <v>1257</v>
      </c>
      <c r="B218" s="0" t="s">
        <v>480</v>
      </c>
      <c r="D218" s="27" t="s">
        <v>1258</v>
      </c>
      <c r="E218" s="8" t="s">
        <v>1259</v>
      </c>
      <c r="F218" s="28" t="s">
        <v>426</v>
      </c>
      <c r="G218" s="28" t="n">
        <v>201203042</v>
      </c>
      <c r="I218" s="28" t="s">
        <v>510</v>
      </c>
      <c r="J218" s="28" t="s">
        <v>1260</v>
      </c>
      <c r="L218" s="28" t="s">
        <v>558</v>
      </c>
      <c r="N218" s="29" t="s">
        <v>1201</v>
      </c>
      <c r="O218" s="28" t="s">
        <v>486</v>
      </c>
      <c r="Q218" s="28" t="s">
        <v>558</v>
      </c>
      <c r="R218" s="28" t="s">
        <v>487</v>
      </c>
      <c r="S218" s="28"/>
      <c r="T218" s="28"/>
      <c r="U218" s="28" t="s">
        <v>511</v>
      </c>
      <c r="V218" s="29" t="n">
        <v>43902</v>
      </c>
    </row>
    <row r="219" customFormat="false" ht="13.8" hidden="false" customHeight="false" outlineLevel="0" collapsed="false">
      <c r="A219" s="25" t="s">
        <v>1261</v>
      </c>
      <c r="B219" s="0" t="s">
        <v>480</v>
      </c>
      <c r="D219" s="27" t="s">
        <v>1262</v>
      </c>
      <c r="E219" s="8" t="s">
        <v>1263</v>
      </c>
      <c r="F219" s="28" t="s">
        <v>426</v>
      </c>
      <c r="G219" s="28" t="n">
        <v>201203042</v>
      </c>
      <c r="I219" s="28" t="s">
        <v>516</v>
      </c>
      <c r="J219" s="28" t="s">
        <v>1264</v>
      </c>
      <c r="L219" s="28" t="s">
        <v>511</v>
      </c>
      <c r="N219" s="29" t="s">
        <v>652</v>
      </c>
      <c r="O219" s="28" t="s">
        <v>486</v>
      </c>
      <c r="P219" s="28"/>
      <c r="Q219" s="28" t="s">
        <v>558</v>
      </c>
      <c r="R219" s="28" t="s">
        <v>487</v>
      </c>
      <c r="S219" s="28"/>
      <c r="T219" s="28"/>
      <c r="U219" s="28" t="s">
        <v>511</v>
      </c>
      <c r="V219" s="29" t="n">
        <v>44684</v>
      </c>
    </row>
    <row r="220" customFormat="false" ht="13.8" hidden="false" customHeight="false" outlineLevel="0" collapsed="false">
      <c r="A220" s="25" t="s">
        <v>1265</v>
      </c>
      <c r="B220" s="0" t="s">
        <v>480</v>
      </c>
      <c r="D220" s="27" t="s">
        <v>1266</v>
      </c>
      <c r="E220" s="8" t="s">
        <v>1267</v>
      </c>
      <c r="F220" s="28" t="s">
        <v>426</v>
      </c>
      <c r="G220" s="28" t="n">
        <v>201203042</v>
      </c>
      <c r="I220" s="28" t="s">
        <v>510</v>
      </c>
      <c r="J220" s="28" t="s">
        <v>1268</v>
      </c>
      <c r="L220" s="28" t="s">
        <v>511</v>
      </c>
      <c r="N220" s="29" t="s">
        <v>595</v>
      </c>
      <c r="O220" s="33" t="s">
        <v>486</v>
      </c>
      <c r="P220" s="28"/>
      <c r="Q220" s="28" t="s">
        <v>558</v>
      </c>
      <c r="R220" s="28" t="s">
        <v>487</v>
      </c>
      <c r="S220" s="28"/>
      <c r="T220" s="28"/>
      <c r="U220" s="28" t="s">
        <v>558</v>
      </c>
      <c r="V220" s="29" t="n">
        <v>44456</v>
      </c>
    </row>
    <row r="221" customFormat="false" ht="13.8" hidden="false" customHeight="false" outlineLevel="0" collapsed="false">
      <c r="A221" s="25" t="s">
        <v>1269</v>
      </c>
      <c r="B221" s="0" t="s">
        <v>480</v>
      </c>
      <c r="D221" s="27" t="s">
        <v>1270</v>
      </c>
      <c r="E221" s="8" t="s">
        <v>1271</v>
      </c>
      <c r="F221" s="28" t="s">
        <v>426</v>
      </c>
      <c r="G221" s="28" t="n">
        <v>201203042</v>
      </c>
      <c r="I221" s="28" t="s">
        <v>516</v>
      </c>
      <c r="J221" s="28" t="s">
        <v>1272</v>
      </c>
      <c r="L221" s="28" t="s">
        <v>511</v>
      </c>
      <c r="N221" s="29" t="s">
        <v>721</v>
      </c>
      <c r="O221" s="28" t="s">
        <v>526</v>
      </c>
      <c r="P221" s="28"/>
      <c r="Q221" s="28" t="s">
        <v>558</v>
      </c>
      <c r="R221" s="28" t="s">
        <v>1273</v>
      </c>
      <c r="S221" s="28"/>
      <c r="T221" s="28"/>
      <c r="U221" s="28" t="s">
        <v>558</v>
      </c>
      <c r="V221" s="29" t="n">
        <v>44481</v>
      </c>
    </row>
    <row r="222" customFormat="false" ht="13.8" hidden="false" customHeight="false" outlineLevel="0" collapsed="false">
      <c r="A222" s="25" t="s">
        <v>1274</v>
      </c>
      <c r="B222" s="0" t="s">
        <v>480</v>
      </c>
      <c r="D222" s="27" t="s">
        <v>1275</v>
      </c>
      <c r="E222" s="8" t="s">
        <v>1276</v>
      </c>
      <c r="F222" s="28" t="s">
        <v>426</v>
      </c>
      <c r="G222" s="28" t="n">
        <v>201203042</v>
      </c>
      <c r="I222" s="28" t="s">
        <v>510</v>
      </c>
      <c r="J222" s="28" t="s">
        <v>1277</v>
      </c>
      <c r="L222" s="28" t="s">
        <v>511</v>
      </c>
      <c r="N222" s="29" t="s">
        <v>709</v>
      </c>
      <c r="O222" s="28" t="s">
        <v>486</v>
      </c>
      <c r="P222" s="28"/>
      <c r="Q222" s="28" t="s">
        <v>511</v>
      </c>
      <c r="R222" s="28" t="s">
        <v>1216</v>
      </c>
      <c r="S222" s="28"/>
      <c r="T222" s="28"/>
      <c r="U222" s="28" t="s">
        <v>558</v>
      </c>
      <c r="V222" s="29" t="n">
        <v>44488</v>
      </c>
    </row>
    <row r="223" customFormat="false" ht="13.8" hidden="false" customHeight="false" outlineLevel="0" collapsed="false">
      <c r="A223" s="25" t="s">
        <v>1278</v>
      </c>
      <c r="B223" s="0" t="s">
        <v>480</v>
      </c>
      <c r="D223" s="27" t="s">
        <v>1279</v>
      </c>
      <c r="E223" s="8" t="s">
        <v>1280</v>
      </c>
      <c r="F223" s="28" t="s">
        <v>426</v>
      </c>
      <c r="G223" s="28" t="n">
        <v>201203042</v>
      </c>
      <c r="I223" s="28" t="s">
        <v>516</v>
      </c>
      <c r="J223" s="28" t="s">
        <v>1281</v>
      </c>
      <c r="L223" s="28" t="s">
        <v>511</v>
      </c>
      <c r="N223" s="29" t="s">
        <v>698</v>
      </c>
      <c r="O223" s="32" t="s">
        <v>1012</v>
      </c>
      <c r="P223" s="28"/>
      <c r="Q223" s="28" t="s">
        <v>558</v>
      </c>
      <c r="R223" s="28" t="s">
        <v>1282</v>
      </c>
      <c r="S223" s="28"/>
      <c r="T223" s="28"/>
      <c r="U223" s="28" t="s">
        <v>558</v>
      </c>
      <c r="V223" s="29" t="n">
        <v>44467</v>
      </c>
    </row>
    <row r="224" customFormat="false" ht="13.8" hidden="false" customHeight="false" outlineLevel="0" collapsed="false">
      <c r="A224" s="25" t="s">
        <v>1283</v>
      </c>
      <c r="B224" s="0" t="s">
        <v>480</v>
      </c>
      <c r="D224" s="27" t="s">
        <v>1284</v>
      </c>
      <c r="E224" s="8" t="s">
        <v>1285</v>
      </c>
      <c r="F224" s="28" t="s">
        <v>426</v>
      </c>
      <c r="G224" s="28" t="n">
        <v>201203042</v>
      </c>
      <c r="I224" s="28" t="s">
        <v>516</v>
      </c>
      <c r="J224" s="28" t="s">
        <v>1286</v>
      </c>
      <c r="L224" s="28" t="s">
        <v>558</v>
      </c>
      <c r="N224" s="29" t="s">
        <v>566</v>
      </c>
      <c r="O224" s="28" t="s">
        <v>486</v>
      </c>
      <c r="P224" s="28"/>
      <c r="Q224" s="28" t="s">
        <v>558</v>
      </c>
      <c r="R224" s="28" t="s">
        <v>487</v>
      </c>
      <c r="S224" s="28"/>
      <c r="T224" s="28"/>
      <c r="U224" s="0" t="s">
        <v>511</v>
      </c>
      <c r="V224" s="29" t="n">
        <v>44488</v>
      </c>
    </row>
    <row r="225" customFormat="false" ht="13.8" hidden="false" customHeight="false" outlineLevel="0" collapsed="false">
      <c r="A225" s="25" t="s">
        <v>1287</v>
      </c>
      <c r="B225" s="0" t="s">
        <v>480</v>
      </c>
      <c r="D225" s="27" t="s">
        <v>1288</v>
      </c>
      <c r="E225" s="8" t="s">
        <v>1289</v>
      </c>
      <c r="F225" s="28" t="s">
        <v>426</v>
      </c>
      <c r="G225" s="28" t="n">
        <v>201203042</v>
      </c>
      <c r="I225" s="28" t="s">
        <v>516</v>
      </c>
      <c r="J225" s="28" t="s">
        <v>1290</v>
      </c>
      <c r="L225" s="28" t="s">
        <v>511</v>
      </c>
      <c r="N225" s="29" t="s">
        <v>1291</v>
      </c>
      <c r="O225" s="28" t="s">
        <v>526</v>
      </c>
      <c r="P225" s="28"/>
      <c r="Q225" s="28" t="s">
        <v>558</v>
      </c>
      <c r="R225" s="28" t="s">
        <v>487</v>
      </c>
      <c r="S225" s="28"/>
      <c r="T225" s="28"/>
      <c r="U225" s="0" t="s">
        <v>558</v>
      </c>
      <c r="V225" s="29" t="n">
        <v>44432</v>
      </c>
    </row>
    <row r="226" customFormat="false" ht="13.8" hidden="false" customHeight="false" outlineLevel="0" collapsed="false">
      <c r="A226" s="25" t="s">
        <v>1292</v>
      </c>
      <c r="B226" s="0" t="s">
        <v>480</v>
      </c>
      <c r="D226" s="27" t="s">
        <v>1293</v>
      </c>
      <c r="E226" s="8" t="s">
        <v>1294</v>
      </c>
      <c r="F226" s="28" t="s">
        <v>426</v>
      </c>
      <c r="G226" s="28" t="n">
        <v>201203042</v>
      </c>
      <c r="I226" s="28" t="s">
        <v>510</v>
      </c>
      <c r="J226" s="28" t="s">
        <v>1295</v>
      </c>
      <c r="L226" s="28" t="s">
        <v>511</v>
      </c>
      <c r="N226" s="29" t="s">
        <v>521</v>
      </c>
      <c r="O226" s="28" t="s">
        <v>526</v>
      </c>
      <c r="P226" s="28"/>
      <c r="Q226" s="28" t="s">
        <v>558</v>
      </c>
      <c r="R226" s="28" t="s">
        <v>758</v>
      </c>
      <c r="S226" s="28"/>
      <c r="T226" s="28"/>
      <c r="U226" s="0" t="s">
        <v>558</v>
      </c>
      <c r="V226" s="29" t="n">
        <v>44047</v>
      </c>
    </row>
    <row r="227" customFormat="false" ht="13.8" hidden="false" customHeight="false" outlineLevel="0" collapsed="false">
      <c r="A227" s="25" t="s">
        <v>1296</v>
      </c>
      <c r="B227" s="0" t="s">
        <v>480</v>
      </c>
      <c r="D227" s="27" t="s">
        <v>1297</v>
      </c>
      <c r="E227" s="8" t="s">
        <v>1298</v>
      </c>
      <c r="F227" s="28" t="s">
        <v>426</v>
      </c>
      <c r="G227" s="28" t="n">
        <v>201203042</v>
      </c>
      <c r="I227" s="28" t="s">
        <v>510</v>
      </c>
      <c r="J227" s="28" t="s">
        <v>1299</v>
      </c>
      <c r="L227" s="28" t="s">
        <v>511</v>
      </c>
      <c r="N227" s="29" t="s">
        <v>1211</v>
      </c>
      <c r="O227" s="28" t="s">
        <v>526</v>
      </c>
      <c r="P227" s="28"/>
      <c r="Q227" s="28" t="s">
        <v>558</v>
      </c>
      <c r="R227" s="28" t="s">
        <v>487</v>
      </c>
      <c r="S227" s="28"/>
      <c r="T227" s="28"/>
      <c r="U227" s="0" t="s">
        <v>558</v>
      </c>
      <c r="V227" s="29" t="n">
        <v>44490</v>
      </c>
    </row>
    <row r="228" customFormat="false" ht="13.8" hidden="false" customHeight="false" outlineLevel="0" collapsed="false">
      <c r="A228" s="25" t="s">
        <v>1300</v>
      </c>
      <c r="B228" s="0" t="s">
        <v>480</v>
      </c>
      <c r="D228" s="27" t="s">
        <v>1301</v>
      </c>
      <c r="E228" s="8" t="s">
        <v>1302</v>
      </c>
      <c r="F228" s="28" t="s">
        <v>426</v>
      </c>
      <c r="G228" s="28" t="n">
        <v>201203042</v>
      </c>
      <c r="I228" s="28" t="s">
        <v>510</v>
      </c>
      <c r="J228" s="28" t="s">
        <v>1303</v>
      </c>
      <c r="L228" s="28" t="s">
        <v>511</v>
      </c>
      <c r="N228" s="29" t="s">
        <v>1304</v>
      </c>
      <c r="O228" s="28" t="s">
        <v>486</v>
      </c>
      <c r="P228" s="28"/>
      <c r="Q228" s="28" t="s">
        <v>558</v>
      </c>
      <c r="R228" s="28" t="s">
        <v>487</v>
      </c>
      <c r="S228" s="28"/>
      <c r="T228" s="28"/>
      <c r="U228" s="0" t="s">
        <v>511</v>
      </c>
      <c r="V228" s="29" t="n">
        <v>44068</v>
      </c>
    </row>
    <row r="229" customFormat="false" ht="13.8" hidden="false" customHeight="false" outlineLevel="0" collapsed="false">
      <c r="A229" s="25" t="s">
        <v>1305</v>
      </c>
      <c r="B229" s="0" t="s">
        <v>480</v>
      </c>
      <c r="D229" s="27" t="s">
        <v>1306</v>
      </c>
      <c r="E229" s="8" t="s">
        <v>1307</v>
      </c>
      <c r="F229" s="28" t="s">
        <v>426</v>
      </c>
      <c r="G229" s="28" t="n">
        <v>201203042</v>
      </c>
      <c r="I229" s="28" t="s">
        <v>510</v>
      </c>
      <c r="J229" s="28" t="s">
        <v>1308</v>
      </c>
      <c r="L229" s="28" t="s">
        <v>511</v>
      </c>
      <c r="N229" s="29" t="s">
        <v>541</v>
      </c>
      <c r="O229" s="28" t="s">
        <v>486</v>
      </c>
      <c r="P229" s="28" t="s">
        <v>699</v>
      </c>
      <c r="Q229" s="28" t="s">
        <v>558</v>
      </c>
      <c r="R229" s="28" t="s">
        <v>487</v>
      </c>
      <c r="S229" s="28"/>
      <c r="T229" s="28"/>
      <c r="U229" s="0" t="s">
        <v>558</v>
      </c>
      <c r="V229" s="29" t="n">
        <v>44075</v>
      </c>
    </row>
    <row r="230" customFormat="false" ht="13.8" hidden="false" customHeight="false" outlineLevel="0" collapsed="false">
      <c r="A230" s="25" t="s">
        <v>1309</v>
      </c>
      <c r="B230" s="0" t="s">
        <v>480</v>
      </c>
      <c r="D230" s="27" t="s">
        <v>1310</v>
      </c>
      <c r="E230" s="8" t="s">
        <v>1311</v>
      </c>
      <c r="F230" s="28" t="s">
        <v>426</v>
      </c>
      <c r="G230" s="28" t="n">
        <v>201203042</v>
      </c>
      <c r="I230" s="28" t="s">
        <v>510</v>
      </c>
      <c r="J230" s="28" t="s">
        <v>1312</v>
      </c>
      <c r="L230" s="28" t="s">
        <v>511</v>
      </c>
      <c r="N230" s="29" t="s">
        <v>1211</v>
      </c>
      <c r="O230" s="28" t="s">
        <v>526</v>
      </c>
      <c r="P230" s="28"/>
      <c r="Q230" s="28" t="s">
        <v>558</v>
      </c>
      <c r="R230" s="28" t="s">
        <v>1313</v>
      </c>
      <c r="S230" s="28"/>
      <c r="T230" s="28"/>
      <c r="U230" s="0" t="s">
        <v>558</v>
      </c>
      <c r="V230" s="29" t="n">
        <v>44103</v>
      </c>
    </row>
    <row r="231" customFormat="false" ht="13.8" hidden="false" customHeight="false" outlineLevel="0" collapsed="false">
      <c r="A231" s="25" t="s">
        <v>1314</v>
      </c>
      <c r="B231" s="0" t="s">
        <v>480</v>
      </c>
      <c r="D231" s="27" t="s">
        <v>1315</v>
      </c>
      <c r="E231" s="8" t="s">
        <v>1316</v>
      </c>
      <c r="F231" s="28" t="s">
        <v>426</v>
      </c>
      <c r="G231" s="28" t="n">
        <v>201203042</v>
      </c>
      <c r="I231" s="28" t="s">
        <v>516</v>
      </c>
      <c r="J231" s="28" t="s">
        <v>1317</v>
      </c>
      <c r="L231" s="28" t="s">
        <v>511</v>
      </c>
      <c r="N231" s="29" t="s">
        <v>626</v>
      </c>
      <c r="O231" s="32" t="s">
        <v>1012</v>
      </c>
      <c r="P231" s="28"/>
      <c r="Q231" s="28" t="s">
        <v>558</v>
      </c>
      <c r="R231" s="28" t="s">
        <v>487</v>
      </c>
      <c r="S231" s="28"/>
      <c r="T231" s="28"/>
      <c r="U231" s="0" t="s">
        <v>558</v>
      </c>
      <c r="V231" s="29" t="n">
        <v>44173</v>
      </c>
    </row>
    <row r="232" customFormat="false" ht="13.8" hidden="false" customHeight="false" outlineLevel="0" collapsed="false">
      <c r="A232" s="25" t="s">
        <v>1318</v>
      </c>
      <c r="B232" s="0" t="s">
        <v>480</v>
      </c>
      <c r="D232" s="27" t="s">
        <v>1319</v>
      </c>
      <c r="E232" s="8" t="s">
        <v>1320</v>
      </c>
      <c r="F232" s="28" t="s">
        <v>426</v>
      </c>
      <c r="G232" s="28" t="n">
        <v>201203042</v>
      </c>
      <c r="I232" s="28" t="s">
        <v>516</v>
      </c>
      <c r="J232" s="28" t="s">
        <v>1321</v>
      </c>
      <c r="L232" s="28" t="s">
        <v>511</v>
      </c>
      <c r="N232" s="29" t="s">
        <v>669</v>
      </c>
      <c r="O232" s="32" t="s">
        <v>1012</v>
      </c>
      <c r="P232" s="28"/>
      <c r="Q232" s="28" t="s">
        <v>558</v>
      </c>
      <c r="R232" s="28" t="s">
        <v>1313</v>
      </c>
      <c r="S232" s="28"/>
      <c r="T232" s="28"/>
      <c r="U232" s="0" t="s">
        <v>558</v>
      </c>
      <c r="V232" s="29" t="n">
        <v>44187</v>
      </c>
    </row>
    <row r="233" customFormat="false" ht="13.8" hidden="false" customHeight="false" outlineLevel="0" collapsed="false">
      <c r="A233" s="25" t="s">
        <v>1322</v>
      </c>
      <c r="B233" s="0" t="s">
        <v>480</v>
      </c>
      <c r="D233" s="27" t="s">
        <v>1323</v>
      </c>
      <c r="E233" s="8" t="s">
        <v>1324</v>
      </c>
      <c r="F233" s="28" t="s">
        <v>426</v>
      </c>
      <c r="G233" s="28" t="n">
        <v>201203042</v>
      </c>
      <c r="I233" s="28" t="s">
        <v>510</v>
      </c>
      <c r="J233" s="28" t="s">
        <v>1325</v>
      </c>
      <c r="L233" s="28" t="s">
        <v>511</v>
      </c>
      <c r="N233" s="29" t="s">
        <v>1211</v>
      </c>
      <c r="O233" s="32" t="s">
        <v>1012</v>
      </c>
      <c r="P233" s="28"/>
      <c r="Q233" s="28" t="s">
        <v>511</v>
      </c>
      <c r="R233" s="28" t="s">
        <v>1216</v>
      </c>
      <c r="S233" s="28"/>
      <c r="T233" s="28"/>
      <c r="U233" s="0" t="s">
        <v>558</v>
      </c>
      <c r="V233" s="29" t="n">
        <v>44266</v>
      </c>
    </row>
    <row r="234" customFormat="false" ht="13.8" hidden="false" customHeight="false" outlineLevel="0" collapsed="false">
      <c r="A234" s="25" t="s">
        <v>1326</v>
      </c>
      <c r="B234" s="0" t="s">
        <v>480</v>
      </c>
      <c r="D234" s="27" t="s">
        <v>1327</v>
      </c>
      <c r="E234" s="8" t="s">
        <v>1328</v>
      </c>
      <c r="F234" s="28" t="s">
        <v>426</v>
      </c>
      <c r="G234" s="28" t="n">
        <v>201203042</v>
      </c>
      <c r="I234" s="28" t="s">
        <v>516</v>
      </c>
      <c r="J234" s="28" t="s">
        <v>1329</v>
      </c>
      <c r="L234" s="28" t="s">
        <v>558</v>
      </c>
      <c r="N234" s="29" t="s">
        <v>901</v>
      </c>
      <c r="O234" s="28" t="s">
        <v>486</v>
      </c>
      <c r="P234" s="28"/>
      <c r="Q234" s="28" t="s">
        <v>558</v>
      </c>
      <c r="R234" s="28" t="s">
        <v>487</v>
      </c>
      <c r="S234" s="28"/>
      <c r="T234" s="28"/>
      <c r="U234" s="0" t="s">
        <v>511</v>
      </c>
      <c r="V234" s="29" t="n">
        <v>44271</v>
      </c>
    </row>
    <row r="235" customFormat="false" ht="13.8" hidden="false" customHeight="false" outlineLevel="0" collapsed="false">
      <c r="A235" s="25" t="s">
        <v>1330</v>
      </c>
      <c r="B235" s="0" t="s">
        <v>480</v>
      </c>
      <c r="D235" s="27" t="s">
        <v>1331</v>
      </c>
      <c r="E235" s="8" t="s">
        <v>1332</v>
      </c>
      <c r="F235" s="28" t="s">
        <v>426</v>
      </c>
      <c r="G235" s="28" t="n">
        <v>201203042</v>
      </c>
      <c r="I235" s="28" t="s">
        <v>510</v>
      </c>
      <c r="J235" s="28" t="s">
        <v>1333</v>
      </c>
      <c r="L235" s="28" t="s">
        <v>511</v>
      </c>
      <c r="N235" s="29" t="s">
        <v>659</v>
      </c>
      <c r="O235" s="32" t="s">
        <v>752</v>
      </c>
      <c r="P235" s="28"/>
      <c r="Q235" s="28" t="s">
        <v>558</v>
      </c>
      <c r="R235" s="28" t="s">
        <v>1334</v>
      </c>
      <c r="S235" s="28"/>
      <c r="T235" s="28"/>
      <c r="U235" s="0" t="s">
        <v>558</v>
      </c>
      <c r="V235" s="29" t="n">
        <v>44292</v>
      </c>
    </row>
    <row r="236" customFormat="false" ht="13.8" hidden="false" customHeight="false" outlineLevel="0" collapsed="false">
      <c r="A236" s="25" t="s">
        <v>1335</v>
      </c>
      <c r="B236" s="0" t="s">
        <v>480</v>
      </c>
      <c r="D236" s="27" t="s">
        <v>1336</v>
      </c>
      <c r="E236" s="8" t="s">
        <v>1337</v>
      </c>
      <c r="F236" s="28" t="s">
        <v>426</v>
      </c>
      <c r="G236" s="28" t="n">
        <v>201203042</v>
      </c>
      <c r="I236" s="28" t="s">
        <v>516</v>
      </c>
      <c r="J236" s="28" t="s">
        <v>1338</v>
      </c>
      <c r="L236" s="28" t="s">
        <v>558</v>
      </c>
      <c r="N236" s="29" t="s">
        <v>541</v>
      </c>
      <c r="O236" s="32" t="s">
        <v>1012</v>
      </c>
      <c r="P236" s="28"/>
      <c r="Q236" s="28" t="s">
        <v>558</v>
      </c>
      <c r="R236" s="28" t="s">
        <v>487</v>
      </c>
      <c r="S236" s="28"/>
      <c r="T236" s="28"/>
      <c r="U236" s="0" t="s">
        <v>558</v>
      </c>
      <c r="V236" s="29" t="n">
        <v>44383</v>
      </c>
    </row>
    <row r="237" customFormat="false" ht="13.8" hidden="false" customHeight="false" outlineLevel="0" collapsed="false">
      <c r="A237" s="25" t="s">
        <v>1339</v>
      </c>
      <c r="B237" s="0" t="s">
        <v>480</v>
      </c>
      <c r="D237" s="27" t="s">
        <v>1340</v>
      </c>
      <c r="E237" s="8" t="s">
        <v>1341</v>
      </c>
      <c r="F237" s="28" t="s">
        <v>426</v>
      </c>
      <c r="G237" s="28" t="n">
        <v>201203042</v>
      </c>
      <c r="I237" s="28" t="s">
        <v>510</v>
      </c>
      <c r="J237" s="28" t="s">
        <v>1342</v>
      </c>
      <c r="L237" s="28" t="s">
        <v>511</v>
      </c>
      <c r="N237" s="29" t="s">
        <v>952</v>
      </c>
      <c r="O237" s="28" t="s">
        <v>526</v>
      </c>
      <c r="P237" s="28"/>
      <c r="Q237" s="28" t="s">
        <v>558</v>
      </c>
      <c r="R237" s="28" t="s">
        <v>799</v>
      </c>
      <c r="S237" s="28"/>
      <c r="T237" s="28"/>
      <c r="U237" s="0" t="s">
        <v>558</v>
      </c>
      <c r="V237" s="29" t="n">
        <v>44411</v>
      </c>
    </row>
    <row r="238" customFormat="false" ht="13.8" hidden="false" customHeight="false" outlineLevel="0" collapsed="false">
      <c r="A238" s="25" t="s">
        <v>1343</v>
      </c>
      <c r="B238" s="0" t="s">
        <v>480</v>
      </c>
      <c r="D238" s="27" t="s">
        <v>1344</v>
      </c>
      <c r="E238" s="8" t="s">
        <v>1345</v>
      </c>
      <c r="F238" s="28" t="s">
        <v>426</v>
      </c>
      <c r="G238" s="28" t="n">
        <v>201203042</v>
      </c>
      <c r="I238" s="28" t="s">
        <v>510</v>
      </c>
      <c r="J238" s="28" t="s">
        <v>1346</v>
      </c>
      <c r="L238" s="28" t="s">
        <v>511</v>
      </c>
      <c r="N238" s="29" t="s">
        <v>767</v>
      </c>
      <c r="O238" s="32" t="s">
        <v>1012</v>
      </c>
      <c r="P238" s="28"/>
      <c r="Q238" s="28" t="s">
        <v>558</v>
      </c>
      <c r="R238" s="28" t="s">
        <v>487</v>
      </c>
      <c r="S238" s="28"/>
      <c r="T238" s="28"/>
      <c r="U238" s="0" t="s">
        <v>558</v>
      </c>
      <c r="V238" s="29" t="n">
        <v>44411</v>
      </c>
    </row>
    <row r="239" customFormat="false" ht="13.8" hidden="false" customHeight="false" outlineLevel="0" collapsed="false">
      <c r="A239" s="25" t="s">
        <v>1347</v>
      </c>
      <c r="B239" s="0" t="s">
        <v>480</v>
      </c>
      <c r="D239" s="27" t="s">
        <v>1348</v>
      </c>
      <c r="E239" s="8" t="s">
        <v>1349</v>
      </c>
      <c r="F239" s="28" t="s">
        <v>426</v>
      </c>
      <c r="G239" s="28" t="n">
        <v>201203042</v>
      </c>
      <c r="I239" s="28" t="s">
        <v>510</v>
      </c>
      <c r="J239" s="28" t="s">
        <v>1350</v>
      </c>
      <c r="L239" s="28" t="s">
        <v>558</v>
      </c>
      <c r="N239" s="29" t="s">
        <v>566</v>
      </c>
      <c r="O239" s="32" t="s">
        <v>542</v>
      </c>
      <c r="P239" s="28"/>
      <c r="Q239" s="28" t="s">
        <v>558</v>
      </c>
      <c r="R239" s="28" t="s">
        <v>1351</v>
      </c>
      <c r="S239" s="28"/>
      <c r="T239" s="28"/>
      <c r="U239" s="0" t="s">
        <v>558</v>
      </c>
      <c r="V239" s="29" t="n">
        <v>44481</v>
      </c>
    </row>
    <row r="240" customFormat="false" ht="13.8" hidden="false" customHeight="false" outlineLevel="0" collapsed="false">
      <c r="A240" s="25" t="s">
        <v>1352</v>
      </c>
      <c r="B240" s="0" t="s">
        <v>480</v>
      </c>
      <c r="D240" s="26" t="s">
        <v>1353</v>
      </c>
      <c r="E240" s="0" t="s">
        <v>1354</v>
      </c>
      <c r="F240" s="28" t="s">
        <v>426</v>
      </c>
      <c r="G240" s="28"/>
      <c r="I240" s="28" t="s">
        <v>510</v>
      </c>
      <c r="J240" s="28"/>
      <c r="L240" s="28" t="s">
        <v>558</v>
      </c>
      <c r="N240" s="29" t="s">
        <v>595</v>
      </c>
      <c r="O240" s="28" t="s">
        <v>676</v>
      </c>
      <c r="P240" s="28"/>
      <c r="Q240" s="28" t="s">
        <v>558</v>
      </c>
      <c r="R240" s="28" t="s">
        <v>487</v>
      </c>
      <c r="S240" s="28"/>
      <c r="T240" s="28"/>
      <c r="U240" s="28"/>
      <c r="V240" s="29" t="n">
        <v>44684</v>
      </c>
    </row>
    <row r="241" customFormat="false" ht="13.8" hidden="false" customHeight="false" outlineLevel="0" collapsed="false">
      <c r="A241" s="25" t="s">
        <v>1355</v>
      </c>
      <c r="B241" s="0" t="s">
        <v>480</v>
      </c>
      <c r="D241" s="26" t="s">
        <v>1356</v>
      </c>
      <c r="E241" s="0" t="s">
        <v>1357</v>
      </c>
      <c r="F241" s="28" t="s">
        <v>426</v>
      </c>
      <c r="G241" s="28"/>
      <c r="I241" s="28" t="s">
        <v>510</v>
      </c>
      <c r="J241" s="28"/>
      <c r="L241" s="28" t="s">
        <v>558</v>
      </c>
      <c r="N241" s="29" t="s">
        <v>537</v>
      </c>
      <c r="O241" s="28" t="s">
        <v>676</v>
      </c>
      <c r="P241" s="28"/>
      <c r="Q241" s="28" t="s">
        <v>558</v>
      </c>
      <c r="R241" s="28" t="s">
        <v>487</v>
      </c>
      <c r="S241" s="28"/>
      <c r="T241" s="28"/>
      <c r="U241" s="28"/>
      <c r="V241" s="29" t="n">
        <v>44684</v>
      </c>
    </row>
    <row r="242" customFormat="false" ht="13.8" hidden="false" customHeight="false" outlineLevel="0" collapsed="false">
      <c r="A242" s="25" t="s">
        <v>1358</v>
      </c>
      <c r="B242" s="0" t="s">
        <v>480</v>
      </c>
      <c r="D242" s="26" t="s">
        <v>1359</v>
      </c>
      <c r="E242" s="0" t="s">
        <v>1360</v>
      </c>
      <c r="F242" s="28" t="s">
        <v>426</v>
      </c>
      <c r="G242" s="28"/>
      <c r="I242" s="28" t="s">
        <v>510</v>
      </c>
      <c r="J242" s="28"/>
      <c r="L242" s="28" t="s">
        <v>558</v>
      </c>
      <c r="N242" s="29" t="s">
        <v>1304</v>
      </c>
      <c r="O242" s="28" t="s">
        <v>676</v>
      </c>
      <c r="P242" s="28"/>
      <c r="Q242" s="28" t="s">
        <v>558</v>
      </c>
      <c r="R242" s="28" t="s">
        <v>487</v>
      </c>
      <c r="S242" s="28"/>
      <c r="T242" s="28"/>
      <c r="U242" s="28"/>
      <c r="V242" s="29" t="n">
        <v>44481</v>
      </c>
    </row>
    <row r="243" customFormat="false" ht="13.8" hidden="false" customHeight="false" outlineLevel="0" collapsed="false">
      <c r="A243" s="25" t="s">
        <v>1361</v>
      </c>
      <c r="B243" s="0" t="s">
        <v>480</v>
      </c>
      <c r="D243" s="26" t="s">
        <v>1362</v>
      </c>
      <c r="E243" s="0" t="s">
        <v>1363</v>
      </c>
      <c r="F243" s="28" t="s">
        <v>426</v>
      </c>
      <c r="G243" s="28"/>
      <c r="I243" s="28" t="s">
        <v>510</v>
      </c>
      <c r="J243" s="28"/>
      <c r="L243" s="28" t="s">
        <v>558</v>
      </c>
      <c r="N243" s="29" t="s">
        <v>784</v>
      </c>
      <c r="O243" s="28" t="s">
        <v>676</v>
      </c>
      <c r="P243" s="28"/>
      <c r="Q243" s="28" t="s">
        <v>558</v>
      </c>
      <c r="R243" s="28" t="s">
        <v>487</v>
      </c>
      <c r="S243" s="28"/>
      <c r="T243" s="28"/>
      <c r="U243" s="28"/>
      <c r="V243" s="29" t="n">
        <v>44558</v>
      </c>
    </row>
    <row r="244" customFormat="false" ht="13.8" hidden="false" customHeight="false" outlineLevel="0" collapsed="false">
      <c r="A244" s="25" t="s">
        <v>1364</v>
      </c>
      <c r="B244" s="0" t="s">
        <v>480</v>
      </c>
      <c r="D244" s="26" t="s">
        <v>1365</v>
      </c>
      <c r="E244" s="0" t="s">
        <v>1366</v>
      </c>
      <c r="F244" s="28" t="s">
        <v>426</v>
      </c>
      <c r="G244" s="28"/>
      <c r="I244" s="28" t="s">
        <v>516</v>
      </c>
      <c r="J244" s="28"/>
      <c r="L244" s="28" t="s">
        <v>558</v>
      </c>
      <c r="N244" s="29" t="s">
        <v>664</v>
      </c>
      <c r="O244" s="28" t="s">
        <v>676</v>
      </c>
      <c r="P244" s="28"/>
      <c r="Q244" s="28" t="s">
        <v>558</v>
      </c>
      <c r="R244" s="28" t="s">
        <v>487</v>
      </c>
      <c r="S244" s="28"/>
      <c r="T244" s="28"/>
      <c r="U244" s="28"/>
      <c r="V244" s="29" t="n">
        <v>44621</v>
      </c>
    </row>
    <row r="245" customFormat="false" ht="13.8" hidden="false" customHeight="false" outlineLevel="0" collapsed="false">
      <c r="A245" s="25" t="s">
        <v>1367</v>
      </c>
      <c r="B245" s="0" t="s">
        <v>480</v>
      </c>
      <c r="D245" s="26" t="s">
        <v>1368</v>
      </c>
      <c r="E245" s="0" t="s">
        <v>1369</v>
      </c>
      <c r="F245" s="28" t="s">
        <v>426</v>
      </c>
      <c r="G245" s="28"/>
      <c r="I245" s="28" t="s">
        <v>510</v>
      </c>
      <c r="J245" s="28"/>
      <c r="L245" s="28" t="s">
        <v>558</v>
      </c>
      <c r="N245" s="29" t="s">
        <v>584</v>
      </c>
      <c r="O245" s="28" t="s">
        <v>676</v>
      </c>
      <c r="P245" s="28"/>
      <c r="Q245" s="28" t="s">
        <v>558</v>
      </c>
      <c r="R245" s="28" t="s">
        <v>487</v>
      </c>
      <c r="S245" s="28"/>
      <c r="T245" s="28"/>
      <c r="U245" s="28"/>
      <c r="V245" s="29" t="n">
        <v>44656</v>
      </c>
    </row>
    <row r="246" customFormat="false" ht="13.8" hidden="false" customHeight="false" outlineLevel="0" collapsed="false">
      <c r="A246" s="25" t="s">
        <v>1370</v>
      </c>
      <c r="B246" s="0" t="s">
        <v>480</v>
      </c>
      <c r="D246" s="26" t="s">
        <v>1371</v>
      </c>
      <c r="E246" s="8" t="s">
        <v>1372</v>
      </c>
      <c r="F246" s="28" t="s">
        <v>426</v>
      </c>
      <c r="G246" s="28"/>
      <c r="I246" s="28" t="s">
        <v>510</v>
      </c>
      <c r="J246" s="28"/>
      <c r="L246" s="28" t="s">
        <v>558</v>
      </c>
      <c r="N246" s="29" t="s">
        <v>584</v>
      </c>
      <c r="O246" s="28" t="s">
        <v>676</v>
      </c>
      <c r="P246" s="28"/>
      <c r="Q246" s="28" t="s">
        <v>558</v>
      </c>
      <c r="R246" s="28" t="s">
        <v>487</v>
      </c>
      <c r="S246" s="28"/>
      <c r="T246" s="28"/>
      <c r="U246" s="28"/>
      <c r="V246" s="29" t="n">
        <v>44670</v>
      </c>
    </row>
    <row r="247" customFormat="false" ht="13.8" hidden="false" customHeight="false" outlineLevel="0" collapsed="false">
      <c r="A247" s="25" t="s">
        <v>1373</v>
      </c>
      <c r="B247" s="0" t="s">
        <v>480</v>
      </c>
      <c r="D247" s="26" t="s">
        <v>1374</v>
      </c>
      <c r="E247" s="8" t="s">
        <v>1375</v>
      </c>
      <c r="F247" s="28" t="s">
        <v>426</v>
      </c>
      <c r="G247" s="28"/>
      <c r="I247" s="28" t="s">
        <v>510</v>
      </c>
      <c r="J247" s="28"/>
      <c r="L247" s="28" t="s">
        <v>558</v>
      </c>
      <c r="N247" s="29" t="s">
        <v>512</v>
      </c>
      <c r="O247" s="28" t="s">
        <v>676</v>
      </c>
      <c r="P247" s="28"/>
      <c r="Q247" s="28" t="s">
        <v>558</v>
      </c>
      <c r="R247" s="28" t="s">
        <v>487</v>
      </c>
      <c r="S247" s="28"/>
      <c r="T247" s="28"/>
      <c r="U247" s="28"/>
      <c r="V247" s="29" t="n">
        <v>44837</v>
      </c>
    </row>
    <row r="248" customFormat="false" ht="13.8" hidden="false" customHeight="false" outlineLevel="0" collapsed="false">
      <c r="A248" s="25" t="s">
        <v>1376</v>
      </c>
      <c r="B248" s="0" t="s">
        <v>480</v>
      </c>
      <c r="D248" s="26" t="s">
        <v>1377</v>
      </c>
      <c r="E248" s="0" t="s">
        <v>1378</v>
      </c>
      <c r="F248" s="28" t="s">
        <v>426</v>
      </c>
      <c r="G248" s="28"/>
      <c r="I248" s="28" t="s">
        <v>510</v>
      </c>
      <c r="J248" s="28"/>
      <c r="L248" s="28" t="s">
        <v>558</v>
      </c>
      <c r="N248" s="29" t="s">
        <v>1304</v>
      </c>
      <c r="O248" s="28" t="s">
        <v>676</v>
      </c>
      <c r="P248" s="28"/>
      <c r="Q248" s="28" t="s">
        <v>558</v>
      </c>
      <c r="R248" s="28" t="s">
        <v>487</v>
      </c>
      <c r="S248" s="28"/>
      <c r="T248" s="28"/>
      <c r="U248" s="28"/>
      <c r="V248" s="29" t="n">
        <v>44684</v>
      </c>
    </row>
    <row r="249" customFormat="false" ht="13.8" hidden="false" customHeight="false" outlineLevel="0" collapsed="false">
      <c r="A249" s="25" t="s">
        <v>1379</v>
      </c>
      <c r="B249" s="0" t="s">
        <v>480</v>
      </c>
      <c r="D249" s="26" t="s">
        <v>1380</v>
      </c>
      <c r="E249" s="8" t="s">
        <v>1381</v>
      </c>
      <c r="F249" s="0" t="s">
        <v>509</v>
      </c>
      <c r="G249" s="0" t="s">
        <v>487</v>
      </c>
      <c r="I249" s="0" t="s">
        <v>510</v>
      </c>
      <c r="L249" s="28" t="s">
        <v>558</v>
      </c>
      <c r="N249" s="29" t="s">
        <v>829</v>
      </c>
      <c r="O249" s="28" t="s">
        <v>676</v>
      </c>
      <c r="P249" s="0" t="s">
        <v>487</v>
      </c>
      <c r="Q249" s="28" t="s">
        <v>558</v>
      </c>
      <c r="R249" s="28" t="s">
        <v>487</v>
      </c>
      <c r="S249" s="0" t="s">
        <v>487</v>
      </c>
      <c r="T249" s="0" t="s">
        <v>487</v>
      </c>
      <c r="U249" s="0" t="s">
        <v>487</v>
      </c>
      <c r="V249" s="29" t="n">
        <v>44698</v>
      </c>
      <c r="W249" s="28" t="s">
        <v>1382</v>
      </c>
    </row>
    <row r="250" customFormat="false" ht="13.8" hidden="false" customHeight="false" outlineLevel="0" collapsed="false">
      <c r="A250" s="25" t="s">
        <v>1383</v>
      </c>
      <c r="B250" s="0" t="s">
        <v>480</v>
      </c>
      <c r="D250" s="26" t="s">
        <v>1384</v>
      </c>
      <c r="E250" s="8" t="s">
        <v>1385</v>
      </c>
      <c r="F250" s="0" t="s">
        <v>509</v>
      </c>
      <c r="G250" s="0" t="s">
        <v>487</v>
      </c>
      <c r="I250" s="0" t="s">
        <v>516</v>
      </c>
      <c r="L250" s="28" t="s">
        <v>558</v>
      </c>
      <c r="N250" s="29" t="s">
        <v>829</v>
      </c>
      <c r="O250" s="28" t="s">
        <v>676</v>
      </c>
      <c r="P250" s="0" t="s">
        <v>487</v>
      </c>
      <c r="Q250" s="28" t="s">
        <v>558</v>
      </c>
      <c r="R250" s="28" t="s">
        <v>487</v>
      </c>
      <c r="S250" s="0" t="s">
        <v>487</v>
      </c>
      <c r="T250" s="0" t="s">
        <v>487</v>
      </c>
      <c r="U250" s="0" t="s">
        <v>487</v>
      </c>
      <c r="V250" s="29" t="n">
        <v>44720</v>
      </c>
    </row>
    <row r="251" customFormat="false" ht="13.8" hidden="false" customHeight="false" outlineLevel="0" collapsed="false">
      <c r="A251" s="25" t="s">
        <v>1386</v>
      </c>
      <c r="B251" s="0" t="s">
        <v>480</v>
      </c>
      <c r="D251" s="26" t="s">
        <v>1387</v>
      </c>
      <c r="E251" s="8" t="s">
        <v>1388</v>
      </c>
      <c r="F251" s="0" t="s">
        <v>509</v>
      </c>
      <c r="G251" s="0" t="s">
        <v>487</v>
      </c>
      <c r="I251" s="0" t="s">
        <v>510</v>
      </c>
      <c r="L251" s="28" t="s">
        <v>558</v>
      </c>
      <c r="N251" s="29" t="s">
        <v>829</v>
      </c>
      <c r="O251" s="28" t="s">
        <v>676</v>
      </c>
      <c r="P251" s="0" t="s">
        <v>487</v>
      </c>
      <c r="Q251" s="28" t="s">
        <v>558</v>
      </c>
      <c r="R251" s="28" t="s">
        <v>487</v>
      </c>
      <c r="S251" s="0" t="s">
        <v>487</v>
      </c>
      <c r="T251" s="0" t="s">
        <v>487</v>
      </c>
      <c r="U251" s="0" t="s">
        <v>487</v>
      </c>
      <c r="V251" s="29" t="n">
        <v>44530</v>
      </c>
    </row>
    <row r="252" customFormat="false" ht="13.8" hidden="false" customHeight="false" outlineLevel="0" collapsed="false">
      <c r="A252" s="25" t="s">
        <v>1389</v>
      </c>
      <c r="B252" s="0" t="s">
        <v>480</v>
      </c>
      <c r="D252" s="26" t="s">
        <v>1390</v>
      </c>
      <c r="E252" s="8" t="s">
        <v>1391</v>
      </c>
      <c r="F252" s="0" t="s">
        <v>509</v>
      </c>
      <c r="G252" s="0" t="s">
        <v>487</v>
      </c>
      <c r="I252" s="0" t="s">
        <v>516</v>
      </c>
      <c r="L252" s="28" t="s">
        <v>558</v>
      </c>
      <c r="N252" s="29" t="s">
        <v>829</v>
      </c>
      <c r="O252" s="28" t="s">
        <v>676</v>
      </c>
      <c r="P252" s="0" t="s">
        <v>487</v>
      </c>
      <c r="Q252" s="28" t="s">
        <v>558</v>
      </c>
      <c r="R252" s="28" t="s">
        <v>487</v>
      </c>
      <c r="S252" s="0" t="s">
        <v>487</v>
      </c>
      <c r="T252" s="0" t="s">
        <v>487</v>
      </c>
      <c r="U252" s="0" t="s">
        <v>487</v>
      </c>
      <c r="V252" s="28"/>
    </row>
    <row r="253" customFormat="false" ht="13.8" hidden="false" customHeight="false" outlineLevel="0" collapsed="false">
      <c r="A253" s="25" t="s">
        <v>1392</v>
      </c>
      <c r="B253" s="0" t="s">
        <v>480</v>
      </c>
      <c r="D253" s="26" t="s">
        <v>1393</v>
      </c>
      <c r="E253" s="8" t="s">
        <v>1394</v>
      </c>
      <c r="F253" s="0" t="s">
        <v>509</v>
      </c>
      <c r="G253" s="0" t="s">
        <v>487</v>
      </c>
      <c r="I253" s="0" t="s">
        <v>510</v>
      </c>
      <c r="L253" s="28" t="s">
        <v>558</v>
      </c>
      <c r="N253" s="29" t="s">
        <v>829</v>
      </c>
      <c r="O253" s="28" t="s">
        <v>676</v>
      </c>
      <c r="P253" s="0" t="s">
        <v>487</v>
      </c>
      <c r="Q253" s="28" t="s">
        <v>558</v>
      </c>
      <c r="R253" s="28" t="s">
        <v>487</v>
      </c>
      <c r="S253" s="0" t="s">
        <v>487</v>
      </c>
      <c r="T253" s="0" t="s">
        <v>487</v>
      </c>
      <c r="U253" s="0" t="s">
        <v>487</v>
      </c>
      <c r="V253" s="29" t="n">
        <v>44558</v>
      </c>
    </row>
    <row r="254" customFormat="false" ht="13.8" hidden="false" customHeight="false" outlineLevel="0" collapsed="false">
      <c r="A254" s="25" t="s">
        <v>1395</v>
      </c>
      <c r="B254" s="0" t="s">
        <v>480</v>
      </c>
      <c r="D254" s="26" t="s">
        <v>1396</v>
      </c>
      <c r="E254" s="8" t="s">
        <v>1397</v>
      </c>
      <c r="F254" s="0" t="s">
        <v>509</v>
      </c>
      <c r="G254" s="0" t="s">
        <v>487</v>
      </c>
      <c r="I254" s="0" t="s">
        <v>516</v>
      </c>
      <c r="L254" s="28" t="s">
        <v>558</v>
      </c>
      <c r="N254" s="29" t="s">
        <v>829</v>
      </c>
      <c r="O254" s="28" t="s">
        <v>676</v>
      </c>
      <c r="P254" s="0" t="s">
        <v>487</v>
      </c>
      <c r="Q254" s="28" t="s">
        <v>558</v>
      </c>
      <c r="R254" s="28" t="s">
        <v>487</v>
      </c>
      <c r="S254" s="0" t="s">
        <v>487</v>
      </c>
      <c r="T254" s="0" t="s">
        <v>487</v>
      </c>
      <c r="U254" s="0" t="s">
        <v>487</v>
      </c>
      <c r="V254" s="28"/>
    </row>
    <row r="255" customFormat="false" ht="13.8" hidden="false" customHeight="false" outlineLevel="0" collapsed="false">
      <c r="A255" s="25" t="s">
        <v>1398</v>
      </c>
      <c r="B255" s="0" t="s">
        <v>480</v>
      </c>
      <c r="D255" s="26" t="s">
        <v>1399</v>
      </c>
      <c r="E255" s="8" t="s">
        <v>1400</v>
      </c>
      <c r="F255" s="0" t="s">
        <v>509</v>
      </c>
      <c r="G255" s="0" t="s">
        <v>487</v>
      </c>
      <c r="I255" s="0" t="s">
        <v>510</v>
      </c>
      <c r="L255" s="28" t="s">
        <v>558</v>
      </c>
      <c r="N255" s="29" t="s">
        <v>829</v>
      </c>
      <c r="O255" s="28" t="s">
        <v>676</v>
      </c>
      <c r="P255" s="0" t="s">
        <v>487</v>
      </c>
      <c r="Q255" s="28" t="s">
        <v>558</v>
      </c>
      <c r="R255" s="28" t="s">
        <v>487</v>
      </c>
      <c r="S255" s="0" t="s">
        <v>487</v>
      </c>
      <c r="T255" s="0" t="s">
        <v>487</v>
      </c>
      <c r="U255" s="0" t="s">
        <v>487</v>
      </c>
      <c r="V255" s="28"/>
    </row>
    <row r="256" customFormat="false" ht="13.8" hidden="false" customHeight="false" outlineLevel="0" collapsed="false">
      <c r="A256" s="25" t="s">
        <v>1401</v>
      </c>
      <c r="B256" s="0" t="s">
        <v>480</v>
      </c>
      <c r="D256" s="26" t="s">
        <v>1402</v>
      </c>
      <c r="E256" s="8" t="s">
        <v>1403</v>
      </c>
      <c r="F256" s="0" t="s">
        <v>509</v>
      </c>
      <c r="G256" s="0" t="s">
        <v>487</v>
      </c>
      <c r="I256" s="0" t="s">
        <v>516</v>
      </c>
      <c r="L256" s="28" t="s">
        <v>558</v>
      </c>
      <c r="N256" s="29" t="s">
        <v>829</v>
      </c>
      <c r="O256" s="28" t="s">
        <v>676</v>
      </c>
      <c r="P256" s="0" t="s">
        <v>487</v>
      </c>
      <c r="Q256" s="28" t="s">
        <v>558</v>
      </c>
      <c r="R256" s="28" t="s">
        <v>487</v>
      </c>
      <c r="S256" s="0" t="s">
        <v>487</v>
      </c>
      <c r="T256" s="0" t="s">
        <v>487</v>
      </c>
      <c r="U256" s="0" t="s">
        <v>487</v>
      </c>
      <c r="V256" s="29" t="n">
        <v>44831</v>
      </c>
    </row>
    <row r="257" customFormat="false" ht="13.8" hidden="false" customHeight="false" outlineLevel="0" collapsed="false">
      <c r="A257" s="25" t="s">
        <v>1404</v>
      </c>
      <c r="B257" s="0" t="s">
        <v>480</v>
      </c>
      <c r="D257" s="26" t="s">
        <v>1405</v>
      </c>
      <c r="E257" s="8" t="s">
        <v>1406</v>
      </c>
      <c r="F257" s="0" t="s">
        <v>509</v>
      </c>
      <c r="G257" s="0" t="s">
        <v>487</v>
      </c>
      <c r="I257" s="0" t="s">
        <v>516</v>
      </c>
      <c r="L257" s="28" t="s">
        <v>558</v>
      </c>
      <c r="N257" s="29" t="s">
        <v>829</v>
      </c>
      <c r="O257" s="28" t="s">
        <v>676</v>
      </c>
      <c r="P257" s="0" t="s">
        <v>487</v>
      </c>
      <c r="Q257" s="28" t="s">
        <v>558</v>
      </c>
      <c r="R257" s="28" t="s">
        <v>487</v>
      </c>
      <c r="S257" s="0" t="s">
        <v>487</v>
      </c>
      <c r="T257" s="0" t="s">
        <v>487</v>
      </c>
      <c r="U257" s="0" t="s">
        <v>487</v>
      </c>
      <c r="V257" s="28"/>
    </row>
    <row r="258" customFormat="false" ht="13.8" hidden="false" customHeight="false" outlineLevel="0" collapsed="false">
      <c r="A258" s="25" t="s">
        <v>1407</v>
      </c>
      <c r="B258" s="0" t="s">
        <v>480</v>
      </c>
      <c r="D258" s="26" t="s">
        <v>1408</v>
      </c>
      <c r="E258" s="8" t="s">
        <v>1409</v>
      </c>
      <c r="F258" s="0" t="s">
        <v>509</v>
      </c>
      <c r="G258" s="0" t="s">
        <v>487</v>
      </c>
      <c r="I258" s="0" t="s">
        <v>510</v>
      </c>
      <c r="L258" s="28" t="s">
        <v>558</v>
      </c>
      <c r="N258" s="29" t="s">
        <v>829</v>
      </c>
      <c r="O258" s="28" t="s">
        <v>676</v>
      </c>
      <c r="P258" s="0" t="s">
        <v>487</v>
      </c>
      <c r="Q258" s="28" t="s">
        <v>558</v>
      </c>
      <c r="R258" s="28" t="s">
        <v>487</v>
      </c>
      <c r="S258" s="0" t="s">
        <v>487</v>
      </c>
      <c r="T258" s="0" t="s">
        <v>487</v>
      </c>
      <c r="U258" s="0" t="s">
        <v>487</v>
      </c>
      <c r="V258" s="29" t="n">
        <v>44790</v>
      </c>
    </row>
    <row r="259" customFormat="false" ht="13.8" hidden="false" customHeight="false" outlineLevel="0" collapsed="false">
      <c r="A259" s="25" t="s">
        <v>1410</v>
      </c>
      <c r="B259" s="0" t="s">
        <v>480</v>
      </c>
      <c r="D259" s="26" t="s">
        <v>1411</v>
      </c>
      <c r="E259" s="8" t="s">
        <v>1412</v>
      </c>
      <c r="F259" s="0" t="s">
        <v>509</v>
      </c>
      <c r="G259" s="0" t="s">
        <v>487</v>
      </c>
      <c r="I259" s="0" t="s">
        <v>510</v>
      </c>
      <c r="L259" s="28" t="s">
        <v>558</v>
      </c>
      <c r="N259" s="29" t="s">
        <v>829</v>
      </c>
      <c r="O259" s="28" t="s">
        <v>676</v>
      </c>
      <c r="P259" s="0" t="s">
        <v>487</v>
      </c>
      <c r="Q259" s="28" t="s">
        <v>558</v>
      </c>
      <c r="R259" s="28" t="s">
        <v>487</v>
      </c>
      <c r="S259" s="0" t="s">
        <v>487</v>
      </c>
      <c r="T259" s="0" t="s">
        <v>487</v>
      </c>
      <c r="U259" s="0" t="s">
        <v>487</v>
      </c>
      <c r="V259" s="29" t="n">
        <v>44768</v>
      </c>
    </row>
    <row r="260" customFormat="false" ht="13.8" hidden="false" customHeight="false" outlineLevel="0" collapsed="false">
      <c r="A260" s="25" t="s">
        <v>1413</v>
      </c>
      <c r="B260" s="0" t="s">
        <v>480</v>
      </c>
      <c r="D260" s="26" t="s">
        <v>1414</v>
      </c>
      <c r="E260" s="8" t="s">
        <v>1415</v>
      </c>
      <c r="F260" s="28" t="s">
        <v>509</v>
      </c>
      <c r="G260" s="28"/>
      <c r="I260" s="28" t="s">
        <v>510</v>
      </c>
      <c r="J260" s="28"/>
      <c r="L260" s="28" t="s">
        <v>511</v>
      </c>
      <c r="N260" s="29" t="s">
        <v>517</v>
      </c>
      <c r="O260" s="32" t="s">
        <v>752</v>
      </c>
      <c r="P260" s="28"/>
      <c r="Q260" s="28"/>
      <c r="R260" s="28"/>
      <c r="S260" s="28"/>
      <c r="T260" s="28"/>
      <c r="U260" s="29"/>
      <c r="V260" s="29" t="n">
        <v>44747</v>
      </c>
    </row>
    <row r="261" customFormat="false" ht="13.8" hidden="false" customHeight="false" outlineLevel="0" collapsed="false">
      <c r="A261" s="25" t="s">
        <v>1416</v>
      </c>
      <c r="B261" s="0" t="s">
        <v>480</v>
      </c>
      <c r="D261" s="26" t="s">
        <v>1417</v>
      </c>
      <c r="E261" s="8" t="s">
        <v>1418</v>
      </c>
      <c r="F261" s="28" t="s">
        <v>509</v>
      </c>
      <c r="I261" s="0" t="s">
        <v>516</v>
      </c>
      <c r="L261" s="0" t="s">
        <v>511</v>
      </c>
      <c r="N261" s="29" t="s">
        <v>541</v>
      </c>
      <c r="O261" s="0" t="s">
        <v>1419</v>
      </c>
      <c r="V261" s="29" t="n">
        <v>44789</v>
      </c>
    </row>
    <row r="262" customFormat="false" ht="13.8" hidden="false" customHeight="false" outlineLevel="0" collapsed="false">
      <c r="A262" s="25" t="s">
        <v>1420</v>
      </c>
      <c r="B262" s="0" t="s">
        <v>480</v>
      </c>
      <c r="D262" s="26" t="s">
        <v>1421</v>
      </c>
      <c r="E262" s="0" t="s">
        <v>1422</v>
      </c>
      <c r="N262" s="29" t="s">
        <v>427</v>
      </c>
      <c r="V262" s="29" t="n">
        <v>44817</v>
      </c>
    </row>
    <row r="263" customFormat="false" ht="13.8" hidden="false" customHeight="false" outlineLevel="0" collapsed="false">
      <c r="A263" s="25" t="s">
        <v>1423</v>
      </c>
      <c r="B263" s="0" t="s">
        <v>480</v>
      </c>
      <c r="D263" s="26" t="s">
        <v>1424</v>
      </c>
      <c r="E263" s="0" t="s">
        <v>1425</v>
      </c>
      <c r="N263" s="29" t="s">
        <v>427</v>
      </c>
      <c r="V263" s="29" t="n">
        <v>44496</v>
      </c>
    </row>
    <row r="264" customFormat="false" ht="13.8" hidden="false" customHeight="false" outlineLevel="0" collapsed="false">
      <c r="A264" s="25" t="s">
        <v>1426</v>
      </c>
      <c r="B264" s="0" t="s">
        <v>480</v>
      </c>
      <c r="D264" s="26" t="s">
        <v>1427</v>
      </c>
      <c r="E264" s="0" t="s">
        <v>1428</v>
      </c>
      <c r="N264" s="29" t="s">
        <v>427</v>
      </c>
      <c r="V264" s="29" t="n">
        <v>44810</v>
      </c>
    </row>
    <row r="265" customFormat="false" ht="13.8" hidden="false" customHeight="false" outlineLevel="0" collapsed="false">
      <c r="A265" s="25" t="s">
        <v>1429</v>
      </c>
      <c r="B265" s="0" t="s">
        <v>480</v>
      </c>
      <c r="D265" s="26" t="s">
        <v>1430</v>
      </c>
      <c r="E265" s="8" t="s">
        <v>1431</v>
      </c>
      <c r="F265" s="0" t="s">
        <v>426</v>
      </c>
      <c r="N265" s="29" t="s">
        <v>427</v>
      </c>
      <c r="V265" s="29" t="n">
        <v>44404</v>
      </c>
    </row>
    <row r="266" customFormat="false" ht="13.8" hidden="false" customHeight="false" outlineLevel="0" collapsed="false">
      <c r="A266" s="25" t="s">
        <v>1432</v>
      </c>
      <c r="B266" s="0" t="s">
        <v>480</v>
      </c>
      <c r="D266" s="26" t="s">
        <v>1433</v>
      </c>
      <c r="E266" s="0" t="s">
        <v>1434</v>
      </c>
      <c r="F266" s="0" t="s">
        <v>426</v>
      </c>
      <c r="N266" s="29" t="s">
        <v>427</v>
      </c>
      <c r="V266" s="29" t="n">
        <v>44824</v>
      </c>
    </row>
    <row r="267" customFormat="false" ht="13.8" hidden="false" customHeight="false" outlineLevel="0" collapsed="false">
      <c r="A267" s="25" t="s">
        <v>1435</v>
      </c>
      <c r="B267" s="0" t="s">
        <v>480</v>
      </c>
      <c r="D267" s="26" t="s">
        <v>1436</v>
      </c>
      <c r="E267" s="0" t="s">
        <v>1437</v>
      </c>
      <c r="F267" s="0" t="s">
        <v>426</v>
      </c>
      <c r="N267" s="29" t="s">
        <v>427</v>
      </c>
      <c r="V267" s="29" t="n">
        <v>44337</v>
      </c>
    </row>
    <row r="268" customFormat="false" ht="13.8" hidden="false" customHeight="false" outlineLevel="0" collapsed="false">
      <c r="A268" s="25" t="s">
        <v>1438</v>
      </c>
      <c r="B268" s="0" t="s">
        <v>480</v>
      </c>
      <c r="D268" s="26" t="s">
        <v>1439</v>
      </c>
      <c r="E268" s="0" t="s">
        <v>1440</v>
      </c>
      <c r="F268" s="0" t="s">
        <v>426</v>
      </c>
      <c r="N268" s="29" t="s">
        <v>427</v>
      </c>
    </row>
    <row r="269" customFormat="false" ht="13.8" hidden="false" customHeight="false" outlineLevel="0" collapsed="false">
      <c r="A269" s="25" t="s">
        <v>1441</v>
      </c>
      <c r="B269" s="0" t="s">
        <v>480</v>
      </c>
      <c r="D269" s="26" t="s">
        <v>1442</v>
      </c>
      <c r="E269" s="0" t="s">
        <v>1443</v>
      </c>
      <c r="F269" s="0" t="s">
        <v>426</v>
      </c>
      <c r="N269" s="29" t="s">
        <v>427</v>
      </c>
    </row>
    <row r="270" customFormat="false" ht="13.8" hidden="false" customHeight="false" outlineLevel="0" collapsed="false">
      <c r="A270" s="25" t="s">
        <v>1444</v>
      </c>
      <c r="B270" s="0" t="s">
        <v>480</v>
      </c>
      <c r="D270" s="26" t="s">
        <v>1445</v>
      </c>
      <c r="E270" s="8" t="s">
        <v>1446</v>
      </c>
      <c r="F270" s="0" t="s">
        <v>1447</v>
      </c>
      <c r="N270" s="29" t="s">
        <v>427</v>
      </c>
    </row>
    <row r="271" customFormat="false" ht="13.8" hidden="false" customHeight="false" outlineLevel="0" collapsed="false">
      <c r="A271" s="25" t="s">
        <v>1448</v>
      </c>
      <c r="B271" s="0" t="s">
        <v>480</v>
      </c>
      <c r="D271" s="26" t="s">
        <v>1449</v>
      </c>
      <c r="E271" s="8" t="s">
        <v>1450</v>
      </c>
      <c r="F271" s="0" t="s">
        <v>1447</v>
      </c>
      <c r="N271" s="29" t="s">
        <v>427</v>
      </c>
      <c r="V271" s="29" t="n">
        <v>44817</v>
      </c>
    </row>
    <row r="272" customFormat="false" ht="13.8" hidden="false" customHeight="false" outlineLevel="0" collapsed="false">
      <c r="A272" s="25" t="s">
        <v>1451</v>
      </c>
      <c r="B272" s="0" t="s">
        <v>480</v>
      </c>
      <c r="D272" s="26" t="s">
        <v>1452</v>
      </c>
      <c r="E272" s="8" t="s">
        <v>1453</v>
      </c>
      <c r="F272" s="0" t="s">
        <v>426</v>
      </c>
      <c r="N272" s="29" t="s">
        <v>427</v>
      </c>
      <c r="V272" s="29" t="n">
        <v>44446</v>
      </c>
    </row>
    <row r="273" customFormat="false" ht="13.8" hidden="false" customHeight="false" outlineLevel="0" collapsed="false">
      <c r="A273" s="25" t="s">
        <v>1454</v>
      </c>
      <c r="B273" s="0" t="s">
        <v>480</v>
      </c>
      <c r="D273" s="26" t="s">
        <v>1455</v>
      </c>
      <c r="E273" s="8" t="s">
        <v>1456</v>
      </c>
      <c r="F273" s="0" t="s">
        <v>426</v>
      </c>
      <c r="N273" s="29" t="s">
        <v>427</v>
      </c>
      <c r="V273" s="29" t="n">
        <v>44502</v>
      </c>
    </row>
    <row r="274" customFormat="false" ht="13.8" hidden="false" customHeight="false" outlineLevel="0" collapsed="false">
      <c r="A274" s="25" t="s">
        <v>1457</v>
      </c>
      <c r="B274" s="0" t="s">
        <v>480</v>
      </c>
      <c r="D274" s="26" t="s">
        <v>1458</v>
      </c>
      <c r="E274" s="8" t="s">
        <v>1459</v>
      </c>
      <c r="F274" s="0" t="s">
        <v>426</v>
      </c>
      <c r="N274" s="29" t="s">
        <v>427</v>
      </c>
      <c r="V274" s="29" t="n">
        <v>44789</v>
      </c>
    </row>
    <row r="275" customFormat="false" ht="13.8" hidden="false" customHeight="false" outlineLevel="0" collapsed="false">
      <c r="A275" s="25" t="s">
        <v>1460</v>
      </c>
      <c r="B275" s="0" t="s">
        <v>480</v>
      </c>
      <c r="D275" s="26" t="s">
        <v>1461</v>
      </c>
      <c r="E275" s="8" t="s">
        <v>1462</v>
      </c>
      <c r="F275" s="0" t="s">
        <v>426</v>
      </c>
      <c r="N275" s="29" t="s">
        <v>427</v>
      </c>
      <c r="V275" s="29" t="n">
        <v>44796</v>
      </c>
    </row>
    <row r="276" customFormat="false" ht="13.8" hidden="false" customHeight="false" outlineLevel="0" collapsed="false">
      <c r="A276" s="25" t="s">
        <v>1463</v>
      </c>
      <c r="B276" s="0" t="s">
        <v>480</v>
      </c>
      <c r="D276" s="26" t="s">
        <v>1464</v>
      </c>
      <c r="E276" s="28" t="s">
        <v>1465</v>
      </c>
      <c r="F276" s="28" t="s">
        <v>509</v>
      </c>
      <c r="G276" s="28"/>
      <c r="I276" s="28"/>
      <c r="J276" s="28"/>
      <c r="L276" s="28"/>
      <c r="N276" s="29" t="s">
        <v>427</v>
      </c>
      <c r="O276" s="28"/>
      <c r="P276" s="28"/>
      <c r="Q276" s="28"/>
      <c r="R276" s="28"/>
      <c r="S276" s="28"/>
      <c r="T276" s="28"/>
      <c r="U276" s="28"/>
      <c r="V276" s="29" t="n">
        <v>44656</v>
      </c>
    </row>
    <row r="277" customFormat="false" ht="13.8" hidden="false" customHeight="false" outlineLevel="0" collapsed="false">
      <c r="A277" s="25" t="s">
        <v>1466</v>
      </c>
      <c r="B277" s="0" t="s">
        <v>480</v>
      </c>
      <c r="D277" s="26" t="s">
        <v>1467</v>
      </c>
      <c r="E277" s="8" t="s">
        <v>1468</v>
      </c>
      <c r="F277" s="0" t="s">
        <v>509</v>
      </c>
      <c r="L277" s="10"/>
      <c r="N277" s="29" t="s">
        <v>427</v>
      </c>
      <c r="Q277" s="28"/>
      <c r="R277" s="28"/>
      <c r="V277" s="29" t="n">
        <v>44663</v>
      </c>
    </row>
    <row r="278" customFormat="false" ht="13.8" hidden="false" customHeight="false" outlineLevel="0" collapsed="false">
      <c r="A278" s="25" t="s">
        <v>1469</v>
      </c>
      <c r="B278" s="0" t="s">
        <v>480</v>
      </c>
      <c r="D278" s="26" t="s">
        <v>1470</v>
      </c>
      <c r="E278" s="28" t="s">
        <v>1471</v>
      </c>
      <c r="F278" s="28" t="s">
        <v>509</v>
      </c>
      <c r="G278" s="28"/>
      <c r="I278" s="28"/>
      <c r="J278" s="28"/>
      <c r="L278" s="28"/>
      <c r="N278" s="29" t="s">
        <v>427</v>
      </c>
      <c r="O278" s="28"/>
      <c r="P278" s="28"/>
      <c r="Q278" s="28"/>
      <c r="R278" s="28"/>
      <c r="S278" s="28"/>
      <c r="T278" s="28"/>
      <c r="U278" s="28"/>
      <c r="V278" s="29" t="n">
        <v>44691</v>
      </c>
    </row>
    <row r="279" customFormat="false" ht="13.8" hidden="false" customHeight="false" outlineLevel="0" collapsed="false">
      <c r="A279" s="25" t="s">
        <v>1472</v>
      </c>
      <c r="B279" s="0" t="s">
        <v>480</v>
      </c>
      <c r="D279" s="26" t="s">
        <v>1473</v>
      </c>
      <c r="E279" s="28" t="s">
        <v>1474</v>
      </c>
      <c r="F279" s="28" t="s">
        <v>509</v>
      </c>
      <c r="G279" s="28"/>
      <c r="I279" s="28"/>
      <c r="J279" s="28"/>
      <c r="L279" s="28"/>
      <c r="N279" s="29" t="s">
        <v>427</v>
      </c>
      <c r="O279" s="28"/>
      <c r="P279" s="28"/>
      <c r="Q279" s="28"/>
      <c r="R279" s="28"/>
      <c r="S279" s="28"/>
      <c r="T279" s="28"/>
      <c r="U279" s="28"/>
      <c r="V279" s="29" t="n">
        <v>44817</v>
      </c>
    </row>
    <row r="280" customFormat="false" ht="13.8" hidden="false" customHeight="false" outlineLevel="0" collapsed="false">
      <c r="A280" s="25" t="s">
        <v>1475</v>
      </c>
      <c r="B280" s="0" t="s">
        <v>480</v>
      </c>
      <c r="D280" s="26" t="s">
        <v>1476</v>
      </c>
      <c r="E280" s="28" t="s">
        <v>1477</v>
      </c>
      <c r="F280" s="28" t="s">
        <v>509</v>
      </c>
      <c r="G280" s="28"/>
      <c r="I280" s="28"/>
      <c r="J280" s="28"/>
      <c r="L280" s="28"/>
      <c r="N280" s="29" t="s">
        <v>427</v>
      </c>
      <c r="O280" s="28"/>
      <c r="P280" s="28"/>
      <c r="Q280" s="28"/>
      <c r="R280" s="28"/>
      <c r="S280" s="28"/>
      <c r="T280" s="28"/>
      <c r="U280" s="28"/>
      <c r="V280" s="29" t="n">
        <v>44782</v>
      </c>
    </row>
    <row r="281" customFormat="false" ht="13.8" hidden="false" customHeight="false" outlineLevel="0" collapsed="false">
      <c r="A281" s="25" t="s">
        <v>1478</v>
      </c>
      <c r="B281" s="0" t="s">
        <v>480</v>
      </c>
      <c r="D281" s="26" t="s">
        <v>1479</v>
      </c>
      <c r="E281" s="28" t="s">
        <v>1480</v>
      </c>
      <c r="F281" s="28" t="s">
        <v>509</v>
      </c>
      <c r="G281" s="28"/>
      <c r="I281" s="28"/>
      <c r="J281" s="28"/>
      <c r="L281" s="28"/>
      <c r="N281" s="29" t="s">
        <v>427</v>
      </c>
      <c r="O281" s="28"/>
      <c r="P281" s="28"/>
      <c r="Q281" s="28"/>
      <c r="R281" s="28"/>
      <c r="S281" s="28"/>
      <c r="T281" s="28"/>
      <c r="U281" s="28"/>
      <c r="V281" s="29" t="n">
        <v>44789</v>
      </c>
    </row>
    <row r="282" customFormat="false" ht="13.8" hidden="false" customHeight="false" outlineLevel="0" collapsed="false">
      <c r="A282" s="25" t="s">
        <v>1481</v>
      </c>
      <c r="B282" s="0" t="s">
        <v>480</v>
      </c>
      <c r="D282" s="26" t="s">
        <v>1482</v>
      </c>
      <c r="E282" s="28" t="s">
        <v>1483</v>
      </c>
      <c r="F282" s="28" t="s">
        <v>509</v>
      </c>
      <c r="G282" s="28"/>
      <c r="I282" s="28"/>
      <c r="J282" s="28"/>
      <c r="L282" s="28"/>
      <c r="N282" s="29" t="s">
        <v>427</v>
      </c>
      <c r="O282" s="28"/>
      <c r="P282" s="28"/>
      <c r="Q282" s="28"/>
      <c r="R282" s="28"/>
      <c r="S282" s="28"/>
      <c r="T282" s="28"/>
      <c r="U282" s="28"/>
      <c r="V282" s="29" t="n">
        <v>44803</v>
      </c>
    </row>
    <row r="283" customFormat="false" ht="13.8" hidden="false" customHeight="false" outlineLevel="0" collapsed="false">
      <c r="A283" s="25" t="s">
        <v>1484</v>
      </c>
      <c r="B283" s="0" t="s">
        <v>480</v>
      </c>
      <c r="D283" s="26" t="s">
        <v>1485</v>
      </c>
      <c r="E283" s="28" t="s">
        <v>1486</v>
      </c>
      <c r="F283" s="28" t="s">
        <v>509</v>
      </c>
      <c r="G283" s="28"/>
      <c r="I283" s="28"/>
      <c r="J283" s="28"/>
      <c r="L283" s="28"/>
      <c r="N283" s="29" t="s">
        <v>427</v>
      </c>
      <c r="O283" s="28"/>
      <c r="P283" s="28"/>
      <c r="Q283" s="28"/>
      <c r="R283" s="28"/>
      <c r="S283" s="28"/>
      <c r="T283" s="28"/>
      <c r="U283" s="28"/>
      <c r="V283" s="29" t="n">
        <v>44810</v>
      </c>
    </row>
    <row r="284" customFormat="false" ht="13.8" hidden="false" customHeight="false" outlineLevel="0" collapsed="false">
      <c r="A284" s="25" t="s">
        <v>1487</v>
      </c>
      <c r="B284" s="0" t="s">
        <v>480</v>
      </c>
      <c r="D284" s="26" t="s">
        <v>1488</v>
      </c>
      <c r="E284" s="28" t="s">
        <v>1489</v>
      </c>
      <c r="F284" s="28" t="s">
        <v>509</v>
      </c>
      <c r="G284" s="28"/>
      <c r="I284" s="28"/>
      <c r="J284" s="28"/>
      <c r="L284" s="28"/>
      <c r="N284" s="29" t="s">
        <v>427</v>
      </c>
      <c r="O284" s="28"/>
      <c r="P284" s="28"/>
      <c r="Q284" s="28"/>
      <c r="R284" s="28"/>
      <c r="S284" s="28"/>
      <c r="T284" s="28"/>
      <c r="U284" s="28"/>
      <c r="V284" s="29" t="n">
        <v>44831</v>
      </c>
    </row>
    <row r="285" customFormat="false" ht="13.8" hidden="false" customHeight="false" outlineLevel="0" collapsed="false">
      <c r="A285" s="25" t="s">
        <v>1490</v>
      </c>
      <c r="B285" s="0" t="s">
        <v>480</v>
      </c>
      <c r="D285" s="26" t="s">
        <v>1491</v>
      </c>
      <c r="E285" s="28" t="s">
        <v>1492</v>
      </c>
      <c r="F285" s="28" t="s">
        <v>509</v>
      </c>
      <c r="G285" s="28"/>
      <c r="I285" s="28"/>
      <c r="J285" s="28"/>
      <c r="L285" s="28"/>
      <c r="N285" s="29" t="s">
        <v>427</v>
      </c>
      <c r="O285" s="28"/>
      <c r="P285" s="28"/>
      <c r="Q285" s="28"/>
      <c r="R285" s="28"/>
      <c r="S285" s="28"/>
      <c r="T285" s="28"/>
      <c r="U285" s="28"/>
      <c r="V285" s="29" t="n">
        <v>44608</v>
      </c>
    </row>
    <row r="286" customFormat="false" ht="13.8" hidden="false" customHeight="false" outlineLevel="0" collapsed="false">
      <c r="A286" s="25" t="s">
        <v>1493</v>
      </c>
      <c r="B286" s="0" t="s">
        <v>480</v>
      </c>
      <c r="D286" s="26" t="s">
        <v>1494</v>
      </c>
      <c r="E286" s="28" t="s">
        <v>1495</v>
      </c>
      <c r="F286" s="28" t="s">
        <v>509</v>
      </c>
      <c r="G286" s="28"/>
      <c r="I286" s="28"/>
      <c r="J286" s="28"/>
      <c r="L286" s="28"/>
      <c r="N286" s="29" t="s">
        <v>427</v>
      </c>
      <c r="O286" s="28"/>
      <c r="P286" s="28"/>
      <c r="Q286" s="28"/>
      <c r="R286" s="28"/>
      <c r="S286" s="28"/>
      <c r="T286" s="28"/>
      <c r="U286" s="28"/>
      <c r="V286" s="29" t="n">
        <v>44608</v>
      </c>
    </row>
    <row r="287" customFormat="false" ht="13.8" hidden="false" customHeight="false" outlineLevel="0" collapsed="false">
      <c r="A287" s="25" t="s">
        <v>1496</v>
      </c>
      <c r="B287" s="0" t="s">
        <v>480</v>
      </c>
      <c r="D287" s="26" t="s">
        <v>1497</v>
      </c>
      <c r="E287" s="34" t="s">
        <v>1498</v>
      </c>
      <c r="F287" s="28" t="s">
        <v>509</v>
      </c>
      <c r="G287" s="28"/>
      <c r="I287" s="28"/>
      <c r="J287" s="28"/>
      <c r="L287" s="28"/>
      <c r="N287" s="29" t="s">
        <v>427</v>
      </c>
      <c r="O287" s="28"/>
      <c r="P287" s="28"/>
      <c r="Q287" s="28"/>
      <c r="R287" s="28"/>
      <c r="S287" s="28"/>
      <c r="T287" s="28"/>
      <c r="U287" s="28"/>
      <c r="V287" s="29" t="n">
        <v>44831</v>
      </c>
    </row>
    <row r="288" customFormat="false" ht="13.8" hidden="false" customHeight="false" outlineLevel="0" collapsed="false">
      <c r="A288" s="25" t="s">
        <v>1499</v>
      </c>
      <c r="B288" s="0" t="s">
        <v>480</v>
      </c>
      <c r="D288" s="26" t="s">
        <v>1500</v>
      </c>
      <c r="E288" s="34" t="s">
        <v>1501</v>
      </c>
      <c r="F288" s="28" t="s">
        <v>509</v>
      </c>
      <c r="G288" s="28"/>
      <c r="I288" s="28"/>
      <c r="J288" s="28"/>
      <c r="L288" s="28"/>
      <c r="N288" s="29" t="s">
        <v>427</v>
      </c>
      <c r="O288" s="28"/>
      <c r="P288" s="28"/>
      <c r="Q288" s="28"/>
      <c r="R288" s="28"/>
      <c r="S288" s="28"/>
      <c r="T288" s="28"/>
      <c r="U288" s="28"/>
      <c r="V288" s="29" t="n">
        <v>44832</v>
      </c>
    </row>
    <row r="289" customFormat="false" ht="13.8" hidden="false" customHeight="false" outlineLevel="0" collapsed="false">
      <c r="A289" s="25" t="s">
        <v>1502</v>
      </c>
      <c r="B289" s="0" t="s">
        <v>480</v>
      </c>
      <c r="D289" s="26" t="s">
        <v>1503</v>
      </c>
      <c r="E289" s="34" t="s">
        <v>1504</v>
      </c>
      <c r="F289" s="28" t="s">
        <v>509</v>
      </c>
      <c r="G289" s="28"/>
      <c r="I289" s="28"/>
      <c r="J289" s="28"/>
      <c r="L289" s="28"/>
      <c r="N289" s="29" t="s">
        <v>427</v>
      </c>
      <c r="O289" s="28"/>
      <c r="P289" s="28"/>
      <c r="Q289" s="28"/>
      <c r="R289" s="28"/>
      <c r="S289" s="28"/>
      <c r="T289" s="28"/>
      <c r="U289" s="28"/>
      <c r="V289" s="29" t="n">
        <v>44832</v>
      </c>
    </row>
    <row r="290" customFormat="false" ht="13.8" hidden="false" customHeight="false" outlineLevel="0" collapsed="false">
      <c r="A290" s="25" t="s">
        <v>1505</v>
      </c>
      <c r="B290" s="0" t="s">
        <v>480</v>
      </c>
      <c r="D290" s="26" t="s">
        <v>1506</v>
      </c>
      <c r="E290" s="34" t="s">
        <v>1507</v>
      </c>
      <c r="F290" s="28" t="s">
        <v>509</v>
      </c>
      <c r="G290" s="28"/>
      <c r="I290" s="28"/>
      <c r="J290" s="28"/>
      <c r="L290" s="28"/>
      <c r="N290" s="29" t="s">
        <v>427</v>
      </c>
      <c r="O290" s="28"/>
      <c r="P290" s="28"/>
      <c r="Q290" s="28"/>
      <c r="R290" s="28"/>
      <c r="S290" s="28"/>
      <c r="T290" s="28"/>
      <c r="U290" s="28"/>
      <c r="V290" s="29" t="n">
        <v>44832</v>
      </c>
    </row>
    <row r="291" customFormat="false" ht="13.8" hidden="false" customHeight="false" outlineLevel="0" collapsed="false">
      <c r="A291" s="25" t="s">
        <v>1508</v>
      </c>
      <c r="B291" s="0" t="s">
        <v>480</v>
      </c>
      <c r="D291" s="26" t="s">
        <v>1509</v>
      </c>
      <c r="E291" s="28" t="s">
        <v>1510</v>
      </c>
      <c r="F291" s="28" t="s">
        <v>509</v>
      </c>
      <c r="G291" s="28"/>
      <c r="I291" s="28"/>
      <c r="J291" s="28"/>
      <c r="L291" s="28"/>
      <c r="N291" s="29" t="s">
        <v>427</v>
      </c>
      <c r="O291" s="28"/>
      <c r="P291" s="28"/>
      <c r="Q291" s="28"/>
      <c r="R291" s="28"/>
      <c r="S291" s="28"/>
      <c r="T291" s="28"/>
      <c r="U291" s="28"/>
      <c r="V291" s="29" t="n">
        <v>44834</v>
      </c>
    </row>
    <row r="292" customFormat="false" ht="13.8" hidden="false" customHeight="false" outlineLevel="0" collapsed="false">
      <c r="A292" s="25" t="s">
        <v>1511</v>
      </c>
      <c r="B292" s="0" t="s">
        <v>480</v>
      </c>
      <c r="D292" s="26" t="s">
        <v>1512</v>
      </c>
      <c r="E292" s="28" t="s">
        <v>1513</v>
      </c>
      <c r="F292" s="28" t="s">
        <v>509</v>
      </c>
      <c r="G292" s="28"/>
      <c r="I292" s="28"/>
      <c r="J292" s="28"/>
      <c r="L292" s="28"/>
      <c r="N292" s="29" t="s">
        <v>427</v>
      </c>
      <c r="O292" s="28"/>
      <c r="P292" s="28"/>
      <c r="Q292" s="28"/>
      <c r="R292" s="28"/>
      <c r="S292" s="28"/>
      <c r="T292" s="28"/>
      <c r="U292" s="28"/>
      <c r="V292" s="29" t="n">
        <v>44837</v>
      </c>
    </row>
    <row r="293" customFormat="false" ht="13.8" hidden="false" customHeight="false" outlineLevel="0" collapsed="false">
      <c r="A293" s="25" t="s">
        <v>1514</v>
      </c>
      <c r="B293" s="0" t="s">
        <v>480</v>
      </c>
      <c r="D293" s="26" t="s">
        <v>1515</v>
      </c>
      <c r="E293" s="28" t="s">
        <v>1516</v>
      </c>
      <c r="F293" s="28" t="s">
        <v>509</v>
      </c>
      <c r="G293" s="28"/>
      <c r="I293" s="28"/>
      <c r="J293" s="28"/>
      <c r="L293" s="28"/>
      <c r="N293" s="29" t="s">
        <v>427</v>
      </c>
      <c r="O293" s="28"/>
      <c r="P293" s="28"/>
      <c r="Q293" s="28"/>
      <c r="R293" s="28"/>
      <c r="S293" s="28"/>
      <c r="T293" s="28"/>
      <c r="U293" s="28"/>
      <c r="V293" s="29" t="n">
        <v>44838</v>
      </c>
    </row>
    <row r="294" customFormat="false" ht="13.8" hidden="false" customHeight="false" outlineLevel="0" collapsed="false">
      <c r="A294" s="25" t="s">
        <v>1517</v>
      </c>
      <c r="B294" s="0" t="s">
        <v>480</v>
      </c>
      <c r="D294" s="26" t="s">
        <v>1518</v>
      </c>
      <c r="E294" s="34" t="s">
        <v>1519</v>
      </c>
      <c r="F294" s="28" t="s">
        <v>509</v>
      </c>
      <c r="G294" s="28"/>
      <c r="I294" s="28"/>
      <c r="J294" s="28"/>
      <c r="L294" s="28"/>
      <c r="N294" s="29" t="s">
        <v>427</v>
      </c>
      <c r="O294" s="28"/>
      <c r="P294" s="28"/>
      <c r="Q294" s="28"/>
      <c r="R294" s="28"/>
      <c r="S294" s="28"/>
      <c r="T294" s="28"/>
      <c r="U294" s="28"/>
    </row>
    <row r="295" customFormat="false" ht="13.8" hidden="false" customHeight="false" outlineLevel="0" collapsed="false">
      <c r="A295" s="25" t="s">
        <v>1520</v>
      </c>
      <c r="B295" s="0" t="s">
        <v>480</v>
      </c>
      <c r="D295" s="26" t="s">
        <v>1521</v>
      </c>
      <c r="E295" s="34" t="s">
        <v>1522</v>
      </c>
      <c r="F295" s="28" t="s">
        <v>509</v>
      </c>
      <c r="G295" s="28"/>
      <c r="I295" s="28"/>
      <c r="J295" s="28"/>
      <c r="L295" s="28"/>
      <c r="N295" s="29" t="s">
        <v>427</v>
      </c>
      <c r="O295" s="28"/>
      <c r="P295" s="28"/>
      <c r="Q295" s="28"/>
      <c r="R295" s="28"/>
      <c r="S295" s="28"/>
      <c r="T295" s="28"/>
      <c r="U295" s="28"/>
    </row>
    <row r="296" customFormat="false" ht="13.8" hidden="false" customHeight="false" outlineLevel="0" collapsed="false">
      <c r="A296" s="25" t="s">
        <v>1523</v>
      </c>
      <c r="B296" s="0" t="s">
        <v>480</v>
      </c>
      <c r="D296" s="26" t="s">
        <v>1524</v>
      </c>
      <c r="E296" s="34" t="s">
        <v>1525</v>
      </c>
      <c r="F296" s="28" t="s">
        <v>509</v>
      </c>
      <c r="G296" s="28"/>
      <c r="I296" s="28"/>
      <c r="J296" s="28"/>
      <c r="L296" s="28"/>
      <c r="N296" s="29" t="s">
        <v>427</v>
      </c>
      <c r="O296" s="28"/>
      <c r="P296" s="28"/>
      <c r="Q296" s="28"/>
      <c r="R296" s="28"/>
      <c r="S296" s="28"/>
      <c r="T296" s="28"/>
      <c r="U296" s="28"/>
    </row>
    <row r="297" customFormat="false" ht="13.8" hidden="false" customHeight="false" outlineLevel="0" collapsed="false">
      <c r="A297" s="25" t="s">
        <v>1526</v>
      </c>
      <c r="B297" s="0" t="s">
        <v>480</v>
      </c>
      <c r="D297" s="26" t="s">
        <v>1527</v>
      </c>
      <c r="E297" s="28" t="s">
        <v>1528</v>
      </c>
      <c r="F297" s="28" t="s">
        <v>509</v>
      </c>
      <c r="G297" s="28"/>
      <c r="I297" s="28"/>
      <c r="J297" s="28"/>
      <c r="L297" s="28"/>
      <c r="N297" s="29" t="s">
        <v>427</v>
      </c>
      <c r="O297" s="28"/>
      <c r="P297" s="28"/>
      <c r="Q297" s="28"/>
      <c r="R297" s="28"/>
      <c r="S297" s="28"/>
      <c r="T297" s="28"/>
      <c r="U297" s="28"/>
    </row>
    <row r="298" customFormat="false" ht="13.8" hidden="false" customHeight="false" outlineLevel="0" collapsed="false">
      <c r="A298" s="25" t="s">
        <v>1529</v>
      </c>
      <c r="B298" s="0" t="s">
        <v>480</v>
      </c>
      <c r="D298" s="26" t="s">
        <v>1530</v>
      </c>
      <c r="E298" s="28" t="s">
        <v>1531</v>
      </c>
      <c r="F298" s="28" t="s">
        <v>509</v>
      </c>
      <c r="G298" s="28"/>
      <c r="I298" s="28"/>
      <c r="J298" s="28"/>
      <c r="L298" s="28"/>
      <c r="N298" s="29" t="s">
        <v>427</v>
      </c>
      <c r="O298" s="28"/>
      <c r="P298" s="28"/>
      <c r="Q298" s="28"/>
      <c r="R298" s="28"/>
      <c r="S298" s="28"/>
      <c r="T298" s="28"/>
      <c r="U298" s="28"/>
    </row>
    <row r="299" customFormat="false" ht="13.8" hidden="false" customHeight="false" outlineLevel="0" collapsed="false">
      <c r="A299" s="25" t="s">
        <v>1532</v>
      </c>
      <c r="B299" s="0" t="s">
        <v>480</v>
      </c>
      <c r="D299" s="26" t="s">
        <v>1533</v>
      </c>
      <c r="E299" s="28" t="s">
        <v>1534</v>
      </c>
      <c r="F299" s="28" t="s">
        <v>509</v>
      </c>
      <c r="G299" s="28"/>
      <c r="I299" s="28"/>
      <c r="J299" s="28"/>
      <c r="L299" s="28"/>
      <c r="N299" s="29" t="s">
        <v>427</v>
      </c>
      <c r="O299" s="28"/>
      <c r="P299" s="28"/>
      <c r="Q299" s="28"/>
      <c r="R299" s="28"/>
      <c r="S299" s="28"/>
      <c r="T299" s="28"/>
      <c r="U299" s="28"/>
    </row>
    <row r="300" customFormat="false" ht="13.8" hidden="false" customHeight="false" outlineLevel="0" collapsed="false">
      <c r="A300" s="25" t="s">
        <v>1535</v>
      </c>
      <c r="B300" s="0" t="s">
        <v>480</v>
      </c>
      <c r="D300" s="26" t="s">
        <v>1536</v>
      </c>
      <c r="E300" s="28" t="s">
        <v>1537</v>
      </c>
      <c r="F300" s="28" t="s">
        <v>509</v>
      </c>
      <c r="G300" s="28"/>
      <c r="I300" s="28"/>
      <c r="J300" s="28"/>
      <c r="L300" s="28"/>
      <c r="N300" s="29" t="s">
        <v>427</v>
      </c>
      <c r="O300" s="28"/>
      <c r="P300" s="28"/>
      <c r="Q300" s="28"/>
      <c r="R300" s="28"/>
      <c r="S300" s="28"/>
      <c r="T300" s="28"/>
      <c r="U300" s="28"/>
    </row>
    <row r="301" customFormat="false" ht="13.8" hidden="false" customHeight="false" outlineLevel="0" collapsed="false">
      <c r="A301" s="25" t="s">
        <v>1538</v>
      </c>
      <c r="B301" s="0" t="s">
        <v>480</v>
      </c>
      <c r="D301" s="26" t="s">
        <v>1539</v>
      </c>
      <c r="E301" s="28" t="s">
        <v>1540</v>
      </c>
      <c r="F301" s="28" t="s">
        <v>509</v>
      </c>
      <c r="G301" s="28"/>
      <c r="I301" s="28"/>
      <c r="J301" s="28"/>
      <c r="L301" s="28"/>
      <c r="N301" s="29" t="s">
        <v>427</v>
      </c>
      <c r="O301" s="28"/>
      <c r="P301" s="28"/>
      <c r="Q301" s="28"/>
      <c r="R301" s="28"/>
      <c r="S301" s="28"/>
      <c r="T301" s="28"/>
      <c r="U301" s="28"/>
    </row>
    <row r="302" customFormat="false" ht="13.8" hidden="false" customHeight="false" outlineLevel="0" collapsed="false">
      <c r="A302" s="25" t="s">
        <v>1541</v>
      </c>
      <c r="B302" s="0" t="s">
        <v>480</v>
      </c>
      <c r="D302" s="26" t="s">
        <v>1542</v>
      </c>
      <c r="E302" s="28" t="s">
        <v>1543</v>
      </c>
      <c r="F302" s="28" t="s">
        <v>509</v>
      </c>
      <c r="G302" s="28"/>
      <c r="I302" s="28"/>
      <c r="J302" s="28"/>
      <c r="L302" s="28"/>
      <c r="N302" s="29" t="s">
        <v>427</v>
      </c>
      <c r="O302" s="28"/>
      <c r="P302" s="28"/>
      <c r="Q302" s="28"/>
      <c r="R302" s="28"/>
      <c r="S302" s="28"/>
      <c r="T302" s="28"/>
      <c r="U302" s="28"/>
    </row>
    <row r="303" customFormat="false" ht="13.8" hidden="false" customHeight="false" outlineLevel="0" collapsed="false">
      <c r="A303" s="25" t="s">
        <v>1544</v>
      </c>
      <c r="B303" s="0" t="s">
        <v>480</v>
      </c>
      <c r="D303" s="26" t="s">
        <v>1545</v>
      </c>
      <c r="E303" s="28" t="s">
        <v>1546</v>
      </c>
      <c r="F303" s="28" t="s">
        <v>509</v>
      </c>
      <c r="G303" s="28"/>
      <c r="I303" s="28"/>
      <c r="J303" s="28"/>
      <c r="L303" s="28"/>
      <c r="N303" s="29" t="s">
        <v>427</v>
      </c>
      <c r="O303" s="28"/>
      <c r="P303" s="28"/>
      <c r="Q303" s="28"/>
      <c r="R303" s="28"/>
      <c r="S303" s="28"/>
      <c r="T303" s="28"/>
      <c r="U303" s="28"/>
    </row>
    <row r="304" customFormat="false" ht="13.8" hidden="false" customHeight="false" outlineLevel="0" collapsed="false">
      <c r="A304" s="25" t="s">
        <v>1547</v>
      </c>
      <c r="B304" s="0" t="s">
        <v>480</v>
      </c>
      <c r="D304" s="26" t="s">
        <v>1548</v>
      </c>
      <c r="E304" s="28" t="s">
        <v>1549</v>
      </c>
      <c r="F304" s="28" t="s">
        <v>509</v>
      </c>
      <c r="G304" s="28"/>
      <c r="I304" s="28"/>
      <c r="J304" s="28"/>
      <c r="L304" s="28"/>
      <c r="N304" s="29" t="s">
        <v>427</v>
      </c>
      <c r="O304" s="28"/>
      <c r="P304" s="28"/>
      <c r="Q304" s="28"/>
      <c r="R304" s="28"/>
      <c r="S304" s="28"/>
      <c r="T304" s="28"/>
      <c r="U304" s="28"/>
    </row>
    <row r="305" customFormat="false" ht="13.8" hidden="false" customHeight="false" outlineLevel="0" collapsed="false">
      <c r="A305" s="25" t="s">
        <v>1550</v>
      </c>
      <c r="B305" s="0" t="s">
        <v>480</v>
      </c>
      <c r="D305" s="26" t="s">
        <v>1551</v>
      </c>
      <c r="E305" s="28" t="s">
        <v>1552</v>
      </c>
      <c r="F305" s="28" t="s">
        <v>509</v>
      </c>
      <c r="G305" s="28"/>
      <c r="I305" s="28"/>
      <c r="J305" s="28"/>
      <c r="L305" s="28"/>
      <c r="N305" s="29" t="s">
        <v>427</v>
      </c>
      <c r="O305" s="28"/>
      <c r="P305" s="28"/>
      <c r="Q305" s="28"/>
      <c r="R305" s="28"/>
      <c r="S305" s="28"/>
      <c r="T305" s="28"/>
      <c r="U305" s="28"/>
      <c r="V305" s="28"/>
    </row>
    <row r="306" customFormat="false" ht="13.8" hidden="false" customHeight="false" outlineLevel="0" collapsed="false">
      <c r="A306" s="25" t="s">
        <v>1553</v>
      </c>
      <c r="B306" s="0" t="s">
        <v>480</v>
      </c>
      <c r="D306" s="26" t="s">
        <v>1554</v>
      </c>
      <c r="E306" s="28" t="s">
        <v>1555</v>
      </c>
      <c r="F306" s="28" t="s">
        <v>509</v>
      </c>
      <c r="G306" s="28"/>
      <c r="I306" s="28"/>
      <c r="J306" s="28"/>
      <c r="L306" s="28"/>
      <c r="N306" s="29" t="s">
        <v>427</v>
      </c>
      <c r="O306" s="28"/>
      <c r="P306" s="28"/>
      <c r="Q306" s="28"/>
      <c r="R306" s="28"/>
      <c r="S306" s="28"/>
      <c r="T306" s="28"/>
      <c r="U306" s="28"/>
    </row>
    <row r="307" customFormat="false" ht="13.8" hidden="false" customHeight="false" outlineLevel="0" collapsed="false">
      <c r="A307" s="25" t="s">
        <v>1556</v>
      </c>
      <c r="B307" s="0" t="s">
        <v>480</v>
      </c>
      <c r="D307" s="26" t="s">
        <v>1557</v>
      </c>
      <c r="E307" s="28" t="s">
        <v>1558</v>
      </c>
      <c r="F307" s="28" t="s">
        <v>509</v>
      </c>
      <c r="G307" s="28"/>
      <c r="I307" s="28"/>
      <c r="J307" s="28"/>
      <c r="L307" s="28"/>
      <c r="N307" s="29" t="s">
        <v>427</v>
      </c>
      <c r="O307" s="28"/>
      <c r="P307" s="28"/>
      <c r="Q307" s="28"/>
      <c r="R307" s="28"/>
      <c r="S307" s="28"/>
      <c r="T307" s="28"/>
      <c r="U307" s="28"/>
    </row>
    <row r="308" customFormat="false" ht="13.8" hidden="false" customHeight="false" outlineLevel="0" collapsed="false">
      <c r="A308" s="25" t="s">
        <v>1559</v>
      </c>
      <c r="B308" s="0" t="s">
        <v>480</v>
      </c>
      <c r="D308" s="26" t="s">
        <v>1560</v>
      </c>
      <c r="E308" s="28" t="s">
        <v>1561</v>
      </c>
      <c r="F308" s="28" t="s">
        <v>509</v>
      </c>
      <c r="G308" s="28"/>
      <c r="I308" s="28"/>
      <c r="J308" s="28"/>
      <c r="L308" s="28"/>
      <c r="N308" s="29" t="s">
        <v>427</v>
      </c>
      <c r="O308" s="28"/>
      <c r="P308" s="28"/>
      <c r="Q308" s="28"/>
      <c r="R308" s="28"/>
      <c r="S308" s="28"/>
      <c r="T308" s="28"/>
      <c r="U308" s="28"/>
    </row>
    <row r="309" customFormat="false" ht="13.8" hidden="false" customHeight="false" outlineLevel="0" collapsed="false">
      <c r="A309" s="25" t="s">
        <v>1562</v>
      </c>
      <c r="B309" s="0" t="s">
        <v>480</v>
      </c>
      <c r="D309" s="26" t="s">
        <v>1563</v>
      </c>
      <c r="E309" s="28" t="s">
        <v>1564</v>
      </c>
      <c r="F309" s="28" t="s">
        <v>509</v>
      </c>
      <c r="G309" s="28"/>
      <c r="I309" s="28"/>
      <c r="J309" s="28"/>
      <c r="L309" s="28"/>
      <c r="N309" s="29" t="s">
        <v>427</v>
      </c>
      <c r="O309" s="28"/>
      <c r="P309" s="28"/>
      <c r="Q309" s="28"/>
      <c r="R309" s="28"/>
      <c r="S309" s="28"/>
      <c r="T309" s="28"/>
      <c r="U309" s="28"/>
    </row>
    <row r="310" customFormat="false" ht="13.8" hidden="false" customHeight="false" outlineLevel="0" collapsed="false">
      <c r="A310" s="25" t="s">
        <v>1565</v>
      </c>
      <c r="B310" s="0" t="s">
        <v>480</v>
      </c>
      <c r="D310" s="26" t="s">
        <v>1566</v>
      </c>
      <c r="E310" s="28" t="s">
        <v>1567</v>
      </c>
      <c r="F310" s="28" t="s">
        <v>509</v>
      </c>
      <c r="G310" s="28"/>
      <c r="I310" s="28"/>
      <c r="J310" s="28"/>
      <c r="L310" s="28"/>
      <c r="N310" s="29" t="s">
        <v>427</v>
      </c>
      <c r="O310" s="28"/>
      <c r="P310" s="28"/>
      <c r="Q310" s="28"/>
      <c r="R310" s="28"/>
      <c r="S310" s="28"/>
      <c r="T310" s="28"/>
      <c r="U310" s="28"/>
    </row>
    <row r="311" customFormat="false" ht="13.8" hidden="false" customHeight="false" outlineLevel="0" collapsed="false">
      <c r="A311" s="25" t="s">
        <v>1568</v>
      </c>
      <c r="B311" s="0" t="s">
        <v>480</v>
      </c>
      <c r="D311" s="26" t="s">
        <v>1569</v>
      </c>
      <c r="E311" s="28" t="s">
        <v>1570</v>
      </c>
      <c r="F311" s="28" t="s">
        <v>509</v>
      </c>
      <c r="G311" s="28"/>
      <c r="I311" s="28"/>
      <c r="J311" s="28"/>
      <c r="L311" s="28"/>
      <c r="N311" s="29" t="s">
        <v>427</v>
      </c>
      <c r="O311" s="28"/>
      <c r="P311" s="28"/>
      <c r="Q311" s="28"/>
      <c r="R311" s="28"/>
      <c r="S311" s="28"/>
      <c r="T311" s="28"/>
      <c r="U311" s="28"/>
    </row>
    <row r="312" customFormat="false" ht="13.8" hidden="false" customHeight="false" outlineLevel="0" collapsed="false">
      <c r="A312" s="25" t="s">
        <v>1571</v>
      </c>
      <c r="B312" s="0" t="s">
        <v>480</v>
      </c>
      <c r="D312" s="26" t="s">
        <v>1572</v>
      </c>
      <c r="E312" s="28" t="s">
        <v>1573</v>
      </c>
      <c r="F312" s="28" t="s">
        <v>509</v>
      </c>
      <c r="G312" s="28"/>
      <c r="I312" s="28"/>
      <c r="J312" s="28"/>
      <c r="L312" s="28"/>
      <c r="N312" s="29" t="s">
        <v>427</v>
      </c>
      <c r="O312" s="28"/>
      <c r="P312" s="28"/>
      <c r="Q312" s="28"/>
      <c r="R312" s="28"/>
      <c r="S312" s="28"/>
      <c r="T312" s="28"/>
      <c r="U312" s="28"/>
    </row>
    <row r="313" customFormat="false" ht="13.8" hidden="false" customHeight="false" outlineLevel="0" collapsed="false">
      <c r="A313" s="25" t="s">
        <v>1574</v>
      </c>
      <c r="B313" s="0" t="s">
        <v>480</v>
      </c>
      <c r="D313" s="26" t="s">
        <v>1575</v>
      </c>
      <c r="E313" s="28" t="s">
        <v>1576</v>
      </c>
      <c r="F313" s="28" t="s">
        <v>509</v>
      </c>
      <c r="G313" s="28"/>
      <c r="I313" s="28"/>
      <c r="J313" s="28"/>
      <c r="L313" s="28"/>
      <c r="N313" s="29" t="s">
        <v>427</v>
      </c>
      <c r="O313" s="28"/>
      <c r="P313" s="28"/>
      <c r="Q313" s="28"/>
      <c r="R313" s="28"/>
      <c r="S313" s="28"/>
      <c r="T313" s="28"/>
      <c r="U313" s="28"/>
    </row>
    <row r="314" customFormat="false" ht="13.8" hidden="false" customHeight="false" outlineLevel="0" collapsed="false">
      <c r="A314" s="25" t="s">
        <v>1577</v>
      </c>
      <c r="B314" s="0" t="s">
        <v>480</v>
      </c>
      <c r="D314" s="26" t="s">
        <v>1578</v>
      </c>
      <c r="E314" s="28" t="s">
        <v>1579</v>
      </c>
      <c r="F314" s="28" t="s">
        <v>509</v>
      </c>
      <c r="G314" s="28"/>
      <c r="I314" s="28"/>
      <c r="J314" s="28"/>
      <c r="L314" s="28"/>
      <c r="N314" s="29" t="s">
        <v>427</v>
      </c>
      <c r="O314" s="28"/>
      <c r="P314" s="28"/>
      <c r="Q314" s="28"/>
      <c r="R314" s="28"/>
      <c r="S314" s="28"/>
      <c r="T314" s="28"/>
      <c r="U314" s="28"/>
    </row>
    <row r="315" customFormat="false" ht="13.8" hidden="false" customHeight="false" outlineLevel="0" collapsed="false">
      <c r="A315" s="25" t="s">
        <v>1580</v>
      </c>
      <c r="B315" s="0" t="s">
        <v>480</v>
      </c>
      <c r="D315" s="26" t="s">
        <v>1581</v>
      </c>
      <c r="E315" s="28" t="s">
        <v>1582</v>
      </c>
      <c r="F315" s="28" t="s">
        <v>509</v>
      </c>
      <c r="G315" s="28"/>
      <c r="I315" s="28"/>
      <c r="J315" s="28"/>
      <c r="L315" s="28"/>
      <c r="N315" s="29" t="s">
        <v>427</v>
      </c>
      <c r="O315" s="28"/>
      <c r="P315" s="28"/>
      <c r="Q315" s="28"/>
      <c r="R315" s="28"/>
      <c r="S315" s="28"/>
      <c r="T315" s="28"/>
      <c r="U315" s="28"/>
    </row>
    <row r="316" customFormat="false" ht="13.8" hidden="false" customHeight="false" outlineLevel="0" collapsed="false">
      <c r="A316" s="25" t="s">
        <v>1583</v>
      </c>
      <c r="B316" s="0" t="s">
        <v>480</v>
      </c>
      <c r="D316" s="26" t="s">
        <v>1584</v>
      </c>
      <c r="E316" s="28" t="s">
        <v>1585</v>
      </c>
      <c r="F316" s="28" t="s">
        <v>509</v>
      </c>
      <c r="G316" s="28"/>
      <c r="I316" s="28"/>
      <c r="J316" s="28"/>
      <c r="L316" s="28"/>
      <c r="N316" s="29" t="s">
        <v>427</v>
      </c>
      <c r="O316" s="28"/>
      <c r="P316" s="28"/>
      <c r="Q316" s="28"/>
      <c r="R316" s="28"/>
      <c r="S316" s="28"/>
      <c r="T316" s="28"/>
      <c r="U316" s="28"/>
    </row>
    <row r="317" customFormat="false" ht="13.8" hidden="false" customHeight="false" outlineLevel="0" collapsed="false">
      <c r="A317" s="25" t="s">
        <v>1586</v>
      </c>
      <c r="B317" s="0" t="s">
        <v>480</v>
      </c>
      <c r="D317" s="26" t="s">
        <v>1587</v>
      </c>
      <c r="E317" s="28" t="s">
        <v>1588</v>
      </c>
      <c r="F317" s="28" t="s">
        <v>509</v>
      </c>
      <c r="G317" s="28"/>
      <c r="I317" s="28"/>
      <c r="J317" s="28"/>
      <c r="L317" s="28"/>
      <c r="N317" s="29" t="s">
        <v>427</v>
      </c>
      <c r="O317" s="28"/>
      <c r="P317" s="28"/>
      <c r="Q317" s="28"/>
      <c r="R317" s="28"/>
      <c r="S317" s="28"/>
      <c r="T317" s="28"/>
      <c r="U317" s="28"/>
    </row>
    <row r="318" customFormat="false" ht="13.8" hidden="false" customHeight="false" outlineLevel="0" collapsed="false">
      <c r="A318" s="25" t="s">
        <v>1589</v>
      </c>
      <c r="B318" s="0" t="s">
        <v>480</v>
      </c>
      <c r="D318" s="26" t="s">
        <v>1590</v>
      </c>
      <c r="E318" s="28" t="s">
        <v>1591</v>
      </c>
      <c r="F318" s="28" t="s">
        <v>509</v>
      </c>
      <c r="G318" s="28"/>
      <c r="I318" s="28"/>
      <c r="J318" s="28"/>
      <c r="L318" s="28"/>
      <c r="N318" s="29" t="s">
        <v>427</v>
      </c>
      <c r="O318" s="28"/>
      <c r="P318" s="28"/>
      <c r="Q318" s="28"/>
      <c r="R318" s="28"/>
      <c r="S318" s="28"/>
      <c r="T318" s="28"/>
      <c r="U318" s="28"/>
    </row>
    <row r="319" customFormat="false" ht="13.8" hidden="false" customHeight="false" outlineLevel="0" collapsed="false">
      <c r="A319" s="25" t="s">
        <v>1592</v>
      </c>
      <c r="B319" s="0" t="s">
        <v>480</v>
      </c>
      <c r="D319" s="26" t="s">
        <v>1593</v>
      </c>
      <c r="E319" s="28" t="s">
        <v>1594</v>
      </c>
      <c r="F319" s="28" t="s">
        <v>509</v>
      </c>
      <c r="G319" s="28"/>
      <c r="I319" s="28"/>
      <c r="J319" s="28"/>
      <c r="L319" s="28"/>
      <c r="N319" s="29" t="s">
        <v>427</v>
      </c>
      <c r="O319" s="28"/>
      <c r="P319" s="28"/>
      <c r="Q319" s="28"/>
      <c r="R319" s="28"/>
      <c r="S319" s="28"/>
      <c r="T319" s="28"/>
      <c r="U319" s="28"/>
    </row>
    <row r="320" customFormat="false" ht="13.8" hidden="false" customHeight="false" outlineLevel="0" collapsed="false">
      <c r="A320" s="25" t="s">
        <v>1595</v>
      </c>
      <c r="B320" s="0" t="s">
        <v>480</v>
      </c>
      <c r="D320" s="26" t="s">
        <v>1596</v>
      </c>
      <c r="E320" s="28" t="s">
        <v>1597</v>
      </c>
      <c r="F320" s="28" t="s">
        <v>509</v>
      </c>
      <c r="G320" s="28"/>
      <c r="I320" s="28"/>
      <c r="J320" s="28"/>
      <c r="L320" s="28"/>
      <c r="N320" s="29" t="s">
        <v>427</v>
      </c>
      <c r="O320" s="28"/>
      <c r="P320" s="28"/>
      <c r="Q320" s="28"/>
      <c r="R320" s="28"/>
      <c r="S320" s="28"/>
      <c r="T320" s="28"/>
      <c r="U320" s="28"/>
    </row>
    <row r="321" customFormat="false" ht="13.8" hidden="false" customHeight="false" outlineLevel="0" collapsed="false">
      <c r="A321" s="25" t="s">
        <v>1598</v>
      </c>
      <c r="B321" s="0" t="s">
        <v>480</v>
      </c>
      <c r="D321" s="26" t="s">
        <v>1599</v>
      </c>
      <c r="E321" s="28" t="s">
        <v>1600</v>
      </c>
      <c r="F321" s="28" t="s">
        <v>509</v>
      </c>
      <c r="G321" s="28"/>
      <c r="I321" s="28"/>
      <c r="J321" s="28"/>
      <c r="L321" s="28"/>
      <c r="N321" s="29" t="s">
        <v>427</v>
      </c>
      <c r="O321" s="28"/>
      <c r="P321" s="28"/>
      <c r="Q321" s="28"/>
      <c r="R321" s="28"/>
      <c r="S321" s="28"/>
      <c r="T321" s="28"/>
      <c r="U321" s="28"/>
    </row>
    <row r="322" customFormat="false" ht="13.8" hidden="false" customHeight="false" outlineLevel="0" collapsed="false">
      <c r="A322" s="25" t="s">
        <v>1601</v>
      </c>
      <c r="B322" s="0" t="s">
        <v>480</v>
      </c>
      <c r="D322" s="26" t="s">
        <v>1602</v>
      </c>
      <c r="E322" s="28" t="s">
        <v>1603</v>
      </c>
      <c r="F322" s="28" t="s">
        <v>509</v>
      </c>
      <c r="G322" s="28"/>
      <c r="I322" s="28"/>
      <c r="J322" s="28"/>
      <c r="L322" s="28"/>
      <c r="N322" s="29" t="s">
        <v>427</v>
      </c>
      <c r="O322" s="28"/>
      <c r="P322" s="28"/>
      <c r="Q322" s="28"/>
      <c r="R322" s="28"/>
      <c r="S322" s="28"/>
      <c r="T322" s="28"/>
      <c r="U322" s="28"/>
    </row>
    <row r="323" customFormat="false" ht="13.8" hidden="false" customHeight="false" outlineLevel="0" collapsed="false">
      <c r="A323" s="25" t="s">
        <v>1604</v>
      </c>
      <c r="B323" s="0" t="s">
        <v>480</v>
      </c>
      <c r="D323" s="26" t="s">
        <v>1605</v>
      </c>
      <c r="E323" s="28" t="s">
        <v>1606</v>
      </c>
      <c r="F323" s="28" t="s">
        <v>509</v>
      </c>
      <c r="G323" s="28"/>
      <c r="I323" s="28"/>
      <c r="J323" s="28"/>
      <c r="L323" s="28"/>
      <c r="N323" s="29" t="s">
        <v>427</v>
      </c>
      <c r="O323" s="28"/>
      <c r="P323" s="28"/>
      <c r="Q323" s="28"/>
      <c r="R323" s="28"/>
      <c r="S323" s="28"/>
      <c r="T323" s="28"/>
      <c r="U323" s="28"/>
    </row>
    <row r="324" customFormat="false" ht="13.8" hidden="false" customHeight="false" outlineLevel="0" collapsed="false">
      <c r="A324" s="25" t="s">
        <v>1607</v>
      </c>
      <c r="B324" s="0" t="s">
        <v>480</v>
      </c>
      <c r="D324" s="26" t="s">
        <v>1608</v>
      </c>
      <c r="E324" s="28" t="s">
        <v>1609</v>
      </c>
      <c r="F324" s="28" t="s">
        <v>509</v>
      </c>
      <c r="G324" s="28"/>
      <c r="I324" s="28"/>
      <c r="J324" s="28"/>
      <c r="L324" s="28"/>
      <c r="N324" s="29" t="s">
        <v>427</v>
      </c>
      <c r="O324" s="28"/>
      <c r="P324" s="28"/>
      <c r="Q324" s="28"/>
      <c r="R324" s="28"/>
      <c r="S324" s="28"/>
      <c r="T324" s="28"/>
      <c r="U324" s="28"/>
    </row>
    <row r="325" customFormat="false" ht="13.8" hidden="false" customHeight="false" outlineLevel="0" collapsed="false">
      <c r="A325" s="25" t="s">
        <v>1610</v>
      </c>
      <c r="B325" s="0" t="s">
        <v>480</v>
      </c>
      <c r="D325" s="26" t="s">
        <v>1611</v>
      </c>
      <c r="E325" s="28" t="s">
        <v>1612</v>
      </c>
      <c r="F325" s="28" t="s">
        <v>509</v>
      </c>
      <c r="G325" s="28"/>
      <c r="I325" s="28"/>
      <c r="J325" s="28"/>
      <c r="L325" s="28"/>
      <c r="N325" s="29" t="s">
        <v>427</v>
      </c>
      <c r="O325" s="28"/>
      <c r="P325" s="28"/>
      <c r="Q325" s="28"/>
      <c r="R325" s="28"/>
      <c r="S325" s="28"/>
      <c r="T325" s="28"/>
      <c r="U325" s="28"/>
    </row>
    <row r="326" customFormat="false" ht="13.8" hidden="false" customHeight="false" outlineLevel="0" collapsed="false">
      <c r="A326" s="25" t="s">
        <v>1613</v>
      </c>
      <c r="B326" s="0" t="s">
        <v>480</v>
      </c>
      <c r="D326" s="26" t="s">
        <v>1614</v>
      </c>
      <c r="E326" s="30" t="s">
        <v>1615</v>
      </c>
      <c r="F326" s="0" t="s">
        <v>483</v>
      </c>
      <c r="N326" s="29" t="s">
        <v>427</v>
      </c>
    </row>
    <row r="327" customFormat="false" ht="13.8" hidden="false" customHeight="false" outlineLevel="0" collapsed="false">
      <c r="A327" s="25" t="s">
        <v>1616</v>
      </c>
      <c r="B327" s="0" t="s">
        <v>480</v>
      </c>
      <c r="D327" s="26" t="s">
        <v>1617</v>
      </c>
      <c r="E327" s="30" t="s">
        <v>1618</v>
      </c>
      <c r="F327" s="0" t="s">
        <v>483</v>
      </c>
      <c r="N327" s="29" t="s">
        <v>427</v>
      </c>
    </row>
    <row r="328" customFormat="false" ht="13.8" hidden="false" customHeight="false" outlineLevel="0" collapsed="false">
      <c r="A328" s="25" t="s">
        <v>1619</v>
      </c>
      <c r="B328" s="0" t="s">
        <v>480</v>
      </c>
      <c r="D328" s="26" t="s">
        <v>1620</v>
      </c>
      <c r="E328" s="30" t="s">
        <v>1621</v>
      </c>
      <c r="F328" s="0" t="s">
        <v>483</v>
      </c>
      <c r="N328" s="29" t="s">
        <v>427</v>
      </c>
    </row>
    <row r="329" customFormat="false" ht="13.8" hidden="false" customHeight="false" outlineLevel="0" collapsed="false">
      <c r="A329" s="25" t="s">
        <v>1622</v>
      </c>
      <c r="B329" s="0" t="s">
        <v>480</v>
      </c>
      <c r="D329" s="26" t="s">
        <v>1623</v>
      </c>
      <c r="E329" s="30" t="s">
        <v>1624</v>
      </c>
      <c r="F329" s="0" t="s">
        <v>483</v>
      </c>
      <c r="N329" s="29" t="s">
        <v>427</v>
      </c>
    </row>
    <row r="330" customFormat="false" ht="13.8" hidden="false" customHeight="false" outlineLevel="0" collapsed="false">
      <c r="A330" s="25" t="s">
        <v>1625</v>
      </c>
      <c r="B330" s="0" t="s">
        <v>480</v>
      </c>
      <c r="D330" s="26" t="s">
        <v>1626</v>
      </c>
      <c r="E330" s="30" t="s">
        <v>1627</v>
      </c>
      <c r="F330" s="0" t="s">
        <v>483</v>
      </c>
      <c r="N330" s="29" t="s">
        <v>427</v>
      </c>
    </row>
    <row r="331" customFormat="false" ht="13.8" hidden="false" customHeight="false" outlineLevel="0" collapsed="false">
      <c r="A331" s="25" t="s">
        <v>1628</v>
      </c>
      <c r="B331" s="0" t="s">
        <v>480</v>
      </c>
      <c r="D331" s="26" t="s">
        <v>1629</v>
      </c>
      <c r="E331" s="30" t="s">
        <v>1630</v>
      </c>
      <c r="F331" s="0" t="s">
        <v>483</v>
      </c>
      <c r="N331" s="29" t="s">
        <v>427</v>
      </c>
    </row>
    <row r="332" customFormat="false" ht="13.8" hidden="false" customHeight="false" outlineLevel="0" collapsed="false">
      <c r="A332" s="25" t="s">
        <v>1631</v>
      </c>
      <c r="B332" s="0" t="s">
        <v>480</v>
      </c>
      <c r="D332" s="26" t="s">
        <v>1632</v>
      </c>
      <c r="E332" s="30" t="s">
        <v>1633</v>
      </c>
      <c r="F332" s="0" t="s">
        <v>483</v>
      </c>
      <c r="N332" s="29" t="s">
        <v>427</v>
      </c>
    </row>
    <row r="333" customFormat="false" ht="13.8" hidden="false" customHeight="false" outlineLevel="0" collapsed="false">
      <c r="A333" s="25" t="s">
        <v>1634</v>
      </c>
      <c r="B333" s="0" t="s">
        <v>480</v>
      </c>
      <c r="D333" s="26" t="s">
        <v>1635</v>
      </c>
      <c r="E333" s="30" t="s">
        <v>1636</v>
      </c>
      <c r="F333" s="0" t="s">
        <v>483</v>
      </c>
      <c r="N333" s="29" t="s">
        <v>427</v>
      </c>
    </row>
    <row r="334" customFormat="false" ht="13.8" hidden="false" customHeight="false" outlineLevel="0" collapsed="false">
      <c r="A334" s="25" t="s">
        <v>1637</v>
      </c>
      <c r="B334" s="0" t="s">
        <v>480</v>
      </c>
      <c r="D334" s="26" t="s">
        <v>1638</v>
      </c>
      <c r="E334" s="30" t="s">
        <v>1639</v>
      </c>
      <c r="F334" s="0" t="s">
        <v>483</v>
      </c>
      <c r="N334" s="29" t="s">
        <v>427</v>
      </c>
    </row>
    <row r="335" customFormat="false" ht="13.8" hidden="false" customHeight="false" outlineLevel="0" collapsed="false">
      <c r="A335" s="25" t="s">
        <v>1640</v>
      </c>
      <c r="B335" s="0" t="s">
        <v>480</v>
      </c>
      <c r="D335" s="26" t="s">
        <v>1641</v>
      </c>
      <c r="E335" s="30" t="s">
        <v>1642</v>
      </c>
      <c r="F335" s="0" t="s">
        <v>483</v>
      </c>
      <c r="N335" s="29" t="s">
        <v>427</v>
      </c>
    </row>
    <row r="336" customFormat="false" ht="13.8" hidden="false" customHeight="false" outlineLevel="0" collapsed="false">
      <c r="A336" s="25" t="s">
        <v>1643</v>
      </c>
      <c r="B336" s="0" t="s">
        <v>480</v>
      </c>
      <c r="D336" s="26" t="s">
        <v>1644</v>
      </c>
      <c r="E336" s="30" t="s">
        <v>1645</v>
      </c>
      <c r="F336" s="0" t="s">
        <v>483</v>
      </c>
      <c r="N336" s="29" t="s">
        <v>427</v>
      </c>
    </row>
    <row r="337" customFormat="false" ht="13.8" hidden="false" customHeight="false" outlineLevel="0" collapsed="false">
      <c r="A337" s="25" t="s">
        <v>1646</v>
      </c>
      <c r="B337" s="0" t="s">
        <v>480</v>
      </c>
      <c r="D337" s="26" t="s">
        <v>1647</v>
      </c>
      <c r="E337" s="30" t="s">
        <v>1648</v>
      </c>
      <c r="F337" s="0" t="s">
        <v>483</v>
      </c>
      <c r="N337" s="29" t="s">
        <v>427</v>
      </c>
    </row>
    <row r="338" customFormat="false" ht="13.8" hidden="false" customHeight="false" outlineLevel="0" collapsed="false">
      <c r="A338" s="25" t="s">
        <v>1649</v>
      </c>
      <c r="B338" s="0" t="s">
        <v>480</v>
      </c>
      <c r="D338" s="26" t="s">
        <v>1650</v>
      </c>
      <c r="E338" s="30" t="s">
        <v>1651</v>
      </c>
      <c r="F338" s="0" t="s">
        <v>483</v>
      </c>
      <c r="N338" s="29" t="s">
        <v>427</v>
      </c>
    </row>
    <row r="339" customFormat="false" ht="13.8" hidden="false" customHeight="false" outlineLevel="0" collapsed="false">
      <c r="A339" s="25" t="s">
        <v>1652</v>
      </c>
      <c r="B339" s="0" t="s">
        <v>480</v>
      </c>
      <c r="D339" s="26" t="s">
        <v>1653</v>
      </c>
      <c r="F339" s="0" t="s">
        <v>1447</v>
      </c>
      <c r="N339" s="29" t="s">
        <v>427</v>
      </c>
    </row>
    <row r="340" customFormat="false" ht="13.8" hidden="false" customHeight="false" outlineLevel="0" collapsed="false">
      <c r="A340" s="25" t="s">
        <v>1654</v>
      </c>
      <c r="B340" s="0" t="s">
        <v>480</v>
      </c>
      <c r="D340" s="26" t="s">
        <v>1655</v>
      </c>
      <c r="F340" s="0" t="s">
        <v>1447</v>
      </c>
    </row>
    <row r="341" customFormat="false" ht="13.8" hidden="false" customHeight="false" outlineLevel="0" collapsed="false">
      <c r="A341" s="25" t="s">
        <v>1656</v>
      </c>
      <c r="B341" s="0" t="s">
        <v>480</v>
      </c>
      <c r="D341" s="26" t="s">
        <v>1657</v>
      </c>
      <c r="F341" s="0" t="s">
        <v>1447</v>
      </c>
    </row>
    <row r="342" customFormat="false" ht="13.8" hidden="false" customHeight="false" outlineLevel="0" collapsed="false">
      <c r="A342" s="25" t="s">
        <v>1658</v>
      </c>
      <c r="B342" s="0" t="s">
        <v>480</v>
      </c>
      <c r="D342" s="26" t="s">
        <v>1659</v>
      </c>
      <c r="F342" s="0" t="s">
        <v>1447</v>
      </c>
    </row>
    <row r="343" customFormat="false" ht="13.8" hidden="false" customHeight="false" outlineLevel="0" collapsed="false">
      <c r="A343" s="25" t="s">
        <v>1660</v>
      </c>
      <c r="B343" s="0" t="s">
        <v>480</v>
      </c>
      <c r="D343" s="26" t="s">
        <v>1661</v>
      </c>
      <c r="F343" s="0" t="s">
        <v>1447</v>
      </c>
    </row>
    <row r="344" customFormat="false" ht="13.8" hidden="false" customHeight="false" outlineLevel="0" collapsed="false">
      <c r="A344" s="25" t="s">
        <v>1662</v>
      </c>
      <c r="B344" s="0" t="s">
        <v>480</v>
      </c>
      <c r="D344" s="26" t="s">
        <v>1663</v>
      </c>
      <c r="F344" s="0" t="s">
        <v>1447</v>
      </c>
    </row>
    <row r="345" customFormat="false" ht="13.8" hidden="false" customHeight="false" outlineLevel="0" collapsed="false">
      <c r="A345" s="25" t="s">
        <v>1664</v>
      </c>
      <c r="B345" s="0" t="s">
        <v>480</v>
      </c>
      <c r="D345" s="26" t="s">
        <v>1665</v>
      </c>
      <c r="F345" s="0" t="s">
        <v>1447</v>
      </c>
    </row>
    <row r="346" customFormat="false" ht="13.8" hidden="false" customHeight="false" outlineLevel="0" collapsed="false">
      <c r="A346" s="25" t="s">
        <v>1666</v>
      </c>
      <c r="B346" s="0" t="s">
        <v>480</v>
      </c>
      <c r="D346" s="26" t="s">
        <v>1667</v>
      </c>
      <c r="F346" s="0" t="s">
        <v>1447</v>
      </c>
    </row>
    <row r="347" customFormat="false" ht="13.8" hidden="false" customHeight="false" outlineLevel="0" collapsed="false">
      <c r="A347" s="25" t="s">
        <v>1668</v>
      </c>
      <c r="B347" s="0" t="s">
        <v>480</v>
      </c>
      <c r="D347" s="26" t="s">
        <v>1669</v>
      </c>
      <c r="F347" s="0" t="s">
        <v>1447</v>
      </c>
    </row>
    <row r="348" customFormat="false" ht="13.8" hidden="false" customHeight="false" outlineLevel="0" collapsed="false">
      <c r="A348" s="25" t="s">
        <v>1670</v>
      </c>
      <c r="B348" s="0" t="s">
        <v>480</v>
      </c>
      <c r="D348" s="26" t="s">
        <v>1671</v>
      </c>
      <c r="F348" s="0" t="s">
        <v>1447</v>
      </c>
    </row>
    <row r="349" customFormat="false" ht="13.8" hidden="false" customHeight="false" outlineLevel="0" collapsed="false">
      <c r="A349" s="25" t="s">
        <v>1672</v>
      </c>
      <c r="B349" s="0" t="s">
        <v>480</v>
      </c>
      <c r="D349" s="26" t="s">
        <v>1673</v>
      </c>
      <c r="F349" s="0" t="s">
        <v>1447</v>
      </c>
    </row>
    <row r="350" customFormat="false" ht="13.8" hidden="false" customHeight="false" outlineLevel="0" collapsed="false">
      <c r="A350" s="25" t="s">
        <v>1674</v>
      </c>
      <c r="B350" s="0" t="s">
        <v>480</v>
      </c>
      <c r="D350" s="26" t="s">
        <v>1675</v>
      </c>
      <c r="F350" s="0" t="s">
        <v>1447</v>
      </c>
    </row>
    <row r="351" customFormat="false" ht="13.8" hidden="false" customHeight="false" outlineLevel="0" collapsed="false">
      <c r="A351" s="25" t="s">
        <v>1676</v>
      </c>
      <c r="B351" s="0" t="s">
        <v>480</v>
      </c>
      <c r="D351" s="26" t="s">
        <v>1677</v>
      </c>
      <c r="F351" s="0" t="s">
        <v>1447</v>
      </c>
    </row>
    <row r="352" customFormat="false" ht="13.8" hidden="false" customHeight="false" outlineLevel="0" collapsed="false">
      <c r="A352" s="25" t="s">
        <v>1678</v>
      </c>
      <c r="B352" s="0" t="s">
        <v>480</v>
      </c>
      <c r="D352" s="26" t="s">
        <v>1679</v>
      </c>
      <c r="F352" s="0" t="s">
        <v>1447</v>
      </c>
    </row>
    <row r="353" customFormat="false" ht="13.8" hidden="false" customHeight="false" outlineLevel="0" collapsed="false">
      <c r="A353" s="25" t="s">
        <v>1680</v>
      </c>
      <c r="B353" s="0" t="s">
        <v>480</v>
      </c>
      <c r="D353" s="26" t="s">
        <v>1681</v>
      </c>
      <c r="F353" s="0" t="s">
        <v>1447</v>
      </c>
    </row>
  </sheetData>
  <autoFilter ref="D1:U339"/>
  <conditionalFormatting sqref="D6:D8 D123:D197 D199:D276">
    <cfRule type="expression" priority="2" aboveAverage="0" equalAverage="0" bottom="0" percent="0" rank="0" text="" dxfId="7">
      <formula>LEN(TRIM(D6))=0</formula>
    </cfRule>
  </conditionalFormatting>
  <conditionalFormatting sqref="D1:D1048576">
    <cfRule type="duplicateValues" priority="3" aboveAverage="0" equalAverage="0" bottom="0" percent="0" rank="0" text="" dxfId="8"/>
  </conditionalFormatting>
  <conditionalFormatting sqref="D1:D122 D277:D1048576">
    <cfRule type="duplicateValues" priority="4" aboveAverage="0" equalAverage="0" bottom="0" percent="0" rank="0" text="" dxfId="9"/>
  </conditionalFormatting>
  <conditionalFormatting sqref="E327:E328 E3:E314">
    <cfRule type="containsText" priority="5" operator="containsText" aboveAverage="0" equalAverage="0" bottom="0" percent="0" rank="0" text="GET" dxfId="10">
      <formula>NOT(ISERROR(SEARCH("GET",E3)))</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3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50" activeCellId="0" sqref="A50"/>
    </sheetView>
  </sheetViews>
  <sheetFormatPr defaultColWidth="8.78515625" defaultRowHeight="13.8" zeroHeight="false" outlineLevelRow="0" outlineLevelCol="0"/>
  <cols>
    <col collapsed="false" customWidth="true" hidden="false" outlineLevel="0" max="1" min="1" style="35" width="14.49"/>
    <col collapsed="false" customWidth="true" hidden="false" outlineLevel="0" max="8" min="2" style="0" width="22.28"/>
    <col collapsed="false" customWidth="true" hidden="false" outlineLevel="0" max="9" min="9" style="8" width="22.28"/>
    <col collapsed="false" customWidth="true" hidden="false" outlineLevel="0" max="10" min="10" style="0" width="16.87"/>
    <col collapsed="false" customWidth="true" hidden="false" outlineLevel="0" max="12" min="12" style="0" width="14.69"/>
    <col collapsed="false" customWidth="true" hidden="false" outlineLevel="0" max="13" min="13" style="0" width="13.57"/>
    <col collapsed="false" customWidth="true" hidden="false" outlineLevel="0" max="14" min="14" style="0" width="51"/>
    <col collapsed="false" customWidth="true" hidden="false" outlineLevel="0" max="15" min="15" style="0" width="17.86"/>
    <col collapsed="false" customWidth="true" hidden="false" outlineLevel="0" max="16" min="16" style="0" width="17.4"/>
    <col collapsed="false" customWidth="true" hidden="false" outlineLevel="0" max="17" min="17" style="0" width="26.71"/>
    <col collapsed="false" customWidth="true" hidden="false" outlineLevel="0" max="18" min="18" style="0" width="10.12"/>
    <col collapsed="false" customWidth="true" hidden="false" outlineLevel="0" max="20" min="20" style="0" width="13.02"/>
    <col collapsed="false" customWidth="true" hidden="false" outlineLevel="0" max="21" min="21" style="0" width="10.85"/>
    <col collapsed="false" customWidth="true" hidden="false" outlineLevel="0" max="24" min="24" style="0" width="12.86"/>
    <col collapsed="false" customWidth="true" hidden="false" outlineLevel="0" max="25" min="25" style="0" width="10.12"/>
    <col collapsed="false" customWidth="true" hidden="false" outlineLevel="0" max="33" min="33" style="0" width="10.12"/>
    <col collapsed="false" customWidth="true" hidden="false" outlineLevel="0" max="35" min="35" style="0" width="10.12"/>
  </cols>
  <sheetData>
    <row r="1" customFormat="false" ht="13.8" hidden="false" customHeight="false" outlineLevel="0" collapsed="false">
      <c r="A1" s="36" t="s">
        <v>416</v>
      </c>
      <c r="B1" s="8" t="s">
        <v>1682</v>
      </c>
      <c r="C1" s="8" t="s">
        <v>1683</v>
      </c>
      <c r="D1" s="8" t="s">
        <v>231</v>
      </c>
      <c r="E1" s="8" t="s">
        <v>418</v>
      </c>
      <c r="F1" s="8" t="s">
        <v>198</v>
      </c>
      <c r="G1" s="8" t="s">
        <v>415</v>
      </c>
      <c r="H1" s="8" t="s">
        <v>1684</v>
      </c>
      <c r="I1" s="28" t="s">
        <v>44</v>
      </c>
      <c r="J1" s="28" t="s">
        <v>205</v>
      </c>
      <c r="K1" s="28" t="s">
        <v>82</v>
      </c>
      <c r="L1" s="28" t="s">
        <v>286</v>
      </c>
      <c r="M1" s="28" t="s">
        <v>212</v>
      </c>
      <c r="N1" s="28" t="s">
        <v>284</v>
      </c>
      <c r="O1" s="28" t="s">
        <v>419</v>
      </c>
      <c r="P1" s="28" t="s">
        <v>420</v>
      </c>
      <c r="Q1" s="28" t="s">
        <v>421</v>
      </c>
      <c r="R1" s="28"/>
    </row>
    <row r="2" customFormat="false" ht="13.8" hidden="false" customHeight="false" outlineLevel="0" collapsed="false">
      <c r="A2" s="36" t="s">
        <v>479</v>
      </c>
      <c r="B2" s="0" t="s">
        <v>483</v>
      </c>
      <c r="C2" s="0" t="s">
        <v>484</v>
      </c>
      <c r="D2" s="0" t="s">
        <v>485</v>
      </c>
      <c r="E2" s="0" t="s">
        <v>427</v>
      </c>
      <c r="I2" s="8" t="s">
        <v>482</v>
      </c>
      <c r="K2" s="0" t="s">
        <v>486</v>
      </c>
      <c r="O2" s="0" t="s">
        <v>487</v>
      </c>
      <c r="P2" s="0" t="s">
        <v>487</v>
      </c>
      <c r="Q2" s="0" t="s">
        <v>487</v>
      </c>
    </row>
    <row r="3" customFormat="false" ht="13.8" hidden="false" customHeight="false" outlineLevel="0" collapsed="false">
      <c r="A3" s="36" t="s">
        <v>488</v>
      </c>
      <c r="B3" s="0" t="s">
        <v>483</v>
      </c>
      <c r="C3" s="0" t="s">
        <v>484</v>
      </c>
      <c r="D3" s="0" t="s">
        <v>485</v>
      </c>
      <c r="E3" s="0" t="s">
        <v>487</v>
      </c>
      <c r="F3" s="0" t="s">
        <v>487</v>
      </c>
      <c r="I3" s="8" t="s">
        <v>490</v>
      </c>
      <c r="K3" s="0" t="s">
        <v>486</v>
      </c>
      <c r="L3" s="0" t="s">
        <v>487</v>
      </c>
      <c r="M3" s="0" t="s">
        <v>487</v>
      </c>
      <c r="N3" s="0" t="s">
        <v>487</v>
      </c>
      <c r="O3" s="0" t="s">
        <v>487</v>
      </c>
      <c r="P3" s="0" t="s">
        <v>487</v>
      </c>
      <c r="Q3" s="0" t="s">
        <v>487</v>
      </c>
    </row>
    <row r="4" customFormat="false" ht="13.8" hidden="false" customHeight="false" outlineLevel="0" collapsed="false">
      <c r="A4" s="36" t="s">
        <v>491</v>
      </c>
      <c r="B4" s="0" t="s">
        <v>483</v>
      </c>
      <c r="C4" s="0" t="s">
        <v>484</v>
      </c>
      <c r="D4" s="0" t="s">
        <v>485</v>
      </c>
      <c r="E4" s="0" t="s">
        <v>487</v>
      </c>
      <c r="F4" s="0" t="s">
        <v>487</v>
      </c>
      <c r="I4" s="8" t="s">
        <v>493</v>
      </c>
      <c r="K4" s="0" t="s">
        <v>486</v>
      </c>
      <c r="L4" s="0" t="s">
        <v>487</v>
      </c>
      <c r="M4" s="0" t="s">
        <v>487</v>
      </c>
      <c r="N4" s="0" t="s">
        <v>487</v>
      </c>
      <c r="O4" s="0" t="s">
        <v>487</v>
      </c>
      <c r="P4" s="0" t="s">
        <v>487</v>
      </c>
      <c r="Q4" s="0" t="s">
        <v>487</v>
      </c>
    </row>
    <row r="5" customFormat="false" ht="13.8" hidden="false" customHeight="false" outlineLevel="0" collapsed="false">
      <c r="A5" s="36" t="s">
        <v>494</v>
      </c>
      <c r="B5" s="0" t="s">
        <v>483</v>
      </c>
      <c r="C5" s="0" t="s">
        <v>484</v>
      </c>
      <c r="D5" s="0" t="s">
        <v>485</v>
      </c>
      <c r="E5" s="0" t="s">
        <v>487</v>
      </c>
      <c r="F5" s="0" t="s">
        <v>487</v>
      </c>
      <c r="I5" s="8" t="s">
        <v>496</v>
      </c>
      <c r="K5" s="0" t="s">
        <v>486</v>
      </c>
      <c r="L5" s="0" t="s">
        <v>487</v>
      </c>
      <c r="M5" s="0" t="s">
        <v>487</v>
      </c>
      <c r="N5" s="0" t="s">
        <v>487</v>
      </c>
      <c r="O5" s="0" t="s">
        <v>487</v>
      </c>
      <c r="P5" s="0" t="s">
        <v>487</v>
      </c>
      <c r="Q5" s="0" t="s">
        <v>487</v>
      </c>
    </row>
    <row r="6" customFormat="false" ht="13.8" hidden="false" customHeight="false" outlineLevel="0" collapsed="false">
      <c r="A6" s="36" t="s">
        <v>497</v>
      </c>
      <c r="B6" s="0" t="s">
        <v>483</v>
      </c>
      <c r="C6" s="0" t="s">
        <v>484</v>
      </c>
      <c r="D6" s="0" t="s">
        <v>485</v>
      </c>
      <c r="E6" s="0" t="s">
        <v>487</v>
      </c>
      <c r="F6" s="0" t="s">
        <v>487</v>
      </c>
      <c r="I6" s="8" t="s">
        <v>499</v>
      </c>
      <c r="K6" s="0" t="s">
        <v>486</v>
      </c>
      <c r="L6" s="0" t="s">
        <v>487</v>
      </c>
      <c r="M6" s="0" t="s">
        <v>487</v>
      </c>
      <c r="N6" s="0" t="s">
        <v>487</v>
      </c>
      <c r="O6" s="0" t="s">
        <v>487</v>
      </c>
      <c r="P6" s="0" t="s">
        <v>487</v>
      </c>
      <c r="Q6" s="0" t="s">
        <v>487</v>
      </c>
    </row>
    <row r="7" customFormat="false" ht="13.8" hidden="false" customHeight="false" outlineLevel="0" collapsed="false">
      <c r="A7" s="36" t="s">
        <v>500</v>
      </c>
      <c r="B7" s="0" t="s">
        <v>483</v>
      </c>
      <c r="C7" s="0" t="s">
        <v>484</v>
      </c>
      <c r="D7" s="0" t="s">
        <v>485</v>
      </c>
      <c r="E7" s="0" t="s">
        <v>487</v>
      </c>
      <c r="F7" s="0" t="s">
        <v>487</v>
      </c>
      <c r="I7" s="8" t="s">
        <v>502</v>
      </c>
      <c r="K7" s="0" t="s">
        <v>486</v>
      </c>
      <c r="L7" s="0" t="s">
        <v>487</v>
      </c>
      <c r="M7" s="0" t="s">
        <v>487</v>
      </c>
      <c r="N7" s="0" t="s">
        <v>487</v>
      </c>
      <c r="O7" s="0" t="s">
        <v>487</v>
      </c>
      <c r="P7" s="0" t="s">
        <v>487</v>
      </c>
      <c r="Q7" s="0" t="s">
        <v>487</v>
      </c>
    </row>
    <row r="8" customFormat="false" ht="13.8" hidden="false" customHeight="false" outlineLevel="0" collapsed="false">
      <c r="A8" s="36" t="s">
        <v>503</v>
      </c>
      <c r="B8" s="0" t="s">
        <v>483</v>
      </c>
      <c r="C8" s="0" t="s">
        <v>484</v>
      </c>
      <c r="D8" s="0" t="s">
        <v>485</v>
      </c>
      <c r="E8" s="0" t="s">
        <v>487</v>
      </c>
      <c r="F8" s="0" t="s">
        <v>487</v>
      </c>
      <c r="I8" s="8" t="s">
        <v>505</v>
      </c>
      <c r="K8" s="0" t="s">
        <v>486</v>
      </c>
      <c r="L8" s="0" t="s">
        <v>487</v>
      </c>
      <c r="M8" s="0" t="s">
        <v>487</v>
      </c>
      <c r="N8" s="0" t="s">
        <v>487</v>
      </c>
      <c r="O8" s="0" t="s">
        <v>487</v>
      </c>
      <c r="P8" s="0" t="s">
        <v>487</v>
      </c>
      <c r="Q8" s="0" t="s">
        <v>487</v>
      </c>
    </row>
    <row r="9" customFormat="false" ht="13.8" hidden="false" customHeight="false" outlineLevel="0" collapsed="false">
      <c r="A9" s="36" t="s">
        <v>506</v>
      </c>
      <c r="B9" s="0" t="s">
        <v>509</v>
      </c>
      <c r="D9" s="0" t="s">
        <v>510</v>
      </c>
      <c r="E9" s="0" t="s">
        <v>512</v>
      </c>
      <c r="F9" s="0" t="s">
        <v>511</v>
      </c>
      <c r="I9" s="8" t="s">
        <v>508</v>
      </c>
      <c r="K9" s="0" t="s">
        <v>486</v>
      </c>
    </row>
    <row r="10" customFormat="false" ht="13.8" hidden="false" customHeight="false" outlineLevel="0" collapsed="false">
      <c r="A10" s="36" t="s">
        <v>513</v>
      </c>
      <c r="B10" s="0" t="s">
        <v>509</v>
      </c>
      <c r="D10" s="0" t="s">
        <v>516</v>
      </c>
      <c r="E10" s="0" t="s">
        <v>517</v>
      </c>
      <c r="F10" s="0" t="s">
        <v>511</v>
      </c>
      <c r="I10" s="8" t="s">
        <v>515</v>
      </c>
      <c r="K10" s="0" t="s">
        <v>486</v>
      </c>
    </row>
    <row r="11" customFormat="false" ht="13.8" hidden="false" customHeight="false" outlineLevel="0" collapsed="false">
      <c r="A11" s="36" t="s">
        <v>518</v>
      </c>
      <c r="B11" s="0" t="s">
        <v>509</v>
      </c>
      <c r="D11" s="0" t="s">
        <v>510</v>
      </c>
      <c r="E11" s="0" t="s">
        <v>521</v>
      </c>
      <c r="F11" s="0" t="s">
        <v>511</v>
      </c>
      <c r="I11" s="8" t="s">
        <v>520</v>
      </c>
      <c r="K11" s="0" t="s">
        <v>486</v>
      </c>
    </row>
    <row r="12" customFormat="false" ht="13.8" hidden="false" customHeight="false" outlineLevel="0" collapsed="false">
      <c r="A12" s="36" t="s">
        <v>522</v>
      </c>
      <c r="B12" s="0" t="s">
        <v>509</v>
      </c>
      <c r="D12" s="0" t="s">
        <v>516</v>
      </c>
      <c r="E12" s="0" t="s">
        <v>525</v>
      </c>
      <c r="F12" s="0" t="s">
        <v>511</v>
      </c>
      <c r="I12" s="8" t="s">
        <v>524</v>
      </c>
      <c r="K12" s="0" t="s">
        <v>526</v>
      </c>
    </row>
    <row r="13" customFormat="false" ht="13.8" hidden="false" customHeight="false" outlineLevel="0" collapsed="false">
      <c r="A13" s="36" t="s">
        <v>527</v>
      </c>
      <c r="B13" s="0" t="s">
        <v>509</v>
      </c>
      <c r="D13" s="0" t="s">
        <v>510</v>
      </c>
      <c r="E13" s="0" t="s">
        <v>525</v>
      </c>
      <c r="F13" s="0" t="s">
        <v>511</v>
      </c>
      <c r="I13" s="8" t="s">
        <v>529</v>
      </c>
      <c r="K13" s="0" t="s">
        <v>526</v>
      </c>
    </row>
    <row r="14" customFormat="false" ht="13.8" hidden="false" customHeight="false" outlineLevel="0" collapsed="false">
      <c r="A14" s="36" t="s">
        <v>530</v>
      </c>
      <c r="B14" s="0" t="s">
        <v>509</v>
      </c>
      <c r="D14" s="0" t="s">
        <v>516</v>
      </c>
      <c r="E14" s="0" t="s">
        <v>533</v>
      </c>
      <c r="F14" s="0" t="s">
        <v>511</v>
      </c>
      <c r="I14" s="8" t="s">
        <v>532</v>
      </c>
      <c r="K14" s="0" t="s">
        <v>526</v>
      </c>
    </row>
    <row r="15" customFormat="false" ht="13.8" hidden="false" customHeight="false" outlineLevel="0" collapsed="false">
      <c r="A15" s="36" t="s">
        <v>534</v>
      </c>
      <c r="B15" s="0" t="s">
        <v>509</v>
      </c>
      <c r="D15" s="0" t="s">
        <v>516</v>
      </c>
      <c r="E15" s="0" t="s">
        <v>537</v>
      </c>
      <c r="F15" s="0" t="s">
        <v>511</v>
      </c>
      <c r="I15" s="8" t="s">
        <v>536</v>
      </c>
      <c r="K15" s="0" t="s">
        <v>526</v>
      </c>
    </row>
    <row r="16" customFormat="false" ht="13.8" hidden="false" customHeight="false" outlineLevel="0" collapsed="false">
      <c r="A16" s="36" t="s">
        <v>538</v>
      </c>
      <c r="B16" s="0" t="s">
        <v>509</v>
      </c>
      <c r="D16" s="0" t="s">
        <v>516</v>
      </c>
      <c r="E16" s="0" t="s">
        <v>541</v>
      </c>
      <c r="F16" s="0" t="s">
        <v>511</v>
      </c>
      <c r="I16" s="8" t="s">
        <v>540</v>
      </c>
      <c r="K16" s="0" t="s">
        <v>542</v>
      </c>
    </row>
    <row r="17" customFormat="false" ht="13.8" hidden="false" customHeight="false" outlineLevel="0" collapsed="false">
      <c r="A17" s="36" t="s">
        <v>543</v>
      </c>
      <c r="B17" s="0" t="s">
        <v>509</v>
      </c>
      <c r="D17" s="0" t="s">
        <v>510</v>
      </c>
      <c r="E17" s="0" t="s">
        <v>546</v>
      </c>
      <c r="F17" s="0" t="s">
        <v>511</v>
      </c>
      <c r="I17" s="8" t="s">
        <v>545</v>
      </c>
      <c r="K17" s="0" t="s">
        <v>526</v>
      </c>
    </row>
    <row r="18" customFormat="false" ht="13.8" hidden="false" customHeight="false" outlineLevel="0" collapsed="false">
      <c r="A18" s="36" t="s">
        <v>547</v>
      </c>
      <c r="B18" s="0" t="s">
        <v>509</v>
      </c>
      <c r="D18" s="0" t="s">
        <v>510</v>
      </c>
      <c r="E18" s="0" t="s">
        <v>550</v>
      </c>
      <c r="F18" s="0" t="s">
        <v>511</v>
      </c>
      <c r="I18" s="8" t="s">
        <v>549</v>
      </c>
      <c r="K18" s="0" t="s">
        <v>526</v>
      </c>
    </row>
    <row r="19" customFormat="false" ht="13.8" hidden="false" customHeight="false" outlineLevel="0" collapsed="false">
      <c r="A19" s="36" t="s">
        <v>551</v>
      </c>
      <c r="B19" s="0" t="s">
        <v>509</v>
      </c>
      <c r="D19" s="0" t="s">
        <v>516</v>
      </c>
      <c r="E19" s="0" t="s">
        <v>554</v>
      </c>
      <c r="F19" s="0" t="s">
        <v>511</v>
      </c>
      <c r="I19" s="8" t="s">
        <v>553</v>
      </c>
      <c r="K19" s="0" t="s">
        <v>526</v>
      </c>
    </row>
    <row r="20" customFormat="false" ht="13.8" hidden="false" customHeight="false" outlineLevel="0" collapsed="false">
      <c r="A20" s="36" t="s">
        <v>555</v>
      </c>
      <c r="B20" s="0" t="s">
        <v>509</v>
      </c>
      <c r="D20" s="0" t="s">
        <v>510</v>
      </c>
      <c r="E20" s="0" t="s">
        <v>559</v>
      </c>
      <c r="F20" s="0" t="s">
        <v>558</v>
      </c>
      <c r="I20" s="8" t="s">
        <v>557</v>
      </c>
      <c r="K20" s="0" t="s">
        <v>526</v>
      </c>
    </row>
    <row r="21" customFormat="false" ht="13.8" hidden="false" customHeight="false" outlineLevel="0" collapsed="false">
      <c r="A21" s="36" t="s">
        <v>560</v>
      </c>
      <c r="B21" s="0" t="s">
        <v>509</v>
      </c>
      <c r="D21" s="0" t="s">
        <v>516</v>
      </c>
      <c r="E21" s="0" t="s">
        <v>546</v>
      </c>
      <c r="F21" s="0" t="s">
        <v>511</v>
      </c>
      <c r="I21" s="8" t="s">
        <v>562</v>
      </c>
      <c r="K21" s="0" t="s">
        <v>526</v>
      </c>
    </row>
    <row r="22" customFormat="false" ht="13.8" hidden="false" customHeight="false" outlineLevel="0" collapsed="false">
      <c r="A22" s="36" t="s">
        <v>563</v>
      </c>
      <c r="B22" s="0" t="s">
        <v>509</v>
      </c>
      <c r="D22" s="0" t="s">
        <v>516</v>
      </c>
      <c r="E22" s="0" t="s">
        <v>566</v>
      </c>
      <c r="F22" s="0" t="s">
        <v>511</v>
      </c>
      <c r="I22" s="8" t="s">
        <v>565</v>
      </c>
      <c r="K22" s="0" t="s">
        <v>526</v>
      </c>
    </row>
    <row r="23" customFormat="false" ht="13.8" hidden="false" customHeight="false" outlineLevel="0" collapsed="false">
      <c r="A23" s="36" t="s">
        <v>567</v>
      </c>
      <c r="B23" s="0" t="s">
        <v>509</v>
      </c>
      <c r="D23" s="0" t="s">
        <v>516</v>
      </c>
      <c r="E23" s="0" t="s">
        <v>537</v>
      </c>
      <c r="F23" s="0" t="s">
        <v>511</v>
      </c>
      <c r="I23" s="8" t="s">
        <v>569</v>
      </c>
      <c r="K23" s="0" t="s">
        <v>526</v>
      </c>
    </row>
    <row r="24" customFormat="false" ht="13.8" hidden="false" customHeight="false" outlineLevel="0" collapsed="false">
      <c r="A24" s="36" t="s">
        <v>570</v>
      </c>
      <c r="B24" s="0" t="s">
        <v>509</v>
      </c>
      <c r="D24" s="0" t="s">
        <v>516</v>
      </c>
      <c r="E24" s="0" t="s">
        <v>573</v>
      </c>
      <c r="F24" s="0" t="s">
        <v>511</v>
      </c>
      <c r="I24" s="8" t="s">
        <v>572</v>
      </c>
      <c r="K24" s="0" t="s">
        <v>526</v>
      </c>
    </row>
    <row r="25" customFormat="false" ht="13.8" hidden="false" customHeight="false" outlineLevel="0" collapsed="false">
      <c r="A25" s="36" t="s">
        <v>574</v>
      </c>
      <c r="B25" s="0" t="s">
        <v>509</v>
      </c>
      <c r="D25" s="0" t="s">
        <v>516</v>
      </c>
      <c r="E25" s="0" t="s">
        <v>517</v>
      </c>
      <c r="F25" s="0" t="s">
        <v>511</v>
      </c>
      <c r="I25" s="8" t="s">
        <v>576</v>
      </c>
      <c r="K25" s="0" t="s">
        <v>526</v>
      </c>
    </row>
    <row r="26" customFormat="false" ht="13.8" hidden="false" customHeight="false" outlineLevel="0" collapsed="false">
      <c r="A26" s="36" t="s">
        <v>577</v>
      </c>
      <c r="B26" s="0" t="s">
        <v>509</v>
      </c>
      <c r="D26" s="0" t="s">
        <v>510</v>
      </c>
      <c r="E26" s="0" t="s">
        <v>580</v>
      </c>
      <c r="F26" s="0" t="s">
        <v>511</v>
      </c>
      <c r="I26" s="8" t="s">
        <v>579</v>
      </c>
      <c r="K26" s="0" t="s">
        <v>526</v>
      </c>
    </row>
    <row r="27" customFormat="false" ht="13.8" hidden="false" customHeight="false" outlineLevel="0" collapsed="false">
      <c r="A27" s="36" t="s">
        <v>581</v>
      </c>
      <c r="B27" s="0" t="s">
        <v>509</v>
      </c>
      <c r="D27" s="0" t="s">
        <v>510</v>
      </c>
      <c r="E27" s="0" t="s">
        <v>584</v>
      </c>
      <c r="F27" s="0" t="s">
        <v>511</v>
      </c>
      <c r="I27" s="8" t="s">
        <v>583</v>
      </c>
      <c r="K27" s="0" t="s">
        <v>585</v>
      </c>
    </row>
    <row r="28" customFormat="false" ht="13.8" hidden="false" customHeight="false" outlineLevel="0" collapsed="false">
      <c r="A28" s="36" t="s">
        <v>586</v>
      </c>
      <c r="B28" s="0" t="s">
        <v>509</v>
      </c>
      <c r="D28" s="0" t="s">
        <v>516</v>
      </c>
      <c r="E28" s="0" t="s">
        <v>541</v>
      </c>
      <c r="F28" s="0" t="s">
        <v>511</v>
      </c>
      <c r="I28" s="8" t="s">
        <v>588</v>
      </c>
      <c r="K28" s="0" t="s">
        <v>526</v>
      </c>
    </row>
    <row r="29" customFormat="false" ht="13.8" hidden="false" customHeight="false" outlineLevel="0" collapsed="false">
      <c r="A29" s="36" t="s">
        <v>589</v>
      </c>
      <c r="B29" s="0" t="s">
        <v>509</v>
      </c>
      <c r="D29" s="0" t="s">
        <v>510</v>
      </c>
      <c r="E29" s="0" t="s">
        <v>541</v>
      </c>
      <c r="F29" s="0" t="s">
        <v>511</v>
      </c>
      <c r="I29" s="8" t="s">
        <v>591</v>
      </c>
      <c r="K29" s="0" t="s">
        <v>526</v>
      </c>
    </row>
    <row r="30" customFormat="false" ht="13.8" hidden="false" customHeight="false" outlineLevel="0" collapsed="false">
      <c r="A30" s="36" t="s">
        <v>592</v>
      </c>
      <c r="B30" s="0" t="s">
        <v>509</v>
      </c>
      <c r="D30" s="0" t="s">
        <v>516</v>
      </c>
      <c r="E30" s="0" t="s">
        <v>595</v>
      </c>
      <c r="F30" s="0" t="s">
        <v>511</v>
      </c>
      <c r="I30" s="8" t="s">
        <v>594</v>
      </c>
      <c r="K30" s="0" t="s">
        <v>526</v>
      </c>
    </row>
    <row r="31" customFormat="false" ht="13.8" hidden="false" customHeight="false" outlineLevel="0" collapsed="false">
      <c r="A31" s="36" t="s">
        <v>596</v>
      </c>
      <c r="B31" s="0" t="s">
        <v>509</v>
      </c>
      <c r="D31" s="0" t="s">
        <v>510</v>
      </c>
      <c r="E31" s="0" t="s">
        <v>521</v>
      </c>
      <c r="F31" s="0" t="s">
        <v>511</v>
      </c>
      <c r="I31" s="8" t="s">
        <v>598</v>
      </c>
      <c r="K31" s="0" t="s">
        <v>526</v>
      </c>
    </row>
    <row r="32" customFormat="false" ht="13.8" hidden="false" customHeight="false" outlineLevel="0" collapsed="false">
      <c r="A32" s="36" t="s">
        <v>599</v>
      </c>
      <c r="B32" s="0" t="s">
        <v>509</v>
      </c>
      <c r="D32" s="0" t="s">
        <v>516</v>
      </c>
      <c r="E32" s="0" t="s">
        <v>602</v>
      </c>
      <c r="F32" s="0" t="s">
        <v>511</v>
      </c>
      <c r="I32" s="8" t="s">
        <v>601</v>
      </c>
      <c r="K32" s="0" t="s">
        <v>526</v>
      </c>
    </row>
    <row r="33" customFormat="false" ht="13.8" hidden="false" customHeight="false" outlineLevel="0" collapsed="false">
      <c r="A33" s="36" t="s">
        <v>603</v>
      </c>
      <c r="B33" s="0" t="s">
        <v>509</v>
      </c>
      <c r="D33" s="0" t="s">
        <v>516</v>
      </c>
      <c r="E33" s="0" t="s">
        <v>606</v>
      </c>
      <c r="F33" s="0" t="s">
        <v>511</v>
      </c>
      <c r="I33" s="8" t="s">
        <v>605</v>
      </c>
      <c r="K33" s="0" t="s">
        <v>526</v>
      </c>
    </row>
    <row r="34" customFormat="false" ht="13.8" hidden="false" customHeight="false" outlineLevel="0" collapsed="false">
      <c r="A34" s="36" t="s">
        <v>607</v>
      </c>
      <c r="B34" s="0" t="s">
        <v>509</v>
      </c>
      <c r="D34" s="0" t="s">
        <v>516</v>
      </c>
      <c r="E34" s="0" t="s">
        <v>517</v>
      </c>
      <c r="F34" s="0" t="s">
        <v>511</v>
      </c>
      <c r="I34" s="8" t="s">
        <v>609</v>
      </c>
      <c r="K34" s="0" t="s">
        <v>526</v>
      </c>
    </row>
    <row r="35" customFormat="false" ht="13.8" hidden="false" customHeight="false" outlineLevel="0" collapsed="false">
      <c r="A35" s="36" t="s">
        <v>610</v>
      </c>
      <c r="B35" s="0" t="s">
        <v>509</v>
      </c>
      <c r="D35" s="0" t="s">
        <v>510</v>
      </c>
      <c r="E35" s="0" t="s">
        <v>613</v>
      </c>
      <c r="F35" s="0" t="s">
        <v>511</v>
      </c>
      <c r="I35" s="8" t="s">
        <v>612</v>
      </c>
      <c r="K35" s="0" t="s">
        <v>585</v>
      </c>
    </row>
    <row r="36" customFormat="false" ht="13.8" hidden="false" customHeight="false" outlineLevel="0" collapsed="false">
      <c r="A36" s="36" t="s">
        <v>614</v>
      </c>
      <c r="B36" s="0" t="s">
        <v>509</v>
      </c>
      <c r="D36" s="0" t="s">
        <v>516</v>
      </c>
      <c r="E36" s="0" t="s">
        <v>554</v>
      </c>
      <c r="F36" s="0" t="s">
        <v>511</v>
      </c>
      <c r="I36" s="8" t="s">
        <v>616</v>
      </c>
      <c r="K36" s="0" t="s">
        <v>526</v>
      </c>
    </row>
    <row r="37" customFormat="false" ht="13.8" hidden="false" customHeight="false" outlineLevel="0" collapsed="false">
      <c r="A37" s="35" t="s">
        <v>617</v>
      </c>
      <c r="B37" s="0" t="s">
        <v>509</v>
      </c>
      <c r="D37" s="0" t="s">
        <v>516</v>
      </c>
      <c r="E37" s="0" t="s">
        <v>546</v>
      </c>
      <c r="F37" s="0" t="s">
        <v>511</v>
      </c>
      <c r="I37" s="8" t="s">
        <v>619</v>
      </c>
      <c r="K37" s="0" t="s">
        <v>526</v>
      </c>
    </row>
    <row r="38" customFormat="false" ht="13.8" hidden="false" customHeight="false" outlineLevel="0" collapsed="false">
      <c r="A38" s="36" t="s">
        <v>620</v>
      </c>
      <c r="B38" s="0" t="s">
        <v>509</v>
      </c>
      <c r="D38" s="0" t="s">
        <v>516</v>
      </c>
      <c r="E38" s="0" t="s">
        <v>546</v>
      </c>
      <c r="F38" s="0" t="s">
        <v>511</v>
      </c>
      <c r="I38" s="8" t="s">
        <v>622</v>
      </c>
      <c r="K38" s="0" t="s">
        <v>526</v>
      </c>
    </row>
    <row r="39" customFormat="false" ht="13.8" hidden="false" customHeight="false" outlineLevel="0" collapsed="false">
      <c r="A39" s="36" t="s">
        <v>623</v>
      </c>
      <c r="B39" s="0" t="s">
        <v>509</v>
      </c>
      <c r="D39" s="0" t="s">
        <v>510</v>
      </c>
      <c r="E39" s="0" t="s">
        <v>626</v>
      </c>
      <c r="F39" s="0" t="s">
        <v>511</v>
      </c>
      <c r="I39" s="8" t="s">
        <v>625</v>
      </c>
      <c r="K39" s="0" t="s">
        <v>526</v>
      </c>
    </row>
    <row r="40" customFormat="false" ht="13.8" hidden="false" customHeight="false" outlineLevel="0" collapsed="false">
      <c r="A40" s="36" t="s">
        <v>627</v>
      </c>
      <c r="B40" s="0" t="s">
        <v>509</v>
      </c>
      <c r="D40" s="0" t="s">
        <v>510</v>
      </c>
      <c r="E40" s="0" t="s">
        <v>606</v>
      </c>
      <c r="F40" s="0" t="s">
        <v>511</v>
      </c>
      <c r="I40" s="8" t="s">
        <v>629</v>
      </c>
      <c r="K40" s="0" t="s">
        <v>526</v>
      </c>
    </row>
    <row r="41" customFormat="false" ht="13.8" hidden="false" customHeight="false" outlineLevel="0" collapsed="false">
      <c r="A41" s="36" t="s">
        <v>630</v>
      </c>
      <c r="B41" s="0" t="s">
        <v>509</v>
      </c>
      <c r="D41" s="0" t="s">
        <v>516</v>
      </c>
      <c r="E41" s="0" t="s">
        <v>554</v>
      </c>
      <c r="F41" s="0" t="s">
        <v>511</v>
      </c>
      <c r="I41" s="8" t="s">
        <v>632</v>
      </c>
      <c r="K41" s="0" t="s">
        <v>526</v>
      </c>
    </row>
    <row r="42" customFormat="false" ht="13.8" hidden="false" customHeight="false" outlineLevel="0" collapsed="false">
      <c r="A42" s="36" t="s">
        <v>633</v>
      </c>
      <c r="B42" s="0" t="s">
        <v>509</v>
      </c>
      <c r="D42" s="0" t="s">
        <v>516</v>
      </c>
      <c r="E42" s="0" t="s">
        <v>595</v>
      </c>
      <c r="F42" s="0" t="s">
        <v>511</v>
      </c>
      <c r="I42" s="8" t="s">
        <v>635</v>
      </c>
      <c r="K42" s="0" t="s">
        <v>526</v>
      </c>
    </row>
    <row r="43" customFormat="false" ht="13.8" hidden="false" customHeight="false" outlineLevel="0" collapsed="false">
      <c r="A43" s="36" t="s">
        <v>636</v>
      </c>
      <c r="B43" s="0" t="s">
        <v>509</v>
      </c>
      <c r="D43" s="0" t="s">
        <v>510</v>
      </c>
      <c r="E43" s="0" t="s">
        <v>541</v>
      </c>
      <c r="F43" s="0" t="s">
        <v>511</v>
      </c>
      <c r="I43" s="8" t="s">
        <v>638</v>
      </c>
      <c r="K43" s="0" t="s">
        <v>526</v>
      </c>
    </row>
    <row r="44" customFormat="false" ht="13.8" hidden="false" customHeight="false" outlineLevel="0" collapsed="false">
      <c r="A44" s="36" t="s">
        <v>639</v>
      </c>
      <c r="B44" s="0" t="s">
        <v>509</v>
      </c>
      <c r="D44" s="0" t="s">
        <v>510</v>
      </c>
      <c r="E44" s="0" t="s">
        <v>642</v>
      </c>
      <c r="F44" s="0" t="s">
        <v>511</v>
      </c>
      <c r="I44" s="8" t="s">
        <v>641</v>
      </c>
      <c r="K44" s="0" t="s">
        <v>526</v>
      </c>
    </row>
    <row r="45" customFormat="false" ht="13.8" hidden="false" customHeight="false" outlineLevel="0" collapsed="false">
      <c r="A45" s="36" t="s">
        <v>643</v>
      </c>
      <c r="B45" s="0" t="s">
        <v>509</v>
      </c>
      <c r="D45" s="0" t="s">
        <v>516</v>
      </c>
      <c r="E45" s="0" t="s">
        <v>521</v>
      </c>
      <c r="F45" s="0" t="s">
        <v>511</v>
      </c>
      <c r="I45" s="8" t="s">
        <v>645</v>
      </c>
      <c r="K45" s="0" t="s">
        <v>526</v>
      </c>
    </row>
    <row r="46" customFormat="false" ht="13.8" hidden="false" customHeight="false" outlineLevel="0" collapsed="false">
      <c r="A46" s="36" t="s">
        <v>646</v>
      </c>
      <c r="B46" s="0" t="s">
        <v>509</v>
      </c>
      <c r="D46" s="0" t="s">
        <v>510</v>
      </c>
      <c r="E46" s="0" t="s">
        <v>517</v>
      </c>
      <c r="F46" s="0" t="s">
        <v>511</v>
      </c>
      <c r="I46" s="8" t="s">
        <v>648</v>
      </c>
      <c r="K46" s="0" t="s">
        <v>526</v>
      </c>
    </row>
    <row r="47" customFormat="false" ht="13.8" hidden="false" customHeight="false" outlineLevel="0" collapsed="false">
      <c r="A47" s="36" t="s">
        <v>649</v>
      </c>
      <c r="B47" s="0" t="s">
        <v>509</v>
      </c>
      <c r="D47" s="0" t="s">
        <v>516</v>
      </c>
      <c r="E47" s="0" t="s">
        <v>652</v>
      </c>
      <c r="F47" s="0" t="s">
        <v>511</v>
      </c>
      <c r="I47" s="8" t="s">
        <v>651</v>
      </c>
      <c r="K47" s="0" t="s">
        <v>526</v>
      </c>
    </row>
    <row r="48" customFormat="false" ht="13.8" hidden="false" customHeight="false" outlineLevel="0" collapsed="false">
      <c r="A48" s="36" t="s">
        <v>653</v>
      </c>
      <c r="B48" s="0" t="s">
        <v>509</v>
      </c>
      <c r="D48" s="0" t="s">
        <v>510</v>
      </c>
      <c r="E48" s="0" t="s">
        <v>554</v>
      </c>
      <c r="F48" s="0" t="s">
        <v>511</v>
      </c>
      <c r="I48" s="8" t="s">
        <v>655</v>
      </c>
      <c r="K48" s="0" t="s">
        <v>526</v>
      </c>
    </row>
    <row r="49" customFormat="false" ht="13.8" hidden="false" customHeight="false" outlineLevel="0" collapsed="false">
      <c r="A49" s="36" t="s">
        <v>656</v>
      </c>
      <c r="B49" s="0" t="s">
        <v>509</v>
      </c>
      <c r="D49" s="0" t="s">
        <v>510</v>
      </c>
      <c r="E49" s="0" t="s">
        <v>659</v>
      </c>
      <c r="F49" s="0" t="s">
        <v>511</v>
      </c>
      <c r="I49" s="8" t="s">
        <v>658</v>
      </c>
      <c r="K49" s="0" t="s">
        <v>526</v>
      </c>
    </row>
    <row r="50" customFormat="false" ht="13.8" hidden="false" customHeight="false" outlineLevel="0" collapsed="false">
      <c r="A50" s="36" t="s">
        <v>660</v>
      </c>
      <c r="B50" s="0" t="s">
        <v>426</v>
      </c>
      <c r="C50" s="0" t="n">
        <v>201203042</v>
      </c>
      <c r="D50" s="0" t="s">
        <v>510</v>
      </c>
      <c r="E50" s="0" t="s">
        <v>664</v>
      </c>
      <c r="F50" s="0" t="s">
        <v>511</v>
      </c>
      <c r="I50" s="8" t="s">
        <v>662</v>
      </c>
      <c r="J50" s="28" t="s">
        <v>663</v>
      </c>
      <c r="K50" s="28" t="s">
        <v>486</v>
      </c>
      <c r="L50" s="28"/>
      <c r="M50" s="28" t="s">
        <v>558</v>
      </c>
      <c r="N50" s="28" t="s">
        <v>487</v>
      </c>
      <c r="O50" s="28"/>
      <c r="P50" s="28"/>
      <c r="Q50" s="28" t="s">
        <v>558</v>
      </c>
    </row>
    <row r="51" customFormat="false" ht="13.8" hidden="false" customHeight="false" outlineLevel="0" collapsed="false">
      <c r="A51" s="36" t="s">
        <v>665</v>
      </c>
      <c r="B51" s="0" t="s">
        <v>426</v>
      </c>
      <c r="C51" s="0" t="n">
        <v>201203042</v>
      </c>
      <c r="D51" s="0" t="s">
        <v>516</v>
      </c>
      <c r="E51" s="0" t="s">
        <v>669</v>
      </c>
      <c r="F51" s="0" t="s">
        <v>558</v>
      </c>
      <c r="I51" s="8" t="s">
        <v>667</v>
      </c>
      <c r="J51" s="28" t="s">
        <v>668</v>
      </c>
      <c r="K51" s="28" t="s">
        <v>526</v>
      </c>
      <c r="L51" s="28"/>
      <c r="M51" s="28" t="s">
        <v>558</v>
      </c>
      <c r="N51" s="28" t="s">
        <v>487</v>
      </c>
      <c r="O51" s="28"/>
      <c r="P51" s="28"/>
      <c r="Q51" s="28" t="s">
        <v>558</v>
      </c>
    </row>
    <row r="52" customFormat="false" ht="13.8" hidden="false" customHeight="false" outlineLevel="0" collapsed="false">
      <c r="A52" s="36" t="s">
        <v>670</v>
      </c>
      <c r="B52" s="0" t="s">
        <v>426</v>
      </c>
      <c r="C52" s="0" t="n">
        <v>201203042</v>
      </c>
      <c r="D52" s="0" t="s">
        <v>516</v>
      </c>
      <c r="E52" s="0" t="s">
        <v>602</v>
      </c>
      <c r="F52" s="0" t="s">
        <v>511</v>
      </c>
      <c r="I52" s="8" t="s">
        <v>672</v>
      </c>
      <c r="J52" s="28" t="s">
        <v>673</v>
      </c>
      <c r="K52" s="28" t="s">
        <v>585</v>
      </c>
      <c r="L52" s="28"/>
      <c r="M52" s="28" t="s">
        <v>558</v>
      </c>
      <c r="N52" s="28" t="s">
        <v>487</v>
      </c>
      <c r="O52" s="28"/>
      <c r="P52" s="28"/>
      <c r="Q52" s="28" t="s">
        <v>558</v>
      </c>
    </row>
    <row r="53" customFormat="false" ht="13.8" hidden="false" customHeight="false" outlineLevel="0" collapsed="false">
      <c r="A53" s="36" t="s">
        <v>674</v>
      </c>
      <c r="B53" s="0" t="s">
        <v>426</v>
      </c>
      <c r="D53" s="0" t="s">
        <v>516</v>
      </c>
      <c r="E53" s="0" t="s">
        <v>427</v>
      </c>
      <c r="F53" s="0" t="s">
        <v>558</v>
      </c>
      <c r="I53" s="0" t="n">
        <v>66</v>
      </c>
      <c r="J53" s="28" t="n">
        <v>66</v>
      </c>
      <c r="K53" s="28" t="s">
        <v>676</v>
      </c>
      <c r="L53" s="28"/>
      <c r="M53" s="28" t="s">
        <v>558</v>
      </c>
      <c r="N53" s="28" t="s">
        <v>487</v>
      </c>
      <c r="O53" s="28"/>
      <c r="P53" s="28"/>
      <c r="Q53" s="28"/>
    </row>
    <row r="54" customFormat="false" ht="13.8" hidden="false" customHeight="false" outlineLevel="0" collapsed="false">
      <c r="A54" s="36" t="s">
        <v>677</v>
      </c>
      <c r="B54" s="0" t="s">
        <v>426</v>
      </c>
      <c r="D54" s="0" t="s">
        <v>516</v>
      </c>
      <c r="E54" s="0" t="s">
        <v>427</v>
      </c>
      <c r="F54" s="0" t="s">
        <v>558</v>
      </c>
      <c r="I54" s="8" t="n">
        <v>69</v>
      </c>
      <c r="J54" s="28" t="n">
        <v>69</v>
      </c>
      <c r="K54" s="28" t="s">
        <v>676</v>
      </c>
      <c r="L54" s="28"/>
      <c r="M54" s="28" t="s">
        <v>558</v>
      </c>
      <c r="N54" s="28" t="s">
        <v>487</v>
      </c>
      <c r="O54" s="28"/>
      <c r="P54" s="28"/>
      <c r="Q54" s="28"/>
    </row>
    <row r="55" customFormat="false" ht="13.8" hidden="false" customHeight="false" outlineLevel="0" collapsed="false">
      <c r="A55" s="36" t="s">
        <v>679</v>
      </c>
      <c r="B55" s="0" t="s">
        <v>426</v>
      </c>
      <c r="D55" s="0" t="s">
        <v>516</v>
      </c>
      <c r="E55" s="0" t="s">
        <v>427</v>
      </c>
      <c r="F55" s="0" t="s">
        <v>558</v>
      </c>
      <c r="I55" s="8" t="n">
        <v>70</v>
      </c>
      <c r="J55" s="28" t="n">
        <v>70</v>
      </c>
      <c r="K55" s="28" t="s">
        <v>676</v>
      </c>
      <c r="L55" s="28"/>
      <c r="M55" s="28" t="s">
        <v>558</v>
      </c>
      <c r="N55" s="28" t="s">
        <v>487</v>
      </c>
      <c r="O55" s="28"/>
      <c r="P55" s="28"/>
      <c r="Q55" s="28"/>
    </row>
    <row r="56" customFormat="false" ht="13.8" hidden="false" customHeight="false" outlineLevel="0" collapsed="false">
      <c r="A56" s="36" t="s">
        <v>681</v>
      </c>
      <c r="B56" s="0" t="s">
        <v>426</v>
      </c>
      <c r="D56" s="0" t="s">
        <v>516</v>
      </c>
      <c r="E56" s="0" t="s">
        <v>427</v>
      </c>
      <c r="F56" s="0" t="s">
        <v>558</v>
      </c>
      <c r="I56" s="8" t="n">
        <v>83</v>
      </c>
      <c r="J56" s="28" t="n">
        <v>83</v>
      </c>
      <c r="K56" s="28" t="s">
        <v>676</v>
      </c>
      <c r="L56" s="28"/>
      <c r="M56" s="28" t="s">
        <v>558</v>
      </c>
      <c r="N56" s="28" t="s">
        <v>487</v>
      </c>
      <c r="O56" s="28"/>
      <c r="P56" s="28"/>
      <c r="Q56" s="28"/>
    </row>
    <row r="57" customFormat="false" ht="13.8" hidden="false" customHeight="false" outlineLevel="0" collapsed="false">
      <c r="A57" s="36" t="s">
        <v>683</v>
      </c>
      <c r="B57" s="0" t="s">
        <v>426</v>
      </c>
      <c r="D57" s="0" t="s">
        <v>516</v>
      </c>
      <c r="E57" s="0" t="s">
        <v>427</v>
      </c>
      <c r="F57" s="0" t="s">
        <v>558</v>
      </c>
      <c r="I57" s="8" t="n">
        <v>85</v>
      </c>
      <c r="J57" s="28" t="n">
        <v>85</v>
      </c>
      <c r="K57" s="28" t="s">
        <v>676</v>
      </c>
      <c r="L57" s="28"/>
      <c r="M57" s="28" t="s">
        <v>558</v>
      </c>
      <c r="N57" s="28" t="s">
        <v>487</v>
      </c>
      <c r="O57" s="28"/>
      <c r="P57" s="28"/>
      <c r="Q57" s="28"/>
    </row>
    <row r="58" customFormat="false" ht="13.8" hidden="false" customHeight="false" outlineLevel="0" collapsed="false">
      <c r="A58" s="36" t="s">
        <v>685</v>
      </c>
      <c r="B58" s="0" t="s">
        <v>426</v>
      </c>
      <c r="D58" s="0" t="s">
        <v>516</v>
      </c>
      <c r="E58" s="0" t="s">
        <v>427</v>
      </c>
      <c r="F58" s="0" t="s">
        <v>558</v>
      </c>
      <c r="I58" s="8" t="n">
        <v>86</v>
      </c>
      <c r="J58" s="28" t="n">
        <v>86</v>
      </c>
      <c r="K58" s="28" t="s">
        <v>676</v>
      </c>
      <c r="L58" s="28"/>
      <c r="M58" s="28" t="s">
        <v>558</v>
      </c>
      <c r="N58" s="28" t="s">
        <v>487</v>
      </c>
      <c r="O58" s="28"/>
      <c r="P58" s="28"/>
      <c r="Q58" s="28"/>
    </row>
    <row r="59" customFormat="false" ht="13.8" hidden="false" customHeight="false" outlineLevel="0" collapsed="false">
      <c r="A59" s="36" t="s">
        <v>687</v>
      </c>
      <c r="E59" s="0" t="s">
        <v>427</v>
      </c>
      <c r="I59" s="0" t="s">
        <v>689</v>
      </c>
      <c r="K59" s="0" t="s">
        <v>542</v>
      </c>
    </row>
    <row r="60" customFormat="false" ht="13.8" hidden="false" customHeight="false" outlineLevel="0" collapsed="false">
      <c r="A60" s="36" t="s">
        <v>690</v>
      </c>
      <c r="B60" s="0" t="s">
        <v>426</v>
      </c>
      <c r="C60" s="0" t="n">
        <v>201203042</v>
      </c>
      <c r="D60" s="0" t="s">
        <v>516</v>
      </c>
      <c r="E60" s="0" t="s">
        <v>566</v>
      </c>
      <c r="F60" s="0" t="s">
        <v>511</v>
      </c>
      <c r="I60" s="8" t="s">
        <v>692</v>
      </c>
      <c r="J60" s="28" t="s">
        <v>693</v>
      </c>
      <c r="K60" s="28" t="s">
        <v>486</v>
      </c>
      <c r="L60" s="28"/>
      <c r="M60" s="28" t="s">
        <v>558</v>
      </c>
      <c r="N60" s="28" t="s">
        <v>487</v>
      </c>
      <c r="O60" s="28"/>
      <c r="P60" s="28"/>
      <c r="Q60" s="28" t="s">
        <v>511</v>
      </c>
    </row>
    <row r="61" customFormat="false" ht="13.8" hidden="false" customHeight="false" outlineLevel="0" collapsed="false">
      <c r="A61" s="36" t="s">
        <v>694</v>
      </c>
      <c r="B61" s="0" t="s">
        <v>426</v>
      </c>
      <c r="C61" s="0" t="n">
        <v>201203042</v>
      </c>
      <c r="D61" s="0" t="s">
        <v>510</v>
      </c>
      <c r="E61" s="0" t="s">
        <v>698</v>
      </c>
      <c r="F61" s="0" t="s">
        <v>511</v>
      </c>
      <c r="I61" s="8" t="s">
        <v>696</v>
      </c>
      <c r="J61" s="28" t="s">
        <v>697</v>
      </c>
      <c r="K61" s="28" t="s">
        <v>486</v>
      </c>
      <c r="L61" s="28" t="s">
        <v>699</v>
      </c>
      <c r="M61" s="28" t="s">
        <v>558</v>
      </c>
      <c r="N61" s="28" t="s">
        <v>487</v>
      </c>
      <c r="O61" s="28"/>
      <c r="P61" s="28"/>
      <c r="Q61" s="28" t="s">
        <v>558</v>
      </c>
    </row>
    <row r="62" customFormat="false" ht="13.8" hidden="false" customHeight="false" outlineLevel="0" collapsed="false">
      <c r="A62" s="36" t="s">
        <v>700</v>
      </c>
      <c r="B62" s="0" t="s">
        <v>426</v>
      </c>
      <c r="C62" s="0" t="n">
        <v>201203042</v>
      </c>
      <c r="D62" s="0" t="s">
        <v>510</v>
      </c>
      <c r="E62" s="0" t="s">
        <v>704</v>
      </c>
      <c r="F62" s="0" t="s">
        <v>511</v>
      </c>
      <c r="I62" s="8" t="s">
        <v>702</v>
      </c>
      <c r="J62" s="28" t="s">
        <v>703</v>
      </c>
      <c r="K62" s="28" t="s">
        <v>486</v>
      </c>
      <c r="L62" s="28"/>
      <c r="M62" s="28" t="s">
        <v>558</v>
      </c>
      <c r="N62" s="28" t="s">
        <v>487</v>
      </c>
      <c r="O62" s="28"/>
      <c r="P62" s="28"/>
      <c r="Q62" s="28" t="s">
        <v>558</v>
      </c>
    </row>
    <row r="63" customFormat="false" ht="13.8" hidden="false" customHeight="false" outlineLevel="0" collapsed="false">
      <c r="A63" s="36" t="s">
        <v>705</v>
      </c>
      <c r="B63" s="0" t="s">
        <v>426</v>
      </c>
      <c r="C63" s="0" t="n">
        <v>201203042</v>
      </c>
      <c r="D63" s="0" t="s">
        <v>510</v>
      </c>
      <c r="E63" s="0" t="s">
        <v>709</v>
      </c>
      <c r="F63" s="0" t="s">
        <v>558</v>
      </c>
      <c r="I63" s="8" t="s">
        <v>707</v>
      </c>
      <c r="J63" s="28" t="s">
        <v>708</v>
      </c>
      <c r="K63" s="28" t="s">
        <v>486</v>
      </c>
      <c r="L63" s="28"/>
      <c r="M63" s="28" t="s">
        <v>558</v>
      </c>
      <c r="N63" s="28" t="s">
        <v>710</v>
      </c>
      <c r="O63" s="28"/>
      <c r="P63" s="28"/>
      <c r="Q63" s="28" t="s">
        <v>511</v>
      </c>
    </row>
    <row r="64" customFormat="false" ht="13.8" hidden="false" customHeight="false" outlineLevel="0" collapsed="false">
      <c r="A64" s="36" t="s">
        <v>711</v>
      </c>
      <c r="B64" s="0" t="s">
        <v>426</v>
      </c>
      <c r="C64" s="0" t="n">
        <v>201203042</v>
      </c>
      <c r="D64" s="0" t="s">
        <v>516</v>
      </c>
      <c r="E64" s="0" t="s">
        <v>715</v>
      </c>
      <c r="F64" s="0" t="s">
        <v>558</v>
      </c>
      <c r="I64" s="8" t="s">
        <v>713</v>
      </c>
      <c r="J64" s="28" t="s">
        <v>714</v>
      </c>
      <c r="K64" s="28" t="s">
        <v>486</v>
      </c>
      <c r="L64" s="28"/>
      <c r="M64" s="28" t="s">
        <v>558</v>
      </c>
      <c r="N64" s="28" t="s">
        <v>716</v>
      </c>
      <c r="O64" s="28"/>
      <c r="P64" s="28"/>
      <c r="Q64" s="28" t="s">
        <v>558</v>
      </c>
    </row>
    <row r="65" customFormat="false" ht="13.8" hidden="false" customHeight="false" outlineLevel="0" collapsed="false">
      <c r="A65" s="36" t="s">
        <v>717</v>
      </c>
      <c r="B65" s="0" t="s">
        <v>426</v>
      </c>
      <c r="C65" s="0" t="n">
        <v>201203042</v>
      </c>
      <c r="D65" s="0" t="s">
        <v>510</v>
      </c>
      <c r="E65" s="0" t="s">
        <v>721</v>
      </c>
      <c r="F65" s="0" t="s">
        <v>558</v>
      </c>
      <c r="I65" s="8" t="s">
        <v>719</v>
      </c>
      <c r="J65" s="28" t="s">
        <v>720</v>
      </c>
      <c r="K65" s="28" t="s">
        <v>486</v>
      </c>
      <c r="L65" s="28"/>
      <c r="M65" s="28" t="s">
        <v>558</v>
      </c>
      <c r="N65" s="28" t="s">
        <v>487</v>
      </c>
      <c r="O65" s="28"/>
      <c r="P65" s="28"/>
      <c r="Q65" s="28" t="s">
        <v>511</v>
      </c>
    </row>
    <row r="66" customFormat="false" ht="13.8" hidden="false" customHeight="false" outlineLevel="0" collapsed="false">
      <c r="A66" s="36" t="s">
        <v>722</v>
      </c>
      <c r="B66" s="0" t="s">
        <v>426</v>
      </c>
      <c r="C66" s="0" t="n">
        <v>201203042</v>
      </c>
      <c r="D66" s="0" t="s">
        <v>516</v>
      </c>
      <c r="E66" s="0" t="s">
        <v>595</v>
      </c>
      <c r="F66" s="0" t="s">
        <v>511</v>
      </c>
      <c r="I66" s="8" t="s">
        <v>724</v>
      </c>
      <c r="J66" s="28" t="s">
        <v>725</v>
      </c>
      <c r="K66" s="28" t="s">
        <v>486</v>
      </c>
      <c r="L66" s="28"/>
      <c r="M66" s="28" t="s">
        <v>558</v>
      </c>
      <c r="N66" s="28" t="s">
        <v>487</v>
      </c>
      <c r="O66" s="28"/>
      <c r="P66" s="28"/>
      <c r="Q66" s="28" t="s">
        <v>511</v>
      </c>
    </row>
    <row r="67" customFormat="false" ht="13.8" hidden="false" customHeight="false" outlineLevel="0" collapsed="false">
      <c r="A67" s="36" t="s">
        <v>726</v>
      </c>
      <c r="B67" s="0" t="s">
        <v>426</v>
      </c>
      <c r="C67" s="0" t="n">
        <v>201203042</v>
      </c>
      <c r="D67" s="0" t="s">
        <v>516</v>
      </c>
      <c r="E67" s="0" t="s">
        <v>704</v>
      </c>
      <c r="F67" s="0" t="s">
        <v>511</v>
      </c>
      <c r="I67" s="8" t="s">
        <v>728</v>
      </c>
      <c r="J67" s="28" t="s">
        <v>729</v>
      </c>
      <c r="K67" s="28" t="s">
        <v>526</v>
      </c>
      <c r="L67" s="28"/>
      <c r="M67" s="28" t="s">
        <v>558</v>
      </c>
      <c r="N67" s="28" t="s">
        <v>487</v>
      </c>
      <c r="O67" s="28"/>
      <c r="P67" s="28"/>
      <c r="Q67" s="28" t="s">
        <v>558</v>
      </c>
    </row>
    <row r="68" customFormat="false" ht="13.8" hidden="false" customHeight="false" outlineLevel="0" collapsed="false">
      <c r="A68" s="36" t="s">
        <v>730</v>
      </c>
      <c r="B68" s="0" t="s">
        <v>426</v>
      </c>
      <c r="C68" s="0" t="n">
        <v>201203042</v>
      </c>
      <c r="D68" s="0" t="s">
        <v>516</v>
      </c>
      <c r="E68" s="0" t="s">
        <v>525</v>
      </c>
      <c r="F68" s="0" t="s">
        <v>511</v>
      </c>
      <c r="I68" s="8" t="s">
        <v>732</v>
      </c>
      <c r="J68" s="28" t="s">
        <v>733</v>
      </c>
      <c r="K68" s="28" t="s">
        <v>526</v>
      </c>
      <c r="L68" s="28"/>
      <c r="M68" s="28" t="s">
        <v>558</v>
      </c>
      <c r="N68" s="28" t="s">
        <v>487</v>
      </c>
      <c r="O68" s="28"/>
      <c r="P68" s="28"/>
      <c r="Q68" s="28" t="s">
        <v>558</v>
      </c>
    </row>
    <row r="69" customFormat="false" ht="13.8" hidden="false" customHeight="false" outlineLevel="0" collapsed="false">
      <c r="A69" s="36" t="s">
        <v>734</v>
      </c>
      <c r="B69" s="0" t="s">
        <v>426</v>
      </c>
      <c r="C69" s="0" t="n">
        <v>201203042</v>
      </c>
      <c r="D69" s="0" t="s">
        <v>510</v>
      </c>
      <c r="E69" s="0" t="s">
        <v>738</v>
      </c>
      <c r="F69" s="0" t="s">
        <v>511</v>
      </c>
      <c r="I69" s="8" t="s">
        <v>736</v>
      </c>
      <c r="J69" s="28" t="s">
        <v>737</v>
      </c>
      <c r="K69" s="28" t="s">
        <v>526</v>
      </c>
      <c r="L69" s="28"/>
      <c r="M69" s="28" t="s">
        <v>558</v>
      </c>
      <c r="N69" s="28" t="s">
        <v>487</v>
      </c>
      <c r="O69" s="28"/>
      <c r="P69" s="28"/>
      <c r="Q69" s="28" t="s">
        <v>558</v>
      </c>
    </row>
    <row r="70" customFormat="false" ht="13.8" hidden="false" customHeight="false" outlineLevel="0" collapsed="false">
      <c r="A70" s="36" t="s">
        <v>739</v>
      </c>
      <c r="B70" s="0" t="s">
        <v>426</v>
      </c>
      <c r="C70" s="0" t="n">
        <v>201203042</v>
      </c>
      <c r="D70" s="0" t="s">
        <v>510</v>
      </c>
      <c r="E70" s="0" t="s">
        <v>525</v>
      </c>
      <c r="F70" s="0" t="s">
        <v>511</v>
      </c>
      <c r="I70" s="8" t="s">
        <v>741</v>
      </c>
      <c r="J70" s="28" t="s">
        <v>742</v>
      </c>
      <c r="K70" s="28" t="s">
        <v>526</v>
      </c>
      <c r="L70" s="28"/>
      <c r="M70" s="28" t="s">
        <v>558</v>
      </c>
      <c r="N70" s="28" t="s">
        <v>487</v>
      </c>
      <c r="O70" s="28"/>
      <c r="P70" s="28"/>
      <c r="Q70" s="28" t="s">
        <v>558</v>
      </c>
    </row>
    <row r="71" customFormat="false" ht="13.8" hidden="false" customHeight="false" outlineLevel="0" collapsed="false">
      <c r="A71" s="36" t="s">
        <v>743</v>
      </c>
      <c r="B71" s="0" t="s">
        <v>426</v>
      </c>
      <c r="C71" s="0" t="n">
        <v>201203042</v>
      </c>
      <c r="D71" s="0" t="s">
        <v>510</v>
      </c>
      <c r="E71" s="0" t="s">
        <v>747</v>
      </c>
      <c r="F71" s="0" t="s">
        <v>511</v>
      </c>
      <c r="I71" s="8" t="s">
        <v>745</v>
      </c>
      <c r="J71" s="28" t="s">
        <v>746</v>
      </c>
      <c r="K71" s="28" t="s">
        <v>526</v>
      </c>
      <c r="L71" s="28"/>
      <c r="M71" s="28" t="s">
        <v>558</v>
      </c>
      <c r="N71" s="28" t="s">
        <v>487</v>
      </c>
      <c r="O71" s="28"/>
      <c r="P71" s="28"/>
      <c r="Q71" s="28" t="s">
        <v>558</v>
      </c>
    </row>
    <row r="72" customFormat="false" ht="13.8" hidden="false" customHeight="false" outlineLevel="0" collapsed="false">
      <c r="A72" s="36" t="s">
        <v>748</v>
      </c>
      <c r="B72" s="0" t="s">
        <v>426</v>
      </c>
      <c r="C72" s="0" t="n">
        <v>201203042</v>
      </c>
      <c r="D72" s="0" t="s">
        <v>510</v>
      </c>
      <c r="E72" s="0" t="s">
        <v>541</v>
      </c>
      <c r="F72" s="0" t="s">
        <v>511</v>
      </c>
      <c r="I72" s="8" t="s">
        <v>750</v>
      </c>
      <c r="J72" s="28" t="s">
        <v>751</v>
      </c>
      <c r="K72" s="28" t="s">
        <v>752</v>
      </c>
      <c r="L72" s="28" t="s">
        <v>526</v>
      </c>
      <c r="M72" s="28" t="s">
        <v>558</v>
      </c>
      <c r="N72" s="28" t="s">
        <v>753</v>
      </c>
      <c r="O72" s="28"/>
      <c r="P72" s="28"/>
      <c r="Q72" s="28" t="s">
        <v>511</v>
      </c>
    </row>
    <row r="73" customFormat="false" ht="13.8" hidden="false" customHeight="false" outlineLevel="0" collapsed="false">
      <c r="A73" s="36" t="s">
        <v>754</v>
      </c>
      <c r="B73" s="0" t="s">
        <v>426</v>
      </c>
      <c r="C73" s="0" t="n">
        <v>201203042</v>
      </c>
      <c r="D73" s="0" t="s">
        <v>516</v>
      </c>
      <c r="E73" s="0" t="s">
        <v>606</v>
      </c>
      <c r="F73" s="0" t="s">
        <v>511</v>
      </c>
      <c r="I73" s="8" t="s">
        <v>756</v>
      </c>
      <c r="J73" s="28" t="s">
        <v>757</v>
      </c>
      <c r="K73" s="28" t="s">
        <v>526</v>
      </c>
      <c r="L73" s="28"/>
      <c r="M73" s="28" t="s">
        <v>558</v>
      </c>
      <c r="N73" s="28" t="s">
        <v>758</v>
      </c>
      <c r="O73" s="28"/>
      <c r="P73" s="28"/>
      <c r="Q73" s="28" t="s">
        <v>558</v>
      </c>
    </row>
    <row r="74" customFormat="false" ht="13.8" hidden="false" customHeight="false" outlineLevel="0" collapsed="false">
      <c r="A74" s="36" t="s">
        <v>759</v>
      </c>
      <c r="B74" s="0" t="s">
        <v>426</v>
      </c>
      <c r="C74" s="0" t="n">
        <v>201203042</v>
      </c>
      <c r="D74" s="0" t="s">
        <v>510</v>
      </c>
      <c r="E74" s="0" t="s">
        <v>709</v>
      </c>
      <c r="F74" s="0" t="s">
        <v>511</v>
      </c>
      <c r="I74" s="8" t="s">
        <v>761</v>
      </c>
      <c r="J74" s="28" t="s">
        <v>762</v>
      </c>
      <c r="K74" s="28" t="s">
        <v>526</v>
      </c>
      <c r="L74" s="28"/>
      <c r="M74" s="28" t="s">
        <v>558</v>
      </c>
      <c r="N74" s="28" t="s">
        <v>487</v>
      </c>
      <c r="O74" s="28"/>
      <c r="P74" s="28"/>
      <c r="Q74" s="28" t="s">
        <v>558</v>
      </c>
    </row>
    <row r="75" customFormat="false" ht="13.8" hidden="false" customHeight="false" outlineLevel="0" collapsed="false">
      <c r="A75" s="36" t="s">
        <v>763</v>
      </c>
      <c r="B75" s="0" t="s">
        <v>426</v>
      </c>
      <c r="C75" s="0" t="n">
        <v>201203042</v>
      </c>
      <c r="D75" s="0" t="s">
        <v>516</v>
      </c>
      <c r="E75" s="0" t="s">
        <v>767</v>
      </c>
      <c r="F75" s="0" t="s">
        <v>511</v>
      </c>
      <c r="I75" s="8" t="s">
        <v>765</v>
      </c>
      <c r="J75" s="28" t="s">
        <v>766</v>
      </c>
      <c r="K75" s="28" t="s">
        <v>526</v>
      </c>
      <c r="L75" s="28"/>
      <c r="M75" s="28" t="s">
        <v>558</v>
      </c>
      <c r="N75" s="28" t="s">
        <v>487</v>
      </c>
      <c r="O75" s="28"/>
      <c r="P75" s="28"/>
      <c r="Q75" s="28" t="s">
        <v>558</v>
      </c>
    </row>
    <row r="76" customFormat="false" ht="13.8" hidden="false" customHeight="false" outlineLevel="0" collapsed="false">
      <c r="A76" s="36" t="s">
        <v>768</v>
      </c>
      <c r="B76" s="0" t="s">
        <v>426</v>
      </c>
      <c r="C76" s="0" t="n">
        <v>201203042</v>
      </c>
      <c r="D76" s="0" t="s">
        <v>516</v>
      </c>
      <c r="E76" s="0" t="s">
        <v>613</v>
      </c>
      <c r="F76" s="0" t="s">
        <v>511</v>
      </c>
      <c r="I76" s="8" t="s">
        <v>770</v>
      </c>
      <c r="J76" s="28" t="s">
        <v>771</v>
      </c>
      <c r="K76" s="28" t="s">
        <v>526</v>
      </c>
      <c r="L76" s="28"/>
      <c r="M76" s="28" t="s">
        <v>558</v>
      </c>
      <c r="N76" s="28" t="s">
        <v>487</v>
      </c>
      <c r="O76" s="28"/>
      <c r="P76" s="28"/>
      <c r="Q76" s="28" t="s">
        <v>558</v>
      </c>
    </row>
    <row r="77" customFormat="false" ht="13.8" hidden="false" customHeight="false" outlineLevel="0" collapsed="false">
      <c r="A77" s="36" t="s">
        <v>772</v>
      </c>
      <c r="B77" s="0" t="s">
        <v>426</v>
      </c>
      <c r="C77" s="0" t="n">
        <v>201203042</v>
      </c>
      <c r="D77" s="0" t="s">
        <v>510</v>
      </c>
      <c r="E77" s="0" t="s">
        <v>554</v>
      </c>
      <c r="F77" s="0" t="s">
        <v>511</v>
      </c>
      <c r="I77" s="8" t="s">
        <v>774</v>
      </c>
      <c r="J77" s="28" t="s">
        <v>775</v>
      </c>
      <c r="K77" s="28" t="s">
        <v>526</v>
      </c>
      <c r="L77" s="28"/>
      <c r="M77" s="28" t="s">
        <v>558</v>
      </c>
      <c r="N77" s="28" t="s">
        <v>487</v>
      </c>
      <c r="O77" s="28"/>
      <c r="P77" s="28"/>
      <c r="Q77" s="28" t="s">
        <v>558</v>
      </c>
    </row>
    <row r="78" customFormat="false" ht="13.8" hidden="false" customHeight="false" outlineLevel="0" collapsed="false">
      <c r="A78" s="36" t="s">
        <v>776</v>
      </c>
      <c r="B78" s="0" t="s">
        <v>426</v>
      </c>
      <c r="C78" s="0" t="n">
        <v>201203042</v>
      </c>
      <c r="D78" s="0" t="s">
        <v>516</v>
      </c>
      <c r="E78" s="0" t="s">
        <v>664</v>
      </c>
      <c r="F78" s="0" t="s">
        <v>511</v>
      </c>
      <c r="I78" s="8" t="s">
        <v>778</v>
      </c>
      <c r="J78" s="28" t="s">
        <v>779</v>
      </c>
      <c r="K78" s="28" t="s">
        <v>526</v>
      </c>
      <c r="L78" s="28"/>
      <c r="M78" s="28" t="s">
        <v>558</v>
      </c>
      <c r="N78" s="28" t="s">
        <v>487</v>
      </c>
      <c r="O78" s="28"/>
      <c r="P78" s="28"/>
      <c r="Q78" s="28" t="s">
        <v>558</v>
      </c>
    </row>
    <row r="79" customFormat="false" ht="13.8" hidden="false" customHeight="false" outlineLevel="0" collapsed="false">
      <c r="A79" s="36" t="s">
        <v>781</v>
      </c>
      <c r="B79" s="0" t="s">
        <v>426</v>
      </c>
      <c r="C79" s="0" t="n">
        <v>201203042</v>
      </c>
      <c r="D79" s="0" t="s">
        <v>516</v>
      </c>
      <c r="E79" s="0" t="s">
        <v>784</v>
      </c>
      <c r="F79" s="0" t="s">
        <v>511</v>
      </c>
      <c r="I79" s="8" t="s">
        <v>782</v>
      </c>
      <c r="J79" s="28" t="s">
        <v>783</v>
      </c>
      <c r="K79" s="28" t="s">
        <v>526</v>
      </c>
      <c r="L79" s="28"/>
      <c r="M79" s="28" t="s">
        <v>558</v>
      </c>
      <c r="N79" s="28" t="s">
        <v>487</v>
      </c>
      <c r="O79" s="28"/>
      <c r="P79" s="28"/>
      <c r="Q79" s="28" t="s">
        <v>558</v>
      </c>
    </row>
    <row r="80" customFormat="false" ht="13.8" hidden="false" customHeight="false" outlineLevel="0" collapsed="false">
      <c r="A80" s="36" t="s">
        <v>786</v>
      </c>
      <c r="B80" s="0" t="s">
        <v>426</v>
      </c>
      <c r="C80" s="0" t="n">
        <v>201203042</v>
      </c>
      <c r="D80" s="0" t="s">
        <v>516</v>
      </c>
      <c r="E80" s="0" t="s">
        <v>789</v>
      </c>
      <c r="F80" s="0" t="s">
        <v>511</v>
      </c>
      <c r="I80" s="8" t="s">
        <v>787</v>
      </c>
      <c r="J80" s="28" t="s">
        <v>788</v>
      </c>
      <c r="K80" s="28" t="s">
        <v>526</v>
      </c>
      <c r="L80" s="28"/>
      <c r="M80" s="28" t="s">
        <v>558</v>
      </c>
      <c r="N80" s="28" t="s">
        <v>790</v>
      </c>
      <c r="O80" s="28"/>
      <c r="P80" s="28"/>
      <c r="Q80" s="28" t="s">
        <v>558</v>
      </c>
    </row>
    <row r="81" customFormat="false" ht="13.8" hidden="false" customHeight="false" outlineLevel="0" collapsed="false">
      <c r="A81" s="36" t="s">
        <v>792</v>
      </c>
      <c r="B81" s="0" t="s">
        <v>426</v>
      </c>
      <c r="C81" s="0" t="n">
        <v>201203042</v>
      </c>
      <c r="D81" s="0" t="s">
        <v>516</v>
      </c>
      <c r="E81" s="0" t="s">
        <v>606</v>
      </c>
      <c r="F81" s="0" t="s">
        <v>511</v>
      </c>
      <c r="I81" s="8" t="s">
        <v>793</v>
      </c>
      <c r="J81" s="28" t="s">
        <v>794</v>
      </c>
      <c r="K81" s="28" t="s">
        <v>486</v>
      </c>
      <c r="L81" s="28"/>
      <c r="M81" s="28" t="s">
        <v>558</v>
      </c>
      <c r="N81" s="28" t="s">
        <v>758</v>
      </c>
      <c r="O81" s="28"/>
      <c r="P81" s="28"/>
      <c r="Q81" s="28" t="s">
        <v>558</v>
      </c>
    </row>
    <row r="82" customFormat="false" ht="13.8" hidden="false" customHeight="false" outlineLevel="0" collapsed="false">
      <c r="A82" s="36" t="s">
        <v>796</v>
      </c>
      <c r="B82" s="0" t="s">
        <v>426</v>
      </c>
      <c r="C82" s="0" t="n">
        <v>201203042</v>
      </c>
      <c r="D82" s="0" t="s">
        <v>510</v>
      </c>
      <c r="E82" s="0" t="s">
        <v>698</v>
      </c>
      <c r="F82" s="0" t="s">
        <v>511</v>
      </c>
      <c r="I82" s="8" t="s">
        <v>797</v>
      </c>
      <c r="J82" s="28" t="s">
        <v>798</v>
      </c>
      <c r="K82" s="28" t="s">
        <v>526</v>
      </c>
      <c r="L82" s="28"/>
      <c r="M82" s="28" t="s">
        <v>558</v>
      </c>
      <c r="N82" s="28" t="s">
        <v>799</v>
      </c>
      <c r="O82" s="28"/>
      <c r="P82" s="28"/>
      <c r="Q82" s="28" t="s">
        <v>558</v>
      </c>
    </row>
    <row r="83" customFormat="false" ht="13.8" hidden="false" customHeight="false" outlineLevel="0" collapsed="false">
      <c r="A83" s="36" t="s">
        <v>801</v>
      </c>
      <c r="B83" s="0" t="s">
        <v>426</v>
      </c>
      <c r="C83" s="0" t="n">
        <v>201203042</v>
      </c>
      <c r="D83" s="0" t="s">
        <v>510</v>
      </c>
      <c r="E83" s="0" t="s">
        <v>554</v>
      </c>
      <c r="F83" s="0" t="s">
        <v>511</v>
      </c>
      <c r="I83" s="8" t="s">
        <v>802</v>
      </c>
      <c r="J83" s="28" t="s">
        <v>803</v>
      </c>
      <c r="K83" s="28" t="s">
        <v>526</v>
      </c>
      <c r="L83" s="28"/>
      <c r="M83" s="28" t="s">
        <v>558</v>
      </c>
      <c r="N83" s="28" t="s">
        <v>487</v>
      </c>
      <c r="O83" s="28"/>
      <c r="P83" s="28"/>
      <c r="Q83" s="28" t="s">
        <v>558</v>
      </c>
    </row>
    <row r="84" customFormat="false" ht="13.8" hidden="false" customHeight="false" outlineLevel="0" collapsed="false">
      <c r="A84" s="36" t="s">
        <v>805</v>
      </c>
      <c r="B84" s="0" t="s">
        <v>426</v>
      </c>
      <c r="C84" s="0" t="n">
        <v>201203042</v>
      </c>
      <c r="D84" s="0" t="s">
        <v>516</v>
      </c>
      <c r="E84" s="0" t="s">
        <v>559</v>
      </c>
      <c r="F84" s="0" t="s">
        <v>808</v>
      </c>
      <c r="I84" s="8" t="s">
        <v>806</v>
      </c>
      <c r="J84" s="28" t="s">
        <v>807</v>
      </c>
      <c r="K84" s="28" t="s">
        <v>526</v>
      </c>
      <c r="L84" s="28"/>
      <c r="M84" s="28" t="s">
        <v>558</v>
      </c>
      <c r="N84" s="28" t="s">
        <v>487</v>
      </c>
      <c r="O84" s="28"/>
      <c r="P84" s="28"/>
      <c r="Q84" s="28" t="s">
        <v>558</v>
      </c>
    </row>
    <row r="85" customFormat="false" ht="13.8" hidden="false" customHeight="false" outlineLevel="0" collapsed="false">
      <c r="A85" s="36" t="s">
        <v>810</v>
      </c>
      <c r="B85" s="0" t="s">
        <v>426</v>
      </c>
      <c r="C85" s="0" t="n">
        <v>201203042</v>
      </c>
      <c r="D85" s="0" t="s">
        <v>510</v>
      </c>
      <c r="E85" s="0" t="s">
        <v>626</v>
      </c>
      <c r="F85" s="0" t="s">
        <v>511</v>
      </c>
      <c r="I85" s="8" t="s">
        <v>811</v>
      </c>
      <c r="J85" s="28" t="s">
        <v>812</v>
      </c>
      <c r="K85" s="28" t="s">
        <v>526</v>
      </c>
      <c r="L85" s="28"/>
      <c r="M85" s="28" t="s">
        <v>558</v>
      </c>
      <c r="N85" s="28" t="s">
        <v>487</v>
      </c>
      <c r="O85" s="28"/>
      <c r="P85" s="28"/>
      <c r="Q85" s="28" t="s">
        <v>558</v>
      </c>
    </row>
    <row r="86" customFormat="false" ht="13.8" hidden="false" customHeight="false" outlineLevel="0" collapsed="false">
      <c r="A86" s="36" t="s">
        <v>814</v>
      </c>
      <c r="B86" s="0" t="s">
        <v>426</v>
      </c>
      <c r="C86" s="0" t="n">
        <v>201203042</v>
      </c>
      <c r="D86" s="0" t="s">
        <v>510</v>
      </c>
      <c r="E86" s="0" t="s">
        <v>784</v>
      </c>
      <c r="F86" s="0" t="s">
        <v>558</v>
      </c>
      <c r="I86" s="8" t="s">
        <v>815</v>
      </c>
      <c r="J86" s="28" t="s">
        <v>816</v>
      </c>
      <c r="K86" s="28" t="s">
        <v>486</v>
      </c>
      <c r="L86" s="28"/>
      <c r="M86" s="28" t="s">
        <v>558</v>
      </c>
      <c r="N86" s="28" t="s">
        <v>487</v>
      </c>
      <c r="O86" s="28"/>
      <c r="P86" s="28"/>
      <c r="Q86" s="28" t="s">
        <v>511</v>
      </c>
    </row>
    <row r="87" customFormat="false" ht="13.8" hidden="false" customHeight="false" outlineLevel="0" collapsed="false">
      <c r="A87" s="36" t="s">
        <v>818</v>
      </c>
      <c r="B87" s="0" t="s">
        <v>426</v>
      </c>
      <c r="C87" s="0" t="n">
        <v>201203042</v>
      </c>
      <c r="D87" s="0" t="s">
        <v>510</v>
      </c>
      <c r="E87" s="0" t="s">
        <v>698</v>
      </c>
      <c r="F87" s="0" t="s">
        <v>511</v>
      </c>
      <c r="I87" s="8" t="s">
        <v>819</v>
      </c>
      <c r="J87" s="28" t="s">
        <v>820</v>
      </c>
      <c r="K87" s="28" t="s">
        <v>526</v>
      </c>
      <c r="L87" s="28"/>
      <c r="M87" s="28" t="s">
        <v>558</v>
      </c>
      <c r="N87" s="28" t="s">
        <v>487</v>
      </c>
      <c r="O87" s="28"/>
      <c r="P87" s="28"/>
      <c r="Q87" s="28" t="s">
        <v>558</v>
      </c>
    </row>
    <row r="88" customFormat="false" ht="13.8" hidden="false" customHeight="false" outlineLevel="0" collapsed="false">
      <c r="A88" s="36" t="s">
        <v>822</v>
      </c>
      <c r="B88" s="0" t="s">
        <v>426</v>
      </c>
      <c r="C88" s="0" t="n">
        <v>201203042</v>
      </c>
      <c r="D88" s="0" t="s">
        <v>510</v>
      </c>
      <c r="E88" s="0" t="s">
        <v>825</v>
      </c>
      <c r="F88" s="0" t="s">
        <v>511</v>
      </c>
      <c r="I88" s="8" t="s">
        <v>823</v>
      </c>
      <c r="J88" s="28" t="s">
        <v>824</v>
      </c>
      <c r="K88" s="28" t="s">
        <v>526</v>
      </c>
      <c r="L88" s="28"/>
      <c r="M88" s="28" t="s">
        <v>558</v>
      </c>
      <c r="N88" s="28" t="s">
        <v>487</v>
      </c>
      <c r="O88" s="28"/>
      <c r="P88" s="28"/>
      <c r="Q88" s="28" t="s">
        <v>558</v>
      </c>
    </row>
    <row r="89" customFormat="false" ht="13.8" hidden="false" customHeight="false" outlineLevel="0" collapsed="false">
      <c r="A89" s="36" t="s">
        <v>827</v>
      </c>
      <c r="B89" s="0" t="s">
        <v>509</v>
      </c>
      <c r="C89" s="0" t="s">
        <v>487</v>
      </c>
      <c r="D89" s="0" t="s">
        <v>516</v>
      </c>
      <c r="E89" s="0" t="s">
        <v>829</v>
      </c>
      <c r="F89" s="0" t="s">
        <v>558</v>
      </c>
      <c r="I89" s="8" t="s">
        <v>828</v>
      </c>
      <c r="K89" s="0" t="s">
        <v>676</v>
      </c>
      <c r="L89" s="0" t="s">
        <v>487</v>
      </c>
      <c r="M89" s="28" t="s">
        <v>558</v>
      </c>
      <c r="N89" s="28" t="s">
        <v>487</v>
      </c>
      <c r="O89" s="0" t="s">
        <v>487</v>
      </c>
      <c r="P89" s="0" t="s">
        <v>487</v>
      </c>
      <c r="Q89" s="0" t="s">
        <v>487</v>
      </c>
    </row>
    <row r="90" customFormat="false" ht="13.8" hidden="false" customHeight="false" outlineLevel="0" collapsed="false">
      <c r="A90" s="36" t="s">
        <v>831</v>
      </c>
      <c r="B90" s="0" t="s">
        <v>509</v>
      </c>
      <c r="C90" s="0" t="s">
        <v>487</v>
      </c>
      <c r="D90" s="0" t="s">
        <v>516</v>
      </c>
      <c r="E90" s="0" t="s">
        <v>829</v>
      </c>
      <c r="F90" s="0" t="s">
        <v>558</v>
      </c>
      <c r="I90" s="8" t="s">
        <v>832</v>
      </c>
      <c r="K90" s="0" t="s">
        <v>676</v>
      </c>
      <c r="L90" s="0" t="s">
        <v>487</v>
      </c>
      <c r="M90" s="28" t="s">
        <v>558</v>
      </c>
      <c r="N90" s="28" t="s">
        <v>487</v>
      </c>
      <c r="O90" s="0" t="s">
        <v>487</v>
      </c>
      <c r="P90" s="0" t="s">
        <v>487</v>
      </c>
      <c r="Q90" s="0" t="s">
        <v>487</v>
      </c>
    </row>
    <row r="91" customFormat="false" ht="13.8" hidden="false" customHeight="false" outlineLevel="0" collapsed="false">
      <c r="A91" s="36" t="s">
        <v>834</v>
      </c>
      <c r="B91" s="0" t="s">
        <v>509</v>
      </c>
      <c r="C91" s="0" t="s">
        <v>487</v>
      </c>
      <c r="D91" s="0" t="s">
        <v>510</v>
      </c>
      <c r="E91" s="0" t="s">
        <v>829</v>
      </c>
      <c r="F91" s="0" t="s">
        <v>558</v>
      </c>
      <c r="I91" s="8" t="s">
        <v>835</v>
      </c>
      <c r="K91" s="0" t="s">
        <v>676</v>
      </c>
      <c r="L91" s="0" t="s">
        <v>487</v>
      </c>
      <c r="M91" s="28" t="s">
        <v>558</v>
      </c>
      <c r="N91" s="28" t="s">
        <v>487</v>
      </c>
      <c r="O91" s="0" t="s">
        <v>487</v>
      </c>
      <c r="P91" s="0" t="s">
        <v>487</v>
      </c>
      <c r="Q91" s="0" t="s">
        <v>487</v>
      </c>
    </row>
    <row r="92" customFormat="false" ht="13.8" hidden="false" customHeight="false" outlineLevel="0" collapsed="false">
      <c r="A92" s="36" t="s">
        <v>837</v>
      </c>
      <c r="B92" s="0" t="s">
        <v>509</v>
      </c>
      <c r="C92" s="0" t="s">
        <v>487</v>
      </c>
      <c r="D92" s="0" t="s">
        <v>427</v>
      </c>
      <c r="E92" s="0" t="s">
        <v>829</v>
      </c>
      <c r="F92" s="0" t="s">
        <v>558</v>
      </c>
      <c r="I92" s="8" t="s">
        <v>838</v>
      </c>
      <c r="K92" s="0" t="s">
        <v>676</v>
      </c>
      <c r="L92" s="0" t="s">
        <v>487</v>
      </c>
      <c r="M92" s="28" t="s">
        <v>558</v>
      </c>
      <c r="N92" s="0" t="s">
        <v>487</v>
      </c>
      <c r="O92" s="0" t="s">
        <v>487</v>
      </c>
      <c r="P92" s="0" t="s">
        <v>487</v>
      </c>
      <c r="Q92" s="0" t="s">
        <v>487</v>
      </c>
    </row>
    <row r="93" customFormat="false" ht="13.8" hidden="false" customHeight="false" outlineLevel="0" collapsed="false">
      <c r="A93" s="36" t="s">
        <v>840</v>
      </c>
      <c r="B93" s="0" t="s">
        <v>509</v>
      </c>
      <c r="C93" s="0" t="s">
        <v>487</v>
      </c>
      <c r="D93" s="0" t="s">
        <v>510</v>
      </c>
      <c r="E93" s="0" t="s">
        <v>829</v>
      </c>
      <c r="F93" s="0" t="s">
        <v>558</v>
      </c>
      <c r="I93" s="8" t="s">
        <v>841</v>
      </c>
      <c r="K93" s="0" t="s">
        <v>676</v>
      </c>
      <c r="L93" s="0" t="s">
        <v>487</v>
      </c>
      <c r="M93" s="28" t="s">
        <v>558</v>
      </c>
      <c r="N93" s="28" t="s">
        <v>487</v>
      </c>
      <c r="O93" s="0" t="s">
        <v>487</v>
      </c>
      <c r="P93" s="0" t="s">
        <v>487</v>
      </c>
      <c r="Q93" s="0" t="s">
        <v>487</v>
      </c>
    </row>
    <row r="94" customFormat="false" ht="13.8" hidden="false" customHeight="false" outlineLevel="0" collapsed="false">
      <c r="A94" s="36" t="s">
        <v>843</v>
      </c>
      <c r="B94" s="0" t="s">
        <v>509</v>
      </c>
      <c r="C94" s="0" t="s">
        <v>487</v>
      </c>
      <c r="D94" s="0" t="s">
        <v>427</v>
      </c>
      <c r="E94" s="0" t="s">
        <v>829</v>
      </c>
      <c r="F94" s="0" t="s">
        <v>558</v>
      </c>
      <c r="I94" s="8" t="s">
        <v>844</v>
      </c>
      <c r="K94" s="0" t="s">
        <v>676</v>
      </c>
      <c r="L94" s="0" t="s">
        <v>487</v>
      </c>
      <c r="M94" s="28" t="s">
        <v>558</v>
      </c>
      <c r="N94" s="28" t="s">
        <v>487</v>
      </c>
      <c r="O94" s="0" t="s">
        <v>487</v>
      </c>
      <c r="P94" s="0" t="s">
        <v>487</v>
      </c>
      <c r="Q94" s="0" t="s">
        <v>487</v>
      </c>
    </row>
    <row r="95" customFormat="false" ht="13.8" hidden="false" customHeight="false" outlineLevel="0" collapsed="false">
      <c r="A95" s="36" t="s">
        <v>846</v>
      </c>
      <c r="B95" s="0" t="s">
        <v>509</v>
      </c>
      <c r="C95" s="0" t="s">
        <v>487</v>
      </c>
      <c r="D95" s="0" t="s">
        <v>516</v>
      </c>
      <c r="E95" s="0" t="s">
        <v>829</v>
      </c>
      <c r="F95" s="0" t="s">
        <v>558</v>
      </c>
      <c r="I95" s="8" t="s">
        <v>847</v>
      </c>
      <c r="K95" s="0" t="s">
        <v>676</v>
      </c>
      <c r="L95" s="0" t="s">
        <v>487</v>
      </c>
      <c r="M95" s="28" t="s">
        <v>558</v>
      </c>
      <c r="N95" s="28" t="s">
        <v>487</v>
      </c>
      <c r="O95" s="0" t="s">
        <v>487</v>
      </c>
      <c r="P95" s="0" t="s">
        <v>487</v>
      </c>
      <c r="Q95" s="0" t="s">
        <v>487</v>
      </c>
      <c r="R95" s="29" t="n">
        <v>43711</v>
      </c>
    </row>
    <row r="96" customFormat="false" ht="13.8" hidden="false" customHeight="false" outlineLevel="0" collapsed="false">
      <c r="A96" s="36" t="s">
        <v>849</v>
      </c>
      <c r="B96" s="0" t="s">
        <v>509</v>
      </c>
      <c r="C96" s="0" t="s">
        <v>487</v>
      </c>
      <c r="D96" s="0" t="s">
        <v>510</v>
      </c>
      <c r="E96" s="0" t="s">
        <v>829</v>
      </c>
      <c r="F96" s="0" t="s">
        <v>558</v>
      </c>
      <c r="I96" s="8" t="s">
        <v>850</v>
      </c>
      <c r="K96" s="0" t="s">
        <v>676</v>
      </c>
      <c r="L96" s="0" t="s">
        <v>487</v>
      </c>
      <c r="M96" s="28" t="s">
        <v>558</v>
      </c>
      <c r="N96" s="28" t="s">
        <v>487</v>
      </c>
      <c r="O96" s="0" t="s">
        <v>487</v>
      </c>
      <c r="P96" s="0" t="s">
        <v>487</v>
      </c>
      <c r="Q96" s="0" t="s">
        <v>487</v>
      </c>
      <c r="R96" s="29" t="n">
        <v>43872</v>
      </c>
    </row>
    <row r="97" customFormat="false" ht="13.8" hidden="false" customHeight="false" outlineLevel="0" collapsed="false">
      <c r="A97" s="36" t="s">
        <v>852</v>
      </c>
      <c r="B97" s="0" t="s">
        <v>509</v>
      </c>
      <c r="C97" s="0" t="s">
        <v>487</v>
      </c>
      <c r="D97" s="0" t="s">
        <v>510</v>
      </c>
      <c r="E97" s="0" t="s">
        <v>829</v>
      </c>
      <c r="F97" s="0" t="s">
        <v>558</v>
      </c>
      <c r="I97" s="8" t="s">
        <v>853</v>
      </c>
      <c r="K97" s="0" t="s">
        <v>676</v>
      </c>
      <c r="L97" s="0" t="s">
        <v>487</v>
      </c>
      <c r="M97" s="28" t="s">
        <v>558</v>
      </c>
      <c r="N97" s="28" t="s">
        <v>487</v>
      </c>
      <c r="O97" s="0" t="s">
        <v>487</v>
      </c>
      <c r="P97" s="0" t="s">
        <v>487</v>
      </c>
      <c r="Q97" s="0" t="s">
        <v>487</v>
      </c>
      <c r="R97" s="29" t="n">
        <v>43865</v>
      </c>
    </row>
    <row r="98" customFormat="false" ht="13.8" hidden="false" customHeight="false" outlineLevel="0" collapsed="false">
      <c r="A98" s="36" t="s">
        <v>855</v>
      </c>
      <c r="B98" s="0" t="s">
        <v>509</v>
      </c>
      <c r="C98" s="0" t="s">
        <v>487</v>
      </c>
      <c r="D98" s="0" t="s">
        <v>516</v>
      </c>
      <c r="E98" s="0" t="s">
        <v>829</v>
      </c>
      <c r="F98" s="0" t="s">
        <v>558</v>
      </c>
      <c r="I98" s="8" t="s">
        <v>856</v>
      </c>
      <c r="K98" s="0" t="s">
        <v>676</v>
      </c>
      <c r="L98" s="0" t="s">
        <v>487</v>
      </c>
      <c r="M98" s="28" t="s">
        <v>558</v>
      </c>
      <c r="N98" s="28" t="s">
        <v>487</v>
      </c>
      <c r="O98" s="0" t="s">
        <v>487</v>
      </c>
      <c r="P98" s="0" t="s">
        <v>487</v>
      </c>
      <c r="Q98" s="0" t="s">
        <v>487</v>
      </c>
      <c r="R98" s="28" t="s">
        <v>36</v>
      </c>
    </row>
    <row r="99" customFormat="false" ht="13.8" hidden="false" customHeight="false" outlineLevel="0" collapsed="false">
      <c r="A99" s="36" t="s">
        <v>858</v>
      </c>
      <c r="B99" s="0" t="s">
        <v>509</v>
      </c>
      <c r="C99" s="0" t="s">
        <v>487</v>
      </c>
      <c r="D99" s="0" t="s">
        <v>510</v>
      </c>
      <c r="E99" s="0" t="s">
        <v>829</v>
      </c>
      <c r="F99" s="0" t="s">
        <v>558</v>
      </c>
      <c r="I99" s="8" t="s">
        <v>859</v>
      </c>
      <c r="K99" s="0" t="s">
        <v>676</v>
      </c>
      <c r="L99" s="0" t="s">
        <v>487</v>
      </c>
      <c r="M99" s="28" t="s">
        <v>558</v>
      </c>
      <c r="N99" s="28" t="s">
        <v>487</v>
      </c>
      <c r="O99" s="0" t="s">
        <v>487</v>
      </c>
      <c r="P99" s="0" t="s">
        <v>487</v>
      </c>
      <c r="Q99" s="0" t="s">
        <v>487</v>
      </c>
      <c r="R99" s="29" t="n">
        <v>43425</v>
      </c>
    </row>
    <row r="100" customFormat="false" ht="13.8" hidden="false" customHeight="false" outlineLevel="0" collapsed="false">
      <c r="A100" s="36" t="s">
        <v>861</v>
      </c>
      <c r="B100" s="0" t="s">
        <v>509</v>
      </c>
      <c r="C100" s="0" t="s">
        <v>487</v>
      </c>
      <c r="D100" s="0" t="s">
        <v>516</v>
      </c>
      <c r="E100" s="0" t="s">
        <v>829</v>
      </c>
      <c r="F100" s="0" t="s">
        <v>558</v>
      </c>
      <c r="I100" s="8" t="s">
        <v>862</v>
      </c>
      <c r="K100" s="0" t="s">
        <v>676</v>
      </c>
      <c r="L100" s="0" t="s">
        <v>487</v>
      </c>
      <c r="M100" s="28" t="s">
        <v>558</v>
      </c>
      <c r="N100" s="28" t="s">
        <v>487</v>
      </c>
      <c r="O100" s="0" t="s">
        <v>487</v>
      </c>
      <c r="P100" s="0" t="s">
        <v>487</v>
      </c>
      <c r="Q100" s="0" t="s">
        <v>487</v>
      </c>
      <c r="R100" s="29" t="n">
        <v>43648</v>
      </c>
    </row>
    <row r="101" customFormat="false" ht="13.8" hidden="false" customHeight="false" outlineLevel="0" collapsed="false">
      <c r="A101" s="36" t="s">
        <v>864</v>
      </c>
      <c r="B101" s="0" t="s">
        <v>509</v>
      </c>
      <c r="C101" s="0" t="s">
        <v>487</v>
      </c>
      <c r="D101" s="0" t="s">
        <v>510</v>
      </c>
      <c r="E101" s="0" t="s">
        <v>829</v>
      </c>
      <c r="F101" s="0" t="s">
        <v>558</v>
      </c>
      <c r="I101" s="8" t="s">
        <v>865</v>
      </c>
      <c r="K101" s="0" t="s">
        <v>676</v>
      </c>
      <c r="L101" s="0" t="s">
        <v>487</v>
      </c>
      <c r="M101" s="28" t="s">
        <v>558</v>
      </c>
      <c r="N101" s="28" t="s">
        <v>487</v>
      </c>
      <c r="O101" s="0" t="s">
        <v>487</v>
      </c>
      <c r="P101" s="0" t="s">
        <v>487</v>
      </c>
      <c r="Q101" s="0" t="s">
        <v>487</v>
      </c>
      <c r="R101" s="29" t="n">
        <v>43648</v>
      </c>
    </row>
    <row r="102" customFormat="false" ht="13.8" hidden="false" customHeight="false" outlineLevel="0" collapsed="false">
      <c r="A102" s="36" t="s">
        <v>867</v>
      </c>
      <c r="B102" s="0" t="s">
        <v>509</v>
      </c>
      <c r="C102" s="0" t="s">
        <v>487</v>
      </c>
      <c r="D102" s="0" t="s">
        <v>516</v>
      </c>
      <c r="E102" s="0" t="s">
        <v>829</v>
      </c>
      <c r="F102" s="0" t="s">
        <v>558</v>
      </c>
      <c r="I102" s="8" t="s">
        <v>868</v>
      </c>
      <c r="K102" s="0" t="s">
        <v>676</v>
      </c>
      <c r="L102" s="0" t="s">
        <v>487</v>
      </c>
      <c r="M102" s="28" t="s">
        <v>558</v>
      </c>
      <c r="N102" s="28" t="s">
        <v>487</v>
      </c>
      <c r="O102" s="0" t="s">
        <v>487</v>
      </c>
      <c r="P102" s="0" t="s">
        <v>487</v>
      </c>
      <c r="Q102" s="0" t="s">
        <v>487</v>
      </c>
      <c r="R102" s="29" t="n">
        <v>43647</v>
      </c>
    </row>
    <row r="103" customFormat="false" ht="13.8" hidden="false" customHeight="false" outlineLevel="0" collapsed="false">
      <c r="A103" s="36" t="s">
        <v>870</v>
      </c>
      <c r="B103" s="0" t="s">
        <v>509</v>
      </c>
      <c r="E103" s="0" t="s">
        <v>427</v>
      </c>
      <c r="I103" s="8" t="s">
        <v>871</v>
      </c>
      <c r="K103" s="0" t="s">
        <v>872</v>
      </c>
      <c r="R103" s="29" t="n">
        <v>43644</v>
      </c>
    </row>
    <row r="104" customFormat="false" ht="13.8" hidden="false" customHeight="false" outlineLevel="0" collapsed="false">
      <c r="A104" s="36" t="s">
        <v>874</v>
      </c>
      <c r="B104" s="0" t="s">
        <v>509</v>
      </c>
      <c r="D104" s="0" t="s">
        <v>510</v>
      </c>
      <c r="E104" s="0" t="s">
        <v>554</v>
      </c>
      <c r="F104" s="0" t="s">
        <v>511</v>
      </c>
      <c r="I104" s="8" t="s">
        <v>875</v>
      </c>
      <c r="K104" s="0" t="s">
        <v>752</v>
      </c>
    </row>
    <row r="105" customFormat="false" ht="13.8" hidden="false" customHeight="false" outlineLevel="0" collapsed="false">
      <c r="A105" s="36" t="s">
        <v>877</v>
      </c>
      <c r="B105" s="0" t="s">
        <v>509</v>
      </c>
      <c r="E105" s="0" t="s">
        <v>427</v>
      </c>
      <c r="I105" s="8" t="s">
        <v>878</v>
      </c>
      <c r="K105" s="0" t="s">
        <v>526</v>
      </c>
      <c r="R105" s="29" t="n">
        <v>43593</v>
      </c>
    </row>
    <row r="106" customFormat="false" ht="13.8" hidden="false" customHeight="false" outlineLevel="0" collapsed="false">
      <c r="A106" s="36" t="s">
        <v>880</v>
      </c>
      <c r="B106" s="0" t="s">
        <v>509</v>
      </c>
      <c r="E106" s="0" t="s">
        <v>427</v>
      </c>
      <c r="I106" s="8" t="s">
        <v>881</v>
      </c>
      <c r="K106" s="0" t="s">
        <v>526</v>
      </c>
      <c r="R106" s="29" t="n">
        <v>43888</v>
      </c>
    </row>
    <row r="107" customFormat="false" ht="13.8" hidden="false" customHeight="false" outlineLevel="0" collapsed="false">
      <c r="A107" s="36" t="s">
        <v>883</v>
      </c>
      <c r="B107" s="0" t="s">
        <v>509</v>
      </c>
      <c r="D107" s="0" t="s">
        <v>510</v>
      </c>
      <c r="E107" s="0" t="s">
        <v>659</v>
      </c>
      <c r="F107" s="0" t="s">
        <v>511</v>
      </c>
      <c r="I107" s="8" t="s">
        <v>884</v>
      </c>
      <c r="K107" s="0" t="s">
        <v>486</v>
      </c>
      <c r="O107" s="31" t="n">
        <v>44029</v>
      </c>
      <c r="P107" s="31" t="s">
        <v>885</v>
      </c>
      <c r="R107" s="29" t="n">
        <v>43669</v>
      </c>
    </row>
    <row r="108" customFormat="false" ht="13.8" hidden="false" customHeight="false" outlineLevel="0" collapsed="false">
      <c r="A108" s="36" t="s">
        <v>887</v>
      </c>
      <c r="B108" s="0" t="s">
        <v>509</v>
      </c>
      <c r="D108" s="0" t="s">
        <v>516</v>
      </c>
      <c r="E108" s="0" t="s">
        <v>537</v>
      </c>
      <c r="F108" s="0" t="s">
        <v>511</v>
      </c>
      <c r="I108" s="8" t="s">
        <v>888</v>
      </c>
      <c r="K108" s="0" t="s">
        <v>486</v>
      </c>
      <c r="R108" s="29" t="n">
        <v>43627</v>
      </c>
    </row>
    <row r="109" customFormat="false" ht="13.8" hidden="false" customHeight="false" outlineLevel="0" collapsed="false">
      <c r="A109" s="36" t="s">
        <v>890</v>
      </c>
      <c r="B109" s="0" t="s">
        <v>426</v>
      </c>
      <c r="C109" s="0" t="n">
        <v>201203042</v>
      </c>
      <c r="D109" s="0" t="s">
        <v>516</v>
      </c>
      <c r="E109" s="0" t="s">
        <v>626</v>
      </c>
      <c r="F109" s="0" t="s">
        <v>511</v>
      </c>
      <c r="I109" s="8" t="s">
        <v>891</v>
      </c>
      <c r="J109" s="28" t="s">
        <v>892</v>
      </c>
      <c r="K109" s="28" t="s">
        <v>486</v>
      </c>
      <c r="L109" s="28"/>
      <c r="M109" s="28" t="s">
        <v>558</v>
      </c>
      <c r="N109" s="28" t="s">
        <v>487</v>
      </c>
      <c r="O109" s="28"/>
      <c r="P109" s="28"/>
      <c r="Q109" s="28" t="s">
        <v>511</v>
      </c>
      <c r="R109" s="28" t="s">
        <v>36</v>
      </c>
    </row>
    <row r="110" customFormat="false" ht="13.8" hidden="false" customHeight="false" outlineLevel="0" collapsed="false">
      <c r="A110" s="36" t="s">
        <v>894</v>
      </c>
      <c r="B110" s="0" t="s">
        <v>426</v>
      </c>
      <c r="C110" s="0" t="n">
        <v>201203042</v>
      </c>
      <c r="D110" s="0" t="s">
        <v>510</v>
      </c>
      <c r="E110" s="0" t="s">
        <v>602</v>
      </c>
      <c r="F110" s="0" t="s">
        <v>511</v>
      </c>
      <c r="I110" s="8" t="s">
        <v>895</v>
      </c>
      <c r="J110" s="28" t="s">
        <v>896</v>
      </c>
      <c r="K110" s="28" t="s">
        <v>526</v>
      </c>
      <c r="L110" s="28"/>
      <c r="M110" s="28" t="s">
        <v>558</v>
      </c>
      <c r="N110" s="28" t="s">
        <v>487</v>
      </c>
      <c r="O110" s="28"/>
      <c r="P110" s="28"/>
      <c r="Q110" s="28" t="s">
        <v>558</v>
      </c>
      <c r="R110" s="29" t="n">
        <v>43830</v>
      </c>
    </row>
    <row r="111" customFormat="false" ht="13.8" hidden="false" customHeight="false" outlineLevel="0" collapsed="false">
      <c r="A111" s="36" t="s">
        <v>898</v>
      </c>
      <c r="B111" s="0" t="s">
        <v>426</v>
      </c>
      <c r="C111" s="0" t="n">
        <v>201203042</v>
      </c>
      <c r="D111" s="0" t="s">
        <v>510</v>
      </c>
      <c r="E111" s="0" t="s">
        <v>901</v>
      </c>
      <c r="F111" s="0" t="s">
        <v>558</v>
      </c>
      <c r="I111" s="8" t="s">
        <v>899</v>
      </c>
      <c r="J111" s="28" t="s">
        <v>900</v>
      </c>
      <c r="K111" s="28" t="s">
        <v>486</v>
      </c>
      <c r="L111" s="28"/>
      <c r="M111" s="28" t="s">
        <v>558</v>
      </c>
      <c r="N111" s="28" t="s">
        <v>487</v>
      </c>
      <c r="O111" s="28"/>
      <c r="P111" s="28"/>
      <c r="Q111" s="28" t="s">
        <v>511</v>
      </c>
      <c r="R111" s="29" t="n">
        <v>43825</v>
      </c>
    </row>
    <row r="112" customFormat="false" ht="13.8" hidden="false" customHeight="false" outlineLevel="0" collapsed="false">
      <c r="A112" s="36" t="s">
        <v>903</v>
      </c>
      <c r="B112" s="0" t="s">
        <v>426</v>
      </c>
      <c r="C112" s="0" t="n">
        <v>201203042</v>
      </c>
      <c r="D112" s="0" t="s">
        <v>516</v>
      </c>
      <c r="E112" s="0" t="s">
        <v>698</v>
      </c>
      <c r="F112" s="0" t="s">
        <v>511</v>
      </c>
      <c r="I112" s="8" t="s">
        <v>904</v>
      </c>
      <c r="J112" s="28" t="s">
        <v>905</v>
      </c>
      <c r="K112" s="28" t="s">
        <v>526</v>
      </c>
      <c r="L112" s="28"/>
      <c r="M112" s="28" t="s">
        <v>558</v>
      </c>
      <c r="N112" s="28" t="s">
        <v>487</v>
      </c>
      <c r="O112" s="28"/>
      <c r="P112" s="28"/>
      <c r="Q112" s="28" t="s">
        <v>511</v>
      </c>
      <c r="R112" s="29" t="n">
        <v>43809</v>
      </c>
    </row>
    <row r="113" customFormat="false" ht="13.8" hidden="false" customHeight="false" outlineLevel="0" collapsed="false">
      <c r="A113" s="36" t="s">
        <v>907</v>
      </c>
      <c r="B113" s="0" t="s">
        <v>426</v>
      </c>
      <c r="C113" s="0" t="n">
        <v>201203042</v>
      </c>
      <c r="D113" s="0" t="s">
        <v>516</v>
      </c>
      <c r="E113" s="0" t="s">
        <v>537</v>
      </c>
      <c r="F113" s="0" t="s">
        <v>511</v>
      </c>
      <c r="I113" s="8" t="s">
        <v>908</v>
      </c>
      <c r="J113" s="28" t="s">
        <v>909</v>
      </c>
      <c r="K113" s="28" t="s">
        <v>526</v>
      </c>
      <c r="L113" s="28"/>
      <c r="M113" s="28" t="s">
        <v>558</v>
      </c>
      <c r="N113" s="28" t="s">
        <v>487</v>
      </c>
      <c r="O113" s="28"/>
      <c r="P113" s="28"/>
      <c r="Q113" s="28" t="s">
        <v>558</v>
      </c>
      <c r="R113" s="29" t="n">
        <v>43865</v>
      </c>
    </row>
    <row r="114" customFormat="false" ht="13.8" hidden="false" customHeight="false" outlineLevel="0" collapsed="false">
      <c r="A114" s="36" t="s">
        <v>911</v>
      </c>
      <c r="B114" s="0" t="s">
        <v>509</v>
      </c>
      <c r="C114" s="0" t="s">
        <v>487</v>
      </c>
      <c r="D114" s="0" t="s">
        <v>510</v>
      </c>
      <c r="E114" s="0" t="s">
        <v>829</v>
      </c>
      <c r="F114" s="0" t="s">
        <v>558</v>
      </c>
      <c r="I114" s="8" t="s">
        <v>912</v>
      </c>
      <c r="K114" s="0" t="s">
        <v>676</v>
      </c>
      <c r="L114" s="0" t="s">
        <v>487</v>
      </c>
      <c r="M114" s="28" t="s">
        <v>558</v>
      </c>
      <c r="N114" s="28" t="s">
        <v>487</v>
      </c>
      <c r="O114" s="0" t="s">
        <v>487</v>
      </c>
      <c r="P114" s="0" t="s">
        <v>487</v>
      </c>
      <c r="Q114" s="0" t="s">
        <v>487</v>
      </c>
      <c r="R114" s="29" t="n">
        <v>44390</v>
      </c>
    </row>
    <row r="115" customFormat="false" ht="13.8" hidden="false" customHeight="false" outlineLevel="0" collapsed="false">
      <c r="A115" s="36" t="s">
        <v>914</v>
      </c>
      <c r="B115" s="0" t="s">
        <v>509</v>
      </c>
      <c r="D115" s="0" t="s">
        <v>510</v>
      </c>
      <c r="E115" s="0" t="s">
        <v>533</v>
      </c>
      <c r="F115" s="0" t="s">
        <v>511</v>
      </c>
      <c r="I115" s="8" t="s">
        <v>915</v>
      </c>
      <c r="K115" s="0" t="s">
        <v>752</v>
      </c>
      <c r="R115" s="29" t="n">
        <v>43718</v>
      </c>
    </row>
    <row r="116" customFormat="false" ht="13.8" hidden="false" customHeight="false" outlineLevel="0" collapsed="false">
      <c r="A116" s="36" t="s">
        <v>917</v>
      </c>
      <c r="B116" s="0" t="s">
        <v>509</v>
      </c>
      <c r="D116" s="0" t="s">
        <v>510</v>
      </c>
      <c r="E116" s="0" t="s">
        <v>580</v>
      </c>
      <c r="F116" s="0" t="s">
        <v>511</v>
      </c>
      <c r="I116" s="8" t="s">
        <v>918</v>
      </c>
      <c r="K116" s="0" t="s">
        <v>585</v>
      </c>
      <c r="R116" s="29" t="n">
        <v>43642</v>
      </c>
    </row>
    <row r="117" customFormat="false" ht="13.8" hidden="false" customHeight="false" outlineLevel="0" collapsed="false">
      <c r="A117" s="36" t="s">
        <v>920</v>
      </c>
      <c r="B117" s="0" t="s">
        <v>509</v>
      </c>
      <c r="D117" s="0" t="s">
        <v>516</v>
      </c>
      <c r="E117" s="0" t="s">
        <v>767</v>
      </c>
      <c r="F117" s="0" t="s">
        <v>511</v>
      </c>
      <c r="I117" s="8" t="s">
        <v>921</v>
      </c>
      <c r="K117" s="0" t="s">
        <v>752</v>
      </c>
      <c r="R117" s="29" t="n">
        <v>43642</v>
      </c>
    </row>
    <row r="118" customFormat="false" ht="13.8" hidden="false" customHeight="false" outlineLevel="0" collapsed="false">
      <c r="A118" s="36" t="s">
        <v>923</v>
      </c>
      <c r="B118" s="0" t="s">
        <v>509</v>
      </c>
      <c r="D118" s="0" t="s">
        <v>516</v>
      </c>
      <c r="E118" s="0" t="s">
        <v>541</v>
      </c>
      <c r="F118" s="0" t="s">
        <v>511</v>
      </c>
      <c r="I118" s="8" t="s">
        <v>924</v>
      </c>
      <c r="K118" s="0" t="s">
        <v>752</v>
      </c>
      <c r="R118" s="29" t="n">
        <v>43690</v>
      </c>
    </row>
    <row r="119" customFormat="false" ht="13.8" hidden="false" customHeight="false" outlineLevel="0" collapsed="false">
      <c r="A119" s="36" t="s">
        <v>926</v>
      </c>
      <c r="B119" s="0" t="s">
        <v>509</v>
      </c>
      <c r="E119" s="0" t="s">
        <v>427</v>
      </c>
      <c r="I119" s="8" t="s">
        <v>927</v>
      </c>
      <c r="K119" s="0" t="s">
        <v>542</v>
      </c>
      <c r="R119" s="29" t="n">
        <v>43671</v>
      </c>
    </row>
    <row r="120" customFormat="false" ht="13.8" hidden="false" customHeight="false" outlineLevel="0" collapsed="false">
      <c r="A120" s="36" t="s">
        <v>929</v>
      </c>
      <c r="B120" s="0" t="s">
        <v>509</v>
      </c>
      <c r="E120" s="0" t="s">
        <v>427</v>
      </c>
      <c r="F120" s="0" t="s">
        <v>558</v>
      </c>
      <c r="I120" s="8" t="s">
        <v>930</v>
      </c>
      <c r="K120" s="0" t="s">
        <v>542</v>
      </c>
      <c r="L120" s="0" t="s">
        <v>931</v>
      </c>
      <c r="M120" s="0" t="s">
        <v>511</v>
      </c>
      <c r="N120" s="0" t="s">
        <v>932</v>
      </c>
      <c r="R120" s="29" t="n">
        <v>43641</v>
      </c>
    </row>
    <row r="121" customFormat="false" ht="13.8" hidden="false" customHeight="false" outlineLevel="0" collapsed="false">
      <c r="A121" s="36" t="s">
        <v>934</v>
      </c>
      <c r="B121" s="0" t="s">
        <v>509</v>
      </c>
      <c r="E121" s="0" t="s">
        <v>427</v>
      </c>
      <c r="F121" s="0" t="s">
        <v>558</v>
      </c>
      <c r="I121" s="8" t="s">
        <v>935</v>
      </c>
      <c r="K121" s="0" t="s">
        <v>542</v>
      </c>
      <c r="R121" s="28" t="s">
        <v>36</v>
      </c>
    </row>
    <row r="122" customFormat="false" ht="13.8" hidden="false" customHeight="false" outlineLevel="0" collapsed="false">
      <c r="A122" s="36" t="s">
        <v>937</v>
      </c>
      <c r="B122" s="0" t="s">
        <v>509</v>
      </c>
      <c r="E122" s="0" t="s">
        <v>427</v>
      </c>
      <c r="I122" s="8" t="s">
        <v>938</v>
      </c>
      <c r="K122" s="0" t="s">
        <v>542</v>
      </c>
      <c r="R122" s="29" t="n">
        <v>43713</v>
      </c>
    </row>
    <row r="123" customFormat="false" ht="13.8" hidden="false" customHeight="false" outlineLevel="0" collapsed="false">
      <c r="A123" s="36" t="s">
        <v>940</v>
      </c>
      <c r="B123" s="0" t="s">
        <v>426</v>
      </c>
      <c r="C123" s="0" t="n">
        <v>201203042</v>
      </c>
      <c r="D123" s="0" t="s">
        <v>510</v>
      </c>
      <c r="E123" s="0" t="s">
        <v>606</v>
      </c>
      <c r="F123" s="0" t="s">
        <v>511</v>
      </c>
      <c r="I123" s="8" t="s">
        <v>941</v>
      </c>
      <c r="J123" s="28" t="s">
        <v>942</v>
      </c>
      <c r="K123" s="28" t="s">
        <v>526</v>
      </c>
      <c r="L123" s="28"/>
      <c r="M123" s="28" t="s">
        <v>558</v>
      </c>
      <c r="N123" s="28" t="s">
        <v>487</v>
      </c>
      <c r="O123" s="28"/>
      <c r="P123" s="28"/>
      <c r="Q123" s="28" t="s">
        <v>558</v>
      </c>
      <c r="R123" s="29" t="n">
        <v>43671</v>
      </c>
    </row>
    <row r="124" customFormat="false" ht="13.8" hidden="false" customHeight="false" outlineLevel="0" collapsed="false">
      <c r="A124" s="36" t="s">
        <v>944</v>
      </c>
      <c r="B124" s="0" t="s">
        <v>426</v>
      </c>
      <c r="C124" s="0" t="n">
        <v>201203042</v>
      </c>
      <c r="D124" s="0" t="s">
        <v>516</v>
      </c>
      <c r="E124" s="0" t="s">
        <v>947</v>
      </c>
      <c r="F124" s="0" t="s">
        <v>808</v>
      </c>
      <c r="I124" s="8" t="s">
        <v>945</v>
      </c>
      <c r="J124" s="28" t="s">
        <v>946</v>
      </c>
      <c r="K124" s="28" t="s">
        <v>526</v>
      </c>
      <c r="L124" s="28"/>
      <c r="M124" s="28" t="s">
        <v>558</v>
      </c>
      <c r="N124" s="28" t="s">
        <v>487</v>
      </c>
      <c r="O124" s="28"/>
      <c r="P124" s="28"/>
      <c r="Q124" s="28" t="s">
        <v>558</v>
      </c>
      <c r="R124" s="29" t="n">
        <v>43676</v>
      </c>
    </row>
    <row r="125" customFormat="false" ht="13.8" hidden="false" customHeight="false" outlineLevel="0" collapsed="false">
      <c r="A125" s="36" t="s">
        <v>949</v>
      </c>
      <c r="B125" s="0" t="s">
        <v>426</v>
      </c>
      <c r="C125" s="0" t="n">
        <v>201203042</v>
      </c>
      <c r="D125" s="0" t="s">
        <v>510</v>
      </c>
      <c r="E125" s="0" t="s">
        <v>952</v>
      </c>
      <c r="F125" s="0" t="s">
        <v>511</v>
      </c>
      <c r="I125" s="8" t="s">
        <v>950</v>
      </c>
      <c r="J125" s="28" t="s">
        <v>951</v>
      </c>
      <c r="K125" s="28" t="s">
        <v>526</v>
      </c>
      <c r="L125" s="28"/>
      <c r="M125" s="28" t="s">
        <v>558</v>
      </c>
      <c r="N125" s="28" t="s">
        <v>487</v>
      </c>
      <c r="O125" s="28"/>
      <c r="P125" s="28"/>
      <c r="Q125" s="28" t="s">
        <v>558</v>
      </c>
      <c r="R125" s="29" t="n">
        <v>43697</v>
      </c>
    </row>
    <row r="126" customFormat="false" ht="13.8" hidden="false" customHeight="false" outlineLevel="0" collapsed="false">
      <c r="A126" s="36" t="s">
        <v>954</v>
      </c>
      <c r="B126" s="0" t="s">
        <v>426</v>
      </c>
      <c r="C126" s="0" t="n">
        <v>201203042</v>
      </c>
      <c r="D126" s="0" t="s">
        <v>510</v>
      </c>
      <c r="E126" s="0" t="s">
        <v>525</v>
      </c>
      <c r="F126" s="0" t="s">
        <v>511</v>
      </c>
      <c r="I126" s="8" t="s">
        <v>955</v>
      </c>
      <c r="J126" s="28" t="s">
        <v>956</v>
      </c>
      <c r="K126" s="28" t="s">
        <v>526</v>
      </c>
      <c r="L126" s="28"/>
      <c r="M126" s="28" t="s">
        <v>558</v>
      </c>
      <c r="N126" s="28" t="s">
        <v>487</v>
      </c>
      <c r="O126" s="28"/>
      <c r="P126" s="28"/>
      <c r="Q126" s="28" t="s">
        <v>558</v>
      </c>
      <c r="R126" s="28" t="s">
        <v>36</v>
      </c>
    </row>
    <row r="127" customFormat="false" ht="13.8" hidden="false" customHeight="false" outlineLevel="0" collapsed="false">
      <c r="A127" s="36" t="s">
        <v>958</v>
      </c>
      <c r="B127" s="0" t="s">
        <v>509</v>
      </c>
      <c r="C127" s="0" t="s">
        <v>960</v>
      </c>
      <c r="D127" s="0" t="s">
        <v>510</v>
      </c>
      <c r="E127" s="0" t="s">
        <v>829</v>
      </c>
      <c r="I127" s="8" t="s">
        <v>959</v>
      </c>
      <c r="J127" s="0" t="s">
        <v>961</v>
      </c>
      <c r="K127" s="28" t="s">
        <v>486</v>
      </c>
      <c r="O127" s="0" t="s">
        <v>487</v>
      </c>
      <c r="P127" s="0" t="s">
        <v>487</v>
      </c>
      <c r="R127" s="29" t="n">
        <v>44376</v>
      </c>
    </row>
    <row r="128" customFormat="false" ht="13.8" hidden="false" customHeight="false" outlineLevel="0" collapsed="false">
      <c r="A128" s="36" t="s">
        <v>963</v>
      </c>
      <c r="B128" s="0" t="s">
        <v>509</v>
      </c>
      <c r="C128" s="0" t="s">
        <v>960</v>
      </c>
      <c r="D128" s="0" t="s">
        <v>516</v>
      </c>
      <c r="E128" s="0" t="s">
        <v>829</v>
      </c>
      <c r="I128" s="8" t="s">
        <v>964</v>
      </c>
      <c r="J128" s="10" t="s">
        <v>965</v>
      </c>
      <c r="K128" s="28" t="s">
        <v>486</v>
      </c>
      <c r="O128" s="0" t="s">
        <v>487</v>
      </c>
      <c r="P128" s="0" t="s">
        <v>487</v>
      </c>
      <c r="R128" s="28" t="s">
        <v>36</v>
      </c>
    </row>
    <row r="129" customFormat="false" ht="13.8" hidden="false" customHeight="false" outlineLevel="0" collapsed="false">
      <c r="A129" s="36" t="s">
        <v>967</v>
      </c>
      <c r="B129" s="0" t="s">
        <v>509</v>
      </c>
      <c r="C129" s="0" t="s">
        <v>960</v>
      </c>
      <c r="D129" s="0" t="s">
        <v>516</v>
      </c>
      <c r="E129" s="0" t="s">
        <v>829</v>
      </c>
      <c r="I129" s="8" t="s">
        <v>968</v>
      </c>
      <c r="J129" s="10" t="s">
        <v>969</v>
      </c>
      <c r="K129" s="28" t="s">
        <v>486</v>
      </c>
      <c r="O129" s="0" t="s">
        <v>487</v>
      </c>
      <c r="P129" s="0" t="s">
        <v>487</v>
      </c>
      <c r="R129" s="29" t="n">
        <v>43774</v>
      </c>
    </row>
    <row r="130" customFormat="false" ht="13.8" hidden="false" customHeight="false" outlineLevel="0" collapsed="false">
      <c r="A130" s="36" t="s">
        <v>971</v>
      </c>
      <c r="B130" s="0" t="s">
        <v>509</v>
      </c>
      <c r="C130" s="0" t="s">
        <v>960</v>
      </c>
      <c r="D130" s="0" t="s">
        <v>516</v>
      </c>
      <c r="E130" s="0" t="s">
        <v>829</v>
      </c>
      <c r="I130" s="8" t="s">
        <v>972</v>
      </c>
      <c r="J130" s="10" t="s">
        <v>973</v>
      </c>
      <c r="K130" s="0" t="s">
        <v>486</v>
      </c>
      <c r="O130" s="0" t="s">
        <v>487</v>
      </c>
      <c r="P130" s="0" t="s">
        <v>487</v>
      </c>
      <c r="R130" s="29" t="n">
        <v>43790</v>
      </c>
    </row>
    <row r="131" customFormat="false" ht="13.8" hidden="false" customHeight="false" outlineLevel="0" collapsed="false">
      <c r="A131" s="36" t="s">
        <v>975</v>
      </c>
      <c r="B131" s="0" t="s">
        <v>509</v>
      </c>
      <c r="C131" s="0" t="s">
        <v>960</v>
      </c>
      <c r="D131" s="0" t="s">
        <v>516</v>
      </c>
      <c r="E131" s="0" t="s">
        <v>829</v>
      </c>
      <c r="I131" s="8" t="s">
        <v>976</v>
      </c>
      <c r="J131" s="10" t="s">
        <v>977</v>
      </c>
      <c r="K131" s="0" t="s">
        <v>486</v>
      </c>
      <c r="O131" s="0" t="s">
        <v>487</v>
      </c>
      <c r="P131" s="0" t="s">
        <v>487</v>
      </c>
      <c r="R131" s="29" t="n">
        <v>43886</v>
      </c>
    </row>
    <row r="132" customFormat="false" ht="13.8" hidden="false" customHeight="false" outlineLevel="0" collapsed="false">
      <c r="A132" s="36" t="s">
        <v>979</v>
      </c>
      <c r="B132" s="0" t="s">
        <v>509</v>
      </c>
      <c r="C132" s="0" t="s">
        <v>960</v>
      </c>
      <c r="D132" s="0" t="s">
        <v>516</v>
      </c>
      <c r="E132" s="0" t="s">
        <v>829</v>
      </c>
      <c r="I132" s="8" t="s">
        <v>980</v>
      </c>
      <c r="J132" s="10" t="s">
        <v>981</v>
      </c>
      <c r="K132" s="0" t="s">
        <v>486</v>
      </c>
      <c r="O132" s="0" t="s">
        <v>487</v>
      </c>
      <c r="P132" s="0" t="s">
        <v>487</v>
      </c>
      <c r="R132" s="28" t="s">
        <v>36</v>
      </c>
    </row>
    <row r="133" customFormat="false" ht="13.8" hidden="false" customHeight="false" outlineLevel="0" collapsed="false">
      <c r="A133" s="36" t="s">
        <v>983</v>
      </c>
      <c r="B133" s="0" t="s">
        <v>509</v>
      </c>
      <c r="C133" s="0" t="s">
        <v>960</v>
      </c>
      <c r="D133" s="0" t="s">
        <v>510</v>
      </c>
      <c r="E133" s="0" t="s">
        <v>829</v>
      </c>
      <c r="I133" s="8" t="s">
        <v>984</v>
      </c>
      <c r="J133" s="10" t="s">
        <v>985</v>
      </c>
      <c r="K133" s="0" t="s">
        <v>486</v>
      </c>
      <c r="O133" s="0" t="s">
        <v>487</v>
      </c>
      <c r="P133" s="0" t="s">
        <v>487</v>
      </c>
      <c r="R133" s="29" t="n">
        <v>43851</v>
      </c>
    </row>
    <row r="134" customFormat="false" ht="13.8" hidden="false" customHeight="false" outlineLevel="0" collapsed="false">
      <c r="A134" s="36" t="s">
        <v>987</v>
      </c>
      <c r="B134" s="0" t="s">
        <v>509</v>
      </c>
      <c r="D134" s="0" t="s">
        <v>516</v>
      </c>
      <c r="E134" s="0" t="s">
        <v>659</v>
      </c>
      <c r="F134" s="0" t="s">
        <v>511</v>
      </c>
      <c r="I134" s="8" t="s">
        <v>988</v>
      </c>
      <c r="K134" s="0" t="s">
        <v>486</v>
      </c>
      <c r="O134" s="31" t="n">
        <v>44153</v>
      </c>
      <c r="P134" s="31" t="n">
        <v>44183</v>
      </c>
      <c r="Q134" s="0" t="s">
        <v>511</v>
      </c>
    </row>
    <row r="135" customFormat="false" ht="13.8" hidden="false" customHeight="false" outlineLevel="0" collapsed="false">
      <c r="A135" s="36" t="s">
        <v>990</v>
      </c>
      <c r="B135" s="0" t="s">
        <v>509</v>
      </c>
      <c r="C135" s="0" t="s">
        <v>960</v>
      </c>
      <c r="D135" s="0" t="s">
        <v>516</v>
      </c>
      <c r="E135" s="0" t="s">
        <v>829</v>
      </c>
      <c r="I135" s="8" t="s">
        <v>991</v>
      </c>
      <c r="J135" s="10" t="s">
        <v>992</v>
      </c>
      <c r="K135" s="0" t="s">
        <v>486</v>
      </c>
      <c r="O135" s="0" t="s">
        <v>487</v>
      </c>
      <c r="P135" s="0" t="s">
        <v>487</v>
      </c>
    </row>
    <row r="136" customFormat="false" ht="13.8" hidden="false" customHeight="false" outlineLevel="0" collapsed="false">
      <c r="A136" s="36" t="s">
        <v>994</v>
      </c>
      <c r="B136" s="0" t="s">
        <v>509</v>
      </c>
      <c r="C136" s="0" t="s">
        <v>960</v>
      </c>
      <c r="D136" s="0" t="s">
        <v>510</v>
      </c>
      <c r="E136" s="0" t="s">
        <v>829</v>
      </c>
      <c r="I136" s="8" t="s">
        <v>995</v>
      </c>
      <c r="J136" s="10" t="s">
        <v>996</v>
      </c>
      <c r="K136" s="0" t="s">
        <v>486</v>
      </c>
      <c r="O136" s="0" t="s">
        <v>487</v>
      </c>
      <c r="P136" s="0" t="s">
        <v>487</v>
      </c>
    </row>
    <row r="137" customFormat="false" ht="13.8" hidden="false" customHeight="false" outlineLevel="0" collapsed="false">
      <c r="A137" s="36" t="s">
        <v>998</v>
      </c>
      <c r="B137" s="0" t="s">
        <v>509</v>
      </c>
      <c r="D137" s="0" t="s">
        <v>510</v>
      </c>
      <c r="E137" s="0" t="s">
        <v>1000</v>
      </c>
      <c r="F137" s="0" t="s">
        <v>511</v>
      </c>
      <c r="I137" s="8" t="s">
        <v>999</v>
      </c>
      <c r="K137" s="0" t="s">
        <v>486</v>
      </c>
      <c r="O137" s="31" t="n">
        <v>43766</v>
      </c>
      <c r="P137" s="31" t="s">
        <v>1001</v>
      </c>
      <c r="Q137" s="0" t="s">
        <v>1002</v>
      </c>
    </row>
    <row r="138" customFormat="false" ht="13.8" hidden="false" customHeight="false" outlineLevel="0" collapsed="false">
      <c r="A138" s="36" t="s">
        <v>1004</v>
      </c>
      <c r="B138" s="0" t="s">
        <v>509</v>
      </c>
      <c r="D138" s="0" t="s">
        <v>516</v>
      </c>
      <c r="E138" s="0" t="s">
        <v>669</v>
      </c>
      <c r="F138" s="0" t="s">
        <v>511</v>
      </c>
      <c r="I138" s="8" t="s">
        <v>1005</v>
      </c>
      <c r="K138" s="0" t="s">
        <v>526</v>
      </c>
    </row>
    <row r="139" customFormat="false" ht="13.8" hidden="false" customHeight="false" outlineLevel="0" collapsed="false">
      <c r="A139" s="36" t="s">
        <v>1007</v>
      </c>
      <c r="B139" s="0" t="s">
        <v>509</v>
      </c>
      <c r="D139" s="0" t="s">
        <v>516</v>
      </c>
      <c r="E139" s="0" t="s">
        <v>427</v>
      </c>
      <c r="I139" s="8" t="s">
        <v>1008</v>
      </c>
      <c r="K139" s="0" t="s">
        <v>526</v>
      </c>
    </row>
    <row r="140" customFormat="false" ht="13.8" hidden="false" customHeight="false" outlineLevel="0" collapsed="false">
      <c r="A140" s="36" t="s">
        <v>1010</v>
      </c>
      <c r="B140" s="0" t="s">
        <v>509</v>
      </c>
      <c r="D140" s="0" t="s">
        <v>510</v>
      </c>
      <c r="E140" s="0" t="s">
        <v>546</v>
      </c>
      <c r="F140" s="0" t="s">
        <v>511</v>
      </c>
      <c r="I140" s="8" t="s">
        <v>1011</v>
      </c>
      <c r="K140" s="0" t="s">
        <v>1012</v>
      </c>
    </row>
    <row r="141" customFormat="false" ht="13.8" hidden="false" customHeight="false" outlineLevel="0" collapsed="false">
      <c r="A141" s="36" t="s">
        <v>1014</v>
      </c>
      <c r="B141" s="0" t="s">
        <v>509</v>
      </c>
      <c r="D141" s="0" t="s">
        <v>510</v>
      </c>
      <c r="E141" s="0" t="s">
        <v>595</v>
      </c>
      <c r="F141" s="0" t="s">
        <v>511</v>
      </c>
      <c r="I141" s="8" t="s">
        <v>1015</v>
      </c>
      <c r="K141" s="0" t="s">
        <v>526</v>
      </c>
    </row>
    <row r="142" customFormat="false" ht="13.8" hidden="false" customHeight="false" outlineLevel="0" collapsed="false">
      <c r="A142" s="36" t="s">
        <v>1017</v>
      </c>
      <c r="B142" s="0" t="s">
        <v>509</v>
      </c>
      <c r="D142" s="0" t="s">
        <v>516</v>
      </c>
      <c r="E142" s="0" t="s">
        <v>573</v>
      </c>
      <c r="F142" s="0" t="s">
        <v>511</v>
      </c>
      <c r="I142" s="8" t="s">
        <v>1018</v>
      </c>
      <c r="K142" s="0" t="s">
        <v>526</v>
      </c>
    </row>
    <row r="143" customFormat="false" ht="13.8" hidden="false" customHeight="false" outlineLevel="0" collapsed="false">
      <c r="A143" s="36" t="s">
        <v>1020</v>
      </c>
      <c r="B143" s="0" t="s">
        <v>509</v>
      </c>
      <c r="D143" s="0" t="s">
        <v>516</v>
      </c>
      <c r="E143" s="0" t="s">
        <v>517</v>
      </c>
      <c r="F143" s="0" t="s">
        <v>511</v>
      </c>
      <c r="I143" s="8" t="s">
        <v>1021</v>
      </c>
      <c r="K143" s="0" t="s">
        <v>526</v>
      </c>
    </row>
    <row r="144" customFormat="false" ht="13.8" hidden="false" customHeight="false" outlineLevel="0" collapsed="false">
      <c r="A144" s="36" t="s">
        <v>1023</v>
      </c>
      <c r="B144" s="0" t="s">
        <v>509</v>
      </c>
      <c r="D144" s="0" t="s">
        <v>510</v>
      </c>
      <c r="E144" s="0" t="s">
        <v>1000</v>
      </c>
      <c r="F144" s="0" t="s">
        <v>511</v>
      </c>
      <c r="I144" s="8" t="s">
        <v>1024</v>
      </c>
      <c r="K144" s="0" t="s">
        <v>526</v>
      </c>
    </row>
    <row r="145" customFormat="false" ht="13.8" hidden="false" customHeight="false" outlineLevel="0" collapsed="false">
      <c r="A145" s="36" t="s">
        <v>1026</v>
      </c>
      <c r="B145" s="0" t="s">
        <v>509</v>
      </c>
      <c r="D145" s="0" t="s">
        <v>516</v>
      </c>
      <c r="E145" s="0" t="s">
        <v>767</v>
      </c>
      <c r="F145" s="0" t="s">
        <v>511</v>
      </c>
      <c r="I145" s="8" t="s">
        <v>1027</v>
      </c>
      <c r="K145" s="0" t="s">
        <v>526</v>
      </c>
    </row>
    <row r="146" customFormat="false" ht="13.8" hidden="false" customHeight="false" outlineLevel="0" collapsed="false">
      <c r="A146" s="36" t="s">
        <v>1029</v>
      </c>
      <c r="B146" s="0" t="s">
        <v>509</v>
      </c>
      <c r="D146" s="0" t="s">
        <v>516</v>
      </c>
      <c r="E146" s="0" t="s">
        <v>652</v>
      </c>
      <c r="F146" s="0" t="s">
        <v>511</v>
      </c>
      <c r="I146" s="8" t="s">
        <v>1030</v>
      </c>
      <c r="K146" s="0" t="s">
        <v>526</v>
      </c>
    </row>
    <row r="147" customFormat="false" ht="13.8" hidden="false" customHeight="false" outlineLevel="0" collapsed="false">
      <c r="A147" s="36" t="s">
        <v>1032</v>
      </c>
      <c r="B147" s="0" t="s">
        <v>509</v>
      </c>
      <c r="D147" s="0" t="s">
        <v>516</v>
      </c>
      <c r="E147" s="0" t="s">
        <v>554</v>
      </c>
      <c r="F147" s="0" t="s">
        <v>511</v>
      </c>
      <c r="I147" s="8" t="s">
        <v>1033</v>
      </c>
      <c r="K147" s="0" t="s">
        <v>526</v>
      </c>
    </row>
    <row r="148" customFormat="false" ht="13.8" hidden="false" customHeight="false" outlineLevel="0" collapsed="false">
      <c r="A148" s="36" t="s">
        <v>1035</v>
      </c>
      <c r="B148" s="0" t="s">
        <v>509</v>
      </c>
      <c r="D148" s="0" t="s">
        <v>510</v>
      </c>
      <c r="E148" s="0" t="s">
        <v>554</v>
      </c>
      <c r="F148" s="0" t="s">
        <v>511</v>
      </c>
      <c r="I148" s="8" t="s">
        <v>1036</v>
      </c>
      <c r="K148" s="0" t="s">
        <v>526</v>
      </c>
    </row>
    <row r="149" customFormat="false" ht="13.8" hidden="false" customHeight="false" outlineLevel="0" collapsed="false">
      <c r="A149" s="36" t="s">
        <v>1038</v>
      </c>
      <c r="B149" s="0" t="s">
        <v>509</v>
      </c>
      <c r="D149" s="0" t="s">
        <v>510</v>
      </c>
      <c r="E149" s="0" t="s">
        <v>606</v>
      </c>
      <c r="F149" s="0" t="s">
        <v>511</v>
      </c>
      <c r="I149" s="8" t="s">
        <v>1039</v>
      </c>
      <c r="K149" s="0" t="s">
        <v>526</v>
      </c>
    </row>
    <row r="150" customFormat="false" ht="13.8" hidden="false" customHeight="false" outlineLevel="0" collapsed="false">
      <c r="A150" s="36" t="s">
        <v>1041</v>
      </c>
      <c r="B150" s="0" t="s">
        <v>509</v>
      </c>
      <c r="D150" s="0" t="s">
        <v>510</v>
      </c>
      <c r="E150" s="0" t="s">
        <v>550</v>
      </c>
      <c r="F150" s="0" t="s">
        <v>511</v>
      </c>
      <c r="I150" s="8" t="s">
        <v>1042</v>
      </c>
      <c r="K150" s="0" t="s">
        <v>486</v>
      </c>
    </row>
    <row r="151" customFormat="false" ht="13.8" hidden="false" customHeight="false" outlineLevel="0" collapsed="false">
      <c r="A151" s="36" t="s">
        <v>1044</v>
      </c>
      <c r="B151" s="0" t="s">
        <v>509</v>
      </c>
      <c r="D151" s="0" t="s">
        <v>510</v>
      </c>
      <c r="E151" s="0" t="s">
        <v>550</v>
      </c>
      <c r="F151" s="0" t="s">
        <v>511</v>
      </c>
      <c r="I151" s="8" t="s">
        <v>1045</v>
      </c>
      <c r="K151" s="0" t="s">
        <v>585</v>
      </c>
    </row>
    <row r="152" customFormat="false" ht="13.8" hidden="false" customHeight="false" outlineLevel="0" collapsed="false">
      <c r="A152" s="36" t="s">
        <v>1047</v>
      </c>
      <c r="B152" s="0" t="s">
        <v>509</v>
      </c>
      <c r="D152" s="0" t="s">
        <v>510</v>
      </c>
      <c r="E152" s="0" t="s">
        <v>580</v>
      </c>
      <c r="F152" s="0" t="s">
        <v>511</v>
      </c>
      <c r="I152" s="8" t="s">
        <v>1048</v>
      </c>
      <c r="K152" s="0" t="s">
        <v>1049</v>
      </c>
    </row>
    <row r="153" customFormat="false" ht="13.8" hidden="false" customHeight="false" outlineLevel="0" collapsed="false">
      <c r="A153" s="36" t="s">
        <v>1051</v>
      </c>
      <c r="B153" s="0" t="s">
        <v>509</v>
      </c>
      <c r="C153" s="0" t="s">
        <v>960</v>
      </c>
      <c r="D153" s="0" t="s">
        <v>516</v>
      </c>
      <c r="E153" s="0" t="s">
        <v>829</v>
      </c>
      <c r="I153" s="8" t="s">
        <v>1052</v>
      </c>
      <c r="J153" s="10" t="s">
        <v>1053</v>
      </c>
      <c r="K153" s="0" t="s">
        <v>486</v>
      </c>
    </row>
    <row r="154" customFormat="false" ht="13.8" hidden="false" customHeight="false" outlineLevel="0" collapsed="false">
      <c r="A154" s="36" t="s">
        <v>1055</v>
      </c>
      <c r="B154" s="0" t="s">
        <v>509</v>
      </c>
      <c r="C154" s="0" t="s">
        <v>960</v>
      </c>
      <c r="D154" s="0" t="s">
        <v>510</v>
      </c>
      <c r="E154" s="0" t="s">
        <v>829</v>
      </c>
      <c r="I154" s="8" t="s">
        <v>1056</v>
      </c>
      <c r="J154" s="10" t="s">
        <v>1057</v>
      </c>
      <c r="K154" s="0" t="s">
        <v>486</v>
      </c>
      <c r="R154" s="29" t="n">
        <v>43860</v>
      </c>
    </row>
    <row r="155" customFormat="false" ht="13.8" hidden="false" customHeight="false" outlineLevel="0" collapsed="false">
      <c r="A155" s="36" t="s">
        <v>1059</v>
      </c>
      <c r="B155" s="0" t="s">
        <v>426</v>
      </c>
      <c r="C155" s="0" t="n">
        <v>201203042</v>
      </c>
      <c r="D155" s="0" t="s">
        <v>516</v>
      </c>
      <c r="E155" s="0" t="s">
        <v>1062</v>
      </c>
      <c r="F155" s="0" t="s">
        <v>511</v>
      </c>
      <c r="I155" s="8" t="s">
        <v>1060</v>
      </c>
      <c r="J155" s="28" t="s">
        <v>1061</v>
      </c>
      <c r="K155" s="28" t="s">
        <v>526</v>
      </c>
      <c r="L155" s="28"/>
      <c r="M155" s="28" t="s">
        <v>558</v>
      </c>
      <c r="N155" s="28" t="s">
        <v>487</v>
      </c>
      <c r="O155" s="28"/>
      <c r="P155" s="28"/>
      <c r="Q155" s="28" t="s">
        <v>558</v>
      </c>
      <c r="R155" s="29" t="n">
        <v>44481</v>
      </c>
    </row>
    <row r="156" customFormat="false" ht="13.8" hidden="false" customHeight="false" outlineLevel="0" collapsed="false">
      <c r="A156" s="36" t="s">
        <v>1064</v>
      </c>
      <c r="B156" s="0" t="s">
        <v>426</v>
      </c>
      <c r="C156" s="0" t="n">
        <v>201203042</v>
      </c>
      <c r="D156" s="0" t="s">
        <v>510</v>
      </c>
      <c r="E156" s="0" t="s">
        <v>613</v>
      </c>
      <c r="F156" s="0" t="s">
        <v>511</v>
      </c>
      <c r="I156" s="8" t="s">
        <v>1065</v>
      </c>
      <c r="J156" s="28" t="s">
        <v>1066</v>
      </c>
      <c r="K156" s="28" t="s">
        <v>526</v>
      </c>
      <c r="L156" s="28"/>
      <c r="M156" s="28" t="s">
        <v>558</v>
      </c>
      <c r="N156" s="28" t="s">
        <v>487</v>
      </c>
      <c r="O156" s="28"/>
      <c r="P156" s="28"/>
      <c r="Q156" s="28" t="s">
        <v>511</v>
      </c>
      <c r="R156" s="29" t="n">
        <v>43881</v>
      </c>
    </row>
    <row r="157" customFormat="false" ht="13.8" hidden="false" customHeight="false" outlineLevel="0" collapsed="false">
      <c r="A157" s="36" t="s">
        <v>1068</v>
      </c>
      <c r="B157" s="0" t="s">
        <v>426</v>
      </c>
      <c r="C157" s="0" t="n">
        <v>201203042</v>
      </c>
      <c r="D157" s="0" t="s">
        <v>516</v>
      </c>
      <c r="E157" s="0" t="s">
        <v>525</v>
      </c>
      <c r="F157" s="0" t="s">
        <v>511</v>
      </c>
      <c r="I157" s="8" t="s">
        <v>1069</v>
      </c>
      <c r="J157" s="28" t="s">
        <v>1070</v>
      </c>
      <c r="K157" s="28" t="s">
        <v>526</v>
      </c>
      <c r="L157" s="28"/>
      <c r="M157" s="28" t="s">
        <v>558</v>
      </c>
      <c r="N157" s="28" t="s">
        <v>487</v>
      </c>
      <c r="O157" s="28"/>
      <c r="P157" s="28"/>
      <c r="Q157" s="28" t="s">
        <v>558</v>
      </c>
      <c r="R157" s="29" t="n">
        <v>44621</v>
      </c>
    </row>
    <row r="158" customFormat="false" ht="13.8" hidden="false" customHeight="false" outlineLevel="0" collapsed="false">
      <c r="A158" s="36" t="s">
        <v>1072</v>
      </c>
      <c r="B158" s="0" t="s">
        <v>426</v>
      </c>
      <c r="C158" s="0" t="n">
        <v>201203042</v>
      </c>
      <c r="D158" s="0" t="s">
        <v>516</v>
      </c>
      <c r="E158" s="0" t="s">
        <v>606</v>
      </c>
      <c r="F158" s="0" t="s">
        <v>511</v>
      </c>
      <c r="I158" s="8" t="s">
        <v>1073</v>
      </c>
      <c r="J158" s="28" t="s">
        <v>1074</v>
      </c>
      <c r="K158" s="28" t="s">
        <v>526</v>
      </c>
      <c r="L158" s="28"/>
      <c r="M158" s="28" t="s">
        <v>558</v>
      </c>
      <c r="N158" s="28" t="s">
        <v>487</v>
      </c>
      <c r="O158" s="28"/>
      <c r="P158" s="28"/>
      <c r="Q158" s="28" t="s">
        <v>558</v>
      </c>
      <c r="R158" s="29" t="n">
        <v>43902</v>
      </c>
    </row>
    <row r="159" customFormat="false" ht="13.8" hidden="false" customHeight="false" outlineLevel="0" collapsed="false">
      <c r="A159" s="36" t="s">
        <v>1076</v>
      </c>
      <c r="B159" s="0" t="s">
        <v>426</v>
      </c>
      <c r="C159" s="0" t="n">
        <v>201203042</v>
      </c>
      <c r="D159" s="0" t="s">
        <v>516</v>
      </c>
      <c r="E159" s="0" t="s">
        <v>606</v>
      </c>
      <c r="F159" s="0" t="s">
        <v>511</v>
      </c>
      <c r="I159" s="8" t="s">
        <v>1077</v>
      </c>
      <c r="J159" s="28" t="s">
        <v>1078</v>
      </c>
      <c r="K159" s="28" t="s">
        <v>526</v>
      </c>
      <c r="L159" s="28"/>
      <c r="M159" s="28" t="s">
        <v>558</v>
      </c>
      <c r="N159" s="28" t="s">
        <v>487</v>
      </c>
      <c r="O159" s="28"/>
      <c r="P159" s="28"/>
      <c r="Q159" s="28" t="s">
        <v>558</v>
      </c>
    </row>
    <row r="160" customFormat="false" ht="13.8" hidden="false" customHeight="false" outlineLevel="0" collapsed="false">
      <c r="A160" s="36" t="s">
        <v>1080</v>
      </c>
      <c r="B160" s="0" t="s">
        <v>426</v>
      </c>
      <c r="C160" s="0" t="n">
        <v>201203042</v>
      </c>
      <c r="D160" s="0" t="s">
        <v>516</v>
      </c>
      <c r="E160" s="0" t="s">
        <v>747</v>
      </c>
      <c r="F160" s="0" t="s">
        <v>511</v>
      </c>
      <c r="I160" s="8" t="s">
        <v>1081</v>
      </c>
      <c r="J160" s="28" t="s">
        <v>1082</v>
      </c>
      <c r="K160" s="28" t="s">
        <v>486</v>
      </c>
      <c r="L160" s="28"/>
      <c r="M160" s="28" t="s">
        <v>558</v>
      </c>
      <c r="N160" s="28" t="s">
        <v>1083</v>
      </c>
      <c r="O160" s="28"/>
      <c r="P160" s="28"/>
      <c r="Q160" s="28" t="s">
        <v>511</v>
      </c>
    </row>
    <row r="161" customFormat="false" ht="13.8" hidden="false" customHeight="false" outlineLevel="0" collapsed="false">
      <c r="A161" s="36" t="s">
        <v>1085</v>
      </c>
      <c r="B161" s="0" t="s">
        <v>426</v>
      </c>
      <c r="C161" s="0" t="n">
        <v>201203042</v>
      </c>
      <c r="D161" s="0" t="s">
        <v>516</v>
      </c>
      <c r="E161" s="0" t="s">
        <v>704</v>
      </c>
      <c r="F161" s="0" t="s">
        <v>558</v>
      </c>
      <c r="I161" s="8" t="s">
        <v>1086</v>
      </c>
      <c r="J161" s="28" t="s">
        <v>1087</v>
      </c>
      <c r="K161" s="28" t="s">
        <v>486</v>
      </c>
      <c r="L161" s="28"/>
      <c r="M161" s="28" t="s">
        <v>558</v>
      </c>
      <c r="N161" s="28" t="s">
        <v>1088</v>
      </c>
      <c r="O161" s="28"/>
      <c r="P161" s="28"/>
      <c r="Q161" s="28" t="s">
        <v>511</v>
      </c>
    </row>
    <row r="162" customFormat="false" ht="13.8" hidden="false" customHeight="false" outlineLevel="0" collapsed="false">
      <c r="A162" s="36" t="s">
        <v>1090</v>
      </c>
      <c r="B162" s="0" t="s">
        <v>426</v>
      </c>
      <c r="C162" s="0" t="n">
        <v>201203042</v>
      </c>
      <c r="D162" s="0" t="s">
        <v>516</v>
      </c>
      <c r="E162" s="0" t="s">
        <v>738</v>
      </c>
      <c r="F162" s="0" t="s">
        <v>511</v>
      </c>
      <c r="I162" s="8" t="s">
        <v>1091</v>
      </c>
      <c r="J162" s="28" t="s">
        <v>1092</v>
      </c>
      <c r="K162" s="28" t="s">
        <v>486</v>
      </c>
      <c r="L162" s="28" t="s">
        <v>699</v>
      </c>
      <c r="M162" s="28" t="s">
        <v>558</v>
      </c>
      <c r="N162" s="28" t="s">
        <v>487</v>
      </c>
      <c r="O162" s="28"/>
      <c r="P162" s="28"/>
      <c r="Q162" s="28" t="s">
        <v>511</v>
      </c>
    </row>
    <row r="163" customFormat="false" ht="13.8" hidden="false" customHeight="false" outlineLevel="0" collapsed="false">
      <c r="A163" s="36" t="s">
        <v>1094</v>
      </c>
      <c r="B163" s="0" t="s">
        <v>426</v>
      </c>
      <c r="C163" s="0" t="n">
        <v>201203042</v>
      </c>
      <c r="D163" s="0" t="s">
        <v>516</v>
      </c>
      <c r="E163" s="0" t="s">
        <v>664</v>
      </c>
      <c r="F163" s="0" t="s">
        <v>511</v>
      </c>
      <c r="I163" s="8" t="s">
        <v>1095</v>
      </c>
      <c r="J163" s="28" t="s">
        <v>1096</v>
      </c>
      <c r="K163" s="28" t="s">
        <v>526</v>
      </c>
      <c r="L163" s="28"/>
      <c r="M163" s="28" t="s">
        <v>558</v>
      </c>
      <c r="N163" s="28" t="s">
        <v>487</v>
      </c>
      <c r="O163" s="28"/>
      <c r="P163" s="28"/>
      <c r="Q163" s="0" t="s">
        <v>558</v>
      </c>
    </row>
    <row r="164" customFormat="false" ht="13.8" hidden="false" customHeight="false" outlineLevel="0" collapsed="false">
      <c r="A164" s="36" t="s">
        <v>1098</v>
      </c>
      <c r="B164" s="0" t="s">
        <v>426</v>
      </c>
      <c r="C164" s="0" t="n">
        <v>201203042</v>
      </c>
      <c r="D164" s="0" t="s">
        <v>516</v>
      </c>
      <c r="E164" s="0" t="s">
        <v>517</v>
      </c>
      <c r="F164" s="0" t="s">
        <v>511</v>
      </c>
      <c r="I164" s="8" t="s">
        <v>1099</v>
      </c>
      <c r="J164" s="28" t="s">
        <v>1100</v>
      </c>
      <c r="K164" s="32" t="s">
        <v>752</v>
      </c>
      <c r="L164" s="28"/>
      <c r="M164" s="28" t="s">
        <v>558</v>
      </c>
      <c r="N164" s="28" t="s">
        <v>487</v>
      </c>
      <c r="O164" s="28"/>
      <c r="P164" s="28"/>
      <c r="Q164" s="0" t="s">
        <v>558</v>
      </c>
    </row>
    <row r="165" customFormat="false" ht="13.8" hidden="false" customHeight="false" outlineLevel="0" collapsed="false">
      <c r="A165" s="36" t="s">
        <v>1102</v>
      </c>
      <c r="B165" s="0" t="s">
        <v>426</v>
      </c>
      <c r="C165" s="0" t="n">
        <v>201203042</v>
      </c>
      <c r="D165" s="0" t="s">
        <v>510</v>
      </c>
      <c r="E165" s="0" t="s">
        <v>613</v>
      </c>
      <c r="F165" s="0" t="s">
        <v>511</v>
      </c>
      <c r="I165" s="8" t="s">
        <v>1103</v>
      </c>
      <c r="J165" s="28" t="s">
        <v>1104</v>
      </c>
      <c r="K165" s="28" t="s">
        <v>526</v>
      </c>
      <c r="L165" s="28"/>
      <c r="M165" s="28" t="s">
        <v>558</v>
      </c>
      <c r="N165" s="28" t="s">
        <v>487</v>
      </c>
      <c r="O165" s="28"/>
      <c r="P165" s="28"/>
      <c r="Q165" s="0" t="s">
        <v>558</v>
      </c>
    </row>
    <row r="166" customFormat="false" ht="13.8" hidden="false" customHeight="false" outlineLevel="0" collapsed="false">
      <c r="A166" s="36" t="s">
        <v>1106</v>
      </c>
      <c r="B166" s="0" t="s">
        <v>426</v>
      </c>
      <c r="C166" s="0" t="n">
        <v>201203042</v>
      </c>
      <c r="D166" s="0" t="s">
        <v>510</v>
      </c>
      <c r="E166" s="0" t="s">
        <v>721</v>
      </c>
      <c r="F166" s="0" t="s">
        <v>511</v>
      </c>
      <c r="I166" s="8" t="s">
        <v>1107</v>
      </c>
      <c r="J166" s="28" t="s">
        <v>1108</v>
      </c>
      <c r="K166" s="28" t="s">
        <v>526</v>
      </c>
      <c r="L166" s="28"/>
      <c r="M166" s="28" t="s">
        <v>558</v>
      </c>
      <c r="N166" s="28" t="s">
        <v>487</v>
      </c>
      <c r="O166" s="28"/>
      <c r="P166" s="28"/>
      <c r="Q166" s="0" t="s">
        <v>558</v>
      </c>
    </row>
    <row r="167" customFormat="false" ht="13.8" hidden="false" customHeight="false" outlineLevel="0" collapsed="false">
      <c r="A167" s="36" t="s">
        <v>1110</v>
      </c>
      <c r="B167" s="0" t="s">
        <v>426</v>
      </c>
      <c r="C167" s="0" t="n">
        <v>201203042</v>
      </c>
      <c r="D167" s="0" t="s">
        <v>510</v>
      </c>
      <c r="E167" s="0" t="s">
        <v>1113</v>
      </c>
      <c r="F167" s="0" t="s">
        <v>511</v>
      </c>
      <c r="I167" s="8" t="s">
        <v>1111</v>
      </c>
      <c r="J167" s="28" t="s">
        <v>1112</v>
      </c>
      <c r="K167" s="28" t="s">
        <v>526</v>
      </c>
      <c r="L167" s="28"/>
      <c r="M167" s="28" t="s">
        <v>558</v>
      </c>
      <c r="N167" s="28" t="s">
        <v>487</v>
      </c>
      <c r="O167" s="28"/>
      <c r="P167" s="28"/>
      <c r="Q167" s="0" t="s">
        <v>511</v>
      </c>
    </row>
    <row r="168" customFormat="false" ht="13.8" hidden="false" customHeight="false" outlineLevel="0" collapsed="false">
      <c r="A168" s="36" t="s">
        <v>1115</v>
      </c>
      <c r="B168" s="0" t="s">
        <v>426</v>
      </c>
      <c r="C168" s="0" t="n">
        <v>201203042</v>
      </c>
      <c r="D168" s="0" t="s">
        <v>510</v>
      </c>
      <c r="E168" s="0" t="s">
        <v>554</v>
      </c>
      <c r="F168" s="0" t="s">
        <v>511</v>
      </c>
      <c r="I168" s="8" t="s">
        <v>1116</v>
      </c>
      <c r="J168" s="28" t="s">
        <v>1117</v>
      </c>
      <c r="K168" s="28" t="s">
        <v>526</v>
      </c>
      <c r="L168" s="28"/>
      <c r="M168" s="28" t="s">
        <v>558</v>
      </c>
      <c r="N168" s="28" t="s">
        <v>1118</v>
      </c>
      <c r="O168" s="28"/>
      <c r="P168" s="28"/>
      <c r="Q168" s="0" t="s">
        <v>558</v>
      </c>
      <c r="R168" s="29" t="n">
        <v>43956</v>
      </c>
    </row>
    <row r="169" customFormat="false" ht="13.8" hidden="false" customHeight="false" outlineLevel="0" collapsed="false">
      <c r="A169" s="36" t="s">
        <v>1120</v>
      </c>
      <c r="B169" s="0" t="s">
        <v>426</v>
      </c>
      <c r="C169" s="0" t="n">
        <v>201203042</v>
      </c>
      <c r="D169" s="0" t="s">
        <v>516</v>
      </c>
      <c r="E169" s="0" t="s">
        <v>1123</v>
      </c>
      <c r="F169" s="0" t="s">
        <v>558</v>
      </c>
      <c r="I169" s="8" t="s">
        <v>1121</v>
      </c>
      <c r="J169" s="28" t="s">
        <v>1122</v>
      </c>
      <c r="K169" s="28" t="s">
        <v>486</v>
      </c>
      <c r="L169" s="28"/>
      <c r="M169" s="28" t="s">
        <v>558</v>
      </c>
      <c r="N169" s="28" t="s">
        <v>487</v>
      </c>
      <c r="O169" s="28"/>
      <c r="P169" s="28"/>
      <c r="Q169" s="0" t="s">
        <v>511</v>
      </c>
      <c r="R169" s="29" t="n">
        <v>43998</v>
      </c>
    </row>
    <row r="170" customFormat="false" ht="13.8" hidden="false" customHeight="false" outlineLevel="0" collapsed="false">
      <c r="A170" s="36" t="s">
        <v>1125</v>
      </c>
      <c r="B170" s="0" t="s">
        <v>426</v>
      </c>
      <c r="C170" s="0" t="n">
        <v>201203042</v>
      </c>
      <c r="D170" s="0" t="s">
        <v>516</v>
      </c>
      <c r="E170" s="0" t="s">
        <v>559</v>
      </c>
      <c r="F170" s="0" t="s">
        <v>558</v>
      </c>
      <c r="I170" s="8" t="s">
        <v>1126</v>
      </c>
      <c r="J170" s="28" t="s">
        <v>1127</v>
      </c>
      <c r="K170" s="28" t="s">
        <v>486</v>
      </c>
      <c r="L170" s="28"/>
      <c r="M170" s="28" t="s">
        <v>558</v>
      </c>
      <c r="N170" s="28" t="s">
        <v>487</v>
      </c>
      <c r="O170" s="28"/>
      <c r="P170" s="28"/>
      <c r="Q170" s="0" t="s">
        <v>511</v>
      </c>
      <c r="R170" s="29" t="n">
        <v>44684</v>
      </c>
    </row>
    <row r="171" customFormat="false" ht="13.8" hidden="false" customHeight="false" outlineLevel="0" collapsed="false">
      <c r="A171" s="36" t="s">
        <v>1129</v>
      </c>
      <c r="B171" s="0" t="s">
        <v>426</v>
      </c>
      <c r="C171" s="0" t="n">
        <v>201203042</v>
      </c>
      <c r="D171" s="0" t="s">
        <v>510</v>
      </c>
      <c r="E171" s="0" t="s">
        <v>709</v>
      </c>
      <c r="F171" s="0" t="s">
        <v>511</v>
      </c>
      <c r="I171" s="8" t="s">
        <v>1130</v>
      </c>
      <c r="J171" s="28" t="s">
        <v>1131</v>
      </c>
      <c r="K171" s="28" t="s">
        <v>486</v>
      </c>
      <c r="L171" s="28"/>
      <c r="M171" s="28" t="s">
        <v>558</v>
      </c>
      <c r="N171" s="28" t="s">
        <v>487</v>
      </c>
      <c r="O171" s="28"/>
      <c r="P171" s="28"/>
      <c r="Q171" s="0" t="s">
        <v>511</v>
      </c>
      <c r="R171" s="29" t="n">
        <v>43949</v>
      </c>
    </row>
    <row r="172" customFormat="false" ht="13.8" hidden="false" customHeight="false" outlineLevel="0" collapsed="false">
      <c r="A172" s="36" t="s">
        <v>1133</v>
      </c>
      <c r="B172" s="0" t="s">
        <v>426</v>
      </c>
      <c r="C172" s="0" t="n">
        <v>201203042</v>
      </c>
      <c r="D172" s="0" t="s">
        <v>516</v>
      </c>
      <c r="E172" s="0" t="s">
        <v>517</v>
      </c>
      <c r="F172" s="0" t="s">
        <v>511</v>
      </c>
      <c r="I172" s="8" t="s">
        <v>1134</v>
      </c>
      <c r="J172" s="28" t="s">
        <v>1135</v>
      </c>
      <c r="K172" s="28" t="s">
        <v>526</v>
      </c>
      <c r="L172" s="28"/>
      <c r="M172" s="28" t="s">
        <v>558</v>
      </c>
      <c r="N172" s="28" t="s">
        <v>487</v>
      </c>
      <c r="O172" s="28"/>
      <c r="P172" s="28"/>
      <c r="Q172" s="0" t="s">
        <v>558</v>
      </c>
    </row>
    <row r="173" customFormat="false" ht="13.8" hidden="false" customHeight="false" outlineLevel="0" collapsed="false">
      <c r="A173" s="36" t="s">
        <v>1137</v>
      </c>
      <c r="B173" s="0" t="s">
        <v>426</v>
      </c>
      <c r="C173" s="0" t="n">
        <v>201203042</v>
      </c>
      <c r="D173" s="0" t="s">
        <v>516</v>
      </c>
      <c r="E173" s="0" t="s">
        <v>584</v>
      </c>
      <c r="F173" s="0" t="s">
        <v>511</v>
      </c>
      <c r="I173" s="8" t="s">
        <v>1138</v>
      </c>
      <c r="J173" s="28" t="s">
        <v>1139</v>
      </c>
      <c r="K173" s="28" t="s">
        <v>526</v>
      </c>
      <c r="L173" s="28"/>
      <c r="M173" s="28" t="s">
        <v>558</v>
      </c>
      <c r="N173" s="28" t="s">
        <v>758</v>
      </c>
      <c r="O173" s="28"/>
      <c r="P173" s="28"/>
      <c r="Q173" s="0" t="s">
        <v>558</v>
      </c>
    </row>
    <row r="174" customFormat="false" ht="13.8" hidden="false" customHeight="false" outlineLevel="0" collapsed="false">
      <c r="A174" s="36" t="s">
        <v>1141</v>
      </c>
      <c r="B174" s="0" t="s">
        <v>426</v>
      </c>
      <c r="C174" s="0" t="n">
        <v>201203042</v>
      </c>
      <c r="D174" s="0" t="s">
        <v>510</v>
      </c>
      <c r="E174" s="0" t="s">
        <v>537</v>
      </c>
      <c r="F174" s="0" t="s">
        <v>511</v>
      </c>
      <c r="I174" s="8" t="s">
        <v>1142</v>
      </c>
      <c r="J174" s="28" t="s">
        <v>1143</v>
      </c>
      <c r="K174" s="28" t="s">
        <v>526</v>
      </c>
      <c r="L174" s="28"/>
      <c r="M174" s="28" t="s">
        <v>558</v>
      </c>
      <c r="N174" s="28" t="s">
        <v>487</v>
      </c>
      <c r="O174" s="28"/>
      <c r="P174" s="28"/>
      <c r="Q174" s="0" t="s">
        <v>558</v>
      </c>
    </row>
    <row r="175" customFormat="false" ht="13.8" hidden="false" customHeight="false" outlineLevel="0" collapsed="false">
      <c r="A175" s="36" t="s">
        <v>1145</v>
      </c>
      <c r="B175" s="0" t="s">
        <v>426</v>
      </c>
      <c r="C175" s="0" t="n">
        <v>201203042</v>
      </c>
      <c r="D175" s="0" t="s">
        <v>510</v>
      </c>
      <c r="E175" s="0" t="s">
        <v>767</v>
      </c>
      <c r="F175" s="0" t="s">
        <v>511</v>
      </c>
      <c r="I175" s="8" t="s">
        <v>1146</v>
      </c>
      <c r="J175" s="28" t="s">
        <v>1147</v>
      </c>
      <c r="K175" s="28" t="s">
        <v>526</v>
      </c>
      <c r="L175" s="28"/>
      <c r="M175" s="28" t="s">
        <v>558</v>
      </c>
      <c r="N175" s="28" t="s">
        <v>1148</v>
      </c>
      <c r="O175" s="28"/>
      <c r="P175" s="28"/>
      <c r="Q175" s="0" t="s">
        <v>511</v>
      </c>
    </row>
    <row r="176" customFormat="false" ht="13.8" hidden="false" customHeight="false" outlineLevel="0" collapsed="false">
      <c r="A176" s="36" t="s">
        <v>1150</v>
      </c>
      <c r="B176" s="0" t="s">
        <v>426</v>
      </c>
      <c r="C176" s="0" t="n">
        <v>201203042</v>
      </c>
      <c r="D176" s="0" t="s">
        <v>516</v>
      </c>
      <c r="E176" s="0" t="s">
        <v>652</v>
      </c>
      <c r="F176" s="0" t="s">
        <v>511</v>
      </c>
      <c r="I176" s="8" t="s">
        <v>1151</v>
      </c>
      <c r="J176" s="28" t="s">
        <v>1152</v>
      </c>
      <c r="K176" s="28" t="s">
        <v>486</v>
      </c>
      <c r="L176" s="28"/>
      <c r="M176" s="28" t="s">
        <v>558</v>
      </c>
      <c r="N176" s="28" t="s">
        <v>487</v>
      </c>
      <c r="O176" s="28"/>
      <c r="P176" s="28"/>
      <c r="Q176" s="0" t="s">
        <v>511</v>
      </c>
    </row>
    <row r="177" customFormat="false" ht="13.8" hidden="false" customHeight="false" outlineLevel="0" collapsed="false">
      <c r="A177" s="36" t="s">
        <v>1154</v>
      </c>
      <c r="B177" s="0" t="s">
        <v>426</v>
      </c>
      <c r="C177" s="0" t="n">
        <v>201203042</v>
      </c>
      <c r="D177" s="0" t="s">
        <v>516</v>
      </c>
      <c r="E177" s="0" t="s">
        <v>554</v>
      </c>
      <c r="F177" s="0" t="s">
        <v>511</v>
      </c>
      <c r="I177" s="8" t="s">
        <v>1155</v>
      </c>
      <c r="J177" s="28" t="s">
        <v>1156</v>
      </c>
      <c r="K177" s="32" t="s">
        <v>752</v>
      </c>
      <c r="L177" s="28"/>
      <c r="M177" s="28" t="s">
        <v>558</v>
      </c>
      <c r="N177" s="28" t="s">
        <v>1157</v>
      </c>
      <c r="O177" s="28"/>
      <c r="P177" s="28"/>
      <c r="Q177" s="0" t="s">
        <v>558</v>
      </c>
    </row>
    <row r="178" customFormat="false" ht="13.8" hidden="false" customHeight="false" outlineLevel="0" collapsed="false">
      <c r="A178" s="36" t="s">
        <v>1159</v>
      </c>
      <c r="B178" s="0" t="s">
        <v>426</v>
      </c>
      <c r="C178" s="0" t="n">
        <v>201203042</v>
      </c>
      <c r="D178" s="0" t="s">
        <v>510</v>
      </c>
      <c r="E178" s="0" t="s">
        <v>573</v>
      </c>
      <c r="F178" s="0" t="s">
        <v>511</v>
      </c>
      <c r="I178" s="8" t="s">
        <v>1160</v>
      </c>
      <c r="J178" s="28" t="s">
        <v>1161</v>
      </c>
      <c r="K178" s="32" t="s">
        <v>752</v>
      </c>
      <c r="L178" s="28"/>
      <c r="M178" s="28" t="s">
        <v>558</v>
      </c>
      <c r="N178" s="28" t="s">
        <v>1157</v>
      </c>
      <c r="O178" s="28"/>
      <c r="P178" s="28"/>
      <c r="Q178" s="0" t="s">
        <v>558</v>
      </c>
    </row>
    <row r="179" customFormat="false" ht="13.8" hidden="false" customHeight="false" outlineLevel="0" collapsed="false">
      <c r="A179" s="36" t="s">
        <v>1163</v>
      </c>
      <c r="B179" s="0" t="s">
        <v>426</v>
      </c>
      <c r="C179" s="0" t="n">
        <v>201203042</v>
      </c>
      <c r="D179" s="0" t="s">
        <v>516</v>
      </c>
      <c r="E179" s="0" t="s">
        <v>704</v>
      </c>
      <c r="F179" s="0" t="s">
        <v>511</v>
      </c>
      <c r="I179" s="8" t="s">
        <v>1164</v>
      </c>
      <c r="J179" s="28" t="s">
        <v>1165</v>
      </c>
      <c r="K179" s="28" t="s">
        <v>526</v>
      </c>
      <c r="L179" s="28"/>
      <c r="M179" s="28" t="s">
        <v>558</v>
      </c>
      <c r="N179" s="28" t="s">
        <v>487</v>
      </c>
      <c r="O179" s="28"/>
      <c r="P179" s="28"/>
      <c r="Q179" s="0" t="s">
        <v>558</v>
      </c>
    </row>
    <row r="180" customFormat="false" ht="13.8" hidden="false" customHeight="false" outlineLevel="0" collapsed="false">
      <c r="A180" s="36" t="s">
        <v>1167</v>
      </c>
      <c r="B180" s="0" t="s">
        <v>426</v>
      </c>
      <c r="C180" s="0" t="n">
        <v>201203042</v>
      </c>
      <c r="D180" s="0" t="s">
        <v>516</v>
      </c>
      <c r="E180" s="0" t="s">
        <v>595</v>
      </c>
      <c r="F180" s="0" t="s">
        <v>511</v>
      </c>
      <c r="I180" s="8" t="s">
        <v>1168</v>
      </c>
      <c r="J180" s="28" t="s">
        <v>1169</v>
      </c>
      <c r="K180" s="28" t="s">
        <v>526</v>
      </c>
      <c r="L180" s="28"/>
      <c r="M180" s="28" t="s">
        <v>558</v>
      </c>
      <c r="N180" s="28" t="s">
        <v>487</v>
      </c>
      <c r="O180" s="28"/>
      <c r="P180" s="28"/>
      <c r="Q180" s="0" t="s">
        <v>558</v>
      </c>
    </row>
    <row r="181" customFormat="false" ht="13.8" hidden="false" customHeight="false" outlineLevel="0" collapsed="false">
      <c r="A181" s="36" t="s">
        <v>1171</v>
      </c>
      <c r="B181" s="0" t="s">
        <v>426</v>
      </c>
      <c r="C181" s="0" t="n">
        <v>201203042</v>
      </c>
      <c r="D181" s="0" t="s">
        <v>510</v>
      </c>
      <c r="E181" s="0" t="s">
        <v>1174</v>
      </c>
      <c r="F181" s="0" t="s">
        <v>511</v>
      </c>
      <c r="I181" s="8" t="s">
        <v>1172</v>
      </c>
      <c r="J181" s="28" t="s">
        <v>1173</v>
      </c>
      <c r="K181" s="28" t="s">
        <v>526</v>
      </c>
      <c r="L181" s="28"/>
      <c r="M181" s="28" t="s">
        <v>558</v>
      </c>
      <c r="N181" s="28" t="s">
        <v>487</v>
      </c>
      <c r="O181" s="28"/>
      <c r="P181" s="28"/>
      <c r="Q181" s="0" t="s">
        <v>558</v>
      </c>
    </row>
    <row r="182" customFormat="false" ht="13.8" hidden="false" customHeight="false" outlineLevel="0" collapsed="false">
      <c r="A182" s="36" t="s">
        <v>1176</v>
      </c>
      <c r="B182" s="0" t="s">
        <v>426</v>
      </c>
      <c r="C182" s="0" t="n">
        <v>201203042</v>
      </c>
      <c r="D182" s="0" t="s">
        <v>510</v>
      </c>
      <c r="E182" s="0" t="s">
        <v>517</v>
      </c>
      <c r="F182" s="0" t="s">
        <v>511</v>
      </c>
      <c r="I182" s="8" t="s">
        <v>1177</v>
      </c>
      <c r="J182" s="28" t="s">
        <v>1178</v>
      </c>
      <c r="K182" s="28" t="s">
        <v>526</v>
      </c>
      <c r="L182" s="28"/>
      <c r="M182" s="28" t="s">
        <v>558</v>
      </c>
      <c r="N182" s="28" t="s">
        <v>1179</v>
      </c>
      <c r="O182" s="28"/>
      <c r="P182" s="28"/>
      <c r="Q182" s="0" t="s">
        <v>558</v>
      </c>
    </row>
    <row r="183" customFormat="false" ht="13.8" hidden="false" customHeight="false" outlineLevel="0" collapsed="false">
      <c r="A183" s="36" t="s">
        <v>1181</v>
      </c>
      <c r="B183" s="0" t="s">
        <v>426</v>
      </c>
      <c r="C183" s="0" t="n">
        <v>201203042</v>
      </c>
      <c r="D183" s="0" t="s">
        <v>516</v>
      </c>
      <c r="E183" s="0" t="s">
        <v>533</v>
      </c>
      <c r="F183" s="0" t="s">
        <v>511</v>
      </c>
      <c r="I183" s="8" t="s">
        <v>1182</v>
      </c>
      <c r="J183" s="28" t="s">
        <v>1183</v>
      </c>
      <c r="K183" s="28" t="s">
        <v>526</v>
      </c>
      <c r="L183" s="28"/>
      <c r="M183" s="28" t="s">
        <v>558</v>
      </c>
      <c r="N183" s="28" t="s">
        <v>487</v>
      </c>
      <c r="O183" s="28"/>
      <c r="P183" s="28"/>
      <c r="Q183" s="0" t="s">
        <v>558</v>
      </c>
    </row>
    <row r="184" customFormat="false" ht="13.8" hidden="false" customHeight="false" outlineLevel="0" collapsed="false">
      <c r="A184" s="36" t="s">
        <v>1185</v>
      </c>
      <c r="B184" s="0" t="s">
        <v>426</v>
      </c>
      <c r="C184" s="0" t="n">
        <v>201203042</v>
      </c>
      <c r="D184" s="0" t="s">
        <v>510</v>
      </c>
      <c r="E184" s="0" t="s">
        <v>512</v>
      </c>
      <c r="F184" s="0" t="s">
        <v>808</v>
      </c>
      <c r="I184" s="8" t="s">
        <v>1186</v>
      </c>
      <c r="J184" s="28" t="s">
        <v>1187</v>
      </c>
      <c r="K184" s="33" t="s">
        <v>486</v>
      </c>
      <c r="L184" s="28"/>
      <c r="M184" s="28" t="s">
        <v>558</v>
      </c>
      <c r="N184" s="28" t="s">
        <v>1188</v>
      </c>
      <c r="O184" s="28"/>
      <c r="P184" s="28"/>
      <c r="Q184" s="0" t="s">
        <v>511</v>
      </c>
    </row>
    <row r="185" customFormat="false" ht="13.8" hidden="false" customHeight="false" outlineLevel="0" collapsed="false">
      <c r="A185" s="36" t="s">
        <v>1190</v>
      </c>
      <c r="B185" s="0" t="s">
        <v>426</v>
      </c>
      <c r="C185" s="0" t="n">
        <v>201203042</v>
      </c>
      <c r="D185" s="0" t="s">
        <v>510</v>
      </c>
      <c r="E185" s="0" t="s">
        <v>537</v>
      </c>
      <c r="F185" s="0" t="s">
        <v>511</v>
      </c>
      <c r="I185" s="8" t="s">
        <v>1191</v>
      </c>
      <c r="J185" s="28" t="s">
        <v>1192</v>
      </c>
      <c r="K185" s="28" t="s">
        <v>526</v>
      </c>
      <c r="L185" s="28"/>
      <c r="M185" s="28" t="s">
        <v>558</v>
      </c>
      <c r="N185" s="28" t="s">
        <v>487</v>
      </c>
      <c r="O185" s="28"/>
      <c r="P185" s="28"/>
      <c r="Q185" s="0" t="s">
        <v>558</v>
      </c>
    </row>
    <row r="186" customFormat="false" ht="13.8" hidden="false" customHeight="false" outlineLevel="0" collapsed="false">
      <c r="A186" s="36" t="s">
        <v>1194</v>
      </c>
      <c r="B186" s="0" t="s">
        <v>426</v>
      </c>
      <c r="C186" s="0" t="n">
        <v>201203042</v>
      </c>
      <c r="D186" s="0" t="s">
        <v>516</v>
      </c>
      <c r="E186" s="0" t="s">
        <v>537</v>
      </c>
      <c r="F186" s="0" t="s">
        <v>558</v>
      </c>
      <c r="I186" s="8" t="s">
        <v>1195</v>
      </c>
      <c r="J186" s="28" t="s">
        <v>1196</v>
      </c>
      <c r="K186" s="28" t="s">
        <v>486</v>
      </c>
      <c r="L186" s="28"/>
      <c r="M186" s="28" t="s">
        <v>558</v>
      </c>
      <c r="N186" s="28" t="s">
        <v>487</v>
      </c>
      <c r="P186" s="28"/>
      <c r="Q186" s="0" t="s">
        <v>511</v>
      </c>
    </row>
    <row r="187" customFormat="false" ht="13.8" hidden="false" customHeight="false" outlineLevel="0" collapsed="false">
      <c r="A187" s="36" t="s">
        <v>1198</v>
      </c>
      <c r="B187" s="0" t="s">
        <v>426</v>
      </c>
      <c r="C187" s="0" t="n">
        <v>201203042</v>
      </c>
      <c r="D187" s="0" t="s">
        <v>516</v>
      </c>
      <c r="E187" s="0" t="s">
        <v>1201</v>
      </c>
      <c r="F187" s="0" t="s">
        <v>511</v>
      </c>
      <c r="I187" s="8" t="s">
        <v>1199</v>
      </c>
      <c r="J187" s="28" t="s">
        <v>1200</v>
      </c>
      <c r="K187" s="28" t="s">
        <v>486</v>
      </c>
      <c r="L187" s="28"/>
      <c r="M187" s="28" t="s">
        <v>558</v>
      </c>
      <c r="N187" s="28" t="s">
        <v>1202</v>
      </c>
      <c r="O187" s="28"/>
      <c r="P187" s="28"/>
      <c r="Q187" s="0" t="s">
        <v>511</v>
      </c>
    </row>
    <row r="188" customFormat="false" ht="13.8" hidden="false" customHeight="false" outlineLevel="0" collapsed="false">
      <c r="A188" s="36" t="s">
        <v>1204</v>
      </c>
      <c r="B188" s="0" t="s">
        <v>426</v>
      </c>
      <c r="C188" s="0" t="n">
        <v>201203042</v>
      </c>
      <c r="D188" s="0" t="s">
        <v>516</v>
      </c>
      <c r="E188" s="0" t="s">
        <v>738</v>
      </c>
      <c r="F188" s="0" t="s">
        <v>808</v>
      </c>
      <c r="I188" s="8" t="s">
        <v>1205</v>
      </c>
      <c r="J188" s="28" t="s">
        <v>1206</v>
      </c>
      <c r="K188" s="28" t="s">
        <v>526</v>
      </c>
      <c r="L188" s="28"/>
      <c r="M188" s="28" t="s">
        <v>558</v>
      </c>
      <c r="N188" s="28" t="s">
        <v>487</v>
      </c>
      <c r="O188" s="28"/>
      <c r="P188" s="28"/>
      <c r="Q188" s="0" t="s">
        <v>558</v>
      </c>
    </row>
    <row r="189" customFormat="false" ht="13.8" hidden="false" customHeight="false" outlineLevel="0" collapsed="false">
      <c r="A189" s="36" t="s">
        <v>1208</v>
      </c>
      <c r="B189" s="0" t="s">
        <v>426</v>
      </c>
      <c r="C189" s="0" t="n">
        <v>201203042</v>
      </c>
      <c r="D189" s="0" t="s">
        <v>510</v>
      </c>
      <c r="E189" s="0" t="s">
        <v>1211</v>
      </c>
      <c r="F189" s="0" t="s">
        <v>511</v>
      </c>
      <c r="I189" s="8" t="s">
        <v>1209</v>
      </c>
      <c r="J189" s="28" t="s">
        <v>1210</v>
      </c>
      <c r="K189" s="32" t="s">
        <v>1012</v>
      </c>
      <c r="L189" s="28"/>
      <c r="M189" s="28" t="s">
        <v>558</v>
      </c>
      <c r="N189" s="28" t="s">
        <v>487</v>
      </c>
      <c r="O189" s="28"/>
      <c r="P189" s="28"/>
      <c r="Q189" s="0" t="s">
        <v>558</v>
      </c>
    </row>
    <row r="190" customFormat="false" ht="13.8" hidden="false" customHeight="false" outlineLevel="0" collapsed="false">
      <c r="A190" s="36" t="s">
        <v>1213</v>
      </c>
      <c r="B190" s="0" t="s">
        <v>426</v>
      </c>
      <c r="C190" s="0" t="n">
        <v>201203042</v>
      </c>
      <c r="D190" s="0" t="s">
        <v>516</v>
      </c>
      <c r="E190" s="0" t="s">
        <v>1211</v>
      </c>
      <c r="F190" s="0" t="s">
        <v>511</v>
      </c>
      <c r="I190" s="8" t="s">
        <v>1214</v>
      </c>
      <c r="J190" s="28" t="s">
        <v>1215</v>
      </c>
      <c r="K190" s="28" t="s">
        <v>486</v>
      </c>
      <c r="L190" s="28" t="s">
        <v>699</v>
      </c>
      <c r="M190" s="28" t="s">
        <v>511</v>
      </c>
      <c r="N190" s="28" t="s">
        <v>1216</v>
      </c>
      <c r="O190" s="28"/>
      <c r="P190" s="28"/>
      <c r="Q190" s="0" t="s">
        <v>558</v>
      </c>
    </row>
    <row r="191" customFormat="false" ht="13.8" hidden="false" customHeight="false" outlineLevel="0" collapsed="false">
      <c r="A191" s="36" t="s">
        <v>1218</v>
      </c>
      <c r="B191" s="0" t="s">
        <v>426</v>
      </c>
      <c r="C191" s="0" t="n">
        <v>201203042</v>
      </c>
      <c r="D191" s="0" t="s">
        <v>516</v>
      </c>
      <c r="E191" s="0" t="s">
        <v>1221</v>
      </c>
      <c r="F191" s="0" t="s">
        <v>558</v>
      </c>
      <c r="I191" s="8" t="s">
        <v>1219</v>
      </c>
      <c r="J191" s="28" t="s">
        <v>1220</v>
      </c>
      <c r="K191" s="28" t="s">
        <v>486</v>
      </c>
      <c r="L191" s="28"/>
      <c r="M191" s="28" t="s">
        <v>558</v>
      </c>
      <c r="N191" s="28" t="s">
        <v>487</v>
      </c>
      <c r="O191" s="28"/>
      <c r="P191" s="28"/>
      <c r="Q191" s="0" t="s">
        <v>558</v>
      </c>
    </row>
    <row r="192" customFormat="false" ht="13.8" hidden="false" customHeight="false" outlineLevel="0" collapsed="false">
      <c r="A192" s="36" t="s">
        <v>1223</v>
      </c>
      <c r="B192" s="0" t="s">
        <v>426</v>
      </c>
      <c r="C192" s="0" t="n">
        <v>201203042</v>
      </c>
      <c r="D192" s="0" t="s">
        <v>516</v>
      </c>
      <c r="E192" s="0" t="s">
        <v>709</v>
      </c>
      <c r="F192" s="0" t="s">
        <v>558</v>
      </c>
      <c r="I192" s="8" t="s">
        <v>1224</v>
      </c>
      <c r="J192" s="28" t="s">
        <v>1225</v>
      </c>
      <c r="K192" s="28" t="s">
        <v>486</v>
      </c>
      <c r="L192" s="28"/>
      <c r="M192" s="28" t="s">
        <v>558</v>
      </c>
      <c r="N192" s="28" t="s">
        <v>487</v>
      </c>
      <c r="O192" s="28"/>
      <c r="P192" s="28"/>
      <c r="Q192" s="0" t="s">
        <v>511</v>
      </c>
    </row>
    <row r="193" customFormat="false" ht="13.8" hidden="false" customHeight="false" outlineLevel="0" collapsed="false">
      <c r="A193" s="36" t="s">
        <v>1227</v>
      </c>
      <c r="B193" s="0" t="s">
        <v>426</v>
      </c>
      <c r="C193" s="0" t="n">
        <v>201203042</v>
      </c>
      <c r="D193" s="0" t="s">
        <v>516</v>
      </c>
      <c r="E193" s="0" t="s">
        <v>767</v>
      </c>
      <c r="F193" s="0" t="s">
        <v>511</v>
      </c>
      <c r="I193" s="8" t="s">
        <v>1228</v>
      </c>
      <c r="J193" s="28" t="s">
        <v>1229</v>
      </c>
      <c r="K193" s="28" t="s">
        <v>486</v>
      </c>
      <c r="L193" s="28" t="s">
        <v>699</v>
      </c>
      <c r="M193" s="28" t="s">
        <v>558</v>
      </c>
      <c r="N193" s="28" t="s">
        <v>487</v>
      </c>
      <c r="O193" s="28"/>
      <c r="P193" s="28"/>
      <c r="Q193" s="0" t="s">
        <v>558</v>
      </c>
    </row>
    <row r="194" customFormat="false" ht="13.8" hidden="false" customHeight="false" outlineLevel="0" collapsed="false">
      <c r="A194" s="36" t="s">
        <v>1231</v>
      </c>
      <c r="B194" s="0" t="s">
        <v>426</v>
      </c>
      <c r="C194" s="0" t="n">
        <v>201203042</v>
      </c>
      <c r="D194" s="0" t="s">
        <v>510</v>
      </c>
      <c r="E194" s="0" t="s">
        <v>709</v>
      </c>
      <c r="F194" s="0" t="s">
        <v>558</v>
      </c>
      <c r="I194" s="8" t="s">
        <v>1232</v>
      </c>
      <c r="J194" s="28" t="s">
        <v>1233</v>
      </c>
      <c r="K194" s="28" t="s">
        <v>486</v>
      </c>
      <c r="L194" s="28"/>
      <c r="M194" s="28" t="s">
        <v>558</v>
      </c>
      <c r="N194" s="28" t="s">
        <v>487</v>
      </c>
      <c r="O194" s="28"/>
      <c r="P194" s="28"/>
      <c r="Q194" s="0" t="s">
        <v>511</v>
      </c>
    </row>
    <row r="195" customFormat="false" ht="13.8" hidden="false" customHeight="false" outlineLevel="0" collapsed="false">
      <c r="A195" s="36" t="s">
        <v>1235</v>
      </c>
      <c r="B195" s="0" t="s">
        <v>426</v>
      </c>
      <c r="C195" s="0" t="n">
        <v>201203042</v>
      </c>
      <c r="D195" s="0" t="s">
        <v>516</v>
      </c>
      <c r="E195" s="0" t="s">
        <v>566</v>
      </c>
      <c r="F195" s="0" t="s">
        <v>558</v>
      </c>
      <c r="I195" s="8" t="s">
        <v>1236</v>
      </c>
      <c r="J195" s="28" t="s">
        <v>1237</v>
      </c>
      <c r="K195" s="28" t="s">
        <v>486</v>
      </c>
      <c r="L195" s="28"/>
      <c r="M195" s="28" t="s">
        <v>558</v>
      </c>
      <c r="N195" s="28" t="s">
        <v>487</v>
      </c>
      <c r="O195" s="28"/>
      <c r="P195" s="28"/>
      <c r="Q195" s="0" t="s">
        <v>558</v>
      </c>
    </row>
    <row r="196" customFormat="false" ht="13.8" hidden="false" customHeight="false" outlineLevel="0" collapsed="false">
      <c r="A196" s="36" t="s">
        <v>1239</v>
      </c>
      <c r="B196" s="0" t="s">
        <v>426</v>
      </c>
      <c r="C196" s="0" t="n">
        <v>201203042</v>
      </c>
      <c r="D196" s="0" t="s">
        <v>510</v>
      </c>
      <c r="E196" s="0" t="s">
        <v>626</v>
      </c>
      <c r="F196" s="0" t="s">
        <v>511</v>
      </c>
      <c r="I196" s="8" t="s">
        <v>1240</v>
      </c>
      <c r="J196" s="28" t="s">
        <v>1241</v>
      </c>
      <c r="K196" s="28" t="s">
        <v>486</v>
      </c>
      <c r="M196" s="28" t="s">
        <v>558</v>
      </c>
      <c r="N196" s="28" t="s">
        <v>487</v>
      </c>
      <c r="O196" s="28"/>
      <c r="P196" s="28"/>
      <c r="Q196" s="28" t="s">
        <v>511</v>
      </c>
    </row>
    <row r="197" customFormat="false" ht="13.8" hidden="false" customHeight="false" outlineLevel="0" collapsed="false">
      <c r="A197" s="36" t="s">
        <v>1243</v>
      </c>
      <c r="B197" s="0" t="s">
        <v>426</v>
      </c>
      <c r="C197" s="0" t="n">
        <v>201203042</v>
      </c>
      <c r="D197" s="0" t="s">
        <v>516</v>
      </c>
      <c r="E197" s="0" t="s">
        <v>1246</v>
      </c>
      <c r="F197" s="0" t="s">
        <v>511</v>
      </c>
      <c r="I197" s="8" t="s">
        <v>1244</v>
      </c>
      <c r="J197" s="28" t="s">
        <v>1245</v>
      </c>
      <c r="K197" s="28" t="s">
        <v>486</v>
      </c>
      <c r="M197" s="28" t="s">
        <v>558</v>
      </c>
      <c r="N197" s="28" t="s">
        <v>1247</v>
      </c>
      <c r="O197" s="28"/>
      <c r="P197" s="28"/>
      <c r="Q197" s="28" t="s">
        <v>511</v>
      </c>
    </row>
    <row r="198" customFormat="false" ht="13.8" hidden="false" customHeight="false" outlineLevel="0" collapsed="false">
      <c r="A198" s="36" t="s">
        <v>1249</v>
      </c>
      <c r="B198" s="0" t="s">
        <v>426</v>
      </c>
      <c r="C198" s="0" t="n">
        <v>201203042</v>
      </c>
      <c r="D198" s="0" t="s">
        <v>510</v>
      </c>
      <c r="E198" s="0" t="s">
        <v>559</v>
      </c>
      <c r="F198" s="0" t="s">
        <v>511</v>
      </c>
      <c r="I198" s="8" t="s">
        <v>1250</v>
      </c>
      <c r="J198" s="28" t="s">
        <v>1251</v>
      </c>
      <c r="K198" s="28" t="s">
        <v>486</v>
      </c>
      <c r="M198" s="28" t="s">
        <v>558</v>
      </c>
      <c r="N198" s="28" t="s">
        <v>1247</v>
      </c>
      <c r="O198" s="28"/>
      <c r="P198" s="28"/>
      <c r="Q198" s="28" t="s">
        <v>511</v>
      </c>
    </row>
    <row r="199" customFormat="false" ht="13.8" hidden="false" customHeight="false" outlineLevel="0" collapsed="false">
      <c r="A199" s="36" t="s">
        <v>1253</v>
      </c>
      <c r="B199" s="0" t="s">
        <v>426</v>
      </c>
      <c r="C199" s="0" t="n">
        <v>201203042</v>
      </c>
      <c r="D199" s="0" t="s">
        <v>510</v>
      </c>
      <c r="E199" s="0" t="s">
        <v>664</v>
      </c>
      <c r="F199" s="0" t="s">
        <v>558</v>
      </c>
      <c r="I199" s="8" t="s">
        <v>1254</v>
      </c>
      <c r="J199" s="28" t="s">
        <v>1255</v>
      </c>
      <c r="K199" s="28" t="s">
        <v>486</v>
      </c>
      <c r="M199" s="28" t="s">
        <v>558</v>
      </c>
      <c r="N199" s="28" t="s">
        <v>1256</v>
      </c>
      <c r="O199" s="28"/>
      <c r="P199" s="28"/>
      <c r="Q199" s="28" t="s">
        <v>558</v>
      </c>
    </row>
    <row r="200" customFormat="false" ht="13.8" hidden="false" customHeight="false" outlineLevel="0" collapsed="false">
      <c r="A200" s="36" t="s">
        <v>1258</v>
      </c>
      <c r="B200" s="0" t="s">
        <v>426</v>
      </c>
      <c r="C200" s="0" t="n">
        <v>201203042</v>
      </c>
      <c r="D200" s="0" t="s">
        <v>510</v>
      </c>
      <c r="E200" s="0" t="s">
        <v>1201</v>
      </c>
      <c r="F200" s="0" t="s">
        <v>558</v>
      </c>
      <c r="I200" s="8" t="s">
        <v>1259</v>
      </c>
      <c r="J200" s="28" t="s">
        <v>1260</v>
      </c>
      <c r="K200" s="28" t="s">
        <v>486</v>
      </c>
      <c r="M200" s="28" t="s">
        <v>558</v>
      </c>
      <c r="N200" s="28" t="s">
        <v>487</v>
      </c>
      <c r="O200" s="28"/>
      <c r="P200" s="28"/>
      <c r="Q200" s="28" t="s">
        <v>511</v>
      </c>
      <c r="R200" s="29" t="n">
        <v>43902</v>
      </c>
    </row>
    <row r="201" customFormat="false" ht="13.8" hidden="false" customHeight="false" outlineLevel="0" collapsed="false">
      <c r="A201" s="36" t="s">
        <v>1262</v>
      </c>
      <c r="B201" s="0" t="s">
        <v>426</v>
      </c>
      <c r="C201" s="0" t="n">
        <v>201203042</v>
      </c>
      <c r="D201" s="0" t="s">
        <v>516</v>
      </c>
      <c r="E201" s="0" t="s">
        <v>652</v>
      </c>
      <c r="F201" s="0" t="s">
        <v>511</v>
      </c>
      <c r="I201" s="8" t="s">
        <v>1263</v>
      </c>
      <c r="J201" s="28" t="s">
        <v>1264</v>
      </c>
      <c r="K201" s="28" t="s">
        <v>486</v>
      </c>
      <c r="L201" s="28"/>
      <c r="M201" s="28" t="s">
        <v>558</v>
      </c>
      <c r="N201" s="28" t="s">
        <v>487</v>
      </c>
      <c r="O201" s="28"/>
      <c r="P201" s="28"/>
      <c r="Q201" s="28" t="s">
        <v>511</v>
      </c>
      <c r="R201" s="29" t="n">
        <v>44684</v>
      </c>
    </row>
    <row r="202" customFormat="false" ht="13.8" hidden="false" customHeight="false" outlineLevel="0" collapsed="false">
      <c r="A202" s="36" t="s">
        <v>1266</v>
      </c>
      <c r="B202" s="0" t="s">
        <v>426</v>
      </c>
      <c r="C202" s="0" t="n">
        <v>201203042</v>
      </c>
      <c r="D202" s="0" t="s">
        <v>510</v>
      </c>
      <c r="E202" s="0" t="s">
        <v>595</v>
      </c>
      <c r="F202" s="0" t="s">
        <v>511</v>
      </c>
      <c r="I202" s="8" t="s">
        <v>1267</v>
      </c>
      <c r="J202" s="28" t="s">
        <v>1268</v>
      </c>
      <c r="K202" s="33" t="s">
        <v>486</v>
      </c>
      <c r="L202" s="28"/>
      <c r="M202" s="28" t="s">
        <v>558</v>
      </c>
      <c r="N202" s="28" t="s">
        <v>487</v>
      </c>
      <c r="O202" s="28"/>
      <c r="P202" s="28"/>
      <c r="Q202" s="28" t="s">
        <v>558</v>
      </c>
      <c r="R202" s="29" t="n">
        <v>44456</v>
      </c>
    </row>
    <row r="203" customFormat="false" ht="13.8" hidden="false" customHeight="false" outlineLevel="0" collapsed="false">
      <c r="A203" s="36" t="s">
        <v>1270</v>
      </c>
      <c r="B203" s="0" t="s">
        <v>426</v>
      </c>
      <c r="C203" s="0" t="n">
        <v>201203042</v>
      </c>
      <c r="D203" s="0" t="s">
        <v>516</v>
      </c>
      <c r="E203" s="0" t="s">
        <v>721</v>
      </c>
      <c r="F203" s="0" t="s">
        <v>511</v>
      </c>
      <c r="I203" s="8" t="s">
        <v>1271</v>
      </c>
      <c r="J203" s="28" t="s">
        <v>1272</v>
      </c>
      <c r="K203" s="28" t="s">
        <v>526</v>
      </c>
      <c r="L203" s="28"/>
      <c r="M203" s="28" t="s">
        <v>558</v>
      </c>
      <c r="N203" s="28" t="s">
        <v>1273</v>
      </c>
      <c r="O203" s="28"/>
      <c r="P203" s="28"/>
      <c r="Q203" s="28" t="s">
        <v>558</v>
      </c>
      <c r="R203" s="29" t="n">
        <v>44481</v>
      </c>
    </row>
    <row r="204" customFormat="false" ht="13.8" hidden="false" customHeight="false" outlineLevel="0" collapsed="false">
      <c r="A204" s="36" t="s">
        <v>1275</v>
      </c>
      <c r="B204" s="0" t="s">
        <v>426</v>
      </c>
      <c r="C204" s="0" t="n">
        <v>201203042</v>
      </c>
      <c r="D204" s="0" t="s">
        <v>510</v>
      </c>
      <c r="E204" s="0" t="s">
        <v>709</v>
      </c>
      <c r="F204" s="0" t="s">
        <v>511</v>
      </c>
      <c r="I204" s="8" t="s">
        <v>1276</v>
      </c>
      <c r="J204" s="28" t="s">
        <v>1277</v>
      </c>
      <c r="K204" s="28" t="s">
        <v>486</v>
      </c>
      <c r="L204" s="28"/>
      <c r="M204" s="28" t="s">
        <v>511</v>
      </c>
      <c r="N204" s="28" t="s">
        <v>1216</v>
      </c>
      <c r="O204" s="28"/>
      <c r="P204" s="28"/>
      <c r="Q204" s="28" t="s">
        <v>558</v>
      </c>
      <c r="R204" s="29" t="n">
        <v>44488</v>
      </c>
    </row>
    <row r="205" customFormat="false" ht="13.8" hidden="false" customHeight="false" outlineLevel="0" collapsed="false">
      <c r="A205" s="36" t="s">
        <v>1279</v>
      </c>
      <c r="B205" s="0" t="s">
        <v>426</v>
      </c>
      <c r="C205" s="0" t="n">
        <v>201203042</v>
      </c>
      <c r="D205" s="0" t="s">
        <v>516</v>
      </c>
      <c r="E205" s="0" t="s">
        <v>698</v>
      </c>
      <c r="F205" s="0" t="s">
        <v>511</v>
      </c>
      <c r="I205" s="8" t="s">
        <v>1280</v>
      </c>
      <c r="J205" s="28" t="s">
        <v>1281</v>
      </c>
      <c r="K205" s="32" t="s">
        <v>1012</v>
      </c>
      <c r="L205" s="28"/>
      <c r="M205" s="28" t="s">
        <v>558</v>
      </c>
      <c r="N205" s="28" t="s">
        <v>1282</v>
      </c>
      <c r="O205" s="28"/>
      <c r="P205" s="28"/>
      <c r="Q205" s="28" t="s">
        <v>558</v>
      </c>
      <c r="R205" s="29" t="n">
        <v>44467</v>
      </c>
    </row>
    <row r="206" customFormat="false" ht="13.8" hidden="false" customHeight="false" outlineLevel="0" collapsed="false">
      <c r="A206" s="36" t="s">
        <v>1284</v>
      </c>
      <c r="B206" s="0" t="s">
        <v>426</v>
      </c>
      <c r="C206" s="0" t="n">
        <v>201203042</v>
      </c>
      <c r="D206" s="0" t="s">
        <v>516</v>
      </c>
      <c r="E206" s="0" t="s">
        <v>566</v>
      </c>
      <c r="F206" s="0" t="s">
        <v>558</v>
      </c>
      <c r="I206" s="8" t="s">
        <v>1285</v>
      </c>
      <c r="J206" s="28" t="s">
        <v>1286</v>
      </c>
      <c r="K206" s="28" t="s">
        <v>486</v>
      </c>
      <c r="L206" s="28"/>
      <c r="M206" s="28" t="s">
        <v>558</v>
      </c>
      <c r="N206" s="28" t="s">
        <v>487</v>
      </c>
      <c r="O206" s="28"/>
      <c r="P206" s="28"/>
      <c r="Q206" s="0" t="s">
        <v>511</v>
      </c>
      <c r="R206" s="29" t="n">
        <v>44488</v>
      </c>
    </row>
    <row r="207" customFormat="false" ht="13.8" hidden="false" customHeight="false" outlineLevel="0" collapsed="false">
      <c r="A207" s="36" t="s">
        <v>1288</v>
      </c>
      <c r="B207" s="0" t="s">
        <v>426</v>
      </c>
      <c r="C207" s="0" t="n">
        <v>201203042</v>
      </c>
      <c r="D207" s="0" t="s">
        <v>516</v>
      </c>
      <c r="E207" s="0" t="s">
        <v>1291</v>
      </c>
      <c r="F207" s="0" t="s">
        <v>511</v>
      </c>
      <c r="I207" s="8" t="s">
        <v>1289</v>
      </c>
      <c r="J207" s="28" t="s">
        <v>1290</v>
      </c>
      <c r="K207" s="28" t="s">
        <v>526</v>
      </c>
      <c r="L207" s="28"/>
      <c r="M207" s="28" t="s">
        <v>558</v>
      </c>
      <c r="N207" s="28" t="s">
        <v>487</v>
      </c>
      <c r="O207" s="28"/>
      <c r="P207" s="28"/>
      <c r="Q207" s="0" t="s">
        <v>558</v>
      </c>
      <c r="R207" s="29" t="n">
        <v>44432</v>
      </c>
    </row>
    <row r="208" customFormat="false" ht="13.8" hidden="false" customHeight="false" outlineLevel="0" collapsed="false">
      <c r="A208" s="36" t="s">
        <v>1293</v>
      </c>
      <c r="B208" s="0" t="s">
        <v>426</v>
      </c>
      <c r="C208" s="0" t="n">
        <v>201203042</v>
      </c>
      <c r="D208" s="0" t="s">
        <v>510</v>
      </c>
      <c r="E208" s="0" t="s">
        <v>521</v>
      </c>
      <c r="F208" s="0" t="s">
        <v>511</v>
      </c>
      <c r="I208" s="8" t="s">
        <v>1294</v>
      </c>
      <c r="J208" s="28" t="s">
        <v>1295</v>
      </c>
      <c r="K208" s="28" t="s">
        <v>526</v>
      </c>
      <c r="L208" s="28"/>
      <c r="M208" s="28" t="s">
        <v>558</v>
      </c>
      <c r="N208" s="28" t="s">
        <v>758</v>
      </c>
      <c r="O208" s="28"/>
      <c r="P208" s="28"/>
      <c r="Q208" s="0" t="s">
        <v>558</v>
      </c>
      <c r="R208" s="29" t="n">
        <v>44047</v>
      </c>
    </row>
    <row r="209" customFormat="false" ht="13.8" hidden="false" customHeight="false" outlineLevel="0" collapsed="false">
      <c r="A209" s="36" t="s">
        <v>1297</v>
      </c>
      <c r="B209" s="0" t="s">
        <v>426</v>
      </c>
      <c r="C209" s="0" t="n">
        <v>201203042</v>
      </c>
      <c r="D209" s="0" t="s">
        <v>510</v>
      </c>
      <c r="E209" s="0" t="s">
        <v>1211</v>
      </c>
      <c r="F209" s="0" t="s">
        <v>511</v>
      </c>
      <c r="I209" s="8" t="s">
        <v>1298</v>
      </c>
      <c r="J209" s="28" t="s">
        <v>1299</v>
      </c>
      <c r="K209" s="28" t="s">
        <v>526</v>
      </c>
      <c r="L209" s="28"/>
      <c r="M209" s="28" t="s">
        <v>558</v>
      </c>
      <c r="N209" s="28" t="s">
        <v>487</v>
      </c>
      <c r="O209" s="28"/>
      <c r="P209" s="28"/>
      <c r="Q209" s="0" t="s">
        <v>558</v>
      </c>
      <c r="R209" s="29" t="n">
        <v>44490</v>
      </c>
    </row>
    <row r="210" customFormat="false" ht="13.8" hidden="false" customHeight="false" outlineLevel="0" collapsed="false">
      <c r="A210" s="36" t="s">
        <v>1301</v>
      </c>
      <c r="B210" s="0" t="s">
        <v>426</v>
      </c>
      <c r="C210" s="0" t="n">
        <v>201203042</v>
      </c>
      <c r="D210" s="0" t="s">
        <v>510</v>
      </c>
      <c r="E210" s="0" t="s">
        <v>1304</v>
      </c>
      <c r="F210" s="0" t="s">
        <v>511</v>
      </c>
      <c r="I210" s="8" t="s">
        <v>1302</v>
      </c>
      <c r="J210" s="28" t="s">
        <v>1303</v>
      </c>
      <c r="K210" s="28" t="s">
        <v>486</v>
      </c>
      <c r="L210" s="28"/>
      <c r="M210" s="28" t="s">
        <v>558</v>
      </c>
      <c r="N210" s="28" t="s">
        <v>487</v>
      </c>
      <c r="O210" s="28"/>
      <c r="P210" s="28"/>
      <c r="Q210" s="0" t="s">
        <v>511</v>
      </c>
      <c r="R210" s="29" t="n">
        <v>44068</v>
      </c>
    </row>
    <row r="211" customFormat="false" ht="13.8" hidden="false" customHeight="false" outlineLevel="0" collapsed="false">
      <c r="A211" s="36" t="s">
        <v>1306</v>
      </c>
      <c r="B211" s="0" t="s">
        <v>426</v>
      </c>
      <c r="C211" s="0" t="n">
        <v>201203042</v>
      </c>
      <c r="D211" s="0" t="s">
        <v>510</v>
      </c>
      <c r="E211" s="0" t="s">
        <v>541</v>
      </c>
      <c r="F211" s="0" t="s">
        <v>511</v>
      </c>
      <c r="I211" s="8" t="s">
        <v>1307</v>
      </c>
      <c r="J211" s="28" t="s">
        <v>1308</v>
      </c>
      <c r="K211" s="28" t="s">
        <v>486</v>
      </c>
      <c r="L211" s="28" t="s">
        <v>699</v>
      </c>
      <c r="M211" s="28" t="s">
        <v>558</v>
      </c>
      <c r="N211" s="28" t="s">
        <v>487</v>
      </c>
      <c r="O211" s="28"/>
      <c r="P211" s="28"/>
      <c r="Q211" s="0" t="s">
        <v>558</v>
      </c>
      <c r="R211" s="29" t="n">
        <v>44075</v>
      </c>
    </row>
    <row r="212" customFormat="false" ht="13.8" hidden="false" customHeight="false" outlineLevel="0" collapsed="false">
      <c r="A212" s="36" t="s">
        <v>1310</v>
      </c>
      <c r="B212" s="0" t="s">
        <v>426</v>
      </c>
      <c r="C212" s="0" t="n">
        <v>201203042</v>
      </c>
      <c r="D212" s="0" t="s">
        <v>510</v>
      </c>
      <c r="E212" s="0" t="s">
        <v>1211</v>
      </c>
      <c r="F212" s="0" t="s">
        <v>511</v>
      </c>
      <c r="I212" s="8" t="s">
        <v>1311</v>
      </c>
      <c r="J212" s="28" t="s">
        <v>1312</v>
      </c>
      <c r="K212" s="28" t="s">
        <v>526</v>
      </c>
      <c r="L212" s="28"/>
      <c r="M212" s="28" t="s">
        <v>558</v>
      </c>
      <c r="N212" s="28" t="s">
        <v>1313</v>
      </c>
      <c r="O212" s="28"/>
      <c r="P212" s="28"/>
      <c r="Q212" s="0" t="s">
        <v>558</v>
      </c>
      <c r="R212" s="29" t="n">
        <v>44103</v>
      </c>
    </row>
    <row r="213" customFormat="false" ht="13.8" hidden="false" customHeight="false" outlineLevel="0" collapsed="false">
      <c r="A213" s="36" t="s">
        <v>1315</v>
      </c>
      <c r="B213" s="0" t="s">
        <v>426</v>
      </c>
      <c r="C213" s="0" t="n">
        <v>201203042</v>
      </c>
      <c r="D213" s="0" t="s">
        <v>516</v>
      </c>
      <c r="E213" s="0" t="s">
        <v>626</v>
      </c>
      <c r="F213" s="0" t="s">
        <v>511</v>
      </c>
      <c r="I213" s="8" t="s">
        <v>1316</v>
      </c>
      <c r="J213" s="28" t="s">
        <v>1317</v>
      </c>
      <c r="K213" s="32" t="s">
        <v>1012</v>
      </c>
      <c r="L213" s="28"/>
      <c r="M213" s="28" t="s">
        <v>558</v>
      </c>
      <c r="N213" s="28" t="s">
        <v>487</v>
      </c>
      <c r="O213" s="28"/>
      <c r="P213" s="28"/>
      <c r="Q213" s="0" t="s">
        <v>558</v>
      </c>
      <c r="R213" s="29" t="n">
        <v>44173</v>
      </c>
    </row>
    <row r="214" customFormat="false" ht="13.8" hidden="false" customHeight="false" outlineLevel="0" collapsed="false">
      <c r="A214" s="36" t="s">
        <v>1319</v>
      </c>
      <c r="B214" s="0" t="s">
        <v>426</v>
      </c>
      <c r="C214" s="0" t="n">
        <v>201203042</v>
      </c>
      <c r="D214" s="0" t="s">
        <v>516</v>
      </c>
      <c r="E214" s="0" t="s">
        <v>669</v>
      </c>
      <c r="F214" s="0" t="s">
        <v>511</v>
      </c>
      <c r="I214" s="8" t="s">
        <v>1320</v>
      </c>
      <c r="J214" s="28" t="s">
        <v>1321</v>
      </c>
      <c r="K214" s="32" t="s">
        <v>1012</v>
      </c>
      <c r="L214" s="28"/>
      <c r="M214" s="28" t="s">
        <v>558</v>
      </c>
      <c r="N214" s="28" t="s">
        <v>1313</v>
      </c>
      <c r="O214" s="28"/>
      <c r="P214" s="28"/>
      <c r="Q214" s="0" t="s">
        <v>558</v>
      </c>
      <c r="R214" s="29" t="n">
        <v>44187</v>
      </c>
    </row>
    <row r="215" customFormat="false" ht="13.8" hidden="false" customHeight="false" outlineLevel="0" collapsed="false">
      <c r="A215" s="36" t="s">
        <v>1323</v>
      </c>
      <c r="B215" s="0" t="s">
        <v>426</v>
      </c>
      <c r="C215" s="0" t="n">
        <v>201203042</v>
      </c>
      <c r="D215" s="0" t="s">
        <v>510</v>
      </c>
      <c r="E215" s="0" t="s">
        <v>1211</v>
      </c>
      <c r="F215" s="0" t="s">
        <v>511</v>
      </c>
      <c r="I215" s="8" t="s">
        <v>1324</v>
      </c>
      <c r="J215" s="28" t="s">
        <v>1325</v>
      </c>
      <c r="K215" s="32" t="s">
        <v>1012</v>
      </c>
      <c r="L215" s="28"/>
      <c r="M215" s="28" t="s">
        <v>511</v>
      </c>
      <c r="N215" s="28" t="s">
        <v>1216</v>
      </c>
      <c r="O215" s="28"/>
      <c r="P215" s="28"/>
      <c r="Q215" s="0" t="s">
        <v>558</v>
      </c>
      <c r="R215" s="29" t="n">
        <v>44266</v>
      </c>
    </row>
    <row r="216" customFormat="false" ht="13.8" hidden="false" customHeight="false" outlineLevel="0" collapsed="false">
      <c r="A216" s="36" t="s">
        <v>1327</v>
      </c>
      <c r="B216" s="0" t="s">
        <v>426</v>
      </c>
      <c r="C216" s="0" t="n">
        <v>201203042</v>
      </c>
      <c r="D216" s="0" t="s">
        <v>516</v>
      </c>
      <c r="E216" s="0" t="s">
        <v>901</v>
      </c>
      <c r="F216" s="0" t="s">
        <v>558</v>
      </c>
      <c r="I216" s="8" t="s">
        <v>1328</v>
      </c>
      <c r="J216" s="28" t="s">
        <v>1329</v>
      </c>
      <c r="K216" s="28" t="s">
        <v>486</v>
      </c>
      <c r="L216" s="28"/>
      <c r="M216" s="28" t="s">
        <v>558</v>
      </c>
      <c r="N216" s="28" t="s">
        <v>487</v>
      </c>
      <c r="O216" s="28"/>
      <c r="P216" s="28"/>
      <c r="Q216" s="0" t="s">
        <v>511</v>
      </c>
      <c r="R216" s="29" t="n">
        <v>44271</v>
      </c>
    </row>
    <row r="217" customFormat="false" ht="13.8" hidden="false" customHeight="false" outlineLevel="0" collapsed="false">
      <c r="A217" s="36" t="s">
        <v>1331</v>
      </c>
      <c r="B217" s="0" t="s">
        <v>426</v>
      </c>
      <c r="C217" s="0" t="n">
        <v>201203042</v>
      </c>
      <c r="D217" s="0" t="s">
        <v>510</v>
      </c>
      <c r="E217" s="0" t="s">
        <v>659</v>
      </c>
      <c r="F217" s="0" t="s">
        <v>511</v>
      </c>
      <c r="I217" s="8" t="s">
        <v>1332</v>
      </c>
      <c r="J217" s="28" t="s">
        <v>1333</v>
      </c>
      <c r="K217" s="32" t="s">
        <v>752</v>
      </c>
      <c r="L217" s="28"/>
      <c r="M217" s="28" t="s">
        <v>558</v>
      </c>
      <c r="N217" s="28" t="s">
        <v>1334</v>
      </c>
      <c r="O217" s="28"/>
      <c r="P217" s="28"/>
      <c r="Q217" s="0" t="s">
        <v>558</v>
      </c>
      <c r="R217" s="29" t="n">
        <v>44292</v>
      </c>
    </row>
    <row r="218" customFormat="false" ht="13.8" hidden="false" customHeight="false" outlineLevel="0" collapsed="false">
      <c r="A218" s="36" t="s">
        <v>1336</v>
      </c>
      <c r="B218" s="0" t="s">
        <v>426</v>
      </c>
      <c r="C218" s="0" t="n">
        <v>201203042</v>
      </c>
      <c r="D218" s="0" t="s">
        <v>516</v>
      </c>
      <c r="E218" s="0" t="s">
        <v>541</v>
      </c>
      <c r="F218" s="0" t="s">
        <v>558</v>
      </c>
      <c r="I218" s="8" t="s">
        <v>1337</v>
      </c>
      <c r="J218" s="28" t="s">
        <v>1338</v>
      </c>
      <c r="K218" s="32" t="s">
        <v>1012</v>
      </c>
      <c r="L218" s="28"/>
      <c r="M218" s="28" t="s">
        <v>558</v>
      </c>
      <c r="N218" s="28" t="s">
        <v>487</v>
      </c>
      <c r="O218" s="28"/>
      <c r="P218" s="28"/>
      <c r="Q218" s="0" t="s">
        <v>558</v>
      </c>
      <c r="R218" s="29" t="n">
        <v>44383</v>
      </c>
    </row>
    <row r="219" customFormat="false" ht="13.8" hidden="false" customHeight="false" outlineLevel="0" collapsed="false">
      <c r="A219" s="36" t="s">
        <v>1340</v>
      </c>
      <c r="B219" s="0" t="s">
        <v>426</v>
      </c>
      <c r="C219" s="0" t="n">
        <v>201203042</v>
      </c>
      <c r="D219" s="0" t="s">
        <v>510</v>
      </c>
      <c r="E219" s="0" t="s">
        <v>952</v>
      </c>
      <c r="F219" s="0" t="s">
        <v>511</v>
      </c>
      <c r="I219" s="8" t="s">
        <v>1341</v>
      </c>
      <c r="J219" s="28" t="s">
        <v>1342</v>
      </c>
      <c r="K219" s="28" t="s">
        <v>526</v>
      </c>
      <c r="L219" s="28"/>
      <c r="M219" s="28" t="s">
        <v>558</v>
      </c>
      <c r="N219" s="28" t="s">
        <v>799</v>
      </c>
      <c r="O219" s="28"/>
      <c r="P219" s="28"/>
      <c r="Q219" s="0" t="s">
        <v>558</v>
      </c>
      <c r="R219" s="29" t="n">
        <v>44411</v>
      </c>
    </row>
    <row r="220" customFormat="false" ht="13.8" hidden="false" customHeight="false" outlineLevel="0" collapsed="false">
      <c r="A220" s="36" t="s">
        <v>1344</v>
      </c>
      <c r="B220" s="0" t="s">
        <v>426</v>
      </c>
      <c r="C220" s="0" t="n">
        <v>201203042</v>
      </c>
      <c r="D220" s="0" t="s">
        <v>510</v>
      </c>
      <c r="E220" s="0" t="s">
        <v>767</v>
      </c>
      <c r="F220" s="0" t="s">
        <v>511</v>
      </c>
      <c r="I220" s="8" t="s">
        <v>1345</v>
      </c>
      <c r="J220" s="28" t="s">
        <v>1346</v>
      </c>
      <c r="K220" s="32" t="s">
        <v>1012</v>
      </c>
      <c r="L220" s="28"/>
      <c r="M220" s="28" t="s">
        <v>558</v>
      </c>
      <c r="N220" s="28" t="s">
        <v>487</v>
      </c>
      <c r="O220" s="28"/>
      <c r="P220" s="28"/>
      <c r="Q220" s="0" t="s">
        <v>558</v>
      </c>
      <c r="R220" s="29" t="n">
        <v>44411</v>
      </c>
    </row>
    <row r="221" customFormat="false" ht="13.8" hidden="false" customHeight="false" outlineLevel="0" collapsed="false">
      <c r="A221" s="36" t="s">
        <v>1348</v>
      </c>
      <c r="B221" s="0" t="s">
        <v>426</v>
      </c>
      <c r="C221" s="0" t="n">
        <v>201203042</v>
      </c>
      <c r="D221" s="0" t="s">
        <v>510</v>
      </c>
      <c r="E221" s="0" t="s">
        <v>566</v>
      </c>
      <c r="F221" s="0" t="s">
        <v>558</v>
      </c>
      <c r="I221" s="8" t="s">
        <v>1349</v>
      </c>
      <c r="J221" s="28" t="s">
        <v>1350</v>
      </c>
      <c r="K221" s="32" t="s">
        <v>542</v>
      </c>
      <c r="L221" s="28"/>
      <c r="M221" s="28" t="s">
        <v>558</v>
      </c>
      <c r="N221" s="28" t="s">
        <v>1351</v>
      </c>
      <c r="O221" s="28"/>
      <c r="P221" s="28"/>
      <c r="Q221" s="0" t="s">
        <v>558</v>
      </c>
      <c r="R221" s="29" t="n">
        <v>44481</v>
      </c>
    </row>
    <row r="222" customFormat="false" ht="13.8" hidden="false" customHeight="false" outlineLevel="0" collapsed="false">
      <c r="A222" s="35" t="s">
        <v>1353</v>
      </c>
      <c r="B222" s="0" t="s">
        <v>426</v>
      </c>
      <c r="D222" s="0" t="s">
        <v>510</v>
      </c>
      <c r="E222" s="0" t="s">
        <v>595</v>
      </c>
      <c r="F222" s="0" t="s">
        <v>558</v>
      </c>
      <c r="I222" s="0" t="s">
        <v>1354</v>
      </c>
      <c r="J222" s="28"/>
      <c r="K222" s="28" t="s">
        <v>676</v>
      </c>
      <c r="L222" s="28"/>
      <c r="M222" s="28" t="s">
        <v>558</v>
      </c>
      <c r="N222" s="28" t="s">
        <v>487</v>
      </c>
      <c r="O222" s="28"/>
      <c r="P222" s="28"/>
      <c r="Q222" s="28"/>
      <c r="R222" s="29" t="n">
        <v>44684</v>
      </c>
    </row>
    <row r="223" customFormat="false" ht="13.8" hidden="false" customHeight="false" outlineLevel="0" collapsed="false">
      <c r="A223" s="35" t="s">
        <v>1356</v>
      </c>
      <c r="B223" s="0" t="s">
        <v>426</v>
      </c>
      <c r="D223" s="0" t="s">
        <v>510</v>
      </c>
      <c r="E223" s="0" t="s">
        <v>537</v>
      </c>
      <c r="F223" s="0" t="s">
        <v>558</v>
      </c>
      <c r="I223" s="0" t="s">
        <v>1357</v>
      </c>
      <c r="J223" s="28"/>
      <c r="K223" s="28" t="s">
        <v>676</v>
      </c>
      <c r="L223" s="28"/>
      <c r="M223" s="28" t="s">
        <v>558</v>
      </c>
      <c r="N223" s="28" t="s">
        <v>487</v>
      </c>
      <c r="O223" s="28"/>
      <c r="P223" s="28"/>
      <c r="Q223" s="28"/>
      <c r="R223" s="29" t="n">
        <v>44684</v>
      </c>
    </row>
    <row r="224" customFormat="false" ht="13.8" hidden="false" customHeight="false" outlineLevel="0" collapsed="false">
      <c r="A224" s="35" t="s">
        <v>1359</v>
      </c>
      <c r="B224" s="0" t="s">
        <v>426</v>
      </c>
      <c r="D224" s="0" t="s">
        <v>510</v>
      </c>
      <c r="E224" s="0" t="s">
        <v>1304</v>
      </c>
      <c r="F224" s="0" t="s">
        <v>558</v>
      </c>
      <c r="I224" s="0" t="s">
        <v>1360</v>
      </c>
      <c r="J224" s="28"/>
      <c r="K224" s="28" t="s">
        <v>676</v>
      </c>
      <c r="L224" s="28"/>
      <c r="M224" s="28" t="s">
        <v>558</v>
      </c>
      <c r="N224" s="28" t="s">
        <v>487</v>
      </c>
      <c r="O224" s="28"/>
      <c r="P224" s="28"/>
      <c r="Q224" s="28"/>
      <c r="R224" s="29" t="n">
        <v>44481</v>
      </c>
    </row>
    <row r="225" customFormat="false" ht="13.8" hidden="false" customHeight="false" outlineLevel="0" collapsed="false">
      <c r="A225" s="35" t="s">
        <v>1362</v>
      </c>
      <c r="B225" s="0" t="s">
        <v>426</v>
      </c>
      <c r="D225" s="0" t="s">
        <v>510</v>
      </c>
      <c r="E225" s="0" t="s">
        <v>784</v>
      </c>
      <c r="F225" s="0" t="s">
        <v>558</v>
      </c>
      <c r="I225" s="0" t="s">
        <v>1363</v>
      </c>
      <c r="J225" s="28"/>
      <c r="K225" s="28" t="s">
        <v>676</v>
      </c>
      <c r="L225" s="28"/>
      <c r="M225" s="28" t="s">
        <v>558</v>
      </c>
      <c r="N225" s="28" t="s">
        <v>487</v>
      </c>
      <c r="O225" s="28"/>
      <c r="P225" s="28"/>
      <c r="Q225" s="28"/>
      <c r="R225" s="29" t="n">
        <v>44558</v>
      </c>
    </row>
    <row r="226" customFormat="false" ht="13.8" hidden="false" customHeight="false" outlineLevel="0" collapsed="false">
      <c r="A226" s="35" t="s">
        <v>1365</v>
      </c>
      <c r="B226" s="0" t="s">
        <v>426</v>
      </c>
      <c r="D226" s="0" t="s">
        <v>516</v>
      </c>
      <c r="E226" s="0" t="s">
        <v>664</v>
      </c>
      <c r="F226" s="0" t="s">
        <v>558</v>
      </c>
      <c r="I226" s="0" t="s">
        <v>1366</v>
      </c>
      <c r="J226" s="28"/>
      <c r="K226" s="28" t="s">
        <v>676</v>
      </c>
      <c r="L226" s="28"/>
      <c r="M226" s="28" t="s">
        <v>558</v>
      </c>
      <c r="N226" s="28" t="s">
        <v>487</v>
      </c>
      <c r="O226" s="28"/>
      <c r="P226" s="28"/>
      <c r="Q226" s="28"/>
      <c r="R226" s="29" t="n">
        <v>44621</v>
      </c>
    </row>
    <row r="227" customFormat="false" ht="13.8" hidden="false" customHeight="false" outlineLevel="0" collapsed="false">
      <c r="A227" s="35" t="s">
        <v>1368</v>
      </c>
      <c r="B227" s="0" t="s">
        <v>426</v>
      </c>
      <c r="D227" s="0" t="s">
        <v>510</v>
      </c>
      <c r="E227" s="0" t="s">
        <v>584</v>
      </c>
      <c r="F227" s="0" t="s">
        <v>558</v>
      </c>
      <c r="I227" s="0" t="s">
        <v>1369</v>
      </c>
      <c r="J227" s="28"/>
      <c r="K227" s="28" t="s">
        <v>676</v>
      </c>
      <c r="L227" s="28"/>
      <c r="M227" s="28" t="s">
        <v>558</v>
      </c>
      <c r="N227" s="28" t="s">
        <v>487</v>
      </c>
      <c r="O227" s="28"/>
      <c r="P227" s="28"/>
      <c r="Q227" s="28"/>
      <c r="R227" s="29" t="n">
        <v>44656</v>
      </c>
    </row>
    <row r="228" customFormat="false" ht="13.8" hidden="false" customHeight="false" outlineLevel="0" collapsed="false">
      <c r="A228" s="35" t="s">
        <v>1371</v>
      </c>
      <c r="B228" s="0" t="s">
        <v>426</v>
      </c>
      <c r="D228" s="0" t="s">
        <v>510</v>
      </c>
      <c r="E228" s="0" t="s">
        <v>584</v>
      </c>
      <c r="F228" s="0" t="s">
        <v>558</v>
      </c>
      <c r="I228" s="8" t="s">
        <v>1372</v>
      </c>
      <c r="J228" s="28"/>
      <c r="K228" s="28" t="s">
        <v>676</v>
      </c>
      <c r="L228" s="28"/>
      <c r="M228" s="28" t="s">
        <v>558</v>
      </c>
      <c r="N228" s="28" t="s">
        <v>487</v>
      </c>
      <c r="O228" s="28"/>
      <c r="P228" s="28"/>
      <c r="Q228" s="28"/>
      <c r="R228" s="29" t="n">
        <v>44670</v>
      </c>
    </row>
    <row r="229" customFormat="false" ht="13.8" hidden="false" customHeight="false" outlineLevel="0" collapsed="false">
      <c r="A229" s="35" t="s">
        <v>1374</v>
      </c>
      <c r="B229" s="0" t="s">
        <v>426</v>
      </c>
      <c r="D229" s="0" t="s">
        <v>510</v>
      </c>
      <c r="E229" s="0" t="s">
        <v>512</v>
      </c>
      <c r="F229" s="0" t="s">
        <v>558</v>
      </c>
      <c r="I229" s="8" t="s">
        <v>1375</v>
      </c>
      <c r="J229" s="28"/>
      <c r="K229" s="28" t="s">
        <v>676</v>
      </c>
      <c r="L229" s="28"/>
      <c r="M229" s="28" t="s">
        <v>558</v>
      </c>
      <c r="N229" s="28" t="s">
        <v>487</v>
      </c>
      <c r="O229" s="28"/>
      <c r="P229" s="28"/>
      <c r="Q229" s="28"/>
      <c r="R229" s="29" t="n">
        <v>44837</v>
      </c>
    </row>
    <row r="230" customFormat="false" ht="13.8" hidden="false" customHeight="false" outlineLevel="0" collapsed="false">
      <c r="A230" s="35" t="s">
        <v>1377</v>
      </c>
      <c r="B230" s="0" t="s">
        <v>426</v>
      </c>
      <c r="D230" s="0" t="s">
        <v>510</v>
      </c>
      <c r="E230" s="0" t="s">
        <v>1304</v>
      </c>
      <c r="F230" s="0" t="s">
        <v>558</v>
      </c>
      <c r="I230" s="0" t="s">
        <v>1378</v>
      </c>
      <c r="J230" s="28"/>
      <c r="K230" s="28" t="s">
        <v>676</v>
      </c>
      <c r="L230" s="28"/>
      <c r="M230" s="28" t="s">
        <v>558</v>
      </c>
      <c r="N230" s="28" t="s">
        <v>487</v>
      </c>
      <c r="O230" s="28"/>
      <c r="P230" s="28"/>
      <c r="Q230" s="28"/>
      <c r="R230" s="29" t="n">
        <v>44684</v>
      </c>
    </row>
    <row r="231" customFormat="false" ht="13.8" hidden="false" customHeight="false" outlineLevel="0" collapsed="false">
      <c r="A231" s="35" t="s">
        <v>1380</v>
      </c>
      <c r="B231" s="0" t="s">
        <v>509</v>
      </c>
      <c r="C231" s="0" t="s">
        <v>487</v>
      </c>
      <c r="D231" s="0" t="s">
        <v>510</v>
      </c>
      <c r="E231" s="0" t="s">
        <v>829</v>
      </c>
      <c r="F231" s="0" t="s">
        <v>558</v>
      </c>
      <c r="I231" s="8" t="s">
        <v>1381</v>
      </c>
      <c r="K231" s="28" t="s">
        <v>676</v>
      </c>
      <c r="L231" s="0" t="s">
        <v>487</v>
      </c>
      <c r="M231" s="28" t="s">
        <v>558</v>
      </c>
      <c r="N231" s="28" t="s">
        <v>487</v>
      </c>
      <c r="O231" s="0" t="s">
        <v>487</v>
      </c>
      <c r="P231" s="0" t="s">
        <v>487</v>
      </c>
      <c r="Q231" s="0" t="s">
        <v>487</v>
      </c>
      <c r="R231" s="29" t="n">
        <v>44698</v>
      </c>
      <c r="S231" s="28" t="s">
        <v>1382</v>
      </c>
    </row>
    <row r="232" customFormat="false" ht="13.8" hidden="false" customHeight="false" outlineLevel="0" collapsed="false">
      <c r="A232" s="35" t="s">
        <v>1384</v>
      </c>
      <c r="B232" s="0" t="s">
        <v>509</v>
      </c>
      <c r="C232" s="0" t="s">
        <v>487</v>
      </c>
      <c r="D232" s="0" t="s">
        <v>516</v>
      </c>
      <c r="E232" s="0" t="s">
        <v>829</v>
      </c>
      <c r="F232" s="0" t="s">
        <v>558</v>
      </c>
      <c r="I232" s="8" t="s">
        <v>1385</v>
      </c>
      <c r="K232" s="28" t="s">
        <v>676</v>
      </c>
      <c r="L232" s="0" t="s">
        <v>487</v>
      </c>
      <c r="M232" s="28" t="s">
        <v>558</v>
      </c>
      <c r="N232" s="28" t="s">
        <v>487</v>
      </c>
      <c r="O232" s="0" t="s">
        <v>487</v>
      </c>
      <c r="P232" s="0" t="s">
        <v>487</v>
      </c>
      <c r="Q232" s="0" t="s">
        <v>487</v>
      </c>
      <c r="R232" s="29" t="n">
        <v>44720</v>
      </c>
    </row>
    <row r="233" customFormat="false" ht="13.8" hidden="false" customHeight="false" outlineLevel="0" collapsed="false">
      <c r="A233" s="35" t="s">
        <v>1387</v>
      </c>
      <c r="B233" s="0" t="s">
        <v>509</v>
      </c>
      <c r="C233" s="0" t="s">
        <v>487</v>
      </c>
      <c r="D233" s="0" t="s">
        <v>510</v>
      </c>
      <c r="E233" s="0" t="s">
        <v>829</v>
      </c>
      <c r="F233" s="0" t="s">
        <v>558</v>
      </c>
      <c r="I233" s="8" t="s">
        <v>1388</v>
      </c>
      <c r="K233" s="28" t="s">
        <v>676</v>
      </c>
      <c r="L233" s="0" t="s">
        <v>487</v>
      </c>
      <c r="M233" s="28" t="s">
        <v>558</v>
      </c>
      <c r="N233" s="28" t="s">
        <v>487</v>
      </c>
      <c r="O233" s="0" t="s">
        <v>487</v>
      </c>
      <c r="P233" s="0" t="s">
        <v>487</v>
      </c>
      <c r="Q233" s="0" t="s">
        <v>487</v>
      </c>
      <c r="R233" s="29" t="n">
        <v>44530</v>
      </c>
    </row>
    <row r="234" customFormat="false" ht="13.8" hidden="false" customHeight="false" outlineLevel="0" collapsed="false">
      <c r="A234" s="35" t="s">
        <v>1390</v>
      </c>
      <c r="B234" s="0" t="s">
        <v>509</v>
      </c>
      <c r="C234" s="0" t="s">
        <v>487</v>
      </c>
      <c r="D234" s="0" t="s">
        <v>516</v>
      </c>
      <c r="E234" s="0" t="s">
        <v>829</v>
      </c>
      <c r="F234" s="0" t="s">
        <v>558</v>
      </c>
      <c r="I234" s="8" t="s">
        <v>1391</v>
      </c>
      <c r="K234" s="28" t="s">
        <v>676</v>
      </c>
      <c r="L234" s="0" t="s">
        <v>487</v>
      </c>
      <c r="M234" s="28" t="s">
        <v>558</v>
      </c>
      <c r="N234" s="28" t="s">
        <v>487</v>
      </c>
      <c r="O234" s="0" t="s">
        <v>487</v>
      </c>
      <c r="P234" s="0" t="s">
        <v>487</v>
      </c>
      <c r="Q234" s="0" t="s">
        <v>487</v>
      </c>
      <c r="R234" s="28"/>
    </row>
    <row r="235" customFormat="false" ht="13.8" hidden="false" customHeight="false" outlineLevel="0" collapsed="false">
      <c r="A235" s="35" t="s">
        <v>1393</v>
      </c>
      <c r="B235" s="0" t="s">
        <v>509</v>
      </c>
      <c r="C235" s="0" t="s">
        <v>487</v>
      </c>
      <c r="D235" s="0" t="s">
        <v>510</v>
      </c>
      <c r="E235" s="0" t="s">
        <v>829</v>
      </c>
      <c r="F235" s="0" t="s">
        <v>558</v>
      </c>
      <c r="I235" s="8" t="s">
        <v>1394</v>
      </c>
      <c r="K235" s="28" t="s">
        <v>676</v>
      </c>
      <c r="L235" s="0" t="s">
        <v>487</v>
      </c>
      <c r="M235" s="28" t="s">
        <v>558</v>
      </c>
      <c r="N235" s="28" t="s">
        <v>487</v>
      </c>
      <c r="O235" s="0" t="s">
        <v>487</v>
      </c>
      <c r="P235" s="0" t="s">
        <v>487</v>
      </c>
      <c r="Q235" s="0" t="s">
        <v>487</v>
      </c>
      <c r="R235" s="29" t="n">
        <v>44558</v>
      </c>
    </row>
    <row r="236" customFormat="false" ht="13.8" hidden="false" customHeight="false" outlineLevel="0" collapsed="false">
      <c r="A236" s="35" t="s">
        <v>1396</v>
      </c>
      <c r="B236" s="0" t="s">
        <v>509</v>
      </c>
      <c r="C236" s="0" t="s">
        <v>487</v>
      </c>
      <c r="D236" s="0" t="s">
        <v>516</v>
      </c>
      <c r="E236" s="0" t="s">
        <v>829</v>
      </c>
      <c r="F236" s="0" t="s">
        <v>558</v>
      </c>
      <c r="I236" s="8" t="s">
        <v>1397</v>
      </c>
      <c r="K236" s="28" t="s">
        <v>676</v>
      </c>
      <c r="L236" s="0" t="s">
        <v>487</v>
      </c>
      <c r="M236" s="28" t="s">
        <v>558</v>
      </c>
      <c r="N236" s="28" t="s">
        <v>487</v>
      </c>
      <c r="O236" s="0" t="s">
        <v>487</v>
      </c>
      <c r="P236" s="0" t="s">
        <v>487</v>
      </c>
      <c r="Q236" s="0" t="s">
        <v>487</v>
      </c>
      <c r="R236" s="28"/>
    </row>
    <row r="237" customFormat="false" ht="13.8" hidden="false" customHeight="false" outlineLevel="0" collapsed="false">
      <c r="A237" s="35" t="s">
        <v>1399</v>
      </c>
      <c r="B237" s="0" t="s">
        <v>509</v>
      </c>
      <c r="C237" s="0" t="s">
        <v>487</v>
      </c>
      <c r="D237" s="0" t="s">
        <v>510</v>
      </c>
      <c r="E237" s="0" t="s">
        <v>829</v>
      </c>
      <c r="F237" s="0" t="s">
        <v>558</v>
      </c>
      <c r="I237" s="8" t="s">
        <v>1400</v>
      </c>
      <c r="K237" s="28" t="s">
        <v>676</v>
      </c>
      <c r="L237" s="0" t="s">
        <v>487</v>
      </c>
      <c r="M237" s="28" t="s">
        <v>558</v>
      </c>
      <c r="N237" s="28" t="s">
        <v>487</v>
      </c>
      <c r="O237" s="0" t="s">
        <v>487</v>
      </c>
      <c r="P237" s="0" t="s">
        <v>487</v>
      </c>
      <c r="Q237" s="0" t="s">
        <v>487</v>
      </c>
      <c r="R237" s="28"/>
    </row>
    <row r="238" customFormat="false" ht="13.8" hidden="false" customHeight="false" outlineLevel="0" collapsed="false">
      <c r="A238" s="35" t="s">
        <v>1402</v>
      </c>
      <c r="B238" s="0" t="s">
        <v>509</v>
      </c>
      <c r="C238" s="0" t="s">
        <v>487</v>
      </c>
      <c r="D238" s="0" t="s">
        <v>516</v>
      </c>
      <c r="E238" s="0" t="s">
        <v>829</v>
      </c>
      <c r="F238" s="0" t="s">
        <v>558</v>
      </c>
      <c r="I238" s="8" t="s">
        <v>1403</v>
      </c>
      <c r="K238" s="28" t="s">
        <v>676</v>
      </c>
      <c r="L238" s="0" t="s">
        <v>487</v>
      </c>
      <c r="M238" s="28" t="s">
        <v>558</v>
      </c>
      <c r="N238" s="28" t="s">
        <v>487</v>
      </c>
      <c r="O238" s="0" t="s">
        <v>487</v>
      </c>
      <c r="P238" s="0" t="s">
        <v>487</v>
      </c>
      <c r="Q238" s="0" t="s">
        <v>487</v>
      </c>
      <c r="R238" s="29" t="n">
        <v>44831</v>
      </c>
    </row>
    <row r="239" customFormat="false" ht="13.8" hidden="false" customHeight="false" outlineLevel="0" collapsed="false">
      <c r="A239" s="35" t="s">
        <v>1405</v>
      </c>
      <c r="B239" s="0" t="s">
        <v>509</v>
      </c>
      <c r="C239" s="0" t="s">
        <v>487</v>
      </c>
      <c r="D239" s="0" t="s">
        <v>516</v>
      </c>
      <c r="E239" s="0" t="s">
        <v>829</v>
      </c>
      <c r="F239" s="0" t="s">
        <v>558</v>
      </c>
      <c r="I239" s="8" t="s">
        <v>1406</v>
      </c>
      <c r="K239" s="28" t="s">
        <v>676</v>
      </c>
      <c r="L239" s="0" t="s">
        <v>487</v>
      </c>
      <c r="M239" s="28" t="s">
        <v>558</v>
      </c>
      <c r="N239" s="28" t="s">
        <v>487</v>
      </c>
      <c r="O239" s="0" t="s">
        <v>487</v>
      </c>
      <c r="P239" s="0" t="s">
        <v>487</v>
      </c>
      <c r="Q239" s="0" t="s">
        <v>487</v>
      </c>
      <c r="R239" s="28"/>
    </row>
    <row r="240" customFormat="false" ht="13.8" hidden="false" customHeight="false" outlineLevel="0" collapsed="false">
      <c r="A240" s="35" t="s">
        <v>1408</v>
      </c>
      <c r="B240" s="0" t="s">
        <v>509</v>
      </c>
      <c r="C240" s="0" t="s">
        <v>487</v>
      </c>
      <c r="D240" s="0" t="s">
        <v>510</v>
      </c>
      <c r="E240" s="0" t="s">
        <v>829</v>
      </c>
      <c r="F240" s="0" t="s">
        <v>558</v>
      </c>
      <c r="I240" s="8" t="s">
        <v>1409</v>
      </c>
      <c r="K240" s="28" t="s">
        <v>676</v>
      </c>
      <c r="L240" s="0" t="s">
        <v>487</v>
      </c>
      <c r="M240" s="28" t="s">
        <v>558</v>
      </c>
      <c r="N240" s="28" t="s">
        <v>487</v>
      </c>
      <c r="O240" s="0" t="s">
        <v>487</v>
      </c>
      <c r="P240" s="0" t="s">
        <v>487</v>
      </c>
      <c r="Q240" s="0" t="s">
        <v>487</v>
      </c>
      <c r="R240" s="29" t="n">
        <v>44790</v>
      </c>
    </row>
    <row r="241" customFormat="false" ht="13.8" hidden="false" customHeight="false" outlineLevel="0" collapsed="false">
      <c r="A241" s="35" t="s">
        <v>1411</v>
      </c>
      <c r="B241" s="0" t="s">
        <v>509</v>
      </c>
      <c r="C241" s="0" t="s">
        <v>487</v>
      </c>
      <c r="D241" s="0" t="s">
        <v>510</v>
      </c>
      <c r="E241" s="0" t="s">
        <v>829</v>
      </c>
      <c r="F241" s="0" t="s">
        <v>558</v>
      </c>
      <c r="I241" s="8" t="s">
        <v>1412</v>
      </c>
      <c r="K241" s="28" t="s">
        <v>676</v>
      </c>
      <c r="L241" s="0" t="s">
        <v>487</v>
      </c>
      <c r="M241" s="28" t="s">
        <v>558</v>
      </c>
      <c r="N241" s="28" t="s">
        <v>487</v>
      </c>
      <c r="O241" s="0" t="s">
        <v>487</v>
      </c>
      <c r="P241" s="0" t="s">
        <v>487</v>
      </c>
      <c r="Q241" s="0" t="s">
        <v>487</v>
      </c>
      <c r="R241" s="29" t="n">
        <v>44768</v>
      </c>
    </row>
    <row r="242" customFormat="false" ht="13.8" hidden="false" customHeight="false" outlineLevel="0" collapsed="false">
      <c r="A242" s="35" t="s">
        <v>1414</v>
      </c>
      <c r="B242" s="0" t="s">
        <v>509</v>
      </c>
      <c r="D242" s="0" t="s">
        <v>510</v>
      </c>
      <c r="E242" s="0" t="s">
        <v>517</v>
      </c>
      <c r="F242" s="0" t="s">
        <v>511</v>
      </c>
      <c r="I242" s="8" t="s">
        <v>1415</v>
      </c>
      <c r="J242" s="28"/>
      <c r="K242" s="32" t="s">
        <v>752</v>
      </c>
      <c r="L242" s="28"/>
      <c r="M242" s="28"/>
      <c r="N242" s="28"/>
      <c r="O242" s="28"/>
      <c r="P242" s="28"/>
      <c r="Q242" s="29"/>
      <c r="R242" s="29" t="n">
        <v>44747</v>
      </c>
    </row>
    <row r="243" customFormat="false" ht="13.8" hidden="false" customHeight="false" outlineLevel="0" collapsed="false">
      <c r="A243" s="35" t="s">
        <v>1417</v>
      </c>
      <c r="B243" s="0" t="s">
        <v>509</v>
      </c>
      <c r="D243" s="0" t="s">
        <v>516</v>
      </c>
      <c r="E243" s="0" t="s">
        <v>541</v>
      </c>
      <c r="F243" s="0" t="s">
        <v>511</v>
      </c>
      <c r="I243" s="8" t="s">
        <v>1418</v>
      </c>
      <c r="K243" s="0" t="s">
        <v>1419</v>
      </c>
      <c r="R243" s="29" t="n">
        <v>44789</v>
      </c>
    </row>
    <row r="244" customFormat="false" ht="13.8" hidden="false" customHeight="false" outlineLevel="0" collapsed="false">
      <c r="A244" s="35" t="s">
        <v>1421</v>
      </c>
      <c r="E244" s="0" t="s">
        <v>427</v>
      </c>
      <c r="I244" s="0" t="s">
        <v>1422</v>
      </c>
      <c r="R244" s="29" t="n">
        <v>44817</v>
      </c>
    </row>
    <row r="245" customFormat="false" ht="13.8" hidden="false" customHeight="false" outlineLevel="0" collapsed="false">
      <c r="A245" s="35" t="s">
        <v>1424</v>
      </c>
      <c r="E245" s="0" t="s">
        <v>427</v>
      </c>
      <c r="I245" s="0" t="s">
        <v>1425</v>
      </c>
      <c r="R245" s="29" t="n">
        <v>44496</v>
      </c>
    </row>
    <row r="246" customFormat="false" ht="13.8" hidden="false" customHeight="false" outlineLevel="0" collapsed="false">
      <c r="A246" s="35" t="s">
        <v>1427</v>
      </c>
      <c r="E246" s="0" t="s">
        <v>427</v>
      </c>
      <c r="I246" s="0" t="s">
        <v>1428</v>
      </c>
      <c r="R246" s="29" t="n">
        <v>44810</v>
      </c>
    </row>
    <row r="247" customFormat="false" ht="13.8" hidden="false" customHeight="false" outlineLevel="0" collapsed="false">
      <c r="A247" s="35" t="s">
        <v>1430</v>
      </c>
      <c r="B247" s="0" t="s">
        <v>426</v>
      </c>
      <c r="E247" s="0" t="s">
        <v>427</v>
      </c>
      <c r="I247" s="8" t="s">
        <v>1431</v>
      </c>
      <c r="R247" s="29" t="n">
        <v>44404</v>
      </c>
    </row>
    <row r="248" customFormat="false" ht="13.8" hidden="false" customHeight="false" outlineLevel="0" collapsed="false">
      <c r="A248" s="35" t="s">
        <v>1433</v>
      </c>
      <c r="B248" s="0" t="s">
        <v>426</v>
      </c>
      <c r="E248" s="0" t="s">
        <v>427</v>
      </c>
      <c r="I248" s="0" t="s">
        <v>1434</v>
      </c>
      <c r="R248" s="29" t="n">
        <v>44824</v>
      </c>
    </row>
    <row r="249" customFormat="false" ht="13.8" hidden="false" customHeight="false" outlineLevel="0" collapsed="false">
      <c r="A249" s="35" t="s">
        <v>1436</v>
      </c>
      <c r="B249" s="0" t="s">
        <v>426</v>
      </c>
      <c r="E249" s="0" t="s">
        <v>427</v>
      </c>
      <c r="I249" s="0" t="s">
        <v>1437</v>
      </c>
      <c r="R249" s="29" t="n">
        <v>44337</v>
      </c>
    </row>
    <row r="250" customFormat="false" ht="13.8" hidden="false" customHeight="false" outlineLevel="0" collapsed="false">
      <c r="A250" s="35" t="s">
        <v>1439</v>
      </c>
      <c r="B250" s="0" t="s">
        <v>426</v>
      </c>
      <c r="E250" s="0" t="s">
        <v>427</v>
      </c>
      <c r="I250" s="0" t="s">
        <v>1440</v>
      </c>
    </row>
    <row r="251" customFormat="false" ht="13.8" hidden="false" customHeight="false" outlineLevel="0" collapsed="false">
      <c r="A251" s="35" t="s">
        <v>1442</v>
      </c>
      <c r="B251" s="0" t="s">
        <v>426</v>
      </c>
      <c r="E251" s="0" t="s">
        <v>427</v>
      </c>
      <c r="I251" s="0" t="s">
        <v>1443</v>
      </c>
    </row>
    <row r="252" customFormat="false" ht="13.8" hidden="false" customHeight="false" outlineLevel="0" collapsed="false">
      <c r="A252" s="35" t="s">
        <v>1445</v>
      </c>
      <c r="B252" s="0" t="s">
        <v>1447</v>
      </c>
      <c r="E252" s="0" t="s">
        <v>427</v>
      </c>
      <c r="I252" s="8" t="s">
        <v>1446</v>
      </c>
    </row>
    <row r="253" customFormat="false" ht="13.8" hidden="false" customHeight="false" outlineLevel="0" collapsed="false">
      <c r="A253" s="35" t="s">
        <v>1449</v>
      </c>
      <c r="B253" s="0" t="s">
        <v>1447</v>
      </c>
      <c r="E253" s="0" t="s">
        <v>427</v>
      </c>
      <c r="I253" s="8" t="s">
        <v>1450</v>
      </c>
      <c r="R253" s="29" t="n">
        <v>44817</v>
      </c>
    </row>
    <row r="254" customFormat="false" ht="13.8" hidden="false" customHeight="false" outlineLevel="0" collapsed="false">
      <c r="A254" s="35" t="s">
        <v>1452</v>
      </c>
      <c r="B254" s="0" t="s">
        <v>426</v>
      </c>
      <c r="E254" s="0" t="s">
        <v>427</v>
      </c>
      <c r="I254" s="8" t="s">
        <v>1453</v>
      </c>
      <c r="R254" s="29" t="n">
        <v>44446</v>
      </c>
    </row>
    <row r="255" customFormat="false" ht="13.8" hidden="false" customHeight="false" outlineLevel="0" collapsed="false">
      <c r="A255" s="35" t="s">
        <v>1455</v>
      </c>
      <c r="B255" s="0" t="s">
        <v>426</v>
      </c>
      <c r="E255" s="0" t="s">
        <v>427</v>
      </c>
      <c r="I255" s="8" t="s">
        <v>1456</v>
      </c>
      <c r="R255" s="29" t="n">
        <v>44502</v>
      </c>
    </row>
    <row r="256" customFormat="false" ht="13.8" hidden="false" customHeight="false" outlineLevel="0" collapsed="false">
      <c r="A256" s="35" t="s">
        <v>1458</v>
      </c>
      <c r="B256" s="0" t="s">
        <v>426</v>
      </c>
      <c r="E256" s="0" t="s">
        <v>427</v>
      </c>
      <c r="I256" s="8" t="s">
        <v>1459</v>
      </c>
      <c r="R256" s="29" t="n">
        <v>44789</v>
      </c>
    </row>
    <row r="257" customFormat="false" ht="13.8" hidden="false" customHeight="false" outlineLevel="0" collapsed="false">
      <c r="A257" s="35" t="s">
        <v>1461</v>
      </c>
      <c r="B257" s="0" t="s">
        <v>426</v>
      </c>
      <c r="E257" s="0" t="s">
        <v>427</v>
      </c>
      <c r="I257" s="8" t="s">
        <v>1462</v>
      </c>
      <c r="R257" s="29" t="n">
        <v>44796</v>
      </c>
    </row>
    <row r="258" customFormat="false" ht="13.8" hidden="false" customHeight="false" outlineLevel="0" collapsed="false">
      <c r="A258" s="35" t="s">
        <v>1464</v>
      </c>
      <c r="B258" s="0" t="s">
        <v>509</v>
      </c>
      <c r="E258" s="0" t="s">
        <v>427</v>
      </c>
      <c r="I258" s="28" t="s">
        <v>1465</v>
      </c>
      <c r="J258" s="28"/>
      <c r="K258" s="28"/>
      <c r="L258" s="28"/>
      <c r="M258" s="28"/>
      <c r="N258" s="28"/>
      <c r="O258" s="28"/>
      <c r="P258" s="28"/>
      <c r="Q258" s="28"/>
      <c r="R258" s="29" t="n">
        <v>44656</v>
      </c>
    </row>
    <row r="259" customFormat="false" ht="13.8" hidden="false" customHeight="false" outlineLevel="0" collapsed="false">
      <c r="A259" s="35" t="s">
        <v>1467</v>
      </c>
      <c r="B259" s="0" t="s">
        <v>509</v>
      </c>
      <c r="E259" s="0" t="s">
        <v>427</v>
      </c>
      <c r="I259" s="8" t="s">
        <v>1468</v>
      </c>
      <c r="M259" s="28"/>
      <c r="N259" s="28"/>
      <c r="R259" s="29" t="n">
        <v>44663</v>
      </c>
    </row>
    <row r="260" customFormat="false" ht="13.8" hidden="false" customHeight="false" outlineLevel="0" collapsed="false">
      <c r="A260" s="35" t="s">
        <v>1470</v>
      </c>
      <c r="B260" s="0" t="s">
        <v>509</v>
      </c>
      <c r="E260" s="0" t="s">
        <v>427</v>
      </c>
      <c r="I260" s="28" t="s">
        <v>1471</v>
      </c>
      <c r="J260" s="28"/>
      <c r="K260" s="28"/>
      <c r="L260" s="28"/>
      <c r="M260" s="28"/>
      <c r="N260" s="28"/>
      <c r="O260" s="28"/>
      <c r="P260" s="28"/>
      <c r="Q260" s="28"/>
      <c r="R260" s="29" t="n">
        <v>44691</v>
      </c>
    </row>
    <row r="261" customFormat="false" ht="13.8" hidden="false" customHeight="false" outlineLevel="0" collapsed="false">
      <c r="A261" s="35" t="s">
        <v>1473</v>
      </c>
      <c r="B261" s="0" t="s">
        <v>509</v>
      </c>
      <c r="E261" s="0" t="s">
        <v>427</v>
      </c>
      <c r="I261" s="28" t="s">
        <v>1474</v>
      </c>
      <c r="J261" s="28"/>
      <c r="K261" s="28"/>
      <c r="L261" s="28"/>
      <c r="M261" s="28"/>
      <c r="N261" s="28"/>
      <c r="O261" s="28"/>
      <c r="P261" s="28"/>
      <c r="Q261" s="28"/>
      <c r="R261" s="29" t="n">
        <v>44817</v>
      </c>
    </row>
    <row r="262" customFormat="false" ht="13.8" hidden="false" customHeight="false" outlineLevel="0" collapsed="false">
      <c r="A262" s="35" t="s">
        <v>1476</v>
      </c>
      <c r="B262" s="0" t="s">
        <v>509</v>
      </c>
      <c r="E262" s="0" t="s">
        <v>427</v>
      </c>
      <c r="I262" s="28" t="s">
        <v>1477</v>
      </c>
      <c r="J262" s="28"/>
      <c r="K262" s="28"/>
      <c r="L262" s="28"/>
      <c r="M262" s="28"/>
      <c r="N262" s="28"/>
      <c r="O262" s="28"/>
      <c r="P262" s="28"/>
      <c r="Q262" s="28"/>
      <c r="R262" s="29" t="n">
        <v>44782</v>
      </c>
    </row>
    <row r="263" customFormat="false" ht="13.8" hidden="false" customHeight="false" outlineLevel="0" collapsed="false">
      <c r="A263" s="35" t="s">
        <v>1479</v>
      </c>
      <c r="B263" s="0" t="s">
        <v>509</v>
      </c>
      <c r="E263" s="0" t="s">
        <v>427</v>
      </c>
      <c r="I263" s="28" t="s">
        <v>1480</v>
      </c>
      <c r="J263" s="28"/>
      <c r="K263" s="28"/>
      <c r="L263" s="28"/>
      <c r="M263" s="28"/>
      <c r="N263" s="28"/>
      <c r="O263" s="28"/>
      <c r="P263" s="28"/>
      <c r="Q263" s="28"/>
      <c r="R263" s="29" t="n">
        <v>44789</v>
      </c>
    </row>
    <row r="264" customFormat="false" ht="13.8" hidden="false" customHeight="false" outlineLevel="0" collapsed="false">
      <c r="A264" s="35" t="s">
        <v>1482</v>
      </c>
      <c r="B264" s="0" t="s">
        <v>509</v>
      </c>
      <c r="E264" s="0" t="s">
        <v>427</v>
      </c>
      <c r="I264" s="28" t="s">
        <v>1483</v>
      </c>
      <c r="J264" s="28"/>
      <c r="K264" s="28"/>
      <c r="L264" s="28"/>
      <c r="M264" s="28"/>
      <c r="N264" s="28"/>
      <c r="O264" s="28"/>
      <c r="P264" s="28"/>
      <c r="Q264" s="28"/>
      <c r="R264" s="29" t="n">
        <v>44803</v>
      </c>
    </row>
    <row r="265" customFormat="false" ht="13.8" hidden="false" customHeight="false" outlineLevel="0" collapsed="false">
      <c r="A265" s="35" t="s">
        <v>1485</v>
      </c>
      <c r="B265" s="0" t="s">
        <v>509</v>
      </c>
      <c r="E265" s="0" t="s">
        <v>427</v>
      </c>
      <c r="I265" s="28" t="s">
        <v>1486</v>
      </c>
      <c r="J265" s="28"/>
      <c r="K265" s="28"/>
      <c r="L265" s="28"/>
      <c r="M265" s="28"/>
      <c r="N265" s="28"/>
      <c r="O265" s="28"/>
      <c r="P265" s="28"/>
      <c r="Q265" s="28"/>
      <c r="R265" s="29" t="n">
        <v>44810</v>
      </c>
    </row>
    <row r="266" customFormat="false" ht="13.8" hidden="false" customHeight="false" outlineLevel="0" collapsed="false">
      <c r="A266" s="35" t="s">
        <v>1488</v>
      </c>
      <c r="B266" s="0" t="s">
        <v>509</v>
      </c>
      <c r="E266" s="0" t="s">
        <v>427</v>
      </c>
      <c r="I266" s="28" t="s">
        <v>1489</v>
      </c>
      <c r="J266" s="28"/>
      <c r="K266" s="28"/>
      <c r="L266" s="28"/>
      <c r="M266" s="28"/>
      <c r="N266" s="28"/>
      <c r="O266" s="28"/>
      <c r="P266" s="28"/>
      <c r="Q266" s="28"/>
      <c r="R266" s="29" t="n">
        <v>44831</v>
      </c>
    </row>
    <row r="267" customFormat="false" ht="13.8" hidden="false" customHeight="false" outlineLevel="0" collapsed="false">
      <c r="A267" s="35" t="s">
        <v>1491</v>
      </c>
      <c r="B267" s="0" t="s">
        <v>509</v>
      </c>
      <c r="E267" s="0" t="s">
        <v>427</v>
      </c>
      <c r="I267" s="28" t="s">
        <v>1492</v>
      </c>
      <c r="J267" s="28"/>
      <c r="K267" s="28"/>
      <c r="L267" s="28"/>
      <c r="M267" s="28"/>
      <c r="N267" s="28"/>
      <c r="O267" s="28"/>
      <c r="P267" s="28"/>
      <c r="Q267" s="28"/>
      <c r="R267" s="29" t="n">
        <v>44608</v>
      </c>
    </row>
    <row r="268" customFormat="false" ht="13.8" hidden="false" customHeight="false" outlineLevel="0" collapsed="false">
      <c r="A268" s="35" t="s">
        <v>1494</v>
      </c>
      <c r="B268" s="0" t="s">
        <v>509</v>
      </c>
      <c r="E268" s="0" t="s">
        <v>427</v>
      </c>
      <c r="I268" s="28" t="s">
        <v>1495</v>
      </c>
      <c r="J268" s="28"/>
      <c r="K268" s="28"/>
      <c r="L268" s="28"/>
      <c r="M268" s="28"/>
      <c r="N268" s="28"/>
      <c r="O268" s="28"/>
      <c r="P268" s="28"/>
      <c r="Q268" s="28"/>
      <c r="R268" s="29" t="n">
        <v>44608</v>
      </c>
    </row>
    <row r="269" customFormat="false" ht="13.8" hidden="false" customHeight="false" outlineLevel="0" collapsed="false">
      <c r="A269" s="35" t="s">
        <v>1497</v>
      </c>
      <c r="B269" s="0" t="s">
        <v>509</v>
      </c>
      <c r="E269" s="0" t="s">
        <v>427</v>
      </c>
      <c r="I269" s="34" t="s">
        <v>1498</v>
      </c>
      <c r="J269" s="28"/>
      <c r="K269" s="28"/>
      <c r="L269" s="28"/>
      <c r="M269" s="28"/>
      <c r="N269" s="28"/>
      <c r="O269" s="28"/>
      <c r="P269" s="28"/>
      <c r="Q269" s="28"/>
      <c r="R269" s="29" t="n">
        <v>44831</v>
      </c>
    </row>
    <row r="270" customFormat="false" ht="13.8" hidden="false" customHeight="false" outlineLevel="0" collapsed="false">
      <c r="A270" s="35" t="s">
        <v>1500</v>
      </c>
      <c r="B270" s="0" t="s">
        <v>509</v>
      </c>
      <c r="E270" s="0" t="s">
        <v>427</v>
      </c>
      <c r="I270" s="34" t="s">
        <v>1501</v>
      </c>
      <c r="J270" s="28"/>
      <c r="K270" s="28"/>
      <c r="L270" s="28"/>
      <c r="M270" s="28"/>
      <c r="N270" s="28"/>
      <c r="O270" s="28"/>
      <c r="P270" s="28"/>
      <c r="Q270" s="28"/>
      <c r="R270" s="29" t="n">
        <v>44832</v>
      </c>
    </row>
    <row r="271" customFormat="false" ht="13.8" hidden="false" customHeight="false" outlineLevel="0" collapsed="false">
      <c r="A271" s="35" t="s">
        <v>1503</v>
      </c>
      <c r="B271" s="0" t="s">
        <v>509</v>
      </c>
      <c r="E271" s="0" t="s">
        <v>427</v>
      </c>
      <c r="I271" s="34" t="s">
        <v>1504</v>
      </c>
      <c r="J271" s="28"/>
      <c r="K271" s="28"/>
      <c r="L271" s="28"/>
      <c r="M271" s="28"/>
      <c r="N271" s="28"/>
      <c r="O271" s="28"/>
      <c r="P271" s="28"/>
      <c r="Q271" s="28"/>
      <c r="R271" s="29" t="n">
        <v>44832</v>
      </c>
    </row>
    <row r="272" customFormat="false" ht="13.8" hidden="false" customHeight="false" outlineLevel="0" collapsed="false">
      <c r="A272" s="35" t="s">
        <v>1506</v>
      </c>
      <c r="B272" s="0" t="s">
        <v>509</v>
      </c>
      <c r="E272" s="0" t="s">
        <v>427</v>
      </c>
      <c r="I272" s="34" t="s">
        <v>1507</v>
      </c>
      <c r="J272" s="28"/>
      <c r="K272" s="28"/>
      <c r="L272" s="28"/>
      <c r="M272" s="28"/>
      <c r="N272" s="28"/>
      <c r="O272" s="28"/>
      <c r="P272" s="28"/>
      <c r="Q272" s="28"/>
      <c r="R272" s="29" t="n">
        <v>44832</v>
      </c>
    </row>
    <row r="273" customFormat="false" ht="13.8" hidden="false" customHeight="false" outlineLevel="0" collapsed="false">
      <c r="A273" s="35" t="s">
        <v>1509</v>
      </c>
      <c r="B273" s="0" t="s">
        <v>509</v>
      </c>
      <c r="E273" s="0" t="s">
        <v>427</v>
      </c>
      <c r="I273" s="28" t="s">
        <v>1510</v>
      </c>
      <c r="J273" s="28"/>
      <c r="K273" s="28"/>
      <c r="L273" s="28"/>
      <c r="M273" s="28"/>
      <c r="N273" s="28"/>
      <c r="O273" s="28"/>
      <c r="P273" s="28"/>
      <c r="Q273" s="28"/>
      <c r="R273" s="29" t="n">
        <v>44834</v>
      </c>
    </row>
    <row r="274" customFormat="false" ht="13.8" hidden="false" customHeight="false" outlineLevel="0" collapsed="false">
      <c r="A274" s="35" t="s">
        <v>1512</v>
      </c>
      <c r="B274" s="0" t="s">
        <v>509</v>
      </c>
      <c r="E274" s="0" t="s">
        <v>427</v>
      </c>
      <c r="I274" s="28" t="s">
        <v>1513</v>
      </c>
      <c r="J274" s="28"/>
      <c r="K274" s="28"/>
      <c r="L274" s="28"/>
      <c r="M274" s="28"/>
      <c r="N274" s="28"/>
      <c r="O274" s="28"/>
      <c r="P274" s="28"/>
      <c r="Q274" s="28"/>
      <c r="R274" s="29" t="n">
        <v>44837</v>
      </c>
    </row>
    <row r="275" customFormat="false" ht="13.8" hidden="false" customHeight="false" outlineLevel="0" collapsed="false">
      <c r="A275" s="35" t="s">
        <v>1515</v>
      </c>
      <c r="B275" s="0" t="s">
        <v>509</v>
      </c>
      <c r="E275" s="0" t="s">
        <v>427</v>
      </c>
      <c r="I275" s="28" t="s">
        <v>1516</v>
      </c>
      <c r="J275" s="28"/>
      <c r="K275" s="28"/>
      <c r="L275" s="28"/>
      <c r="M275" s="28"/>
      <c r="N275" s="28"/>
      <c r="O275" s="28"/>
      <c r="P275" s="28"/>
      <c r="Q275" s="28"/>
      <c r="R275" s="29" t="n">
        <v>44838</v>
      </c>
    </row>
    <row r="276" customFormat="false" ht="13.8" hidden="false" customHeight="false" outlineLevel="0" collapsed="false">
      <c r="A276" s="35" t="s">
        <v>1518</v>
      </c>
      <c r="B276" s="0" t="s">
        <v>509</v>
      </c>
      <c r="E276" s="0" t="s">
        <v>427</v>
      </c>
      <c r="I276" s="34" t="s">
        <v>1519</v>
      </c>
      <c r="J276" s="28"/>
      <c r="K276" s="28"/>
      <c r="L276" s="28"/>
      <c r="M276" s="28"/>
      <c r="N276" s="28"/>
      <c r="O276" s="28"/>
      <c r="P276" s="28"/>
      <c r="Q276" s="28"/>
    </row>
    <row r="277" customFormat="false" ht="13.8" hidden="false" customHeight="false" outlineLevel="0" collapsed="false">
      <c r="A277" s="35" t="s">
        <v>1521</v>
      </c>
      <c r="B277" s="0" t="s">
        <v>509</v>
      </c>
      <c r="E277" s="0" t="s">
        <v>427</v>
      </c>
      <c r="I277" s="34" t="s">
        <v>1522</v>
      </c>
      <c r="J277" s="28"/>
      <c r="K277" s="28"/>
      <c r="L277" s="28"/>
      <c r="M277" s="28"/>
      <c r="N277" s="28"/>
      <c r="O277" s="28"/>
      <c r="P277" s="28"/>
      <c r="Q277" s="28"/>
    </row>
    <row r="278" customFormat="false" ht="13.8" hidden="false" customHeight="false" outlineLevel="0" collapsed="false">
      <c r="A278" s="35" t="s">
        <v>1524</v>
      </c>
      <c r="B278" s="0" t="s">
        <v>509</v>
      </c>
      <c r="E278" s="0" t="s">
        <v>427</v>
      </c>
      <c r="I278" s="34" t="s">
        <v>1525</v>
      </c>
      <c r="J278" s="28"/>
      <c r="K278" s="28"/>
      <c r="L278" s="28"/>
      <c r="M278" s="28"/>
      <c r="N278" s="28"/>
      <c r="O278" s="28"/>
      <c r="P278" s="28"/>
      <c r="Q278" s="28"/>
    </row>
    <row r="279" customFormat="false" ht="13.8" hidden="false" customHeight="false" outlineLevel="0" collapsed="false">
      <c r="A279" s="35" t="s">
        <v>1527</v>
      </c>
      <c r="B279" s="0" t="s">
        <v>509</v>
      </c>
      <c r="E279" s="0" t="s">
        <v>427</v>
      </c>
      <c r="I279" s="28" t="s">
        <v>1528</v>
      </c>
      <c r="J279" s="28"/>
      <c r="K279" s="28"/>
      <c r="L279" s="28"/>
      <c r="M279" s="28"/>
      <c r="N279" s="28"/>
      <c r="O279" s="28"/>
      <c r="P279" s="28"/>
      <c r="Q279" s="28"/>
    </row>
    <row r="280" customFormat="false" ht="13.8" hidden="false" customHeight="false" outlineLevel="0" collapsed="false">
      <c r="A280" s="35" t="s">
        <v>1530</v>
      </c>
      <c r="B280" s="0" t="s">
        <v>509</v>
      </c>
      <c r="E280" s="0" t="s">
        <v>427</v>
      </c>
      <c r="I280" s="28" t="s">
        <v>1531</v>
      </c>
      <c r="J280" s="28"/>
      <c r="K280" s="28"/>
      <c r="L280" s="28"/>
      <c r="M280" s="28"/>
      <c r="N280" s="28"/>
      <c r="O280" s="28"/>
      <c r="P280" s="28"/>
      <c r="Q280" s="28"/>
    </row>
    <row r="281" customFormat="false" ht="13.8" hidden="false" customHeight="false" outlineLevel="0" collapsed="false">
      <c r="A281" s="35" t="s">
        <v>1533</v>
      </c>
      <c r="B281" s="0" t="s">
        <v>509</v>
      </c>
      <c r="E281" s="0" t="s">
        <v>427</v>
      </c>
      <c r="I281" s="28" t="s">
        <v>1534</v>
      </c>
      <c r="J281" s="28"/>
      <c r="K281" s="28"/>
      <c r="L281" s="28"/>
      <c r="M281" s="28"/>
      <c r="N281" s="28"/>
      <c r="O281" s="28"/>
      <c r="P281" s="28"/>
      <c r="Q281" s="28"/>
    </row>
    <row r="282" customFormat="false" ht="13.8" hidden="false" customHeight="false" outlineLevel="0" collapsed="false">
      <c r="A282" s="35" t="s">
        <v>1536</v>
      </c>
      <c r="B282" s="0" t="s">
        <v>509</v>
      </c>
      <c r="E282" s="0" t="s">
        <v>427</v>
      </c>
      <c r="I282" s="28" t="s">
        <v>1537</v>
      </c>
      <c r="J282" s="28"/>
      <c r="K282" s="28"/>
      <c r="L282" s="28"/>
      <c r="M282" s="28"/>
      <c r="N282" s="28"/>
      <c r="O282" s="28"/>
      <c r="P282" s="28"/>
      <c r="Q282" s="28"/>
    </row>
    <row r="283" customFormat="false" ht="13.8" hidden="false" customHeight="false" outlineLevel="0" collapsed="false">
      <c r="A283" s="35" t="s">
        <v>1539</v>
      </c>
      <c r="B283" s="0" t="s">
        <v>509</v>
      </c>
      <c r="E283" s="0" t="s">
        <v>427</v>
      </c>
      <c r="I283" s="28" t="s">
        <v>1540</v>
      </c>
      <c r="J283" s="28"/>
      <c r="K283" s="28"/>
      <c r="L283" s="28"/>
      <c r="M283" s="28"/>
      <c r="N283" s="28"/>
      <c r="O283" s="28"/>
      <c r="P283" s="28"/>
      <c r="Q283" s="28"/>
    </row>
    <row r="284" customFormat="false" ht="13.8" hidden="false" customHeight="false" outlineLevel="0" collapsed="false">
      <c r="A284" s="35" t="s">
        <v>1542</v>
      </c>
      <c r="B284" s="0" t="s">
        <v>509</v>
      </c>
      <c r="E284" s="0" t="s">
        <v>427</v>
      </c>
      <c r="I284" s="28" t="s">
        <v>1543</v>
      </c>
      <c r="J284" s="28"/>
      <c r="K284" s="28"/>
      <c r="L284" s="28"/>
      <c r="M284" s="28"/>
      <c r="N284" s="28"/>
      <c r="O284" s="28"/>
      <c r="P284" s="28"/>
      <c r="Q284" s="28"/>
    </row>
    <row r="285" customFormat="false" ht="13.8" hidden="false" customHeight="false" outlineLevel="0" collapsed="false">
      <c r="A285" s="35" t="s">
        <v>1545</v>
      </c>
      <c r="B285" s="0" t="s">
        <v>509</v>
      </c>
      <c r="E285" s="0" t="s">
        <v>427</v>
      </c>
      <c r="I285" s="28" t="s">
        <v>1546</v>
      </c>
      <c r="J285" s="28"/>
      <c r="K285" s="28"/>
      <c r="L285" s="28"/>
      <c r="M285" s="28"/>
      <c r="N285" s="28"/>
      <c r="O285" s="28"/>
      <c r="P285" s="28"/>
      <c r="Q285" s="28"/>
    </row>
    <row r="286" customFormat="false" ht="13.8" hidden="false" customHeight="false" outlineLevel="0" collapsed="false">
      <c r="A286" s="35" t="s">
        <v>1548</v>
      </c>
      <c r="B286" s="0" t="s">
        <v>509</v>
      </c>
      <c r="E286" s="0" t="s">
        <v>427</v>
      </c>
      <c r="I286" s="28" t="s">
        <v>1549</v>
      </c>
      <c r="J286" s="28"/>
      <c r="K286" s="28"/>
      <c r="L286" s="28"/>
      <c r="M286" s="28"/>
      <c r="N286" s="28"/>
      <c r="O286" s="28"/>
      <c r="P286" s="28"/>
      <c r="Q286" s="28"/>
    </row>
    <row r="287" customFormat="false" ht="13.8" hidden="false" customHeight="false" outlineLevel="0" collapsed="false">
      <c r="A287" s="35" t="s">
        <v>1551</v>
      </c>
      <c r="B287" s="0" t="s">
        <v>509</v>
      </c>
      <c r="E287" s="0" t="s">
        <v>427</v>
      </c>
      <c r="I287" s="28" t="s">
        <v>1552</v>
      </c>
      <c r="J287" s="28"/>
      <c r="K287" s="28"/>
      <c r="L287" s="28"/>
      <c r="M287" s="28"/>
      <c r="N287" s="28"/>
      <c r="O287" s="28"/>
      <c r="P287" s="28"/>
      <c r="Q287" s="28"/>
      <c r="R287" s="28"/>
    </row>
    <row r="288" customFormat="false" ht="13.8" hidden="false" customHeight="false" outlineLevel="0" collapsed="false">
      <c r="A288" s="35" t="s">
        <v>1554</v>
      </c>
      <c r="B288" s="0" t="s">
        <v>509</v>
      </c>
      <c r="E288" s="0" t="s">
        <v>427</v>
      </c>
      <c r="I288" s="28" t="s">
        <v>1555</v>
      </c>
      <c r="J288" s="28"/>
      <c r="K288" s="28"/>
      <c r="L288" s="28"/>
      <c r="M288" s="28"/>
      <c r="N288" s="28"/>
      <c r="O288" s="28"/>
      <c r="P288" s="28"/>
      <c r="Q288" s="28"/>
    </row>
    <row r="289" customFormat="false" ht="13.8" hidden="false" customHeight="false" outlineLevel="0" collapsed="false">
      <c r="A289" s="35" t="s">
        <v>1557</v>
      </c>
      <c r="B289" s="0" t="s">
        <v>509</v>
      </c>
      <c r="E289" s="0" t="s">
        <v>427</v>
      </c>
      <c r="I289" s="28" t="s">
        <v>1558</v>
      </c>
      <c r="J289" s="28"/>
      <c r="K289" s="28"/>
      <c r="L289" s="28"/>
      <c r="M289" s="28"/>
      <c r="N289" s="28"/>
      <c r="O289" s="28"/>
      <c r="P289" s="28"/>
      <c r="Q289" s="28"/>
    </row>
    <row r="290" customFormat="false" ht="13.8" hidden="false" customHeight="false" outlineLevel="0" collapsed="false">
      <c r="A290" s="35" t="s">
        <v>1560</v>
      </c>
      <c r="B290" s="0" t="s">
        <v>509</v>
      </c>
      <c r="E290" s="0" t="s">
        <v>427</v>
      </c>
      <c r="I290" s="28" t="s">
        <v>1561</v>
      </c>
      <c r="J290" s="28"/>
      <c r="K290" s="28"/>
      <c r="L290" s="28"/>
      <c r="M290" s="28"/>
      <c r="N290" s="28"/>
      <c r="O290" s="28"/>
      <c r="P290" s="28"/>
      <c r="Q290" s="28"/>
    </row>
    <row r="291" customFormat="false" ht="13.8" hidden="false" customHeight="false" outlineLevel="0" collapsed="false">
      <c r="A291" s="35" t="s">
        <v>1563</v>
      </c>
      <c r="B291" s="0" t="s">
        <v>509</v>
      </c>
      <c r="E291" s="0" t="s">
        <v>427</v>
      </c>
      <c r="I291" s="28" t="s">
        <v>1564</v>
      </c>
      <c r="J291" s="28"/>
      <c r="K291" s="28"/>
      <c r="L291" s="28"/>
      <c r="M291" s="28"/>
      <c r="N291" s="28"/>
      <c r="O291" s="28"/>
      <c r="P291" s="28"/>
      <c r="Q291" s="28"/>
    </row>
    <row r="292" customFormat="false" ht="13.8" hidden="false" customHeight="false" outlineLevel="0" collapsed="false">
      <c r="A292" s="35" t="s">
        <v>1566</v>
      </c>
      <c r="B292" s="0" t="s">
        <v>509</v>
      </c>
      <c r="E292" s="0" t="s">
        <v>427</v>
      </c>
      <c r="I292" s="28" t="s">
        <v>1567</v>
      </c>
      <c r="J292" s="28"/>
      <c r="K292" s="28"/>
      <c r="L292" s="28"/>
      <c r="M292" s="28"/>
      <c r="N292" s="28"/>
      <c r="O292" s="28"/>
      <c r="P292" s="28"/>
      <c r="Q292" s="28"/>
    </row>
    <row r="293" customFormat="false" ht="13.8" hidden="false" customHeight="false" outlineLevel="0" collapsed="false">
      <c r="A293" s="35" t="s">
        <v>1569</v>
      </c>
      <c r="B293" s="0" t="s">
        <v>509</v>
      </c>
      <c r="E293" s="0" t="s">
        <v>427</v>
      </c>
      <c r="I293" s="28" t="s">
        <v>1570</v>
      </c>
      <c r="J293" s="28"/>
      <c r="K293" s="28"/>
      <c r="L293" s="28"/>
      <c r="M293" s="28"/>
      <c r="N293" s="28"/>
      <c r="O293" s="28"/>
      <c r="P293" s="28"/>
      <c r="Q293" s="28"/>
    </row>
    <row r="294" customFormat="false" ht="13.8" hidden="false" customHeight="false" outlineLevel="0" collapsed="false">
      <c r="A294" s="35" t="s">
        <v>1572</v>
      </c>
      <c r="B294" s="0" t="s">
        <v>509</v>
      </c>
      <c r="E294" s="0" t="s">
        <v>427</v>
      </c>
      <c r="I294" s="28" t="s">
        <v>1573</v>
      </c>
      <c r="J294" s="28"/>
      <c r="K294" s="28"/>
      <c r="L294" s="28"/>
      <c r="M294" s="28"/>
      <c r="N294" s="28"/>
      <c r="O294" s="28"/>
      <c r="P294" s="28"/>
      <c r="Q294" s="28"/>
    </row>
    <row r="295" customFormat="false" ht="13.8" hidden="false" customHeight="false" outlineLevel="0" collapsed="false">
      <c r="A295" s="35" t="s">
        <v>1575</v>
      </c>
      <c r="B295" s="0" t="s">
        <v>509</v>
      </c>
      <c r="E295" s="0" t="s">
        <v>427</v>
      </c>
      <c r="I295" s="28" t="s">
        <v>1576</v>
      </c>
      <c r="J295" s="28"/>
      <c r="K295" s="28"/>
      <c r="L295" s="28"/>
      <c r="M295" s="28"/>
      <c r="N295" s="28"/>
      <c r="O295" s="28"/>
      <c r="P295" s="28"/>
      <c r="Q295" s="28"/>
    </row>
    <row r="296" customFormat="false" ht="13.8" hidden="false" customHeight="false" outlineLevel="0" collapsed="false">
      <c r="A296" s="35" t="s">
        <v>1578</v>
      </c>
      <c r="B296" s="0" t="s">
        <v>509</v>
      </c>
      <c r="E296" s="0" t="s">
        <v>427</v>
      </c>
      <c r="I296" s="28" t="s">
        <v>1579</v>
      </c>
      <c r="J296" s="28"/>
      <c r="K296" s="28"/>
      <c r="L296" s="28"/>
      <c r="M296" s="28"/>
      <c r="N296" s="28"/>
      <c r="O296" s="28"/>
      <c r="P296" s="28"/>
      <c r="Q296" s="28"/>
    </row>
    <row r="297" customFormat="false" ht="13.8" hidden="false" customHeight="false" outlineLevel="0" collapsed="false">
      <c r="A297" s="35" t="s">
        <v>1581</v>
      </c>
      <c r="B297" s="0" t="s">
        <v>509</v>
      </c>
      <c r="E297" s="0" t="s">
        <v>427</v>
      </c>
      <c r="I297" s="28" t="s">
        <v>1582</v>
      </c>
      <c r="J297" s="28"/>
      <c r="K297" s="28"/>
      <c r="L297" s="28"/>
      <c r="M297" s="28"/>
      <c r="N297" s="28"/>
      <c r="O297" s="28"/>
      <c r="P297" s="28"/>
      <c r="Q297" s="28"/>
    </row>
    <row r="298" customFormat="false" ht="13.8" hidden="false" customHeight="false" outlineLevel="0" collapsed="false">
      <c r="A298" s="35" t="s">
        <v>1584</v>
      </c>
      <c r="B298" s="0" t="s">
        <v>509</v>
      </c>
      <c r="E298" s="0" t="s">
        <v>427</v>
      </c>
      <c r="I298" s="28" t="s">
        <v>1585</v>
      </c>
      <c r="J298" s="28"/>
      <c r="K298" s="28"/>
      <c r="L298" s="28"/>
      <c r="M298" s="28"/>
      <c r="N298" s="28"/>
      <c r="O298" s="28"/>
      <c r="P298" s="28"/>
      <c r="Q298" s="28"/>
    </row>
    <row r="299" customFormat="false" ht="13.8" hidden="false" customHeight="false" outlineLevel="0" collapsed="false">
      <c r="A299" s="35" t="s">
        <v>1587</v>
      </c>
      <c r="B299" s="0" t="s">
        <v>509</v>
      </c>
      <c r="E299" s="0" t="s">
        <v>427</v>
      </c>
      <c r="I299" s="28" t="s">
        <v>1588</v>
      </c>
      <c r="J299" s="28"/>
      <c r="K299" s="28"/>
      <c r="L299" s="28"/>
      <c r="M299" s="28"/>
      <c r="N299" s="28"/>
      <c r="O299" s="28"/>
      <c r="P299" s="28"/>
      <c r="Q299" s="28"/>
    </row>
    <row r="300" customFormat="false" ht="13.8" hidden="false" customHeight="false" outlineLevel="0" collapsed="false">
      <c r="A300" s="35" t="s">
        <v>1590</v>
      </c>
      <c r="B300" s="0" t="s">
        <v>509</v>
      </c>
      <c r="E300" s="0" t="s">
        <v>427</v>
      </c>
      <c r="I300" s="28" t="s">
        <v>1591</v>
      </c>
      <c r="J300" s="28"/>
      <c r="K300" s="28"/>
      <c r="L300" s="28"/>
      <c r="M300" s="28"/>
      <c r="N300" s="28"/>
      <c r="O300" s="28"/>
      <c r="P300" s="28"/>
      <c r="Q300" s="28"/>
    </row>
    <row r="301" customFormat="false" ht="13.8" hidden="false" customHeight="false" outlineLevel="0" collapsed="false">
      <c r="A301" s="35" t="s">
        <v>1593</v>
      </c>
      <c r="B301" s="0" t="s">
        <v>509</v>
      </c>
      <c r="E301" s="0" t="s">
        <v>427</v>
      </c>
      <c r="I301" s="28" t="s">
        <v>1594</v>
      </c>
      <c r="J301" s="28"/>
      <c r="K301" s="28"/>
      <c r="L301" s="28"/>
      <c r="M301" s="28"/>
      <c r="N301" s="28"/>
      <c r="O301" s="28"/>
      <c r="P301" s="28"/>
      <c r="Q301" s="28"/>
    </row>
    <row r="302" customFormat="false" ht="13.8" hidden="false" customHeight="false" outlineLevel="0" collapsed="false">
      <c r="A302" s="35" t="s">
        <v>1596</v>
      </c>
      <c r="B302" s="0" t="s">
        <v>509</v>
      </c>
      <c r="E302" s="0" t="s">
        <v>427</v>
      </c>
      <c r="I302" s="28" t="s">
        <v>1597</v>
      </c>
      <c r="J302" s="28"/>
      <c r="K302" s="28"/>
      <c r="L302" s="28"/>
      <c r="M302" s="28"/>
      <c r="N302" s="28"/>
      <c r="O302" s="28"/>
      <c r="P302" s="28"/>
      <c r="Q302" s="28"/>
    </row>
    <row r="303" customFormat="false" ht="13.8" hidden="false" customHeight="false" outlineLevel="0" collapsed="false">
      <c r="A303" s="35" t="s">
        <v>1599</v>
      </c>
      <c r="B303" s="0" t="s">
        <v>509</v>
      </c>
      <c r="E303" s="0" t="s">
        <v>427</v>
      </c>
      <c r="I303" s="28" t="s">
        <v>1600</v>
      </c>
      <c r="J303" s="28"/>
      <c r="K303" s="28"/>
      <c r="L303" s="28"/>
      <c r="M303" s="28"/>
      <c r="N303" s="28"/>
      <c r="O303" s="28"/>
      <c r="P303" s="28"/>
      <c r="Q303" s="28"/>
    </row>
    <row r="304" customFormat="false" ht="13.8" hidden="false" customHeight="false" outlineLevel="0" collapsed="false">
      <c r="A304" s="35" t="s">
        <v>1602</v>
      </c>
      <c r="B304" s="0" t="s">
        <v>509</v>
      </c>
      <c r="E304" s="0" t="s">
        <v>427</v>
      </c>
      <c r="I304" s="28" t="s">
        <v>1603</v>
      </c>
      <c r="J304" s="28"/>
      <c r="K304" s="28"/>
      <c r="L304" s="28"/>
      <c r="M304" s="28"/>
      <c r="N304" s="28"/>
      <c r="O304" s="28"/>
      <c r="P304" s="28"/>
      <c r="Q304" s="28"/>
    </row>
    <row r="305" customFormat="false" ht="13.8" hidden="false" customHeight="false" outlineLevel="0" collapsed="false">
      <c r="A305" s="35" t="s">
        <v>1605</v>
      </c>
      <c r="B305" s="0" t="s">
        <v>509</v>
      </c>
      <c r="E305" s="0" t="s">
        <v>427</v>
      </c>
      <c r="I305" s="28" t="s">
        <v>1606</v>
      </c>
      <c r="J305" s="28"/>
      <c r="K305" s="28"/>
      <c r="L305" s="28"/>
      <c r="M305" s="28"/>
      <c r="N305" s="28"/>
      <c r="O305" s="28"/>
      <c r="P305" s="28"/>
      <c r="Q305" s="28"/>
    </row>
    <row r="306" customFormat="false" ht="13.8" hidden="false" customHeight="false" outlineLevel="0" collapsed="false">
      <c r="A306" s="35" t="s">
        <v>1608</v>
      </c>
      <c r="B306" s="0" t="s">
        <v>509</v>
      </c>
      <c r="E306" s="0" t="s">
        <v>427</v>
      </c>
      <c r="I306" s="28" t="s">
        <v>1609</v>
      </c>
      <c r="J306" s="28"/>
      <c r="K306" s="28"/>
      <c r="L306" s="28"/>
      <c r="M306" s="28"/>
      <c r="N306" s="28"/>
      <c r="O306" s="28"/>
      <c r="P306" s="28"/>
      <c r="Q306" s="28"/>
    </row>
    <row r="307" customFormat="false" ht="13.8" hidden="false" customHeight="false" outlineLevel="0" collapsed="false">
      <c r="A307" s="35" t="s">
        <v>1611</v>
      </c>
      <c r="B307" s="0" t="s">
        <v>509</v>
      </c>
      <c r="E307" s="0" t="s">
        <v>427</v>
      </c>
      <c r="I307" s="28" t="s">
        <v>1612</v>
      </c>
      <c r="J307" s="28"/>
      <c r="K307" s="28"/>
      <c r="L307" s="28"/>
      <c r="M307" s="28"/>
      <c r="N307" s="28"/>
      <c r="O307" s="28"/>
      <c r="P307" s="28"/>
      <c r="Q307" s="28"/>
    </row>
    <row r="308" customFormat="false" ht="13.8" hidden="false" customHeight="false" outlineLevel="0" collapsed="false">
      <c r="A308" s="35" t="s">
        <v>1614</v>
      </c>
      <c r="B308" s="0" t="s">
        <v>483</v>
      </c>
      <c r="E308" s="0" t="s">
        <v>427</v>
      </c>
      <c r="I308" s="30" t="s">
        <v>1615</v>
      </c>
    </row>
    <row r="309" customFormat="false" ht="13.8" hidden="false" customHeight="false" outlineLevel="0" collapsed="false">
      <c r="A309" s="35" t="s">
        <v>1617</v>
      </c>
      <c r="B309" s="0" t="s">
        <v>483</v>
      </c>
      <c r="E309" s="0" t="s">
        <v>427</v>
      </c>
      <c r="I309" s="30" t="s">
        <v>1618</v>
      </c>
    </row>
    <row r="310" customFormat="false" ht="13.8" hidden="false" customHeight="false" outlineLevel="0" collapsed="false">
      <c r="A310" s="35" t="s">
        <v>1620</v>
      </c>
      <c r="B310" s="0" t="s">
        <v>483</v>
      </c>
      <c r="E310" s="0" t="s">
        <v>427</v>
      </c>
      <c r="I310" s="30" t="s">
        <v>1621</v>
      </c>
    </row>
    <row r="311" customFormat="false" ht="13.8" hidden="false" customHeight="false" outlineLevel="0" collapsed="false">
      <c r="A311" s="35" t="s">
        <v>1623</v>
      </c>
      <c r="B311" s="0" t="s">
        <v>483</v>
      </c>
      <c r="E311" s="0" t="s">
        <v>427</v>
      </c>
      <c r="I311" s="30" t="s">
        <v>1624</v>
      </c>
    </row>
    <row r="312" customFormat="false" ht="13.8" hidden="false" customHeight="false" outlineLevel="0" collapsed="false">
      <c r="A312" s="35" t="s">
        <v>1626</v>
      </c>
      <c r="B312" s="0" t="s">
        <v>483</v>
      </c>
      <c r="E312" s="0" t="s">
        <v>427</v>
      </c>
      <c r="I312" s="30" t="s">
        <v>1627</v>
      </c>
    </row>
    <row r="313" customFormat="false" ht="13.8" hidden="false" customHeight="false" outlineLevel="0" collapsed="false">
      <c r="A313" s="35" t="s">
        <v>1629</v>
      </c>
      <c r="B313" s="0" t="s">
        <v>483</v>
      </c>
      <c r="E313" s="0" t="s">
        <v>427</v>
      </c>
      <c r="I313" s="30" t="s">
        <v>1630</v>
      </c>
    </row>
    <row r="314" customFormat="false" ht="13.8" hidden="false" customHeight="false" outlineLevel="0" collapsed="false">
      <c r="A314" s="35" t="s">
        <v>1632</v>
      </c>
      <c r="B314" s="0" t="s">
        <v>483</v>
      </c>
      <c r="E314" s="0" t="s">
        <v>427</v>
      </c>
      <c r="I314" s="30" t="s">
        <v>1633</v>
      </c>
    </row>
    <row r="315" customFormat="false" ht="13.8" hidden="false" customHeight="false" outlineLevel="0" collapsed="false">
      <c r="A315" s="35" t="s">
        <v>1635</v>
      </c>
      <c r="B315" s="0" t="s">
        <v>483</v>
      </c>
      <c r="E315" s="0" t="s">
        <v>427</v>
      </c>
      <c r="I315" s="30" t="s">
        <v>1636</v>
      </c>
    </row>
    <row r="316" customFormat="false" ht="13.8" hidden="false" customHeight="false" outlineLevel="0" collapsed="false">
      <c r="A316" s="35" t="s">
        <v>1638</v>
      </c>
      <c r="B316" s="0" t="s">
        <v>483</v>
      </c>
      <c r="E316" s="0" t="s">
        <v>427</v>
      </c>
      <c r="I316" s="30" t="s">
        <v>1639</v>
      </c>
    </row>
    <row r="317" customFormat="false" ht="13.8" hidden="false" customHeight="false" outlineLevel="0" collapsed="false">
      <c r="A317" s="35" t="s">
        <v>1641</v>
      </c>
      <c r="B317" s="0" t="s">
        <v>483</v>
      </c>
      <c r="E317" s="0" t="s">
        <v>427</v>
      </c>
      <c r="I317" s="30" t="s">
        <v>1642</v>
      </c>
    </row>
    <row r="318" customFormat="false" ht="13.8" hidden="false" customHeight="false" outlineLevel="0" collapsed="false">
      <c r="A318" s="35" t="s">
        <v>1644</v>
      </c>
      <c r="B318" s="0" t="s">
        <v>483</v>
      </c>
      <c r="E318" s="0" t="s">
        <v>427</v>
      </c>
      <c r="I318" s="30" t="s">
        <v>1645</v>
      </c>
    </row>
    <row r="319" customFormat="false" ht="13.8" hidden="false" customHeight="false" outlineLevel="0" collapsed="false">
      <c r="A319" s="35" t="s">
        <v>1647</v>
      </c>
      <c r="B319" s="0" t="s">
        <v>483</v>
      </c>
      <c r="E319" s="0" t="s">
        <v>427</v>
      </c>
      <c r="I319" s="30" t="s">
        <v>1648</v>
      </c>
    </row>
    <row r="320" customFormat="false" ht="13.8" hidden="false" customHeight="false" outlineLevel="0" collapsed="false">
      <c r="A320" s="35" t="s">
        <v>1650</v>
      </c>
      <c r="B320" s="0" t="s">
        <v>483</v>
      </c>
      <c r="E320" s="0" t="s">
        <v>427</v>
      </c>
      <c r="I320" s="30" t="s">
        <v>1651</v>
      </c>
    </row>
    <row r="321" customFormat="false" ht="13.8" hidden="false" customHeight="false" outlineLevel="0" collapsed="false">
      <c r="A321" s="35" t="s">
        <v>1653</v>
      </c>
      <c r="B321" s="0" t="s">
        <v>1447</v>
      </c>
      <c r="E321" s="0" t="s">
        <v>427</v>
      </c>
    </row>
    <row r="322" customFormat="false" ht="13.8" hidden="false" customHeight="false" outlineLevel="0" collapsed="false">
      <c r="A322" s="35" t="s">
        <v>1655</v>
      </c>
      <c r="B322" s="0" t="s">
        <v>1447</v>
      </c>
    </row>
    <row r="323" customFormat="false" ht="13.8" hidden="false" customHeight="false" outlineLevel="0" collapsed="false">
      <c r="A323" s="35" t="s">
        <v>1657</v>
      </c>
      <c r="B323" s="0" t="s">
        <v>1447</v>
      </c>
    </row>
    <row r="324" customFormat="false" ht="13.8" hidden="false" customHeight="false" outlineLevel="0" collapsed="false">
      <c r="A324" s="35" t="s">
        <v>1659</v>
      </c>
      <c r="B324" s="0" t="s">
        <v>1447</v>
      </c>
    </row>
    <row r="325" customFormat="false" ht="13.8" hidden="false" customHeight="false" outlineLevel="0" collapsed="false">
      <c r="A325" s="35" t="s">
        <v>1661</v>
      </c>
      <c r="B325" s="0" t="s">
        <v>1447</v>
      </c>
    </row>
    <row r="326" customFormat="false" ht="13.8" hidden="false" customHeight="false" outlineLevel="0" collapsed="false">
      <c r="A326" s="35" t="s">
        <v>1663</v>
      </c>
      <c r="B326" s="0" t="s">
        <v>1447</v>
      </c>
    </row>
    <row r="327" customFormat="false" ht="13.8" hidden="false" customHeight="false" outlineLevel="0" collapsed="false">
      <c r="A327" s="35" t="s">
        <v>1665</v>
      </c>
      <c r="B327" s="0" t="s">
        <v>1447</v>
      </c>
    </row>
    <row r="328" customFormat="false" ht="13.8" hidden="false" customHeight="false" outlineLevel="0" collapsed="false">
      <c r="A328" s="35" t="s">
        <v>1667</v>
      </c>
      <c r="B328" s="0" t="s">
        <v>1447</v>
      </c>
    </row>
    <row r="329" customFormat="false" ht="13.8" hidden="false" customHeight="false" outlineLevel="0" collapsed="false">
      <c r="A329" s="35" t="s">
        <v>1669</v>
      </c>
      <c r="B329" s="0" t="s">
        <v>1447</v>
      </c>
    </row>
    <row r="330" customFormat="false" ht="13.8" hidden="false" customHeight="false" outlineLevel="0" collapsed="false">
      <c r="A330" s="35" t="s">
        <v>1671</v>
      </c>
      <c r="B330" s="0" t="s">
        <v>1447</v>
      </c>
    </row>
    <row r="331" customFormat="false" ht="13.8" hidden="false" customHeight="false" outlineLevel="0" collapsed="false">
      <c r="A331" s="35" t="s">
        <v>1673</v>
      </c>
      <c r="B331" s="0" t="s">
        <v>1447</v>
      </c>
    </row>
    <row r="332" customFormat="false" ht="13.8" hidden="false" customHeight="false" outlineLevel="0" collapsed="false">
      <c r="A332" s="35" t="s">
        <v>1675</v>
      </c>
      <c r="B332" s="0" t="s">
        <v>1447</v>
      </c>
    </row>
    <row r="333" customFormat="false" ht="13.8" hidden="false" customHeight="false" outlineLevel="0" collapsed="false">
      <c r="A333" s="35" t="s">
        <v>1677</v>
      </c>
      <c r="B333" s="0" t="s">
        <v>1447</v>
      </c>
    </row>
    <row r="334" customFormat="false" ht="13.8" hidden="false" customHeight="false" outlineLevel="0" collapsed="false">
      <c r="A334" s="35" t="s">
        <v>1679</v>
      </c>
      <c r="B334" s="0" t="s">
        <v>1447</v>
      </c>
    </row>
    <row r="335" customFormat="false" ht="13.8" hidden="false" customHeight="false" outlineLevel="0" collapsed="false">
      <c r="A335" s="35" t="s">
        <v>1681</v>
      </c>
      <c r="B335" s="0" t="s">
        <v>1447</v>
      </c>
    </row>
  </sheetData>
  <autoFilter ref="A1:Q321"/>
  <conditionalFormatting sqref="A105:A179 A181:A258">
    <cfRule type="expression" priority="2" aboveAverage="0" equalAverage="0" bottom="0" percent="0" rank="0" text="" dxfId="7">
      <formula>LEN(TRIM(#ref!))=0</formula>
    </cfRule>
  </conditionalFormatting>
  <conditionalFormatting sqref="A1:A1048576">
    <cfRule type="duplicateValues" priority="3" aboveAverage="0" equalAverage="0" bottom="0" percent="0" rank="0" text="" dxfId="8"/>
  </conditionalFormatting>
  <conditionalFormatting sqref="A1:A104 A259:A1048576">
    <cfRule type="duplicateValues" priority="4" aboveAverage="0" equalAverage="0" bottom="0" percent="0" rank="0" text="" dxfId="9"/>
  </conditionalFormatting>
  <conditionalFormatting sqref="I309:I310 I2:I296">
    <cfRule type="containsText" priority="5" operator="containsText" aboveAverage="0" equalAverage="0" bottom="0" percent="0" rank="0" text="GET" dxfId="10">
      <formula>NOT(ISERROR(SEARCH("GET",I2)))</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1" activeCellId="0" sqref="J1"/>
    </sheetView>
  </sheetViews>
  <sheetFormatPr defaultColWidth="8.78515625" defaultRowHeight="13.8" zeroHeight="false" outlineLevelRow="0" outlineLevelCol="0"/>
  <cols>
    <col collapsed="false" customWidth="true" hidden="false" outlineLevel="0" max="1" min="1" style="26" width="14.49"/>
    <col collapsed="false" customWidth="true" hidden="false" outlineLevel="0" max="8" min="2" style="26" width="22.28"/>
    <col collapsed="false" customWidth="true" hidden="false" outlineLevel="0" max="9" min="9" style="8" width="22.28"/>
    <col collapsed="false" customWidth="true" hidden="false" outlineLevel="0" max="10" min="10" style="0" width="10.12"/>
    <col collapsed="false" customWidth="true" hidden="false" outlineLevel="0" max="12" min="12" style="0" width="13.02"/>
    <col collapsed="false" customWidth="true" hidden="false" outlineLevel="0" max="13" min="13" style="0" width="10.85"/>
    <col collapsed="false" customWidth="true" hidden="false" outlineLevel="0" max="16" min="16" style="0" width="12.86"/>
    <col collapsed="false" customWidth="true" hidden="false" outlineLevel="0" max="17" min="17" style="0" width="10.12"/>
    <col collapsed="false" customWidth="true" hidden="false" outlineLevel="0" max="25" min="25" style="0" width="10.12"/>
    <col collapsed="false" customWidth="true" hidden="false" outlineLevel="0" max="27" min="27" style="0" width="10.12"/>
  </cols>
  <sheetData>
    <row r="1" customFormat="false" ht="13.8" hidden="false" customHeight="false" outlineLevel="0" collapsed="false">
      <c r="A1" s="27" t="s">
        <v>1685</v>
      </c>
      <c r="B1" s="27" t="s">
        <v>1686</v>
      </c>
      <c r="C1" s="27" t="s">
        <v>1687</v>
      </c>
      <c r="D1" s="27" t="s">
        <v>231</v>
      </c>
      <c r="E1" s="27" t="s">
        <v>1688</v>
      </c>
      <c r="F1" s="27" t="s">
        <v>1689</v>
      </c>
      <c r="G1" s="27" t="s">
        <v>1683</v>
      </c>
      <c r="H1" s="27" t="s">
        <v>415</v>
      </c>
      <c r="I1" s="28" t="s">
        <v>44</v>
      </c>
      <c r="J1" s="28"/>
    </row>
    <row r="2" customFormat="false" ht="13.8" hidden="false" customHeight="false" outlineLevel="0" collapsed="false">
      <c r="A2" s="26" t="s">
        <v>422</v>
      </c>
      <c r="B2" s="26" t="s">
        <v>1690</v>
      </c>
      <c r="C2" s="26" t="s">
        <v>1691</v>
      </c>
      <c r="F2" s="26" t="s">
        <v>426</v>
      </c>
      <c r="I2" s="30" t="s">
        <v>425</v>
      </c>
      <c r="J2" s="28"/>
    </row>
    <row r="3" customFormat="false" ht="13.8" hidden="false" customHeight="false" outlineLevel="0" collapsed="false">
      <c r="A3" s="26" t="s">
        <v>428</v>
      </c>
      <c r="B3" s="26" t="s">
        <v>1690</v>
      </c>
      <c r="C3" s="26" t="s">
        <v>1691</v>
      </c>
      <c r="F3" s="26" t="s">
        <v>426</v>
      </c>
      <c r="I3" s="30" t="s">
        <v>430</v>
      </c>
    </row>
    <row r="4" customFormat="false" ht="13.8" hidden="false" customHeight="false" outlineLevel="0" collapsed="false">
      <c r="A4" s="26" t="s">
        <v>431</v>
      </c>
      <c r="B4" s="26" t="s">
        <v>1690</v>
      </c>
      <c r="C4" s="26" t="s">
        <v>1691</v>
      </c>
      <c r="F4" s="26" t="s">
        <v>426</v>
      </c>
      <c r="I4" s="30" t="s">
        <v>433</v>
      </c>
    </row>
    <row r="5" customFormat="false" ht="13.8" hidden="false" customHeight="false" outlineLevel="0" collapsed="false">
      <c r="A5" s="26" t="s">
        <v>434</v>
      </c>
      <c r="B5" s="26" t="s">
        <v>1690</v>
      </c>
      <c r="C5" s="26" t="s">
        <v>1691</v>
      </c>
      <c r="F5" s="26" t="s">
        <v>426</v>
      </c>
      <c r="I5" s="30" t="s">
        <v>436</v>
      </c>
    </row>
    <row r="6" customFormat="false" ht="13.8" hidden="false" customHeight="false" outlineLevel="0" collapsed="false">
      <c r="A6" s="26" t="s">
        <v>437</v>
      </c>
      <c r="B6" s="26" t="s">
        <v>1690</v>
      </c>
      <c r="C6" s="26" t="s">
        <v>1691</v>
      </c>
      <c r="F6" s="26" t="s">
        <v>426</v>
      </c>
      <c r="I6" s="30" t="s">
        <v>439</v>
      </c>
    </row>
    <row r="7" customFormat="false" ht="13.8" hidden="false" customHeight="false" outlineLevel="0" collapsed="false">
      <c r="A7" s="26" t="s">
        <v>440</v>
      </c>
      <c r="B7" s="26" t="s">
        <v>1690</v>
      </c>
      <c r="C7" s="26" t="s">
        <v>1691</v>
      </c>
      <c r="F7" s="26" t="s">
        <v>426</v>
      </c>
      <c r="I7" s="30" t="s">
        <v>442</v>
      </c>
    </row>
    <row r="8" customFormat="false" ht="13.8" hidden="false" customHeight="false" outlineLevel="0" collapsed="false">
      <c r="A8" s="26" t="s">
        <v>443</v>
      </c>
      <c r="B8" s="26" t="s">
        <v>1690</v>
      </c>
      <c r="C8" s="26" t="s">
        <v>1691</v>
      </c>
      <c r="F8" s="26" t="s">
        <v>426</v>
      </c>
      <c r="I8" s="30" t="s">
        <v>445</v>
      </c>
    </row>
    <row r="9" customFormat="false" ht="13.8" hidden="false" customHeight="false" outlineLevel="0" collapsed="false">
      <c r="A9" s="26" t="s">
        <v>446</v>
      </c>
      <c r="B9" s="26" t="s">
        <v>1690</v>
      </c>
      <c r="C9" s="26" t="s">
        <v>1691</v>
      </c>
      <c r="F9" s="26" t="s">
        <v>426</v>
      </c>
      <c r="I9" s="30" t="s">
        <v>448</v>
      </c>
    </row>
    <row r="10" customFormat="false" ht="13.8" hidden="false" customHeight="false" outlineLevel="0" collapsed="false">
      <c r="A10" s="26" t="s">
        <v>449</v>
      </c>
      <c r="B10" s="26" t="s">
        <v>1690</v>
      </c>
      <c r="C10" s="26" t="s">
        <v>1691</v>
      </c>
      <c r="F10" s="26" t="s">
        <v>426</v>
      </c>
      <c r="I10" s="30" t="s">
        <v>451</v>
      </c>
    </row>
    <row r="11" customFormat="false" ht="13.8" hidden="false" customHeight="false" outlineLevel="0" collapsed="false">
      <c r="A11" s="26" t="s">
        <v>452</v>
      </c>
      <c r="B11" s="26" t="s">
        <v>1690</v>
      </c>
      <c r="C11" s="26" t="s">
        <v>1691</v>
      </c>
      <c r="F11" s="26" t="s">
        <v>426</v>
      </c>
      <c r="I11" s="30" t="s">
        <v>454</v>
      </c>
    </row>
    <row r="12" customFormat="false" ht="13.8" hidden="false" customHeight="false" outlineLevel="0" collapsed="false">
      <c r="A12" s="26" t="s">
        <v>455</v>
      </c>
      <c r="B12" s="26" t="s">
        <v>1690</v>
      </c>
      <c r="C12" s="26" t="s">
        <v>1691</v>
      </c>
      <c r="F12" s="26" t="s">
        <v>426</v>
      </c>
      <c r="I12" s="30" t="s">
        <v>457</v>
      </c>
    </row>
    <row r="13" customFormat="false" ht="13.8" hidden="false" customHeight="false" outlineLevel="0" collapsed="false">
      <c r="A13" s="26" t="s">
        <v>458</v>
      </c>
      <c r="B13" s="26" t="s">
        <v>1690</v>
      </c>
      <c r="C13" s="26" t="s">
        <v>1691</v>
      </c>
      <c r="F13" s="26" t="s">
        <v>426</v>
      </c>
      <c r="I13" s="30" t="s">
        <v>460</v>
      </c>
    </row>
    <row r="14" customFormat="false" ht="13.8" hidden="false" customHeight="false" outlineLevel="0" collapsed="false">
      <c r="A14" s="26" t="s">
        <v>461</v>
      </c>
      <c r="B14" s="26" t="s">
        <v>1690</v>
      </c>
      <c r="C14" s="26" t="s">
        <v>1691</v>
      </c>
      <c r="F14" s="26" t="s">
        <v>426</v>
      </c>
      <c r="I14" s="8" t="s">
        <v>463</v>
      </c>
    </row>
    <row r="15" customFormat="false" ht="13.8" hidden="false" customHeight="false" outlineLevel="0" collapsed="false">
      <c r="A15" s="26" t="s">
        <v>464</v>
      </c>
      <c r="B15" s="26" t="s">
        <v>1690</v>
      </c>
      <c r="C15" s="26" t="s">
        <v>1691</v>
      </c>
      <c r="F15" s="26" t="s">
        <v>426</v>
      </c>
      <c r="I15" s="8" t="s">
        <v>466</v>
      </c>
    </row>
    <row r="16" customFormat="false" ht="13.8" hidden="false" customHeight="false" outlineLevel="0" collapsed="false">
      <c r="A16" s="26" t="s">
        <v>467</v>
      </c>
      <c r="B16" s="26" t="s">
        <v>1690</v>
      </c>
      <c r="C16" s="26" t="s">
        <v>1691</v>
      </c>
      <c r="F16" s="26" t="s">
        <v>426</v>
      </c>
      <c r="I16" s="8" t="s">
        <v>469</v>
      </c>
    </row>
    <row r="17" customFormat="false" ht="13.8" hidden="false" customHeight="false" outlineLevel="0" collapsed="false">
      <c r="A17" s="26" t="s">
        <v>470</v>
      </c>
      <c r="B17" s="26" t="s">
        <v>1690</v>
      </c>
      <c r="C17" s="26" t="s">
        <v>1691</v>
      </c>
      <c r="F17" s="26" t="s">
        <v>426</v>
      </c>
      <c r="I17" s="8" t="s">
        <v>472</v>
      </c>
    </row>
    <row r="18" customFormat="false" ht="13.8" hidden="false" customHeight="false" outlineLevel="0" collapsed="false">
      <c r="A18" s="26" t="s">
        <v>473</v>
      </c>
      <c r="B18" s="26" t="s">
        <v>1690</v>
      </c>
      <c r="C18" s="26" t="s">
        <v>1691</v>
      </c>
      <c r="F18" s="26" t="s">
        <v>426</v>
      </c>
      <c r="I18" s="8" t="s">
        <v>475</v>
      </c>
    </row>
    <row r="19" customFormat="false" ht="13.8" hidden="false" customHeight="false" outlineLevel="0" collapsed="false">
      <c r="A19" s="26" t="s">
        <v>476</v>
      </c>
      <c r="B19" s="26" t="s">
        <v>1690</v>
      </c>
      <c r="C19" s="26" t="s">
        <v>1691</v>
      </c>
      <c r="F19" s="26" t="s">
        <v>426</v>
      </c>
      <c r="I19" s="8" t="s">
        <v>478</v>
      </c>
    </row>
  </sheetData>
  <autoFilter ref="A1:I19"/>
  <conditionalFormatting sqref="H6:H8 A6:A8 D6:E8">
    <cfRule type="expression" priority="2" aboveAverage="0" equalAverage="0" bottom="0" percent="0" rank="0" text="" dxfId="7">
      <formula>LEN(TRIM(A6))=0</formula>
    </cfRule>
  </conditionalFormatting>
  <conditionalFormatting sqref="A1:H1048576">
    <cfRule type="duplicateValues" priority="3" aboveAverage="0" equalAverage="0" bottom="0" percent="0" rank="0" text="" dxfId="8"/>
  </conditionalFormatting>
  <conditionalFormatting sqref="A1:H1048576">
    <cfRule type="duplicateValues" priority="4" aboveAverage="0" equalAverage="0" bottom="0" percent="0" rank="0" text="" dxfId="9"/>
  </conditionalFormatting>
  <conditionalFormatting sqref="I3:I19">
    <cfRule type="containsText" priority="5" operator="containsText" aboveAverage="0" equalAverage="0" bottom="0" percent="0" rank="0" text="GET" dxfId="10">
      <formula>NOT(ISERROR(SEARCH("GET",I3)))</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6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1" activeCellId="0" sqref="I1"/>
    </sheetView>
  </sheetViews>
  <sheetFormatPr defaultColWidth="8.78515625" defaultRowHeight="13.8" zeroHeight="false" outlineLevelRow="0" outlineLevelCol="0"/>
  <cols>
    <col collapsed="false" customWidth="true" hidden="false" outlineLevel="0" max="1" min="1" style="37" width="13.02"/>
    <col collapsed="false" customWidth="true" hidden="false" outlineLevel="0" max="2" min="2" style="38" width="13.02"/>
    <col collapsed="false" customWidth="true" hidden="false" outlineLevel="0" max="5" min="3" style="0" width="13.02"/>
    <col collapsed="false" customWidth="true" hidden="false" outlineLevel="0" max="6" min="6" style="8" width="13.02"/>
    <col collapsed="false" customWidth="true" hidden="false" outlineLevel="0" max="7" min="7" style="30" width="22.28"/>
    <col collapsed="false" customWidth="true" hidden="false" outlineLevel="0" max="8" min="8" style="30" width="12.13"/>
    <col collapsed="false" customWidth="true" hidden="false" outlineLevel="0" max="9" min="9" style="21" width="9.13"/>
    <col collapsed="false" customWidth="true" hidden="false" outlineLevel="0" max="10" min="10" style="39" width="11.57"/>
    <col collapsed="false" customWidth="true" hidden="false" outlineLevel="0" max="12" min="11" style="0" width="11.57"/>
  </cols>
  <sheetData>
    <row r="1" customFormat="false" ht="13.8" hidden="false" customHeight="false" outlineLevel="0" collapsed="false">
      <c r="A1" s="40" t="s">
        <v>1692</v>
      </c>
      <c r="B1" s="41" t="s">
        <v>360</v>
      </c>
      <c r="C1" s="8" t="s">
        <v>85</v>
      </c>
      <c r="D1" s="8" t="s">
        <v>321</v>
      </c>
      <c r="E1" s="8" t="s">
        <v>415</v>
      </c>
      <c r="F1" s="33" t="s">
        <v>1693</v>
      </c>
      <c r="G1" s="30" t="s">
        <v>44</v>
      </c>
      <c r="H1" s="42" t="str">
        <f aca="false">INDEX(libraries!$A:$A, MATCH(A1, libraries!$B:$B, 0), 1)</f>
        <v>library_id</v>
      </c>
      <c r="I1" s="16" t="s">
        <v>1694</v>
      </c>
      <c r="J1" s="43" t="s">
        <v>414</v>
      </c>
      <c r="K1" s="8"/>
    </row>
    <row r="2" customFormat="false" ht="13.8" hidden="false" customHeight="false" outlineLevel="0" collapsed="false">
      <c r="A2" s="40" t="s">
        <v>1695</v>
      </c>
      <c r="B2" s="41" t="s">
        <v>1696</v>
      </c>
      <c r="C2" s="8" t="s">
        <v>485</v>
      </c>
      <c r="D2" s="8" t="s">
        <v>1697</v>
      </c>
      <c r="E2" s="8"/>
      <c r="F2" s="0"/>
      <c r="G2" s="42" t="e">
        <f aca="false">INDEX(participants!$I:$I, MATCH(B2, participants!$A:$A, 0), 1)</f>
        <v>#N/A</v>
      </c>
      <c r="H2" s="42" t="str">
        <f aca="false">INDEX(libraries!$A:$A, MATCH(A2, libraries!$B:$B, 0), 1)</f>
        <v>lib0092</v>
      </c>
      <c r="I2" s="16" t="s">
        <v>676</v>
      </c>
      <c r="J2" s="44" t="e">
        <f aca="false">INDEX(#REF!, MATCH(B2, participants!$A:$A, 0), 1)</f>
        <v>#N/A</v>
      </c>
    </row>
    <row r="3" customFormat="false" ht="13.8" hidden="false" customHeight="false" outlineLevel="0" collapsed="false">
      <c r="A3" s="40" t="s">
        <v>1698</v>
      </c>
      <c r="B3" s="41" t="s">
        <v>1699</v>
      </c>
      <c r="C3" s="8" t="s">
        <v>485</v>
      </c>
      <c r="D3" s="8" t="s">
        <v>1697</v>
      </c>
      <c r="E3" s="8"/>
      <c r="F3" s="33"/>
      <c r="G3" s="42" t="e">
        <f aca="false">INDEX(participants!$I:$I, MATCH(B3, participants!$A:$A, 0), 1)</f>
        <v>#N/A</v>
      </c>
      <c r="H3" s="30" t="str">
        <f aca="false">INDEX(libraries!$A:$A, MATCH(A3, libraries!$B:$B, 0), 1)</f>
        <v>lib0065</v>
      </c>
      <c r="I3" s="16" t="s">
        <v>676</v>
      </c>
      <c r="J3" s="44" t="e">
        <f aca="false">INDEX(#REF!, MATCH(B3, participants!$A:$A, 0), 1)</f>
        <v>#N/A</v>
      </c>
    </row>
    <row r="4" customFormat="false" ht="13.8" hidden="false" customHeight="false" outlineLevel="0" collapsed="false">
      <c r="A4" s="40" t="s">
        <v>1700</v>
      </c>
      <c r="B4" s="41" t="s">
        <v>1701</v>
      </c>
      <c r="C4" s="8" t="s">
        <v>485</v>
      </c>
      <c r="D4" s="8" t="s">
        <v>1697</v>
      </c>
      <c r="E4" s="8"/>
      <c r="F4" s="33"/>
      <c r="G4" s="42" t="e">
        <f aca="false">INDEX(participants!$I:$I, MATCH(B4, participants!$A:$A, 0), 1)</f>
        <v>#N/A</v>
      </c>
      <c r="H4" s="30" t="str">
        <f aca="false">INDEX(libraries!$A:$A, MATCH(A4, libraries!$B:$B, 0), 1)</f>
        <v>lib0067</v>
      </c>
      <c r="I4" s="16" t="s">
        <v>676</v>
      </c>
      <c r="J4" s="44" t="e">
        <f aca="false">INDEX(#REF!, MATCH(B4, participants!$A:$A, 0), 1)</f>
        <v>#N/A</v>
      </c>
    </row>
    <row r="5" customFormat="false" ht="13.8" hidden="false" customHeight="false" outlineLevel="0" collapsed="false">
      <c r="A5" s="40" t="s">
        <v>1702</v>
      </c>
      <c r="B5" s="41" t="s">
        <v>1703</v>
      </c>
      <c r="C5" s="8" t="s">
        <v>485</v>
      </c>
      <c r="D5" s="8" t="s">
        <v>1697</v>
      </c>
      <c r="E5" s="8"/>
      <c r="F5" s="33"/>
      <c r="G5" s="42" t="e">
        <f aca="false">INDEX(participants!$I:$I, MATCH(B5, participants!$A:$A, 0), 1)</f>
        <v>#N/A</v>
      </c>
      <c r="H5" s="30" t="str">
        <f aca="false">INDEX(libraries!$A:$A, MATCH(A5, libraries!$B:$B, 0), 1)</f>
        <v>lib0080</v>
      </c>
      <c r="I5" s="16" t="s">
        <v>676</v>
      </c>
      <c r="J5" s="44" t="e">
        <f aca="false">INDEX(#REF!, MATCH(B5, participants!$A:$A, 0), 1)</f>
        <v>#N/A</v>
      </c>
    </row>
    <row r="6" customFormat="false" ht="13.8" hidden="false" customHeight="false" outlineLevel="0" collapsed="false">
      <c r="A6" s="40" t="s">
        <v>1704</v>
      </c>
      <c r="B6" s="41" t="s">
        <v>1705</v>
      </c>
      <c r="C6" s="8" t="s">
        <v>485</v>
      </c>
      <c r="D6" s="8" t="s">
        <v>1697</v>
      </c>
      <c r="E6" s="8"/>
      <c r="F6" s="33"/>
      <c r="G6" s="42" t="e">
        <f aca="false">INDEX(participants!$I:$I, MATCH(B6, participants!$A:$A, 0), 1)</f>
        <v>#N/A</v>
      </c>
      <c r="H6" s="30" t="str">
        <f aca="false">INDEX(libraries!$A:$A, MATCH(A6, libraries!$B:$B, 0), 1)</f>
        <v>lib0095</v>
      </c>
      <c r="I6" s="16" t="s">
        <v>676</v>
      </c>
      <c r="J6" s="44" t="e">
        <f aca="false">INDEX(#REF!, MATCH(B6, participants!$A:$A, 0), 1)</f>
        <v>#N/A</v>
      </c>
    </row>
    <row r="7" customFormat="false" ht="13.8" hidden="false" customHeight="false" outlineLevel="0" collapsed="false">
      <c r="A7" s="40" t="s">
        <v>1706</v>
      </c>
      <c r="B7" s="41" t="s">
        <v>1707</v>
      </c>
      <c r="C7" s="8" t="s">
        <v>485</v>
      </c>
      <c r="D7" s="8" t="s">
        <v>1697</v>
      </c>
      <c r="E7" s="8"/>
      <c r="F7" s="33"/>
      <c r="G7" s="42" t="e">
        <f aca="false">INDEX(participants!$I:$I, MATCH(B7, participants!$A:$A, 0), 1)</f>
        <v>#N/A</v>
      </c>
      <c r="H7" s="30" t="str">
        <f aca="false">INDEX(libraries!$A:$A, MATCH(A7, libraries!$B:$B, 0), 1)</f>
        <v>lib0061</v>
      </c>
      <c r="I7" s="16" t="s">
        <v>676</v>
      </c>
      <c r="J7" s="44" t="e">
        <f aca="false">INDEX(#REF!, MATCH(B7, participants!$A:$A, 0), 1)</f>
        <v>#N/A</v>
      </c>
    </row>
    <row r="8" customFormat="false" ht="13.8" hidden="false" customHeight="false" outlineLevel="0" collapsed="false">
      <c r="A8" s="40" t="s">
        <v>1708</v>
      </c>
      <c r="B8" s="41" t="s">
        <v>1709</v>
      </c>
      <c r="C8" s="8" t="s">
        <v>485</v>
      </c>
      <c r="D8" s="8" t="s">
        <v>1697</v>
      </c>
      <c r="E8" s="8"/>
      <c r="F8" s="33"/>
      <c r="G8" s="42" t="e">
        <f aca="false">INDEX(participants!$I:$I, MATCH(B8, participants!$A:$A, 0), 1)</f>
        <v>#N/A</v>
      </c>
      <c r="H8" s="30" t="str">
        <f aca="false">INDEX(libraries!$A:$A, MATCH(A8, libraries!$B:$B, 0), 1)</f>
        <v>lib0101</v>
      </c>
      <c r="I8" s="16" t="s">
        <v>676</v>
      </c>
      <c r="J8" s="44" t="e">
        <f aca="false">INDEX(#REF!, MATCH(B8, participants!$A:$A, 0), 1)</f>
        <v>#N/A</v>
      </c>
    </row>
    <row r="9" customFormat="false" ht="13.8" hidden="false" customHeight="false" outlineLevel="0" collapsed="false">
      <c r="A9" s="40" t="s">
        <v>1710</v>
      </c>
      <c r="B9" s="41" t="s">
        <v>497</v>
      </c>
      <c r="C9" s="8" t="s">
        <v>485</v>
      </c>
      <c r="D9" s="8" t="s">
        <v>1697</v>
      </c>
      <c r="E9" s="8"/>
      <c r="F9" s="33"/>
      <c r="G9" s="42" t="str">
        <f aca="false">INDEX(participants!$I:$I, MATCH(B9, participants!$A:$A, 0), 1)</f>
        <v>2015j</v>
      </c>
      <c r="H9" s="30" t="str">
        <f aca="false">INDEX(libraries!$A:$A, MATCH(A9, libraries!$B:$B, 0), 1)</f>
        <v>lib0112</v>
      </c>
      <c r="I9" s="16" t="s">
        <v>486</v>
      </c>
      <c r="J9" s="44" t="e">
        <f aca="false">INDEX(#REF!, MATCH(B9, participants!$A:$A, 0), 1)</f>
        <v>#VALUE!</v>
      </c>
    </row>
    <row r="10" customFormat="false" ht="13.8" hidden="false" customHeight="false" outlineLevel="0" collapsed="false">
      <c r="A10" s="40" t="s">
        <v>1711</v>
      </c>
      <c r="B10" s="41" t="s">
        <v>503</v>
      </c>
      <c r="C10" s="8" t="s">
        <v>485</v>
      </c>
      <c r="D10" s="8" t="s">
        <v>1697</v>
      </c>
      <c r="E10" s="8"/>
      <c r="F10" s="33"/>
      <c r="G10" s="42" t="str">
        <f aca="false">INDEX(participants!$I:$I, MATCH(B10, participants!$A:$A, 0), 1)</f>
        <v>2023j</v>
      </c>
      <c r="H10" s="30" t="str">
        <f aca="false">INDEX(libraries!$A:$A, MATCH(A10, libraries!$B:$B, 0), 1)</f>
        <v>lib0106</v>
      </c>
      <c r="I10" s="16" t="s">
        <v>486</v>
      </c>
      <c r="J10" s="44" t="e">
        <f aca="false">INDEX(#REF!, MATCH(B10, participants!$A:$A, 0), 1)</f>
        <v>#VALUE!</v>
      </c>
    </row>
    <row r="11" customFormat="false" ht="13.8" hidden="false" customHeight="false" outlineLevel="0" collapsed="false">
      <c r="A11" s="40" t="s">
        <v>1712</v>
      </c>
      <c r="B11" s="41" t="s">
        <v>479</v>
      </c>
      <c r="C11" s="8" t="s">
        <v>485</v>
      </c>
      <c r="D11" s="8" t="s">
        <v>1697</v>
      </c>
      <c r="E11" s="8"/>
      <c r="F11" s="33"/>
      <c r="G11" s="42" t="str">
        <f aca="false">INDEX(participants!$I:$I, MATCH(B11, participants!$A:$A, 0), 1)</f>
        <v>2031j</v>
      </c>
      <c r="H11" s="30" t="str">
        <f aca="false">INDEX(libraries!$A:$A, MATCH(A11, libraries!$B:$B, 0), 1)</f>
        <v>lib0116</v>
      </c>
      <c r="I11" s="16" t="s">
        <v>486</v>
      </c>
      <c r="J11" s="44" t="e">
        <f aca="false">INDEX(#REF!, MATCH(B11, participants!$A:$A, 0), 1)</f>
        <v>#VALUE!</v>
      </c>
    </row>
    <row r="12" customFormat="false" ht="13.8" hidden="false" customHeight="false" outlineLevel="0" collapsed="false">
      <c r="A12" s="40" t="s">
        <v>1713</v>
      </c>
      <c r="B12" s="41" t="s">
        <v>488</v>
      </c>
      <c r="C12" s="8" t="s">
        <v>485</v>
      </c>
      <c r="D12" s="8" t="s">
        <v>1697</v>
      </c>
      <c r="E12" s="8"/>
      <c r="F12" s="33"/>
      <c r="G12" s="42" t="str">
        <f aca="false">INDEX(participants!$I:$I, MATCH(B12, participants!$A:$A, 0), 1)</f>
        <v>2055j</v>
      </c>
      <c r="H12" s="30" t="str">
        <f aca="false">INDEX(libraries!$A:$A, MATCH(A12, libraries!$B:$B, 0), 1)</f>
        <v>lib0105</v>
      </c>
      <c r="I12" s="16" t="s">
        <v>486</v>
      </c>
      <c r="J12" s="44" t="e">
        <f aca="false">INDEX(#REF!, MATCH(B12, participants!$A:$A, 0), 1)</f>
        <v>#VALUE!</v>
      </c>
    </row>
    <row r="13" customFormat="false" ht="13.8" hidden="false" customHeight="false" outlineLevel="0" collapsed="false">
      <c r="A13" s="40" t="s">
        <v>1714</v>
      </c>
      <c r="B13" s="41" t="s">
        <v>500</v>
      </c>
      <c r="C13" s="8" t="s">
        <v>485</v>
      </c>
      <c r="D13" s="8" t="s">
        <v>1697</v>
      </c>
      <c r="E13" s="8"/>
      <c r="F13" s="33"/>
      <c r="G13" s="42" t="str">
        <f aca="false">INDEX(participants!$I:$I, MATCH(B13, participants!$A:$A, 0), 1)</f>
        <v>2072j</v>
      </c>
      <c r="H13" s="30" t="str">
        <f aca="false">INDEX(libraries!$A:$A, MATCH(A13, libraries!$B:$B, 0), 1)</f>
        <v>lib0111</v>
      </c>
      <c r="I13" s="16" t="s">
        <v>486</v>
      </c>
      <c r="J13" s="44" t="e">
        <f aca="false">INDEX(#REF!, MATCH(B13, participants!$A:$A, 0), 1)</f>
        <v>#VALUE!</v>
      </c>
    </row>
    <row r="14" customFormat="false" ht="13.8" hidden="false" customHeight="false" outlineLevel="0" collapsed="false">
      <c r="A14" s="40" t="s">
        <v>1715</v>
      </c>
      <c r="B14" s="41" t="s">
        <v>494</v>
      </c>
      <c r="C14" s="8" t="s">
        <v>485</v>
      </c>
      <c r="D14" s="8" t="s">
        <v>1697</v>
      </c>
      <c r="E14" s="8"/>
      <c r="F14" s="33"/>
      <c r="G14" s="42" t="str">
        <f aca="false">INDEX(participants!$I:$I, MATCH(B14, participants!$A:$A, 0), 1)</f>
        <v>2082j</v>
      </c>
      <c r="H14" s="30" t="str">
        <f aca="false">INDEX(libraries!$A:$A, MATCH(A14, libraries!$B:$B, 0), 1)</f>
        <v>lib0108</v>
      </c>
      <c r="I14" s="16" t="s">
        <v>486</v>
      </c>
      <c r="J14" s="44" t="e">
        <f aca="false">INDEX(#REF!, MATCH(B14, participants!$A:$A, 0), 1)</f>
        <v>#VALUE!</v>
      </c>
    </row>
    <row r="15" customFormat="false" ht="13.8" hidden="false" customHeight="false" outlineLevel="0" collapsed="false">
      <c r="A15" s="40" t="s">
        <v>1716</v>
      </c>
      <c r="B15" s="41" t="s">
        <v>491</v>
      </c>
      <c r="C15" s="8" t="s">
        <v>485</v>
      </c>
      <c r="D15" s="8" t="s">
        <v>1697</v>
      </c>
      <c r="E15" s="8"/>
      <c r="F15" s="33"/>
      <c r="G15" s="42" t="str">
        <f aca="false">INDEX(participants!$I:$I, MATCH(B15, participants!$A:$A, 0), 1)</f>
        <v>2084j</v>
      </c>
      <c r="H15" s="30" t="str">
        <f aca="false">INDEX(libraries!$A:$A, MATCH(A15, libraries!$B:$B, 0), 1)</f>
        <v>lib0114</v>
      </c>
      <c r="I15" s="16" t="s">
        <v>486</v>
      </c>
      <c r="J15" s="44" t="e">
        <f aca="false">INDEX(#REF!, MATCH(B15, participants!$A:$A, 0), 1)</f>
        <v>#VALUE!</v>
      </c>
    </row>
    <row r="16" customFormat="false" ht="13.8" hidden="false" customHeight="false" outlineLevel="0" collapsed="false">
      <c r="A16" s="40" t="s">
        <v>1717</v>
      </c>
      <c r="B16" s="41" t="s">
        <v>1718</v>
      </c>
      <c r="C16" s="8" t="s">
        <v>485</v>
      </c>
      <c r="D16" s="8" t="s">
        <v>1697</v>
      </c>
      <c r="E16" s="8"/>
      <c r="F16" s="33"/>
      <c r="G16" s="42" t="e">
        <f aca="false">INDEX(participants!$I:$I, MATCH(B16, participants!$A:$A, 0), 1)</f>
        <v>#N/A</v>
      </c>
      <c r="H16" s="30" t="str">
        <f aca="false">INDEX(libraries!$A:$A, MATCH(A16, libraries!$B:$B, 0), 1)</f>
        <v>lib0072</v>
      </c>
      <c r="I16" s="16" t="s">
        <v>676</v>
      </c>
      <c r="J16" s="44" t="e">
        <f aca="false">INDEX(#REF!, MATCH(B16, participants!$A:$A, 0), 1)</f>
        <v>#N/A</v>
      </c>
    </row>
    <row r="17" customFormat="false" ht="13.8" hidden="false" customHeight="false" outlineLevel="0" collapsed="false">
      <c r="A17" s="40" t="s">
        <v>1719</v>
      </c>
      <c r="B17" s="41" t="s">
        <v>1720</v>
      </c>
      <c r="C17" s="8" t="s">
        <v>485</v>
      </c>
      <c r="D17" s="8" t="s">
        <v>1697</v>
      </c>
      <c r="E17" s="8"/>
      <c r="F17" s="33"/>
      <c r="G17" s="42" t="e">
        <f aca="false">INDEX(participants!$I:$I, MATCH(B17, participants!$A:$A, 0), 1)</f>
        <v>#N/A</v>
      </c>
      <c r="H17" s="30" t="str">
        <f aca="false">INDEX(libraries!$A:$A, MATCH(A17, libraries!$B:$B, 0), 1)</f>
        <v>lib0088</v>
      </c>
      <c r="I17" s="16" t="s">
        <v>676</v>
      </c>
      <c r="J17" s="44" t="e">
        <f aca="false">INDEX(#REF!, MATCH(B17, participants!$A:$A, 0), 1)</f>
        <v>#N/A</v>
      </c>
    </row>
    <row r="18" customFormat="false" ht="13.8" hidden="false" customHeight="false" outlineLevel="0" collapsed="false">
      <c r="A18" s="40" t="s">
        <v>1721</v>
      </c>
      <c r="B18" s="41" t="s">
        <v>1722</v>
      </c>
      <c r="C18" s="8" t="s">
        <v>485</v>
      </c>
      <c r="D18" s="8" t="s">
        <v>1697</v>
      </c>
      <c r="E18" s="8"/>
      <c r="F18" s="33"/>
      <c r="G18" s="42" t="e">
        <f aca="false">INDEX(participants!$I:$I, MATCH(B18, participants!$A:$A, 0), 1)</f>
        <v>#N/A</v>
      </c>
      <c r="H18" s="30" t="str">
        <f aca="false">INDEX(libraries!$A:$A, MATCH(A18, libraries!$B:$B, 0), 1)</f>
        <v>lib0086</v>
      </c>
      <c r="I18" s="16" t="s">
        <v>676</v>
      </c>
      <c r="J18" s="44" t="e">
        <f aca="false">INDEX(#REF!, MATCH(B18, participants!$A:$A, 0), 1)</f>
        <v>#N/A</v>
      </c>
    </row>
    <row r="19" customFormat="false" ht="13.8" hidden="false" customHeight="false" outlineLevel="0" collapsed="false">
      <c r="A19" s="40" t="s">
        <v>1723</v>
      </c>
      <c r="B19" s="41" t="s">
        <v>677</v>
      </c>
      <c r="C19" s="8" t="s">
        <v>1724</v>
      </c>
      <c r="D19" s="8" t="s">
        <v>1697</v>
      </c>
      <c r="E19" s="8"/>
      <c r="F19" s="33"/>
      <c r="G19" s="30" t="n">
        <f aca="false">INDEX(participants!$I:$I, MATCH(B19, participants!$A:$A, 0), 1)</f>
        <v>69</v>
      </c>
      <c r="H19" s="30" t="str">
        <f aca="false">INDEX(libraries!$A:$A, MATCH(A19, libraries!$B:$B, 0), 1)</f>
        <v>lib0137</v>
      </c>
      <c r="I19" s="16" t="s">
        <v>676</v>
      </c>
      <c r="J19" s="44" t="e">
        <f aca="false">INDEX(#REF!, MATCH(B19, participants!$A:$A, 0), 1)</f>
        <v>#VALUE!</v>
      </c>
    </row>
    <row r="20" customFormat="false" ht="13.8" hidden="false" customHeight="false" outlineLevel="0" collapsed="false">
      <c r="A20" s="40" t="s">
        <v>1725</v>
      </c>
      <c r="B20" s="41" t="s">
        <v>1726</v>
      </c>
      <c r="C20" s="8" t="s">
        <v>485</v>
      </c>
      <c r="D20" s="8" t="s">
        <v>1697</v>
      </c>
      <c r="E20" s="8"/>
      <c r="F20" s="33"/>
      <c r="G20" s="42" t="e">
        <f aca="false">INDEX(participants!$I:$I, MATCH(B20, participants!$A:$A, 0), 1)</f>
        <v>#N/A</v>
      </c>
      <c r="H20" s="30" t="str">
        <f aca="false">INDEX(libraries!$A:$A, MATCH(A20, libraries!$B:$B, 0), 1)</f>
        <v>lib0076</v>
      </c>
      <c r="I20" s="16" t="s">
        <v>676</v>
      </c>
      <c r="J20" s="44" t="e">
        <f aca="false">INDEX(#REF!, MATCH(B20, participants!$A:$A, 0), 1)</f>
        <v>#N/A</v>
      </c>
    </row>
    <row r="21" customFormat="false" ht="13.8" hidden="false" customHeight="false" outlineLevel="0" collapsed="false">
      <c r="A21" s="40" t="s">
        <v>1727</v>
      </c>
      <c r="B21" s="41" t="s">
        <v>679</v>
      </c>
      <c r="C21" s="8" t="s">
        <v>1728</v>
      </c>
      <c r="D21" s="8" t="s">
        <v>1697</v>
      </c>
      <c r="E21" s="8"/>
      <c r="F21" s="33"/>
      <c r="G21" s="30" t="n">
        <f aca="false">INDEX(participants!$I:$I, MATCH(B21, participants!$A:$A, 0), 1)</f>
        <v>70</v>
      </c>
      <c r="H21" s="30" t="str">
        <f aca="false">INDEX(libraries!$A:$A, MATCH(A21, libraries!$B:$B, 0), 1)</f>
        <v>lib0165</v>
      </c>
      <c r="I21" s="16" t="s">
        <v>676</v>
      </c>
      <c r="J21" s="44" t="e">
        <f aca="false">INDEX(#REF!, MATCH(B21, participants!$A:$A, 0), 1)</f>
        <v>#VALUE!</v>
      </c>
    </row>
    <row r="22" customFormat="false" ht="13.8" hidden="false" customHeight="false" outlineLevel="0" collapsed="false">
      <c r="A22" s="40" t="s">
        <v>1729</v>
      </c>
      <c r="B22" s="41" t="s">
        <v>1730</v>
      </c>
      <c r="C22" s="8" t="s">
        <v>485</v>
      </c>
      <c r="D22" s="8" t="s">
        <v>1697</v>
      </c>
      <c r="E22" s="8"/>
      <c r="F22" s="33"/>
      <c r="G22" s="42" t="e">
        <f aca="false">INDEX(participants!$I:$I, MATCH(B22, participants!$A:$A, 0), 1)</f>
        <v>#N/A</v>
      </c>
      <c r="H22" s="30" t="str">
        <f aca="false">INDEX(libraries!$A:$A, MATCH(A22, libraries!$B:$B, 0), 1)</f>
        <v>lib0085</v>
      </c>
      <c r="I22" s="16" t="s">
        <v>676</v>
      </c>
      <c r="J22" s="44" t="e">
        <f aca="false">INDEX(#REF!, MATCH(B22, participants!$A:$A, 0), 1)</f>
        <v>#N/A</v>
      </c>
    </row>
    <row r="23" customFormat="false" ht="13.8" hidden="false" customHeight="false" outlineLevel="0" collapsed="false">
      <c r="A23" s="40" t="s">
        <v>1731</v>
      </c>
      <c r="B23" s="41" t="s">
        <v>681</v>
      </c>
      <c r="C23" s="8" t="s">
        <v>1728</v>
      </c>
      <c r="D23" s="8" t="s">
        <v>1697</v>
      </c>
      <c r="E23" s="8"/>
      <c r="F23" s="33"/>
      <c r="G23" s="30" t="n">
        <f aca="false">INDEX(participants!$I:$I, MATCH(B23, participants!$A:$A, 0), 1)</f>
        <v>83</v>
      </c>
      <c r="H23" s="30" t="str">
        <f aca="false">INDEX(libraries!$A:$A, MATCH(A23, libraries!$B:$B, 0), 1)</f>
        <v>lib0164</v>
      </c>
      <c r="I23" s="16" t="s">
        <v>676</v>
      </c>
      <c r="J23" s="44" t="e">
        <f aca="false">INDEX(#REF!, MATCH(B23, participants!$A:$A, 0), 1)</f>
        <v>#VALUE!</v>
      </c>
    </row>
    <row r="24" customFormat="false" ht="13.8" hidden="false" customHeight="false" outlineLevel="0" collapsed="false">
      <c r="A24" s="40" t="s">
        <v>1732</v>
      </c>
      <c r="B24" s="41" t="s">
        <v>683</v>
      </c>
      <c r="C24" s="8" t="s">
        <v>1733</v>
      </c>
      <c r="D24" s="8" t="s">
        <v>1697</v>
      </c>
      <c r="E24" s="8"/>
      <c r="F24" s="33"/>
      <c r="G24" s="30" t="n">
        <f aca="false">INDEX(participants!$I:$I, MATCH(B24, participants!$A:$A, 0), 1)</f>
        <v>85</v>
      </c>
      <c r="H24" s="30" t="str">
        <f aca="false">INDEX(libraries!$A:$A, MATCH(A24, libraries!$B:$B, 0), 1)</f>
        <v>lib0120</v>
      </c>
      <c r="I24" s="16" t="s">
        <v>676</v>
      </c>
      <c r="J24" s="44" t="e">
        <f aca="false">INDEX(#REF!, MATCH(B24, participants!$A:$A, 0), 1)</f>
        <v>#VALUE!</v>
      </c>
    </row>
    <row r="25" customFormat="false" ht="13.8" hidden="false" customHeight="false" outlineLevel="0" collapsed="false">
      <c r="A25" s="40" t="s">
        <v>1734</v>
      </c>
      <c r="B25" s="41" t="s">
        <v>685</v>
      </c>
      <c r="C25" s="8" t="s">
        <v>1735</v>
      </c>
      <c r="D25" s="8" t="s">
        <v>1697</v>
      </c>
      <c r="E25" s="8"/>
      <c r="F25" s="33"/>
      <c r="G25" s="30" t="n">
        <f aca="false">INDEX(participants!$I:$I, MATCH(B25, participants!$A:$A, 0), 1)</f>
        <v>86</v>
      </c>
      <c r="H25" s="30" t="str">
        <f aca="false">INDEX(libraries!$A:$A, MATCH(A25, libraries!$B:$B, 0), 1)</f>
        <v>lib0177</v>
      </c>
      <c r="I25" s="16" t="s">
        <v>676</v>
      </c>
      <c r="J25" s="44" t="e">
        <f aca="false">INDEX(#REF!, MATCH(B25, participants!$A:$A, 0), 1)</f>
        <v>#VALUE!</v>
      </c>
    </row>
    <row r="26" customFormat="false" ht="13.8" hidden="false" customHeight="false" outlineLevel="0" collapsed="false">
      <c r="A26" s="40" t="s">
        <v>1736</v>
      </c>
      <c r="B26" s="41" t="s">
        <v>1737</v>
      </c>
      <c r="C26" s="8" t="s">
        <v>485</v>
      </c>
      <c r="D26" s="8" t="s">
        <v>1697</v>
      </c>
      <c r="E26" s="8"/>
      <c r="F26" s="33"/>
      <c r="G26" s="42" t="e">
        <f aca="false">INDEX(participants!$I:$I, MATCH(B26, participants!$A:$A, 0), 1)</f>
        <v>#N/A</v>
      </c>
      <c r="H26" s="30" t="str">
        <f aca="false">INDEX(libraries!$A:$A, MATCH(A26, libraries!$B:$B, 0), 1)</f>
        <v>lib0090</v>
      </c>
      <c r="I26" s="16" t="s">
        <v>676</v>
      </c>
      <c r="J26" s="44" t="e">
        <f aca="false">INDEX(#REF!, MATCH(B26, participants!$A:$A, 0), 1)</f>
        <v>#N/A</v>
      </c>
    </row>
    <row r="27" customFormat="false" ht="13.8" hidden="false" customHeight="false" outlineLevel="0" collapsed="false">
      <c r="A27" s="40" t="s">
        <v>1738</v>
      </c>
      <c r="B27" s="41" t="s">
        <v>1739</v>
      </c>
      <c r="C27" s="8" t="s">
        <v>485</v>
      </c>
      <c r="D27" s="8" t="s">
        <v>1697</v>
      </c>
      <c r="E27" s="8"/>
      <c r="F27" s="33"/>
      <c r="G27" s="42" t="e">
        <f aca="false">INDEX(participants!$I:$I, MATCH(B27, participants!$A:$A, 0), 1)</f>
        <v>#N/A</v>
      </c>
      <c r="H27" s="30" t="str">
        <f aca="false">INDEX(libraries!$A:$A, MATCH(A27, libraries!$B:$B, 0), 1)</f>
        <v>lib0096</v>
      </c>
      <c r="I27" s="16" t="s">
        <v>676</v>
      </c>
      <c r="J27" s="44" t="e">
        <f aca="false">INDEX(#REF!, MATCH(B27, participants!$A:$A, 0), 1)</f>
        <v>#N/A</v>
      </c>
    </row>
    <row r="28" customFormat="false" ht="13.8" hidden="false" customHeight="false" outlineLevel="0" collapsed="false">
      <c r="A28" s="40" t="s">
        <v>1740</v>
      </c>
      <c r="B28" s="41" t="s">
        <v>522</v>
      </c>
      <c r="C28" s="8" t="s">
        <v>1741</v>
      </c>
      <c r="D28" s="8" t="s">
        <v>1697</v>
      </c>
      <c r="E28" s="8"/>
      <c r="F28" s="33"/>
      <c r="G28" s="42" t="str">
        <f aca="false">INDEX(participants!$I:$I, MATCH(B28, participants!$A:$A, 0), 1)</f>
        <v>js0003</v>
      </c>
      <c r="H28" s="30" t="str">
        <f aca="false">INDEX(libraries!$A:$A, MATCH(A28, libraries!$B:$B, 0), 1)</f>
        <v>lib0050</v>
      </c>
      <c r="I28" s="16" t="s">
        <v>526</v>
      </c>
      <c r="J28" s="44" t="e">
        <f aca="false">INDEX(#REF!, MATCH(B28, participants!$A:$A, 0), 1)</f>
        <v>#VALUE!</v>
      </c>
    </row>
    <row r="29" customFormat="false" ht="13.8" hidden="false" customHeight="false" outlineLevel="0" collapsed="false">
      <c r="A29" s="40" t="s">
        <v>1742</v>
      </c>
      <c r="B29" s="41" t="s">
        <v>522</v>
      </c>
      <c r="C29" s="8" t="s">
        <v>1743</v>
      </c>
      <c r="D29" s="8" t="s">
        <v>1697</v>
      </c>
      <c r="E29" s="8"/>
      <c r="F29" s="33"/>
      <c r="G29" s="42" t="str">
        <f aca="false">INDEX(participants!$I:$I, MATCH(B29, participants!$A:$A, 0), 1)</f>
        <v>js0003</v>
      </c>
      <c r="H29" s="30" t="str">
        <f aca="false">INDEX(libraries!$A:$A, MATCH(A29, libraries!$B:$B, 0), 1)</f>
        <v>lib0019</v>
      </c>
      <c r="I29" s="16" t="s">
        <v>526</v>
      </c>
      <c r="J29" s="44" t="e">
        <f aca="false">INDEX(#REF!, MATCH(B29, participants!$A:$A, 0), 1)</f>
        <v>#VALUE!</v>
      </c>
    </row>
    <row r="30" customFormat="false" ht="13.8" hidden="false" customHeight="false" outlineLevel="0" collapsed="false">
      <c r="A30" s="40" t="s">
        <v>1744</v>
      </c>
      <c r="B30" s="41" t="s">
        <v>522</v>
      </c>
      <c r="C30" s="8" t="s">
        <v>1745</v>
      </c>
      <c r="D30" s="8" t="s">
        <v>1697</v>
      </c>
      <c r="E30" s="8"/>
      <c r="F30" s="33"/>
      <c r="G30" s="42" t="str">
        <f aca="false">INDEX(participants!$I:$I, MATCH(B30, participants!$A:$A, 0), 1)</f>
        <v>js0003</v>
      </c>
      <c r="H30" s="30" t="str">
        <f aca="false">INDEX(libraries!$A:$A, MATCH(A30, libraries!$B:$B, 0), 1)</f>
        <v>lib0036</v>
      </c>
      <c r="I30" s="16" t="s">
        <v>526</v>
      </c>
      <c r="J30" s="44" t="e">
        <f aca="false">INDEX(#REF!, MATCH(B30, participants!$A:$A, 0), 1)</f>
        <v>#VALUE!</v>
      </c>
    </row>
    <row r="31" customFormat="false" ht="13.8" hidden="false" customHeight="false" outlineLevel="0" collapsed="false">
      <c r="A31" s="40" t="s">
        <v>1746</v>
      </c>
      <c r="B31" s="41" t="s">
        <v>527</v>
      </c>
      <c r="C31" s="8" t="s">
        <v>1747</v>
      </c>
      <c r="D31" s="8" t="s">
        <v>1697</v>
      </c>
      <c r="E31" s="8"/>
      <c r="F31" s="33"/>
      <c r="G31" s="42" t="str">
        <f aca="false">INDEX(participants!$I:$I, MATCH(B31, participants!$A:$A, 0), 1)</f>
        <v>js0006</v>
      </c>
      <c r="H31" s="30" t="str">
        <f aca="false">INDEX(libraries!$A:$A, MATCH(A31, libraries!$B:$B, 0), 1)</f>
        <v>lib0041</v>
      </c>
      <c r="I31" s="16" t="s">
        <v>526</v>
      </c>
      <c r="J31" s="44" t="e">
        <f aca="false">INDEX(#REF!, MATCH(B31, participants!$A:$A, 0), 1)</f>
        <v>#VALUE!</v>
      </c>
    </row>
    <row r="32" customFormat="false" ht="13.8" hidden="false" customHeight="false" outlineLevel="0" collapsed="false">
      <c r="A32" s="40" t="s">
        <v>1748</v>
      </c>
      <c r="B32" s="41" t="s">
        <v>1749</v>
      </c>
      <c r="C32" s="8" t="s">
        <v>1750</v>
      </c>
      <c r="D32" s="8" t="s">
        <v>1697</v>
      </c>
      <c r="E32" s="8"/>
      <c r="F32" s="33"/>
      <c r="G32" s="42" t="e">
        <f aca="false">INDEX(participants!$I:$I, MATCH(B32, participants!$A:$A, 0), 1)</f>
        <v>#N/A</v>
      </c>
      <c r="H32" s="30" t="str">
        <f aca="false">INDEX(libraries!$A:$A, MATCH(A32, libraries!$B:$B, 0), 1)</f>
        <v>lib0102</v>
      </c>
      <c r="I32" s="16" t="s">
        <v>872</v>
      </c>
      <c r="J32" s="44" t="e">
        <f aca="false">INDEX(#REF!, MATCH(B32, participants!$A:$A, 0), 1)</f>
        <v>#N/A</v>
      </c>
    </row>
    <row r="33" customFormat="false" ht="13.8" hidden="false" customHeight="false" outlineLevel="0" collapsed="false">
      <c r="A33" s="40" t="s">
        <v>1751</v>
      </c>
      <c r="B33" s="41" t="s">
        <v>530</v>
      </c>
      <c r="C33" s="8" t="s">
        <v>1752</v>
      </c>
      <c r="D33" s="8" t="s">
        <v>1697</v>
      </c>
      <c r="E33" s="8"/>
      <c r="F33" s="33"/>
      <c r="G33" s="42" t="str">
        <f aca="false">INDEX(participants!$I:$I, MATCH(B33, participants!$A:$A, 0), 1)</f>
        <v>js0010</v>
      </c>
      <c r="H33" s="30" t="str">
        <f aca="false">INDEX(libraries!$A:$A, MATCH(A33, libraries!$B:$B, 0), 1)</f>
        <v>lib0046</v>
      </c>
      <c r="I33" s="16" t="s">
        <v>526</v>
      </c>
      <c r="J33" s="44" t="e">
        <f aca="false">INDEX(#REF!, MATCH(B33, participants!$A:$A, 0), 1)</f>
        <v>#VALUE!</v>
      </c>
    </row>
    <row r="34" customFormat="false" ht="13.8" hidden="false" customHeight="false" outlineLevel="0" collapsed="false">
      <c r="A34" s="40" t="s">
        <v>1753</v>
      </c>
      <c r="B34" s="41" t="s">
        <v>534</v>
      </c>
      <c r="C34" s="8" t="s">
        <v>1754</v>
      </c>
      <c r="D34" s="8" t="s">
        <v>1697</v>
      </c>
      <c r="E34" s="8"/>
      <c r="F34" s="33"/>
      <c r="G34" s="42" t="str">
        <f aca="false">INDEX(participants!$I:$I, MATCH(B34, participants!$A:$A, 0), 1)</f>
        <v>js0022</v>
      </c>
      <c r="H34" s="30" t="str">
        <f aca="false">INDEX(libraries!$A:$A, MATCH(A34, libraries!$B:$B, 0), 1)</f>
        <v>lib0027</v>
      </c>
      <c r="I34" s="16" t="s">
        <v>526</v>
      </c>
      <c r="J34" s="44" t="e">
        <f aca="false">INDEX(#REF!, MATCH(B34, participants!$A:$A, 0), 1)</f>
        <v>#VALUE!</v>
      </c>
    </row>
    <row r="35" customFormat="false" ht="13.8" hidden="false" customHeight="false" outlineLevel="0" collapsed="false">
      <c r="A35" s="40" t="s">
        <v>1755</v>
      </c>
      <c r="B35" s="41" t="s">
        <v>1756</v>
      </c>
      <c r="C35" s="8" t="s">
        <v>1757</v>
      </c>
      <c r="D35" s="8" t="s">
        <v>1697</v>
      </c>
      <c r="E35" s="8"/>
      <c r="F35" s="33"/>
      <c r="G35" s="42" t="e">
        <f aca="false">INDEX(participants!$I:$I, MATCH(B35, participants!$A:$A, 0), 1)</f>
        <v>#N/A</v>
      </c>
      <c r="H35" s="30" t="str">
        <f aca="false">INDEX(libraries!$A:$A, MATCH(A35, libraries!$B:$B, 0), 1)</f>
        <v>lib0055</v>
      </c>
      <c r="I35" s="16" t="s">
        <v>752</v>
      </c>
      <c r="J35" s="44" t="e">
        <f aca="false">INDEX(#REF!, MATCH(B35, participants!$A:$A, 0), 1)</f>
        <v>#N/A</v>
      </c>
    </row>
    <row r="36" customFormat="false" ht="13.8" hidden="false" customHeight="false" outlineLevel="0" collapsed="false">
      <c r="A36" s="40" t="s">
        <v>1758</v>
      </c>
      <c r="B36" s="41" t="s">
        <v>1749</v>
      </c>
      <c r="C36" s="8" t="s">
        <v>1759</v>
      </c>
      <c r="D36" s="8" t="s">
        <v>1697</v>
      </c>
      <c r="E36" s="8"/>
      <c r="F36" s="33"/>
      <c r="G36" s="42" t="e">
        <f aca="false">INDEX(participants!$I:$I, MATCH(B36, participants!$A:$A, 0), 1)</f>
        <v>#N/A</v>
      </c>
      <c r="H36" s="30" t="str">
        <f aca="false">INDEX(libraries!$A:$A, MATCH(A36, libraries!$B:$B, 0), 1)</f>
        <v>lib0104</v>
      </c>
      <c r="I36" s="16" t="s">
        <v>872</v>
      </c>
      <c r="J36" s="44" t="e">
        <f aca="false">INDEX(#REF!, MATCH(B36, participants!$A:$A, 0), 1)</f>
        <v>#N/A</v>
      </c>
    </row>
    <row r="37" customFormat="false" ht="13.8" hidden="false" customHeight="false" outlineLevel="0" collapsed="false">
      <c r="A37" s="40" t="s">
        <v>1760</v>
      </c>
      <c r="B37" s="41" t="s">
        <v>1749</v>
      </c>
      <c r="C37" s="8" t="s">
        <v>1761</v>
      </c>
      <c r="D37" s="8" t="s">
        <v>1697</v>
      </c>
      <c r="E37" s="8"/>
      <c r="F37" s="33"/>
      <c r="G37" s="42" t="e">
        <f aca="false">INDEX(participants!$I:$I, MATCH(B37, participants!$A:$A, 0), 1)</f>
        <v>#N/A</v>
      </c>
      <c r="H37" s="30" t="str">
        <f aca="false">INDEX(libraries!$A:$A, MATCH(A37, libraries!$B:$B, 0), 1)</f>
        <v>lib0058</v>
      </c>
      <c r="I37" s="16" t="s">
        <v>872</v>
      </c>
      <c r="J37" s="44" t="e">
        <f aca="false">INDEX(#REF!, MATCH(B37, participants!$A:$A, 0), 1)</f>
        <v>#N/A</v>
      </c>
    </row>
    <row r="38" customFormat="false" ht="13.8" hidden="false" customHeight="false" outlineLevel="0" collapsed="false">
      <c r="A38" s="40" t="s">
        <v>1762</v>
      </c>
      <c r="B38" s="41" t="s">
        <v>1749</v>
      </c>
      <c r="C38" s="8" t="s">
        <v>1763</v>
      </c>
      <c r="D38" s="8" t="s">
        <v>1697</v>
      </c>
      <c r="E38" s="8"/>
      <c r="F38" s="33"/>
      <c r="G38" s="42" t="e">
        <f aca="false">INDEX(participants!$I:$I, MATCH(B38, participants!$A:$A, 0), 1)</f>
        <v>#N/A</v>
      </c>
      <c r="H38" s="30" t="str">
        <f aca="false">INDEX(libraries!$A:$A, MATCH(A38, libraries!$B:$B, 0), 1)</f>
        <v>lib0056</v>
      </c>
      <c r="I38" s="16" t="s">
        <v>872</v>
      </c>
      <c r="J38" s="44" t="e">
        <f aca="false">INDEX(#REF!, MATCH(B38, participants!$A:$A, 0), 1)</f>
        <v>#N/A</v>
      </c>
    </row>
    <row r="39" customFormat="false" ht="13.8" hidden="false" customHeight="false" outlineLevel="0" collapsed="false">
      <c r="A39" s="40" t="s">
        <v>1764</v>
      </c>
      <c r="B39" s="41" t="s">
        <v>1749</v>
      </c>
      <c r="C39" s="8" t="s">
        <v>1765</v>
      </c>
      <c r="D39" s="8" t="s">
        <v>1697</v>
      </c>
      <c r="E39" s="8"/>
      <c r="F39" s="33"/>
      <c r="G39" s="42" t="e">
        <f aca="false">INDEX(participants!$I:$I, MATCH(B39, participants!$A:$A, 0), 1)</f>
        <v>#N/A</v>
      </c>
      <c r="H39" s="30" t="str">
        <f aca="false">INDEX(libraries!$A:$A, MATCH(A39, libraries!$B:$B, 0), 1)</f>
        <v>lib0057</v>
      </c>
      <c r="I39" s="16" t="s">
        <v>872</v>
      </c>
      <c r="J39" s="44" t="e">
        <f aca="false">INDEX(#REF!, MATCH(B39, participants!$A:$A, 0), 1)</f>
        <v>#N/A</v>
      </c>
    </row>
    <row r="40" customFormat="false" ht="13.8" hidden="false" customHeight="false" outlineLevel="0" collapsed="false">
      <c r="A40" s="40" t="s">
        <v>1766</v>
      </c>
      <c r="B40" s="41" t="s">
        <v>538</v>
      </c>
      <c r="C40" s="8" t="s">
        <v>1752</v>
      </c>
      <c r="D40" s="8" t="s">
        <v>1697</v>
      </c>
      <c r="E40" s="8"/>
      <c r="F40" s="33"/>
      <c r="G40" s="42" t="str">
        <f aca="false">INDEX(participants!$I:$I, MATCH(B40, participants!$A:$A, 0), 1)</f>
        <v>js0028</v>
      </c>
      <c r="H40" s="30" t="str">
        <f aca="false">INDEX(libraries!$A:$A, MATCH(A40, libraries!$B:$B, 0), 1)</f>
        <v>lib0051</v>
      </c>
      <c r="I40" s="16" t="s">
        <v>526</v>
      </c>
      <c r="J40" s="44" t="e">
        <f aca="false">INDEX(#REF!, MATCH(B40, participants!$A:$A, 0), 1)</f>
        <v>#VALUE!</v>
      </c>
    </row>
    <row r="41" customFormat="false" ht="13.8" hidden="false" customHeight="false" outlineLevel="0" collapsed="false">
      <c r="A41" s="40" t="s">
        <v>1767</v>
      </c>
      <c r="B41" s="41" t="s">
        <v>543</v>
      </c>
      <c r="C41" s="8" t="s">
        <v>1768</v>
      </c>
      <c r="D41" s="8" t="s">
        <v>1697</v>
      </c>
      <c r="E41" s="8"/>
      <c r="F41" s="33"/>
      <c r="G41" s="42" t="str">
        <f aca="false">INDEX(participants!$I:$I, MATCH(B41, participants!$A:$A, 0), 1)</f>
        <v>js0032</v>
      </c>
      <c r="H41" s="30" t="str">
        <f aca="false">INDEX(libraries!$A:$A, MATCH(A41, libraries!$B:$B, 0), 1)</f>
        <v>lib0016</v>
      </c>
      <c r="I41" s="16" t="s">
        <v>526</v>
      </c>
      <c r="J41" s="44" t="e">
        <f aca="false">INDEX(#REF!, MATCH(B41, participants!$A:$A, 0), 1)</f>
        <v>#VALUE!</v>
      </c>
    </row>
    <row r="42" customFormat="false" ht="13.8" hidden="false" customHeight="false" outlineLevel="0" collapsed="false">
      <c r="A42" s="40" t="s">
        <v>1769</v>
      </c>
      <c r="B42" s="41" t="s">
        <v>543</v>
      </c>
      <c r="C42" s="8" t="s">
        <v>427</v>
      </c>
      <c r="D42" s="8" t="s">
        <v>1697</v>
      </c>
      <c r="E42" s="8"/>
      <c r="F42" s="33"/>
      <c r="G42" s="42" t="str">
        <f aca="false">INDEX(participants!$I:$I, MATCH(B42, participants!$A:$A, 0), 1)</f>
        <v>js0032</v>
      </c>
      <c r="H42" s="30" t="str">
        <f aca="false">INDEX(libraries!$A:$A, MATCH(A42, libraries!$B:$B, 0), 1)</f>
        <v>lib0070</v>
      </c>
      <c r="I42" s="16" t="s">
        <v>526</v>
      </c>
      <c r="J42" s="44" t="e">
        <f aca="false">INDEX(#REF!, MATCH(B42, participants!$A:$A, 0), 1)</f>
        <v>#VALUE!</v>
      </c>
    </row>
    <row r="43" customFormat="false" ht="13.8" hidden="false" customHeight="false" outlineLevel="0" collapsed="false">
      <c r="A43" s="40" t="s">
        <v>1770</v>
      </c>
      <c r="B43" s="41" t="s">
        <v>547</v>
      </c>
      <c r="C43" s="8" t="s">
        <v>1771</v>
      </c>
      <c r="D43" s="8" t="s">
        <v>1697</v>
      </c>
      <c r="E43" s="8"/>
      <c r="F43" s="33"/>
      <c r="G43" s="42" t="str">
        <f aca="false">INDEX(participants!$I:$I, MATCH(B43, participants!$A:$A, 0), 1)</f>
        <v>js0033</v>
      </c>
      <c r="H43" s="30" t="str">
        <f aca="false">INDEX(libraries!$A:$A, MATCH(A43, libraries!$B:$B, 0), 1)</f>
        <v>lib0013</v>
      </c>
      <c r="I43" s="16" t="s">
        <v>526</v>
      </c>
      <c r="J43" s="44" t="e">
        <f aca="false">INDEX(#REF!, MATCH(B43, participants!$A:$A, 0), 1)</f>
        <v>#VALUE!</v>
      </c>
    </row>
    <row r="44" customFormat="false" ht="13.8" hidden="false" customHeight="false" outlineLevel="0" collapsed="false">
      <c r="A44" s="40" t="s">
        <v>1772</v>
      </c>
      <c r="B44" s="41" t="s">
        <v>551</v>
      </c>
      <c r="C44" s="8" t="s">
        <v>1771</v>
      </c>
      <c r="D44" s="8" t="s">
        <v>1697</v>
      </c>
      <c r="E44" s="8"/>
      <c r="F44" s="33"/>
      <c r="G44" s="42" t="str">
        <f aca="false">INDEX(participants!$I:$I, MATCH(B44, participants!$A:$A, 0), 1)</f>
        <v>js0034</v>
      </c>
      <c r="H44" s="30" t="str">
        <f aca="false">INDEX(libraries!$A:$A, MATCH(A44, libraries!$B:$B, 0), 1)</f>
        <v>lib0048</v>
      </c>
      <c r="I44" s="16" t="s">
        <v>526</v>
      </c>
      <c r="J44" s="44" t="e">
        <f aca="false">INDEX(#REF!, MATCH(B44, participants!$A:$A, 0), 1)</f>
        <v>#VALUE!</v>
      </c>
    </row>
    <row r="45" customFormat="false" ht="13.8" hidden="false" customHeight="false" outlineLevel="0" collapsed="false">
      <c r="A45" s="40" t="s">
        <v>1773</v>
      </c>
      <c r="B45" s="41" t="s">
        <v>555</v>
      </c>
      <c r="C45" s="8" t="s">
        <v>1774</v>
      </c>
      <c r="D45" s="8" t="s">
        <v>1697</v>
      </c>
      <c r="E45" s="8"/>
      <c r="F45" s="33"/>
      <c r="G45" s="42" t="str">
        <f aca="false">INDEX(participants!$I:$I, MATCH(B45, participants!$A:$A, 0), 1)</f>
        <v>js0036</v>
      </c>
      <c r="H45" s="30" t="str">
        <f aca="false">INDEX(libraries!$A:$A, MATCH(A45, libraries!$B:$B, 0), 1)</f>
        <v>lib0052</v>
      </c>
      <c r="I45" s="16" t="s">
        <v>526</v>
      </c>
      <c r="J45" s="44" t="e">
        <f aca="false">INDEX(#REF!, MATCH(B45, participants!$A:$A, 0), 1)</f>
        <v>#VALUE!</v>
      </c>
    </row>
    <row r="46" customFormat="false" ht="13.8" hidden="false" customHeight="false" outlineLevel="0" collapsed="false">
      <c r="A46" s="40" t="s">
        <v>1775</v>
      </c>
      <c r="B46" s="41" t="s">
        <v>560</v>
      </c>
      <c r="C46" s="8" t="s">
        <v>1776</v>
      </c>
      <c r="D46" s="8" t="s">
        <v>1697</v>
      </c>
      <c r="E46" s="8"/>
      <c r="F46" s="33"/>
      <c r="G46" s="42" t="str">
        <f aca="false">INDEX(participants!$I:$I, MATCH(B46, participants!$A:$A, 0), 1)</f>
        <v>js0037</v>
      </c>
      <c r="H46" s="30" t="str">
        <f aca="false">INDEX(libraries!$A:$A, MATCH(A46, libraries!$B:$B, 0), 1)</f>
        <v>lib0010</v>
      </c>
      <c r="I46" s="16" t="s">
        <v>526</v>
      </c>
      <c r="J46" s="44" t="e">
        <f aca="false">INDEX(#REF!, MATCH(B46, participants!$A:$A, 0), 1)</f>
        <v>#VALUE!</v>
      </c>
    </row>
    <row r="47" customFormat="false" ht="13.8" hidden="false" customHeight="false" outlineLevel="0" collapsed="false">
      <c r="A47" s="40" t="s">
        <v>1777</v>
      </c>
      <c r="B47" s="41" t="s">
        <v>563</v>
      </c>
      <c r="C47" s="8" t="s">
        <v>1778</v>
      </c>
      <c r="D47" s="8" t="s">
        <v>1697</v>
      </c>
      <c r="E47" s="8"/>
      <c r="F47" s="33"/>
      <c r="G47" s="42" t="str">
        <f aca="false">INDEX(participants!$I:$I, MATCH(B47, participants!$A:$A, 0), 1)</f>
        <v>js0039</v>
      </c>
      <c r="H47" s="30" t="str">
        <f aca="false">INDEX(libraries!$A:$A, MATCH(A47, libraries!$B:$B, 0), 1)</f>
        <v>lib0003</v>
      </c>
      <c r="I47" s="16" t="s">
        <v>526</v>
      </c>
      <c r="J47" s="44" t="e">
        <f aca="false">INDEX(#REF!, MATCH(B47, participants!$A:$A, 0), 1)</f>
        <v>#VALUE!</v>
      </c>
    </row>
    <row r="48" customFormat="false" ht="13.8" hidden="false" customHeight="false" outlineLevel="0" collapsed="false">
      <c r="A48" s="40" t="s">
        <v>1779</v>
      </c>
      <c r="B48" s="41" t="s">
        <v>563</v>
      </c>
      <c r="C48" s="8" t="s">
        <v>1780</v>
      </c>
      <c r="D48" s="8" t="s">
        <v>1697</v>
      </c>
      <c r="E48" s="8"/>
      <c r="F48" s="33"/>
      <c r="G48" s="42" t="str">
        <f aca="false">INDEX(participants!$I:$I, MATCH(B48, participants!$A:$A, 0), 1)</f>
        <v>js0039</v>
      </c>
      <c r="H48" s="30" t="str">
        <f aca="false">INDEX(libraries!$A:$A, MATCH(A48, libraries!$B:$B, 0), 1)</f>
        <v>lib0022</v>
      </c>
      <c r="I48" s="16" t="s">
        <v>526</v>
      </c>
      <c r="J48" s="44" t="e">
        <f aca="false">INDEX(#REF!, MATCH(B48, participants!$A:$A, 0), 1)</f>
        <v>#VALUE!</v>
      </c>
    </row>
    <row r="49" customFormat="false" ht="13.8" hidden="false" customHeight="false" outlineLevel="0" collapsed="false">
      <c r="A49" s="40" t="s">
        <v>1781</v>
      </c>
      <c r="B49" s="41" t="s">
        <v>563</v>
      </c>
      <c r="C49" s="8" t="s">
        <v>1782</v>
      </c>
      <c r="D49" s="8" t="s">
        <v>1697</v>
      </c>
      <c r="E49" s="8"/>
      <c r="F49" s="33"/>
      <c r="G49" s="42" t="str">
        <f aca="false">INDEX(participants!$I:$I, MATCH(B49, participants!$A:$A, 0), 1)</f>
        <v>js0039</v>
      </c>
      <c r="H49" s="30" t="str">
        <f aca="false">INDEX(libraries!$A:$A, MATCH(A49, libraries!$B:$B, 0), 1)</f>
        <v>lib0015</v>
      </c>
      <c r="I49" s="16" t="s">
        <v>526</v>
      </c>
      <c r="J49" s="44" t="e">
        <f aca="false">INDEX(#REF!, MATCH(B49, participants!$A:$A, 0), 1)</f>
        <v>#VALUE!</v>
      </c>
    </row>
    <row r="50" customFormat="false" ht="13.8" hidden="false" customHeight="false" outlineLevel="0" collapsed="false">
      <c r="A50" s="40" t="s">
        <v>1783</v>
      </c>
      <c r="B50" s="41" t="s">
        <v>567</v>
      </c>
      <c r="C50" s="8" t="s">
        <v>1745</v>
      </c>
      <c r="D50" s="8" t="s">
        <v>1697</v>
      </c>
      <c r="E50" s="8"/>
      <c r="F50" s="33"/>
      <c r="G50" s="42" t="str">
        <f aca="false">INDEX(participants!$I:$I, MATCH(B50, participants!$A:$A, 0), 1)</f>
        <v>js0040</v>
      </c>
      <c r="H50" s="30" t="str">
        <f aca="false">INDEX(libraries!$A:$A, MATCH(A50, libraries!$B:$B, 0), 1)</f>
        <v>lib0008</v>
      </c>
      <c r="I50" s="16" t="s">
        <v>526</v>
      </c>
      <c r="J50" s="44" t="e">
        <f aca="false">INDEX(#REF!, MATCH(B50, participants!$A:$A, 0), 1)</f>
        <v>#VALUE!</v>
      </c>
    </row>
    <row r="51" customFormat="false" ht="13.8" hidden="false" customHeight="false" outlineLevel="0" collapsed="false">
      <c r="A51" s="40" t="s">
        <v>1784</v>
      </c>
      <c r="B51" s="41" t="s">
        <v>570</v>
      </c>
      <c r="C51" s="8" t="s">
        <v>1776</v>
      </c>
      <c r="D51" s="8" t="s">
        <v>1697</v>
      </c>
      <c r="E51" s="8"/>
      <c r="F51" s="33"/>
      <c r="G51" s="42" t="str">
        <f aca="false">INDEX(participants!$I:$I, MATCH(B51, participants!$A:$A, 0), 1)</f>
        <v>js0041</v>
      </c>
      <c r="H51" s="30" t="str">
        <f aca="false">INDEX(libraries!$A:$A, MATCH(A51, libraries!$B:$B, 0), 1)</f>
        <v>lib0043</v>
      </c>
      <c r="I51" s="16" t="s">
        <v>526</v>
      </c>
      <c r="J51" s="44" t="e">
        <f aca="false">INDEX(#REF!, MATCH(B51, participants!$A:$A, 0), 1)</f>
        <v>#VALUE!</v>
      </c>
    </row>
    <row r="52" customFormat="false" ht="13.8" hidden="false" customHeight="false" outlineLevel="0" collapsed="false">
      <c r="A52" s="40" t="s">
        <v>1785</v>
      </c>
      <c r="B52" s="41" t="s">
        <v>574</v>
      </c>
      <c r="C52" s="8" t="s">
        <v>1786</v>
      </c>
      <c r="D52" s="8" t="s">
        <v>1697</v>
      </c>
      <c r="E52" s="8"/>
      <c r="F52" s="33"/>
      <c r="G52" s="42" t="str">
        <f aca="false">INDEX(participants!$I:$I, MATCH(B52, participants!$A:$A, 0), 1)</f>
        <v>js0042</v>
      </c>
      <c r="H52" s="30" t="str">
        <f aca="false">INDEX(libraries!$A:$A, MATCH(A52, libraries!$B:$B, 0), 1)</f>
        <v>lib0014</v>
      </c>
      <c r="I52" s="16" t="s">
        <v>526</v>
      </c>
      <c r="J52" s="44" t="e">
        <f aca="false">INDEX(#REF!, MATCH(B52, participants!$A:$A, 0), 1)</f>
        <v>#VALUE!</v>
      </c>
    </row>
    <row r="53" customFormat="false" ht="13.8" hidden="false" customHeight="false" outlineLevel="0" collapsed="false">
      <c r="A53" s="40" t="s">
        <v>1787</v>
      </c>
      <c r="B53" s="41" t="s">
        <v>574</v>
      </c>
      <c r="C53" s="8" t="s">
        <v>1788</v>
      </c>
      <c r="D53" s="8" t="s">
        <v>1697</v>
      </c>
      <c r="E53" s="8"/>
      <c r="F53" s="33"/>
      <c r="G53" s="42" t="str">
        <f aca="false">INDEX(participants!$I:$I, MATCH(B53, participants!$A:$A, 0), 1)</f>
        <v>js0042</v>
      </c>
      <c r="H53" s="30" t="str">
        <f aca="false">INDEX(libraries!$A:$A, MATCH(A53, libraries!$B:$B, 0), 1)</f>
        <v>lib0029</v>
      </c>
      <c r="I53" s="16" t="s">
        <v>526</v>
      </c>
      <c r="J53" s="44" t="e">
        <f aca="false">INDEX(#REF!, MATCH(B53, participants!$A:$A, 0), 1)</f>
        <v>#VALUE!</v>
      </c>
    </row>
    <row r="54" customFormat="false" ht="13.8" hidden="false" customHeight="false" outlineLevel="0" collapsed="false">
      <c r="A54" s="40" t="s">
        <v>1789</v>
      </c>
      <c r="B54" s="41" t="s">
        <v>577</v>
      </c>
      <c r="C54" s="8" t="s">
        <v>1790</v>
      </c>
      <c r="D54" s="8" t="s">
        <v>1697</v>
      </c>
      <c r="E54" s="8"/>
      <c r="F54" s="33"/>
      <c r="G54" s="42" t="str">
        <f aca="false">INDEX(participants!$I:$I, MATCH(B54, participants!$A:$A, 0), 1)</f>
        <v>js0043</v>
      </c>
      <c r="H54" s="30" t="str">
        <f aca="false">INDEX(libraries!$A:$A, MATCH(A54, libraries!$B:$B, 0), 1)</f>
        <v>lib0034</v>
      </c>
      <c r="I54" s="16" t="s">
        <v>526</v>
      </c>
      <c r="J54" s="44" t="e">
        <f aca="false">INDEX(#REF!, MATCH(B54, participants!$A:$A, 0), 1)</f>
        <v>#VALUE!</v>
      </c>
    </row>
    <row r="55" customFormat="false" ht="13.8" hidden="false" customHeight="false" outlineLevel="0" collapsed="false">
      <c r="A55" s="40" t="s">
        <v>1791</v>
      </c>
      <c r="B55" s="41" t="s">
        <v>581</v>
      </c>
      <c r="C55" s="8" t="s">
        <v>1792</v>
      </c>
      <c r="D55" s="8" t="s">
        <v>1697</v>
      </c>
      <c r="E55" s="8"/>
      <c r="F55" s="33"/>
      <c r="G55" s="42" t="str">
        <f aca="false">INDEX(participants!$I:$I, MATCH(B55, participants!$A:$A, 0), 1)</f>
        <v>js0044</v>
      </c>
      <c r="H55" s="30" t="str">
        <f aca="false">INDEX(libraries!$A:$A, MATCH(A55, libraries!$B:$B, 0), 1)</f>
        <v>lib0049</v>
      </c>
      <c r="I55" s="16" t="s">
        <v>585</v>
      </c>
      <c r="J55" s="44" t="e">
        <f aca="false">INDEX(#REF!, MATCH(B55, participants!$A:$A, 0), 1)</f>
        <v>#VALUE!</v>
      </c>
    </row>
    <row r="56" customFormat="false" ht="13.8" hidden="false" customHeight="false" outlineLevel="0" collapsed="false">
      <c r="A56" s="40" t="s">
        <v>1793</v>
      </c>
      <c r="B56" s="41" t="s">
        <v>581</v>
      </c>
      <c r="C56" s="8" t="s">
        <v>1794</v>
      </c>
      <c r="D56" s="8" t="s">
        <v>1697</v>
      </c>
      <c r="E56" s="8"/>
      <c r="F56" s="33"/>
      <c r="G56" s="42" t="str">
        <f aca="false">INDEX(participants!$I:$I, MATCH(B56, participants!$A:$A, 0), 1)</f>
        <v>js0044</v>
      </c>
      <c r="H56" s="30" t="str">
        <f aca="false">INDEX(libraries!$A:$A, MATCH(A56, libraries!$B:$B, 0), 1)</f>
        <v>lib0047</v>
      </c>
      <c r="I56" s="16" t="s">
        <v>585</v>
      </c>
      <c r="J56" s="44" t="e">
        <f aca="false">INDEX(#REF!, MATCH(B56, participants!$A:$A, 0), 1)</f>
        <v>#VALUE!</v>
      </c>
    </row>
    <row r="57" customFormat="false" ht="13.8" hidden="false" customHeight="false" outlineLevel="0" collapsed="false">
      <c r="A57" s="40" t="s">
        <v>1795</v>
      </c>
      <c r="B57" s="41" t="s">
        <v>586</v>
      </c>
      <c r="C57" s="8" t="s">
        <v>1796</v>
      </c>
      <c r="D57" s="8" t="s">
        <v>1697</v>
      </c>
      <c r="E57" s="8"/>
      <c r="F57" s="33"/>
      <c r="G57" s="42" t="str">
        <f aca="false">INDEX(participants!$I:$I, MATCH(B57, participants!$A:$A, 0), 1)</f>
        <v>js0046</v>
      </c>
      <c r="H57" s="30" t="str">
        <f aca="false">INDEX(libraries!$A:$A, MATCH(A57, libraries!$B:$B, 0), 1)</f>
        <v>lib0011</v>
      </c>
      <c r="I57" s="16" t="s">
        <v>526</v>
      </c>
      <c r="J57" s="44" t="e">
        <f aca="false">INDEX(#REF!, MATCH(B57, participants!$A:$A, 0), 1)</f>
        <v>#VALUE!</v>
      </c>
    </row>
    <row r="58" customFormat="false" ht="13.8" hidden="false" customHeight="false" outlineLevel="0" collapsed="false">
      <c r="A58" s="40" t="s">
        <v>1797</v>
      </c>
      <c r="B58" s="41" t="s">
        <v>589</v>
      </c>
      <c r="C58" s="8" t="s">
        <v>1798</v>
      </c>
      <c r="D58" s="8" t="s">
        <v>1697</v>
      </c>
      <c r="E58" s="8"/>
      <c r="F58" s="33"/>
      <c r="G58" s="42" t="str">
        <f aca="false">INDEX(participants!$I:$I, MATCH(B58, participants!$A:$A, 0), 1)</f>
        <v>js0047</v>
      </c>
      <c r="H58" s="30" t="str">
        <f aca="false">INDEX(libraries!$A:$A, MATCH(A58, libraries!$B:$B, 0), 1)</f>
        <v>lib0001</v>
      </c>
      <c r="I58" s="16" t="s">
        <v>526</v>
      </c>
      <c r="J58" s="44" t="e">
        <f aca="false">INDEX(#REF!, MATCH(B58, participants!$A:$A, 0), 1)</f>
        <v>#VALUE!</v>
      </c>
    </row>
    <row r="59" customFormat="false" ht="13.8" hidden="false" customHeight="false" outlineLevel="0" collapsed="false">
      <c r="A59" s="40" t="s">
        <v>1799</v>
      </c>
      <c r="B59" s="41" t="s">
        <v>592</v>
      </c>
      <c r="C59" s="8" t="s">
        <v>1800</v>
      </c>
      <c r="D59" s="8" t="s">
        <v>1697</v>
      </c>
      <c r="E59" s="8"/>
      <c r="F59" s="33"/>
      <c r="G59" s="42" t="str">
        <f aca="false">INDEX(participants!$I:$I, MATCH(B59, participants!$A:$A, 0), 1)</f>
        <v>js0048</v>
      </c>
      <c r="H59" s="30" t="str">
        <f aca="false">INDEX(libraries!$A:$A, MATCH(A59, libraries!$B:$B, 0), 1)</f>
        <v>lib0025</v>
      </c>
      <c r="I59" s="16" t="s">
        <v>526</v>
      </c>
      <c r="J59" s="44" t="e">
        <f aca="false">INDEX(#REF!, MATCH(B59, participants!$A:$A, 0), 1)</f>
        <v>#VALUE!</v>
      </c>
    </row>
    <row r="60" customFormat="false" ht="13.8" hidden="false" customHeight="false" outlineLevel="0" collapsed="false">
      <c r="A60" s="40" t="s">
        <v>1801</v>
      </c>
      <c r="B60" s="41" t="s">
        <v>592</v>
      </c>
      <c r="C60" s="8" t="s">
        <v>1802</v>
      </c>
      <c r="D60" s="8" t="s">
        <v>1697</v>
      </c>
      <c r="E60" s="8"/>
      <c r="F60" s="33"/>
      <c r="G60" s="42" t="str">
        <f aca="false">INDEX(participants!$I:$I, MATCH(B60, participants!$A:$A, 0), 1)</f>
        <v>js0048</v>
      </c>
      <c r="H60" s="30" t="str">
        <f aca="false">INDEX(libraries!$A:$A, MATCH(A60, libraries!$B:$B, 0), 1)</f>
        <v>lib0039</v>
      </c>
      <c r="I60" s="16" t="s">
        <v>526</v>
      </c>
      <c r="J60" s="44" t="e">
        <f aca="false">INDEX(#REF!, MATCH(B60, participants!$A:$A, 0), 1)</f>
        <v>#VALUE!</v>
      </c>
    </row>
    <row r="61" customFormat="false" ht="13.8" hidden="false" customHeight="false" outlineLevel="0" collapsed="false">
      <c r="A61" s="40" t="s">
        <v>1803</v>
      </c>
      <c r="B61" s="41" t="s">
        <v>596</v>
      </c>
      <c r="C61" s="8" t="s">
        <v>1804</v>
      </c>
      <c r="D61" s="8" t="s">
        <v>1697</v>
      </c>
      <c r="E61" s="8"/>
      <c r="F61" s="33"/>
      <c r="G61" s="42" t="str">
        <f aca="false">INDEX(participants!$I:$I, MATCH(B61, participants!$A:$A, 0), 1)</f>
        <v>js0049</v>
      </c>
      <c r="H61" s="30" t="str">
        <f aca="false">INDEX(libraries!$A:$A, MATCH(A61, libraries!$B:$B, 0), 1)</f>
        <v>lib0038</v>
      </c>
      <c r="I61" s="16" t="s">
        <v>526</v>
      </c>
      <c r="J61" s="44" t="e">
        <f aca="false">INDEX(#REF!, MATCH(B61, participants!$A:$A, 0), 1)</f>
        <v>#VALUE!</v>
      </c>
    </row>
    <row r="62" customFormat="false" ht="13.8" hidden="false" customHeight="false" outlineLevel="0" collapsed="false">
      <c r="A62" s="40" t="s">
        <v>1805</v>
      </c>
      <c r="B62" s="41" t="s">
        <v>599</v>
      </c>
      <c r="C62" s="8" t="s">
        <v>1741</v>
      </c>
      <c r="D62" s="8" t="s">
        <v>1697</v>
      </c>
      <c r="E62" s="8"/>
      <c r="F62" s="33"/>
      <c r="G62" s="42" t="str">
        <f aca="false">INDEX(participants!$I:$I, MATCH(B62, participants!$A:$A, 0), 1)</f>
        <v>js0050</v>
      </c>
      <c r="H62" s="30" t="str">
        <f aca="false">INDEX(libraries!$A:$A, MATCH(A62, libraries!$B:$B, 0), 1)</f>
        <v>lib0031</v>
      </c>
      <c r="I62" s="16" t="s">
        <v>526</v>
      </c>
      <c r="J62" s="44" t="e">
        <f aca="false">INDEX(#REF!, MATCH(B62, participants!$A:$A, 0), 1)</f>
        <v>#VALUE!</v>
      </c>
    </row>
    <row r="63" customFormat="false" ht="13.8" hidden="false" customHeight="false" outlineLevel="0" collapsed="false">
      <c r="A63" s="40" t="s">
        <v>1806</v>
      </c>
      <c r="B63" s="41" t="s">
        <v>599</v>
      </c>
      <c r="C63" s="8" t="s">
        <v>1807</v>
      </c>
      <c r="D63" s="8" t="s">
        <v>1697</v>
      </c>
      <c r="E63" s="8"/>
      <c r="F63" s="33"/>
      <c r="G63" s="42" t="str">
        <f aca="false">INDEX(participants!$I:$I, MATCH(B63, participants!$A:$A, 0), 1)</f>
        <v>js0050</v>
      </c>
      <c r="H63" s="30" t="str">
        <f aca="false">INDEX(libraries!$A:$A, MATCH(A63, libraries!$B:$B, 0), 1)</f>
        <v>lib0024</v>
      </c>
      <c r="I63" s="16" t="s">
        <v>526</v>
      </c>
      <c r="J63" s="44" t="e">
        <f aca="false">INDEX(#REF!, MATCH(B63, participants!$A:$A, 0), 1)</f>
        <v>#VALUE!</v>
      </c>
    </row>
    <row r="64" customFormat="false" ht="13.8" hidden="false" customHeight="false" outlineLevel="0" collapsed="false">
      <c r="A64" s="40" t="s">
        <v>1808</v>
      </c>
      <c r="B64" s="41" t="s">
        <v>599</v>
      </c>
      <c r="C64" s="8" t="s">
        <v>1809</v>
      </c>
      <c r="D64" s="8" t="s">
        <v>1697</v>
      </c>
      <c r="E64" s="8"/>
      <c r="F64" s="33"/>
      <c r="G64" s="42" t="str">
        <f aca="false">INDEX(participants!$I:$I, MATCH(B64, participants!$A:$A, 0), 1)</f>
        <v>js0050</v>
      </c>
      <c r="H64" s="30" t="str">
        <f aca="false">INDEX(libraries!$A:$A, MATCH(A64, libraries!$B:$B, 0), 1)</f>
        <v>lib0026</v>
      </c>
      <c r="I64" s="16" t="s">
        <v>526</v>
      </c>
      <c r="J64" s="44" t="e">
        <f aca="false">INDEX(#REF!, MATCH(B64, participants!$A:$A, 0), 1)</f>
        <v>#VALUE!</v>
      </c>
    </row>
    <row r="65" customFormat="false" ht="13.8" hidden="false" customHeight="false" outlineLevel="0" collapsed="false">
      <c r="A65" s="40" t="s">
        <v>1810</v>
      </c>
      <c r="B65" s="41" t="s">
        <v>603</v>
      </c>
      <c r="C65" s="8" t="s">
        <v>1811</v>
      </c>
      <c r="D65" s="8" t="s">
        <v>1697</v>
      </c>
      <c r="E65" s="8"/>
      <c r="F65" s="33"/>
      <c r="G65" s="42" t="str">
        <f aca="false">INDEX(participants!$I:$I, MATCH(B65, participants!$A:$A, 0), 1)</f>
        <v>js0051</v>
      </c>
      <c r="H65" s="30" t="str">
        <f aca="false">INDEX(libraries!$A:$A, MATCH(A65, libraries!$B:$B, 0), 1)</f>
        <v>lib0053</v>
      </c>
      <c r="I65" s="16" t="s">
        <v>526</v>
      </c>
      <c r="J65" s="44" t="e">
        <f aca="false">INDEX(#REF!, MATCH(B65, participants!$A:$A, 0), 1)</f>
        <v>#VALUE!</v>
      </c>
    </row>
    <row r="66" customFormat="false" ht="13.8" hidden="false" customHeight="false" outlineLevel="0" collapsed="false">
      <c r="A66" s="40" t="s">
        <v>1812</v>
      </c>
      <c r="B66" s="41" t="s">
        <v>603</v>
      </c>
      <c r="C66" s="8" t="s">
        <v>1813</v>
      </c>
      <c r="D66" s="8" t="s">
        <v>1697</v>
      </c>
      <c r="E66" s="8"/>
      <c r="F66" s="33"/>
      <c r="G66" s="42" t="str">
        <f aca="false">INDEX(participants!$I:$I, MATCH(B66, participants!$A:$A, 0), 1)</f>
        <v>js0051</v>
      </c>
      <c r="H66" s="30" t="str">
        <f aca="false">INDEX(libraries!$A:$A, MATCH(A66, libraries!$B:$B, 0), 1)</f>
        <v>lib0002</v>
      </c>
      <c r="I66" s="16" t="s">
        <v>526</v>
      </c>
      <c r="J66" s="44" t="e">
        <f aca="false">INDEX(#REF!, MATCH(B66, participants!$A:$A, 0), 1)</f>
        <v>#VALUE!</v>
      </c>
    </row>
    <row r="67" customFormat="false" ht="13.8" hidden="false" customHeight="false" outlineLevel="0" collapsed="false">
      <c r="A67" s="40" t="s">
        <v>1814</v>
      </c>
      <c r="B67" s="41" t="s">
        <v>607</v>
      </c>
      <c r="C67" s="8" t="s">
        <v>1743</v>
      </c>
      <c r="D67" s="8" t="s">
        <v>1697</v>
      </c>
      <c r="E67" s="8"/>
      <c r="F67" s="33"/>
      <c r="G67" s="42" t="str">
        <f aca="false">INDEX(participants!$I:$I, MATCH(B67, participants!$A:$A, 0), 1)</f>
        <v>js0052</v>
      </c>
      <c r="H67" s="30" t="str">
        <f aca="false">INDEX(libraries!$A:$A, MATCH(A67, libraries!$B:$B, 0), 1)</f>
        <v>lib0030</v>
      </c>
      <c r="I67" s="16" t="s">
        <v>526</v>
      </c>
      <c r="J67" s="44" t="e">
        <f aca="false">INDEX(#REF!, MATCH(B67, participants!$A:$A, 0), 1)</f>
        <v>#VALUE!</v>
      </c>
    </row>
    <row r="68" customFormat="false" ht="13.8" hidden="false" customHeight="false" outlineLevel="0" collapsed="false">
      <c r="A68" s="40" t="s">
        <v>1815</v>
      </c>
      <c r="B68" s="41" t="s">
        <v>513</v>
      </c>
      <c r="C68" s="8" t="s">
        <v>1807</v>
      </c>
      <c r="D68" s="8" t="s">
        <v>1697</v>
      </c>
      <c r="E68" s="8"/>
      <c r="F68" s="33"/>
      <c r="G68" s="42" t="str">
        <f aca="false">INDEX(participants!$I:$I, MATCH(B68, participants!$A:$A, 0), 1)</f>
        <v>js0053</v>
      </c>
      <c r="H68" s="30" t="str">
        <f aca="false">INDEX(libraries!$A:$A, MATCH(A68, libraries!$B:$B, 0), 1)</f>
        <v>lib0109</v>
      </c>
      <c r="I68" s="16" t="s">
        <v>486</v>
      </c>
      <c r="J68" s="44" t="e">
        <f aca="false">INDEX(#REF!, MATCH(B68, participants!$A:$A, 0), 1)</f>
        <v>#VALUE!</v>
      </c>
    </row>
    <row r="69" customFormat="false" ht="13.8" hidden="false" customHeight="false" outlineLevel="0" collapsed="false">
      <c r="A69" s="40" t="s">
        <v>1816</v>
      </c>
      <c r="B69" s="41" t="s">
        <v>513</v>
      </c>
      <c r="C69" s="8" t="s">
        <v>1817</v>
      </c>
      <c r="D69" s="8" t="s">
        <v>1697</v>
      </c>
      <c r="E69" s="8"/>
      <c r="F69" s="33"/>
      <c r="G69" s="42" t="str">
        <f aca="false">INDEX(participants!$I:$I, MATCH(B69, participants!$A:$A, 0), 1)</f>
        <v>js0053</v>
      </c>
      <c r="H69" s="30" t="str">
        <f aca="false">INDEX(libraries!$A:$A, MATCH(A69, libraries!$B:$B, 0), 1)</f>
        <v>lib0103</v>
      </c>
      <c r="I69" s="16" t="s">
        <v>585</v>
      </c>
      <c r="J69" s="44" t="e">
        <f aca="false">INDEX(#REF!, MATCH(B69, participants!$A:$A, 0), 1)</f>
        <v>#VALUE!</v>
      </c>
    </row>
    <row r="70" customFormat="false" ht="13.8" hidden="false" customHeight="false" outlineLevel="0" collapsed="false">
      <c r="A70" s="40" t="s">
        <v>1818</v>
      </c>
      <c r="B70" s="41" t="s">
        <v>610</v>
      </c>
      <c r="C70" s="8" t="s">
        <v>1819</v>
      </c>
      <c r="D70" s="8" t="s">
        <v>1697</v>
      </c>
      <c r="E70" s="8"/>
      <c r="F70" s="33"/>
      <c r="G70" s="42" t="str">
        <f aca="false">INDEX(participants!$I:$I, MATCH(B70, participants!$A:$A, 0), 1)</f>
        <v>js0054</v>
      </c>
      <c r="H70" s="30" t="str">
        <f aca="false">INDEX(libraries!$A:$A, MATCH(A70, libraries!$B:$B, 0), 1)</f>
        <v>lib0006</v>
      </c>
      <c r="I70" s="16" t="s">
        <v>585</v>
      </c>
      <c r="J70" s="44" t="e">
        <f aca="false">INDEX(#REF!, MATCH(B70, participants!$A:$A, 0), 1)</f>
        <v>#VALUE!</v>
      </c>
    </row>
    <row r="71" customFormat="false" ht="13.8" hidden="false" customHeight="false" outlineLevel="0" collapsed="false">
      <c r="A71" s="40" t="s">
        <v>1820</v>
      </c>
      <c r="B71" s="41" t="s">
        <v>610</v>
      </c>
      <c r="C71" s="8" t="s">
        <v>1821</v>
      </c>
      <c r="D71" s="8" t="s">
        <v>1697</v>
      </c>
      <c r="E71" s="8"/>
      <c r="F71" s="33"/>
      <c r="G71" s="42" t="str">
        <f aca="false">INDEX(participants!$I:$I, MATCH(B71, participants!$A:$A, 0), 1)</f>
        <v>js0054</v>
      </c>
      <c r="H71" s="30" t="str">
        <f aca="false">INDEX(libraries!$A:$A, MATCH(A71, libraries!$B:$B, 0), 1)</f>
        <v>lib0020</v>
      </c>
      <c r="I71" s="16" t="s">
        <v>585</v>
      </c>
      <c r="J71" s="44" t="e">
        <f aca="false">INDEX(#REF!, MATCH(B71, participants!$A:$A, 0), 1)</f>
        <v>#VALUE!</v>
      </c>
    </row>
    <row r="72" customFormat="false" ht="13.8" hidden="false" customHeight="false" outlineLevel="0" collapsed="false">
      <c r="A72" s="40" t="s">
        <v>1822</v>
      </c>
      <c r="B72" s="41" t="s">
        <v>610</v>
      </c>
      <c r="C72" s="8" t="s">
        <v>1823</v>
      </c>
      <c r="D72" s="8" t="s">
        <v>1824</v>
      </c>
      <c r="E72" s="8"/>
      <c r="F72" s="33"/>
      <c r="G72" s="42" t="str">
        <f aca="false">INDEX(participants!$I:$I, MATCH(B72, participants!$A:$A, 0), 1)</f>
        <v>js0054</v>
      </c>
      <c r="H72" s="30" t="str">
        <f aca="false">INDEX(libraries!$A:$A, MATCH(A72, libraries!$B:$B, 0), 1)</f>
        <v>lib0082</v>
      </c>
      <c r="I72" s="16" t="s">
        <v>585</v>
      </c>
      <c r="J72" s="44" t="e">
        <f aca="false">INDEX(#REF!, MATCH(B72, participants!$A:$A, 0), 1)</f>
        <v>#VALUE!</v>
      </c>
    </row>
    <row r="73" customFormat="false" ht="13.8" hidden="false" customHeight="false" outlineLevel="0" collapsed="false">
      <c r="A73" s="40" t="s">
        <v>1825</v>
      </c>
      <c r="B73" s="41" t="s">
        <v>610</v>
      </c>
      <c r="C73" s="8" t="s">
        <v>1823</v>
      </c>
      <c r="D73" s="8" t="s">
        <v>1697</v>
      </c>
      <c r="E73" s="8"/>
      <c r="F73" s="33"/>
      <c r="G73" s="42" t="str">
        <f aca="false">INDEX(participants!$I:$I, MATCH(B73, participants!$A:$A, 0), 1)</f>
        <v>js0054</v>
      </c>
      <c r="H73" s="30" t="str">
        <f aca="false">INDEX(libraries!$A:$A, MATCH(A73, libraries!$B:$B, 0), 1)</f>
        <v>lib0084</v>
      </c>
      <c r="I73" s="16" t="s">
        <v>585</v>
      </c>
      <c r="J73" s="44" t="e">
        <f aca="false">INDEX(#REF!, MATCH(B73, participants!$A:$A, 0), 1)</f>
        <v>#VALUE!</v>
      </c>
    </row>
    <row r="74" customFormat="false" ht="13.8" hidden="false" customHeight="false" outlineLevel="0" collapsed="false">
      <c r="A74" s="40" t="s">
        <v>1826</v>
      </c>
      <c r="B74" s="41" t="s">
        <v>614</v>
      </c>
      <c r="C74" s="8" t="s">
        <v>1761</v>
      </c>
      <c r="D74" s="8" t="s">
        <v>1697</v>
      </c>
      <c r="E74" s="8"/>
      <c r="F74" s="33"/>
      <c r="G74" s="42" t="str">
        <f aca="false">INDEX(participants!$I:$I, MATCH(B74, participants!$A:$A, 0), 1)</f>
        <v>js0055</v>
      </c>
      <c r="H74" s="30" t="str">
        <f aca="false">INDEX(libraries!$A:$A, MATCH(A74, libraries!$B:$B, 0), 1)</f>
        <v>lib0023</v>
      </c>
      <c r="I74" s="16" t="s">
        <v>526</v>
      </c>
      <c r="J74" s="44" t="e">
        <f aca="false">INDEX(#REF!, MATCH(B74, participants!$A:$A, 0), 1)</f>
        <v>#VALUE!</v>
      </c>
    </row>
    <row r="75" customFormat="false" ht="13.8" hidden="false" customHeight="false" outlineLevel="0" collapsed="false">
      <c r="A75" s="40" t="s">
        <v>1827</v>
      </c>
      <c r="B75" s="41" t="s">
        <v>614</v>
      </c>
      <c r="C75" s="8" t="s">
        <v>1828</v>
      </c>
      <c r="D75" s="8" t="s">
        <v>1697</v>
      </c>
      <c r="E75" s="8"/>
      <c r="F75" s="33"/>
      <c r="G75" s="42" t="str">
        <f aca="false">INDEX(participants!$I:$I, MATCH(B75, participants!$A:$A, 0), 1)</f>
        <v>js0055</v>
      </c>
      <c r="H75" s="30" t="str">
        <f aca="false">INDEX(libraries!$A:$A, MATCH(A75, libraries!$B:$B, 0), 1)</f>
        <v>lib0040</v>
      </c>
      <c r="I75" s="16" t="s">
        <v>526</v>
      </c>
      <c r="J75" s="44" t="e">
        <f aca="false">INDEX(#REF!, MATCH(B75, participants!$A:$A, 0), 1)</f>
        <v>#VALUE!</v>
      </c>
    </row>
    <row r="76" customFormat="false" ht="13.8" hidden="false" customHeight="false" outlineLevel="0" collapsed="false">
      <c r="A76" s="40" t="s">
        <v>1829</v>
      </c>
      <c r="B76" s="41" t="s">
        <v>617</v>
      </c>
      <c r="C76" s="8" t="s">
        <v>1830</v>
      </c>
      <c r="D76" s="8" t="s">
        <v>1697</v>
      </c>
      <c r="E76" s="8"/>
      <c r="F76" s="33"/>
      <c r="G76" s="42" t="str">
        <f aca="false">INDEX(participants!$I:$I, MATCH(B76, participants!$A:$A, 0), 1)</f>
        <v>js0056</v>
      </c>
      <c r="H76" s="30" t="str">
        <f aca="false">INDEX(libraries!$A:$A, MATCH(A76, libraries!$B:$B, 0), 1)</f>
        <v>lib0035</v>
      </c>
      <c r="I76" s="16" t="s">
        <v>526</v>
      </c>
      <c r="J76" s="44" t="e">
        <f aca="false">INDEX(#REF!, MATCH(B76, participants!$A:$A, 0), 1)</f>
        <v>#VALUE!</v>
      </c>
    </row>
    <row r="77" customFormat="false" ht="13.8" hidden="false" customHeight="false" outlineLevel="0" collapsed="false">
      <c r="A77" s="40" t="s">
        <v>1831</v>
      </c>
      <c r="B77" s="41" t="s">
        <v>620</v>
      </c>
      <c r="C77" s="8" t="s">
        <v>1813</v>
      </c>
      <c r="D77" s="8" t="s">
        <v>1697</v>
      </c>
      <c r="E77" s="8"/>
      <c r="F77" s="33"/>
      <c r="G77" s="42" t="str">
        <f aca="false">INDEX(participants!$I:$I, MATCH(B77, participants!$A:$A, 0), 1)</f>
        <v>js0057</v>
      </c>
      <c r="H77" s="30" t="str">
        <f aca="false">INDEX(libraries!$A:$A, MATCH(A77, libraries!$B:$B, 0), 1)</f>
        <v>lib0028</v>
      </c>
      <c r="I77" s="16" t="s">
        <v>526</v>
      </c>
      <c r="J77" s="44" t="e">
        <f aca="false">INDEX(#REF!, MATCH(B77, participants!$A:$A, 0), 1)</f>
        <v>#VALUE!</v>
      </c>
    </row>
    <row r="78" customFormat="false" ht="13.8" hidden="false" customHeight="false" outlineLevel="0" collapsed="false">
      <c r="A78" s="40" t="s">
        <v>1832</v>
      </c>
      <c r="B78" s="41" t="s">
        <v>623</v>
      </c>
      <c r="C78" s="8" t="s">
        <v>1790</v>
      </c>
      <c r="D78" s="8" t="s">
        <v>1697</v>
      </c>
      <c r="E78" s="8"/>
      <c r="F78" s="33"/>
      <c r="G78" s="42" t="str">
        <f aca="false">INDEX(participants!$I:$I, MATCH(B78, participants!$A:$A, 0), 1)</f>
        <v>js0058</v>
      </c>
      <c r="H78" s="30" t="str">
        <f aca="false">INDEX(libraries!$A:$A, MATCH(A78, libraries!$B:$B, 0), 1)</f>
        <v>lib0032</v>
      </c>
      <c r="I78" s="16" t="s">
        <v>526</v>
      </c>
      <c r="J78" s="44" t="e">
        <f aca="false">INDEX(#REF!, MATCH(B78, participants!$A:$A, 0), 1)</f>
        <v>#VALUE!</v>
      </c>
    </row>
    <row r="79" customFormat="false" ht="13.8" hidden="false" customHeight="false" outlineLevel="0" collapsed="false">
      <c r="A79" s="40" t="s">
        <v>1833</v>
      </c>
      <c r="B79" s="41" t="s">
        <v>627</v>
      </c>
      <c r="C79" s="8" t="s">
        <v>1813</v>
      </c>
      <c r="D79" s="8" t="s">
        <v>1697</v>
      </c>
      <c r="E79" s="8"/>
      <c r="F79" s="33"/>
      <c r="G79" s="42" t="str">
        <f aca="false">INDEX(participants!$I:$I, MATCH(B79, participants!$A:$A, 0), 1)</f>
        <v>js0059</v>
      </c>
      <c r="H79" s="30" t="str">
        <f aca="false">INDEX(libraries!$A:$A, MATCH(A79, libraries!$B:$B, 0), 1)</f>
        <v>lib0005</v>
      </c>
      <c r="I79" s="16" t="s">
        <v>526</v>
      </c>
      <c r="J79" s="44" t="e">
        <f aca="false">INDEX(#REF!, MATCH(B79, participants!$A:$A, 0), 1)</f>
        <v>#VALUE!</v>
      </c>
    </row>
    <row r="80" customFormat="false" ht="13.8" hidden="false" customHeight="false" outlineLevel="0" collapsed="false">
      <c r="A80" s="40" t="s">
        <v>1834</v>
      </c>
      <c r="B80" s="41" t="s">
        <v>1835</v>
      </c>
      <c r="C80" s="8" t="s">
        <v>1836</v>
      </c>
      <c r="D80" s="8" t="s">
        <v>1697</v>
      </c>
      <c r="E80" s="8"/>
      <c r="F80" s="33"/>
      <c r="G80" s="42" t="e">
        <f aca="false">INDEX(participants!$I:$I, MATCH(B80, participants!$A:$A, 0), 1)</f>
        <v>#N/A</v>
      </c>
      <c r="H80" s="30" t="str">
        <f aca="false">INDEX(libraries!$A:$A, MATCH(A80, libraries!$B:$B, 0), 1)</f>
        <v>lib0033</v>
      </c>
      <c r="I80" s="16" t="s">
        <v>872</v>
      </c>
      <c r="J80" s="44" t="e">
        <f aca="false">INDEX(#REF!, MATCH(B80, participants!$A:$A, 0), 1)</f>
        <v>#N/A</v>
      </c>
    </row>
    <row r="81" customFormat="false" ht="13.8" hidden="false" customHeight="false" outlineLevel="0" collapsed="false">
      <c r="A81" s="40" t="s">
        <v>1837</v>
      </c>
      <c r="B81" s="41" t="s">
        <v>630</v>
      </c>
      <c r="C81" s="8" t="s">
        <v>1838</v>
      </c>
      <c r="D81" s="8" t="s">
        <v>1697</v>
      </c>
      <c r="E81" s="8"/>
      <c r="F81" s="33"/>
      <c r="G81" s="42" t="str">
        <f aca="false">INDEX(participants!$I:$I, MATCH(B81, participants!$A:$A, 0), 1)</f>
        <v>js0061</v>
      </c>
      <c r="H81" s="30" t="str">
        <f aca="false">INDEX(libraries!$A:$A, MATCH(A81, libraries!$B:$B, 0), 1)</f>
        <v>lib0042</v>
      </c>
      <c r="I81" s="16" t="s">
        <v>526</v>
      </c>
      <c r="J81" s="44" t="e">
        <f aca="false">INDEX(#REF!, MATCH(B81, participants!$A:$A, 0), 1)</f>
        <v>#VALUE!</v>
      </c>
    </row>
    <row r="82" customFormat="false" ht="13.8" hidden="false" customHeight="false" outlineLevel="0" collapsed="false">
      <c r="A82" s="40" t="s">
        <v>1839</v>
      </c>
      <c r="B82" s="41" t="s">
        <v>633</v>
      </c>
      <c r="C82" s="8" t="s">
        <v>1840</v>
      </c>
      <c r="D82" s="8" t="s">
        <v>1697</v>
      </c>
      <c r="E82" s="8"/>
      <c r="F82" s="33"/>
      <c r="G82" s="42" t="str">
        <f aca="false">INDEX(participants!$I:$I, MATCH(B82, participants!$A:$A, 0), 1)</f>
        <v>js0062</v>
      </c>
      <c r="H82" s="30" t="str">
        <f aca="false">INDEX(libraries!$A:$A, MATCH(A82, libraries!$B:$B, 0), 1)</f>
        <v>lib0012</v>
      </c>
      <c r="I82" s="16" t="s">
        <v>526</v>
      </c>
      <c r="J82" s="44" t="e">
        <f aca="false">INDEX(#REF!, MATCH(B82, participants!$A:$A, 0), 1)</f>
        <v>#VALUE!</v>
      </c>
    </row>
    <row r="83" customFormat="false" ht="13.8" hidden="false" customHeight="false" outlineLevel="0" collapsed="false">
      <c r="A83" s="40" t="s">
        <v>1841</v>
      </c>
      <c r="B83" s="41" t="s">
        <v>1842</v>
      </c>
      <c r="C83" s="8" t="s">
        <v>1843</v>
      </c>
      <c r="D83" s="8" t="s">
        <v>1697</v>
      </c>
      <c r="E83" s="8"/>
      <c r="F83" s="33"/>
      <c r="G83" s="42" t="e">
        <f aca="false">INDEX(participants!$I:$I, MATCH(B83, participants!$A:$A, 0), 1)</f>
        <v>#N/A</v>
      </c>
      <c r="H83" s="30" t="str">
        <f aca="false">INDEX(libraries!$A:$A, MATCH(A83, libraries!$B:$B, 0), 1)</f>
        <v>lib0018</v>
      </c>
      <c r="I83" s="16" t="s">
        <v>526</v>
      </c>
      <c r="J83" s="44" t="e">
        <f aca="false">INDEX(#REF!, MATCH(B83, participants!$A:$A, 0), 1)</f>
        <v>#N/A</v>
      </c>
    </row>
    <row r="84" customFormat="false" ht="13.8" hidden="false" customHeight="false" outlineLevel="0" collapsed="false">
      <c r="A84" s="40" t="s">
        <v>1844</v>
      </c>
      <c r="B84" s="41" t="s">
        <v>636</v>
      </c>
      <c r="C84" s="8" t="s">
        <v>1845</v>
      </c>
      <c r="D84" s="8" t="s">
        <v>1697</v>
      </c>
      <c r="E84" s="8"/>
      <c r="F84" s="33"/>
      <c r="G84" s="42" t="str">
        <f aca="false">INDEX(participants!$I:$I, MATCH(B84, participants!$A:$A, 0), 1)</f>
        <v>js0065</v>
      </c>
      <c r="H84" s="30" t="str">
        <f aca="false">INDEX(libraries!$A:$A, MATCH(A84, libraries!$B:$B, 0), 1)</f>
        <v>lib0044</v>
      </c>
      <c r="I84" s="16" t="s">
        <v>526</v>
      </c>
      <c r="J84" s="44" t="e">
        <f aca="false">INDEX(#REF!, MATCH(B84, participants!$A:$A, 0), 1)</f>
        <v>#VALUE!</v>
      </c>
    </row>
    <row r="85" customFormat="false" ht="13.8" hidden="false" customHeight="false" outlineLevel="0" collapsed="false">
      <c r="A85" s="40" t="s">
        <v>1846</v>
      </c>
      <c r="B85" s="41" t="s">
        <v>639</v>
      </c>
      <c r="C85" s="8" t="s">
        <v>1847</v>
      </c>
      <c r="D85" s="8" t="s">
        <v>1697</v>
      </c>
      <c r="E85" s="8"/>
      <c r="F85" s="33"/>
      <c r="G85" s="42" t="str">
        <f aca="false">INDEX(participants!$I:$I, MATCH(B85, participants!$A:$A, 0), 1)</f>
        <v>js0066</v>
      </c>
      <c r="H85" s="30" t="str">
        <f aca="false">INDEX(libraries!$A:$A, MATCH(A85, libraries!$B:$B, 0), 1)</f>
        <v>lib0007</v>
      </c>
      <c r="I85" s="16" t="s">
        <v>526</v>
      </c>
      <c r="J85" s="44" t="e">
        <f aca="false">INDEX(#REF!, MATCH(B85, participants!$A:$A, 0), 1)</f>
        <v>#VALUE!</v>
      </c>
    </row>
    <row r="86" customFormat="false" ht="13.8" hidden="false" customHeight="false" outlineLevel="0" collapsed="false">
      <c r="A86" s="40" t="s">
        <v>1848</v>
      </c>
      <c r="B86" s="41" t="s">
        <v>643</v>
      </c>
      <c r="C86" s="8" t="s">
        <v>1752</v>
      </c>
      <c r="D86" s="8" t="s">
        <v>1697</v>
      </c>
      <c r="E86" s="8"/>
      <c r="F86" s="33"/>
      <c r="G86" s="42" t="str">
        <f aca="false">INDEX(participants!$I:$I, MATCH(B86, participants!$A:$A, 0), 1)</f>
        <v>js0067</v>
      </c>
      <c r="H86" s="30" t="str">
        <f aca="false">INDEX(libraries!$A:$A, MATCH(A86, libraries!$B:$B, 0), 1)</f>
        <v>lib0054</v>
      </c>
      <c r="I86" s="16" t="s">
        <v>526</v>
      </c>
      <c r="J86" s="44" t="e">
        <f aca="false">INDEX(#REF!, MATCH(B86, participants!$A:$A, 0), 1)</f>
        <v>#VALUE!</v>
      </c>
    </row>
    <row r="87" customFormat="false" ht="13.8" hidden="false" customHeight="false" outlineLevel="0" collapsed="false">
      <c r="A87" s="40" t="s">
        <v>1849</v>
      </c>
      <c r="B87" s="41" t="s">
        <v>646</v>
      </c>
      <c r="C87" s="8" t="s">
        <v>1759</v>
      </c>
      <c r="D87" s="8" t="s">
        <v>1697</v>
      </c>
      <c r="E87" s="8"/>
      <c r="F87" s="33"/>
      <c r="G87" s="42" t="str">
        <f aca="false">INDEX(participants!$I:$I, MATCH(B87, participants!$A:$A, 0), 1)</f>
        <v>js0068</v>
      </c>
      <c r="H87" s="30" t="str">
        <f aca="false">INDEX(libraries!$A:$A, MATCH(A87, libraries!$B:$B, 0), 1)</f>
        <v>lib0021</v>
      </c>
      <c r="I87" s="16" t="s">
        <v>526</v>
      </c>
      <c r="J87" s="44" t="e">
        <f aca="false">INDEX(#REF!, MATCH(B87, participants!$A:$A, 0), 1)</f>
        <v>#VALUE!</v>
      </c>
    </row>
    <row r="88" customFormat="false" ht="13.8" hidden="false" customHeight="false" outlineLevel="0" collapsed="false">
      <c r="A88" s="40" t="s">
        <v>1850</v>
      </c>
      <c r="B88" s="41" t="s">
        <v>649</v>
      </c>
      <c r="C88" s="8" t="s">
        <v>1851</v>
      </c>
      <c r="D88" s="8" t="s">
        <v>1697</v>
      </c>
      <c r="E88" s="8"/>
      <c r="F88" s="33"/>
      <c r="G88" s="42" t="str">
        <f aca="false">INDEX(participants!$I:$I, MATCH(B88, participants!$A:$A, 0), 1)</f>
        <v>js0069</v>
      </c>
      <c r="H88" s="30" t="str">
        <f aca="false">INDEX(libraries!$A:$A, MATCH(A88, libraries!$B:$B, 0), 1)</f>
        <v>lib0017</v>
      </c>
      <c r="I88" s="16" t="s">
        <v>526</v>
      </c>
      <c r="J88" s="44" t="e">
        <f aca="false">INDEX(#REF!, MATCH(B88, participants!$A:$A, 0), 1)</f>
        <v>#VALUE!</v>
      </c>
    </row>
    <row r="89" customFormat="false" ht="13.8" hidden="false" customHeight="false" outlineLevel="0" collapsed="false">
      <c r="A89" s="40" t="s">
        <v>1852</v>
      </c>
      <c r="B89" s="41" t="s">
        <v>653</v>
      </c>
      <c r="C89" s="8" t="s">
        <v>1759</v>
      </c>
      <c r="D89" s="8" t="s">
        <v>1697</v>
      </c>
      <c r="E89" s="8"/>
      <c r="F89" s="33"/>
      <c r="G89" s="42" t="str">
        <f aca="false">INDEX(participants!$I:$I, MATCH(B89, participants!$A:$A, 0), 1)</f>
        <v>js0070</v>
      </c>
      <c r="H89" s="30" t="str">
        <f aca="false">INDEX(libraries!$A:$A, MATCH(A89, libraries!$B:$B, 0), 1)</f>
        <v>lib0037</v>
      </c>
      <c r="I89" s="16" t="s">
        <v>526</v>
      </c>
      <c r="J89" s="44" t="e">
        <f aca="false">INDEX(#REF!, MATCH(B89, participants!$A:$A, 0), 1)</f>
        <v>#VALUE!</v>
      </c>
    </row>
    <row r="90" customFormat="false" ht="13.8" hidden="false" customHeight="false" outlineLevel="0" collapsed="false">
      <c r="A90" s="40" t="s">
        <v>1853</v>
      </c>
      <c r="B90" s="41" t="s">
        <v>656</v>
      </c>
      <c r="C90" s="8" t="s">
        <v>1854</v>
      </c>
      <c r="D90" s="8" t="s">
        <v>1697</v>
      </c>
      <c r="E90" s="8"/>
      <c r="F90" s="33"/>
      <c r="G90" s="42" t="str">
        <f aca="false">INDEX(participants!$I:$I, MATCH(B90, participants!$A:$A, 0), 1)</f>
        <v>js0071</v>
      </c>
      <c r="H90" s="30" t="str">
        <f aca="false">INDEX(libraries!$A:$A, MATCH(A90, libraries!$B:$B, 0), 1)</f>
        <v>lib0004</v>
      </c>
      <c r="I90" s="16" t="s">
        <v>526</v>
      </c>
      <c r="J90" s="44" t="e">
        <f aca="false">INDEX(#REF!, MATCH(B90, participants!$A:$A, 0), 1)</f>
        <v>#VALUE!</v>
      </c>
    </row>
    <row r="91" customFormat="false" ht="13.8" hidden="false" customHeight="false" outlineLevel="0" collapsed="false">
      <c r="A91" s="40" t="s">
        <v>1855</v>
      </c>
      <c r="B91" s="41" t="s">
        <v>1856</v>
      </c>
      <c r="C91" s="8" t="s">
        <v>1857</v>
      </c>
      <c r="D91" s="8" t="s">
        <v>1697</v>
      </c>
      <c r="E91" s="8"/>
      <c r="F91" s="33"/>
      <c r="G91" s="42" t="e">
        <f aca="false">INDEX(participants!$I:$I, MATCH(B91, participants!$A:$A, 0), 1)</f>
        <v>#N/A</v>
      </c>
      <c r="H91" s="30" t="str">
        <f aca="false">INDEX(libraries!$A:$A, MATCH(A91, libraries!$B:$B, 0), 1)</f>
        <v>lib0110</v>
      </c>
      <c r="I91" s="16" t="s">
        <v>486</v>
      </c>
      <c r="J91" s="44" t="e">
        <f aca="false">INDEX(#REF!, MATCH(B91, participants!$A:$A, 0), 1)</f>
        <v>#N/A</v>
      </c>
    </row>
    <row r="92" customFormat="false" ht="13.8" hidden="false" customHeight="false" outlineLevel="0" collapsed="false">
      <c r="A92" s="40" t="s">
        <v>1858</v>
      </c>
      <c r="B92" s="41" t="s">
        <v>1856</v>
      </c>
      <c r="C92" s="8" t="s">
        <v>1859</v>
      </c>
      <c r="D92" s="8" t="s">
        <v>1697</v>
      </c>
      <c r="E92" s="8"/>
      <c r="F92" s="33"/>
      <c r="G92" s="42" t="e">
        <f aca="false">INDEX(participants!$I:$I, MATCH(B92, participants!$A:$A, 0), 1)</f>
        <v>#N/A</v>
      </c>
      <c r="H92" s="42" t="str">
        <f aca="false">INDEX(libraries!$A:$A, MATCH(A92, libraries!$B:$B, 0), 1)</f>
        <v>lib0113</v>
      </c>
      <c r="I92" s="16" t="s">
        <v>486</v>
      </c>
      <c r="J92" s="44" t="e">
        <f aca="false">INDEX(#REF!, MATCH(B92, participants!$A:$A, 0), 1)</f>
        <v>#N/A</v>
      </c>
    </row>
    <row r="93" customFormat="false" ht="13.8" hidden="false" customHeight="false" outlineLevel="0" collapsed="false">
      <c r="A93" s="40" t="s">
        <v>1860</v>
      </c>
      <c r="B93" s="41" t="s">
        <v>1856</v>
      </c>
      <c r="C93" s="8" t="s">
        <v>1861</v>
      </c>
      <c r="D93" s="8" t="s">
        <v>1824</v>
      </c>
      <c r="E93" s="8"/>
      <c r="F93" s="33"/>
      <c r="G93" s="42" t="e">
        <f aca="false">INDEX(participants!$I:$I, MATCH(B93, participants!$A:$A, 0), 1)</f>
        <v>#N/A</v>
      </c>
      <c r="H93" s="42" t="str">
        <f aca="false">INDEX(libraries!$A:$A, MATCH(A93, libraries!$B:$B, 0), 1)</f>
        <v>lib0073</v>
      </c>
      <c r="I93" s="16" t="s">
        <v>486</v>
      </c>
      <c r="J93" s="44" t="e">
        <f aca="false">INDEX(#REF!, MATCH(B93, participants!$A:$A, 0), 1)</f>
        <v>#N/A</v>
      </c>
    </row>
    <row r="94" customFormat="false" ht="13.8" hidden="false" customHeight="false" outlineLevel="0" collapsed="false">
      <c r="A94" s="40" t="s">
        <v>1862</v>
      </c>
      <c r="B94" s="41" t="s">
        <v>1863</v>
      </c>
      <c r="C94" s="8" t="s">
        <v>1864</v>
      </c>
      <c r="D94" s="8" t="s">
        <v>1697</v>
      </c>
      <c r="E94" s="8"/>
      <c r="F94" s="33"/>
      <c r="G94" s="42" t="e">
        <f aca="false">INDEX(participants!$I:$I, MATCH(B94, participants!$A:$A, 0), 1)</f>
        <v>#N/A</v>
      </c>
      <c r="H94" s="42" t="str">
        <f aca="false">INDEX(libraries!$A:$A, MATCH(A94, libraries!$B:$B, 0), 1)</f>
        <v>lib0107</v>
      </c>
      <c r="I94" s="16" t="s">
        <v>486</v>
      </c>
      <c r="J94" s="44" t="e">
        <f aca="false">INDEX(#REF!, MATCH(B94, participants!$A:$A, 0), 1)</f>
        <v>#N/A</v>
      </c>
    </row>
    <row r="95" customFormat="false" ht="13.8" hidden="false" customHeight="false" outlineLevel="0" collapsed="false">
      <c r="A95" s="40" t="s">
        <v>1865</v>
      </c>
      <c r="B95" s="41" t="s">
        <v>690</v>
      </c>
      <c r="C95" s="8" t="s">
        <v>1866</v>
      </c>
      <c r="D95" s="8" t="s">
        <v>1697</v>
      </c>
      <c r="E95" s="8"/>
      <c r="F95" s="33"/>
      <c r="G95" s="42" t="str">
        <f aca="false">INDEX(participants!$I:$I, MATCH(B95, participants!$A:$A, 0), 1)</f>
        <v>nf487</v>
      </c>
      <c r="H95" s="42" t="str">
        <f aca="false">INDEX(libraries!$A:$A, MATCH(A95, libraries!$B:$B, 0), 1)</f>
        <v>lib0173</v>
      </c>
      <c r="I95" s="16" t="s">
        <v>486</v>
      </c>
      <c r="J95" s="44" t="e">
        <f aca="false">INDEX(#REF!, MATCH(B95, participants!$A:$A, 0), 1)</f>
        <v>#VALUE!</v>
      </c>
    </row>
    <row r="96" customFormat="false" ht="13.8" hidden="false" customHeight="false" outlineLevel="0" collapsed="false">
      <c r="A96" s="40" t="s">
        <v>1867</v>
      </c>
      <c r="B96" s="41" t="s">
        <v>690</v>
      </c>
      <c r="C96" s="8" t="s">
        <v>1868</v>
      </c>
      <c r="D96" s="8" t="s">
        <v>1697</v>
      </c>
      <c r="E96" s="8"/>
      <c r="F96" s="33"/>
      <c r="G96" s="42" t="str">
        <f aca="false">INDEX(participants!$I:$I, MATCH(B96, participants!$A:$A, 0), 1)</f>
        <v>nf487</v>
      </c>
      <c r="H96" s="42" t="str">
        <f aca="false">INDEX(libraries!$A:$A, MATCH(A96, libraries!$B:$B, 0), 1)</f>
        <v>lib0142</v>
      </c>
      <c r="I96" s="16" t="s">
        <v>486</v>
      </c>
      <c r="J96" s="44" t="e">
        <f aca="false">INDEX(#REF!, MATCH(B96, participants!$A:$A, 0), 1)</f>
        <v>#VALUE!</v>
      </c>
    </row>
    <row r="97" customFormat="false" ht="13.8" hidden="false" customHeight="false" outlineLevel="0" collapsed="false">
      <c r="A97" s="40" t="s">
        <v>1869</v>
      </c>
      <c r="B97" s="41" t="s">
        <v>690</v>
      </c>
      <c r="C97" s="8" t="s">
        <v>1870</v>
      </c>
      <c r="D97" s="8" t="s">
        <v>1697</v>
      </c>
      <c r="E97" s="8"/>
      <c r="F97" s="33"/>
      <c r="G97" s="42" t="str">
        <f aca="false">INDEX(participants!$I:$I, MATCH(B97, participants!$A:$A, 0), 1)</f>
        <v>nf487</v>
      </c>
      <c r="H97" s="42" t="str">
        <f aca="false">INDEX(libraries!$A:$A, MATCH(A97, libraries!$B:$B, 0), 1)</f>
        <v>lib0186</v>
      </c>
      <c r="I97" s="16" t="s">
        <v>486</v>
      </c>
      <c r="J97" s="44" t="e">
        <f aca="false">INDEX(#REF!, MATCH(B97, participants!$A:$A, 0), 1)</f>
        <v>#VALUE!</v>
      </c>
    </row>
    <row r="98" customFormat="false" ht="13.8" hidden="false" customHeight="false" outlineLevel="0" collapsed="false">
      <c r="A98" s="40" t="s">
        <v>1871</v>
      </c>
      <c r="B98" s="41" t="s">
        <v>730</v>
      </c>
      <c r="C98" s="8" t="s">
        <v>1872</v>
      </c>
      <c r="D98" s="8" t="s">
        <v>1697</v>
      </c>
      <c r="E98" s="8"/>
      <c r="F98" s="33"/>
      <c r="G98" s="42" t="str">
        <f aca="false">INDEX(participants!$I:$I, MATCH(B98, participants!$A:$A, 0), 1)</f>
        <v>nf509</v>
      </c>
      <c r="H98" s="42" t="str">
        <f aca="false">INDEX(libraries!$A:$A, MATCH(A98, libraries!$B:$B, 0), 1)</f>
        <v>lib0130</v>
      </c>
      <c r="I98" s="16" t="s">
        <v>526</v>
      </c>
      <c r="J98" s="44" t="e">
        <f aca="false">INDEX(#REF!, MATCH(B98, participants!$A:$A, 0), 1)</f>
        <v>#VALUE!</v>
      </c>
    </row>
    <row r="99" customFormat="false" ht="13.8" hidden="false" customHeight="false" outlineLevel="0" collapsed="false">
      <c r="A99" s="40" t="s">
        <v>1873</v>
      </c>
      <c r="B99" s="41" t="s">
        <v>734</v>
      </c>
      <c r="C99" s="8" t="s">
        <v>1874</v>
      </c>
      <c r="D99" s="8" t="s">
        <v>1697</v>
      </c>
      <c r="E99" s="8"/>
      <c r="F99" s="33"/>
      <c r="G99" s="42" t="str">
        <f aca="false">INDEX(participants!$I:$I, MATCH(B99, participants!$A:$A, 0), 1)</f>
        <v>nf510</v>
      </c>
      <c r="H99" s="42" t="str">
        <f aca="false">INDEX(libraries!$A:$A, MATCH(A99, libraries!$B:$B, 0), 1)</f>
        <v>lib0140</v>
      </c>
      <c r="I99" s="16" t="s">
        <v>526</v>
      </c>
      <c r="J99" s="44" t="e">
        <f aca="false">INDEX(#REF!, MATCH(B99, participants!$A:$A, 0), 1)</f>
        <v>#VALUE!</v>
      </c>
    </row>
    <row r="100" customFormat="false" ht="13.8" hidden="false" customHeight="false" outlineLevel="0" collapsed="false">
      <c r="A100" s="40" t="s">
        <v>1875</v>
      </c>
      <c r="B100" s="41" t="s">
        <v>739</v>
      </c>
      <c r="C100" s="8" t="s">
        <v>1876</v>
      </c>
      <c r="D100" s="8" t="s">
        <v>1697</v>
      </c>
      <c r="E100" s="8"/>
      <c r="F100" s="33"/>
      <c r="G100" s="42" t="str">
        <f aca="false">INDEX(participants!$I:$I, MATCH(B100, participants!$A:$A, 0), 1)</f>
        <v>nf514</v>
      </c>
      <c r="H100" s="42" t="str">
        <f aca="false">INDEX(libraries!$A:$A, MATCH(A100, libraries!$B:$B, 0), 1)</f>
        <v>lib0178</v>
      </c>
      <c r="I100" s="16" t="s">
        <v>526</v>
      </c>
      <c r="J100" s="44" t="e">
        <f aca="false">INDEX(#REF!, MATCH(B100, participants!$A:$A, 0), 1)</f>
        <v>#VALUE!</v>
      </c>
    </row>
    <row r="101" customFormat="false" ht="13.8" hidden="false" customHeight="false" outlineLevel="0" collapsed="false">
      <c r="A101" s="40" t="s">
        <v>1877</v>
      </c>
      <c r="B101" s="41" t="s">
        <v>743</v>
      </c>
      <c r="C101" s="8" t="s">
        <v>1878</v>
      </c>
      <c r="D101" s="8" t="s">
        <v>1697</v>
      </c>
      <c r="E101" s="8"/>
      <c r="F101" s="33"/>
      <c r="G101" s="42" t="str">
        <f aca="false">INDEX(participants!$I:$I, MATCH(B101, participants!$A:$A, 0), 1)</f>
        <v>nf531</v>
      </c>
      <c r="H101" s="42" t="str">
        <f aca="false">INDEX(libraries!$A:$A, MATCH(A101, libraries!$B:$B, 0), 1)</f>
        <v>lib0163</v>
      </c>
      <c r="I101" s="16" t="s">
        <v>526</v>
      </c>
      <c r="J101" s="44" t="e">
        <f aca="false">INDEX(#REF!, MATCH(B101, participants!$A:$A, 0), 1)</f>
        <v>#VALUE!</v>
      </c>
    </row>
    <row r="102" customFormat="false" ht="13.8" hidden="false" customHeight="false" outlineLevel="0" collapsed="false">
      <c r="A102" s="40" t="s">
        <v>1879</v>
      </c>
      <c r="B102" s="41" t="s">
        <v>748</v>
      </c>
      <c r="C102" s="8" t="s">
        <v>1880</v>
      </c>
      <c r="D102" s="8" t="s">
        <v>1697</v>
      </c>
      <c r="E102" s="8"/>
      <c r="F102" s="33"/>
      <c r="G102" s="42" t="str">
        <f aca="false">INDEX(participants!$I:$I, MATCH(B102, participants!$A:$A, 0), 1)</f>
        <v>nf536</v>
      </c>
      <c r="H102" s="42" t="str">
        <f aca="false">INDEX(libraries!$A:$A, MATCH(A102, libraries!$B:$B, 0), 1)</f>
        <v>lib0166</v>
      </c>
      <c r="I102" s="16" t="s">
        <v>752</v>
      </c>
      <c r="J102" s="44" t="e">
        <f aca="false">INDEX(#REF!, MATCH(B102, participants!$A:$A, 0), 1)</f>
        <v>#VALUE!</v>
      </c>
    </row>
    <row r="103" customFormat="false" ht="13.8" hidden="false" customHeight="false" outlineLevel="0" collapsed="false">
      <c r="A103" s="40" t="s">
        <v>1881</v>
      </c>
      <c r="B103" s="41" t="s">
        <v>754</v>
      </c>
      <c r="C103" s="8" t="s">
        <v>1882</v>
      </c>
      <c r="D103" s="8" t="s">
        <v>1697</v>
      </c>
      <c r="E103" s="8"/>
      <c r="F103" s="33"/>
      <c r="G103" s="42" t="str">
        <f aca="false">INDEX(participants!$I:$I, MATCH(B103, participants!$A:$A, 0), 1)</f>
        <v>nf539</v>
      </c>
      <c r="H103" s="42" t="str">
        <f aca="false">INDEX(libraries!$A:$A, MATCH(A103, libraries!$B:$B, 0), 1)</f>
        <v>lib0122</v>
      </c>
      <c r="I103" s="16" t="s">
        <v>526</v>
      </c>
      <c r="J103" s="44" t="e">
        <f aca="false">INDEX(#REF!, MATCH(B103, participants!$A:$A, 0), 1)</f>
        <v>#VALUE!</v>
      </c>
    </row>
    <row r="104" customFormat="false" ht="13.8" hidden="false" customHeight="false" outlineLevel="0" collapsed="false">
      <c r="A104" s="40" t="s">
        <v>1883</v>
      </c>
      <c r="B104" s="41" t="s">
        <v>754</v>
      </c>
      <c r="C104" s="8" t="s">
        <v>1884</v>
      </c>
      <c r="D104" s="8" t="s">
        <v>1697</v>
      </c>
      <c r="E104" s="8"/>
      <c r="F104" s="33"/>
      <c r="G104" s="42" t="str">
        <f aca="false">INDEX(participants!$I:$I, MATCH(B104, participants!$A:$A, 0), 1)</f>
        <v>nf539</v>
      </c>
      <c r="H104" s="42" t="str">
        <f aca="false">INDEX(libraries!$A:$A, MATCH(A104, libraries!$B:$B, 0), 1)</f>
        <v>lib0128</v>
      </c>
      <c r="I104" s="16" t="s">
        <v>526</v>
      </c>
      <c r="J104" s="44" t="e">
        <f aca="false">INDEX(#REF!, MATCH(B104, participants!$A:$A, 0), 1)</f>
        <v>#VALUE!</v>
      </c>
    </row>
    <row r="105" customFormat="false" ht="13.8" hidden="false" customHeight="false" outlineLevel="0" collapsed="false">
      <c r="A105" s="40" t="s">
        <v>1885</v>
      </c>
      <c r="B105" s="41" t="s">
        <v>759</v>
      </c>
      <c r="C105" s="8" t="s">
        <v>1886</v>
      </c>
      <c r="D105" s="8" t="s">
        <v>1697</v>
      </c>
      <c r="E105" s="8"/>
      <c r="F105" s="33"/>
      <c r="G105" s="42" t="str">
        <f aca="false">INDEX(participants!$I:$I, MATCH(B105, participants!$A:$A, 0), 1)</f>
        <v>nf544</v>
      </c>
      <c r="H105" s="42" t="str">
        <f aca="false">INDEX(libraries!$A:$A, MATCH(A105, libraries!$B:$B, 0), 1)</f>
        <v>lib0131</v>
      </c>
      <c r="I105" s="16" t="s">
        <v>526</v>
      </c>
      <c r="J105" s="44" t="e">
        <f aca="false">INDEX(#REF!, MATCH(B105, participants!$A:$A, 0), 1)</f>
        <v>#VALUE!</v>
      </c>
    </row>
    <row r="106" customFormat="false" ht="13.8" hidden="false" customHeight="false" outlineLevel="0" collapsed="false">
      <c r="A106" s="40" t="s">
        <v>1887</v>
      </c>
      <c r="B106" s="41" t="s">
        <v>694</v>
      </c>
      <c r="C106" s="8" t="s">
        <v>1888</v>
      </c>
      <c r="D106" s="8" t="s">
        <v>1697</v>
      </c>
      <c r="E106" s="8"/>
      <c r="F106" s="33"/>
      <c r="G106" s="42" t="str">
        <f aca="false">INDEX(participants!$I:$I, MATCH(B106, participants!$A:$A, 0), 1)</f>
        <v>nf561</v>
      </c>
      <c r="H106" s="42" t="str">
        <f aca="false">INDEX(libraries!$A:$A, MATCH(A106, libraries!$B:$B, 0), 1)</f>
        <v>lib0184</v>
      </c>
      <c r="I106" s="16" t="s">
        <v>486</v>
      </c>
      <c r="J106" s="44" t="e">
        <f aca="false">INDEX(#REF!, MATCH(B106, participants!$A:$A, 0), 1)</f>
        <v>#VALUE!</v>
      </c>
    </row>
    <row r="107" customFormat="false" ht="13.8" hidden="false" customHeight="false" outlineLevel="0" collapsed="false">
      <c r="A107" s="40" t="s">
        <v>1889</v>
      </c>
      <c r="B107" s="41" t="s">
        <v>694</v>
      </c>
      <c r="C107" s="8" t="s">
        <v>1890</v>
      </c>
      <c r="D107" s="8" t="s">
        <v>1697</v>
      </c>
      <c r="E107" s="8"/>
      <c r="F107" s="33"/>
      <c r="G107" s="42" t="str">
        <f aca="false">INDEX(participants!$I:$I, MATCH(B107, participants!$A:$A, 0), 1)</f>
        <v>nf561</v>
      </c>
      <c r="H107" s="42" t="str">
        <f aca="false">INDEX(libraries!$A:$A, MATCH(A107, libraries!$B:$B, 0), 1)</f>
        <v>lib0187</v>
      </c>
      <c r="I107" s="16" t="s">
        <v>486</v>
      </c>
      <c r="J107" s="44" t="e">
        <f aca="false">INDEX(#REF!, MATCH(B107, participants!$A:$A, 0), 1)</f>
        <v>#VALUE!</v>
      </c>
    </row>
    <row r="108" customFormat="false" ht="13.8" hidden="false" customHeight="false" outlineLevel="0" collapsed="false">
      <c r="A108" s="40" t="s">
        <v>1891</v>
      </c>
      <c r="B108" s="41" t="s">
        <v>694</v>
      </c>
      <c r="C108" s="8" t="s">
        <v>1886</v>
      </c>
      <c r="D108" s="8" t="s">
        <v>1697</v>
      </c>
      <c r="E108" s="8"/>
      <c r="F108" s="33"/>
      <c r="G108" s="42" t="str">
        <f aca="false">INDEX(participants!$I:$I, MATCH(B108, participants!$A:$A, 0), 1)</f>
        <v>nf561</v>
      </c>
      <c r="H108" s="42" t="str">
        <f aca="false">INDEX(libraries!$A:$A, MATCH(A108, libraries!$B:$B, 0), 1)</f>
        <v>lib0180</v>
      </c>
      <c r="I108" s="16" t="s">
        <v>486</v>
      </c>
      <c r="J108" s="44" t="e">
        <f aca="false">INDEX(#REF!, MATCH(B108, participants!$A:$A, 0), 1)</f>
        <v>#VALUE!</v>
      </c>
    </row>
    <row r="109" customFormat="false" ht="13.8" hidden="false" customHeight="false" outlineLevel="0" collapsed="false">
      <c r="A109" s="40" t="s">
        <v>1892</v>
      </c>
      <c r="B109" s="41" t="s">
        <v>694</v>
      </c>
      <c r="C109" s="8" t="s">
        <v>1893</v>
      </c>
      <c r="D109" s="8" t="s">
        <v>1697</v>
      </c>
      <c r="E109" s="8"/>
      <c r="F109" s="33"/>
      <c r="G109" s="42" t="str">
        <f aca="false">INDEX(participants!$I:$I, MATCH(B109, participants!$A:$A, 0), 1)</f>
        <v>nf561</v>
      </c>
      <c r="H109" s="42" t="str">
        <f aca="false">INDEX(libraries!$A:$A, MATCH(A109, libraries!$B:$B, 0), 1)</f>
        <v>lib0143</v>
      </c>
      <c r="I109" s="16" t="s">
        <v>486</v>
      </c>
      <c r="J109" s="44" t="e">
        <f aca="false">INDEX(#REF!, MATCH(B109, participants!$A:$A, 0), 1)</f>
        <v>#VALUE!</v>
      </c>
    </row>
    <row r="110" customFormat="false" ht="13.8" hidden="false" customHeight="false" outlineLevel="0" collapsed="false">
      <c r="A110" s="40" t="s">
        <v>1894</v>
      </c>
      <c r="B110" s="41" t="s">
        <v>694</v>
      </c>
      <c r="C110" s="8" t="s">
        <v>1895</v>
      </c>
      <c r="D110" s="8" t="s">
        <v>1697</v>
      </c>
      <c r="E110" s="8"/>
      <c r="F110" s="33"/>
      <c r="G110" s="42" t="str">
        <f aca="false">INDEX(participants!$I:$I, MATCH(B110, participants!$A:$A, 0), 1)</f>
        <v>nf561</v>
      </c>
      <c r="H110" s="42" t="str">
        <f aca="false">INDEX(libraries!$A:$A, MATCH(A110, libraries!$B:$B, 0), 1)</f>
        <v>lib0179</v>
      </c>
      <c r="I110" s="16" t="s">
        <v>1896</v>
      </c>
      <c r="J110" s="44" t="e">
        <f aca="false">INDEX(#REF!, MATCH(B110, participants!$A:$A, 0), 1)</f>
        <v>#VALUE!</v>
      </c>
    </row>
    <row r="111" customFormat="false" ht="13.8" hidden="false" customHeight="false" outlineLevel="0" collapsed="false">
      <c r="A111" s="40" t="s">
        <v>1897</v>
      </c>
      <c r="B111" s="41" t="s">
        <v>694</v>
      </c>
      <c r="C111" s="8" t="s">
        <v>1898</v>
      </c>
      <c r="D111" s="8" t="s">
        <v>1824</v>
      </c>
      <c r="E111" s="8"/>
      <c r="F111" s="33"/>
      <c r="G111" s="42" t="str">
        <f aca="false">INDEX(participants!$I:$I, MATCH(B111, participants!$A:$A, 0), 1)</f>
        <v>nf561</v>
      </c>
      <c r="H111" s="42" t="str">
        <f aca="false">INDEX(libraries!$A:$A, MATCH(A111, libraries!$B:$B, 0), 1)</f>
        <v>lib0135</v>
      </c>
      <c r="I111" s="16" t="s">
        <v>486</v>
      </c>
      <c r="J111" s="44" t="e">
        <f aca="false">INDEX(#REF!, MATCH(B111, participants!$A:$A, 0), 1)</f>
        <v>#VALUE!</v>
      </c>
    </row>
    <row r="112" customFormat="false" ht="13.8" hidden="false" customHeight="false" outlineLevel="0" collapsed="false">
      <c r="A112" s="40" t="s">
        <v>1899</v>
      </c>
      <c r="B112" s="41" t="s">
        <v>694</v>
      </c>
      <c r="C112" s="8" t="s">
        <v>1900</v>
      </c>
      <c r="D112" s="8" t="s">
        <v>1697</v>
      </c>
      <c r="E112" s="8"/>
      <c r="F112" s="33"/>
      <c r="G112" s="42" t="str">
        <f aca="false">INDEX(participants!$I:$I, MATCH(B112, participants!$A:$A, 0), 1)</f>
        <v>nf561</v>
      </c>
      <c r="H112" s="42" t="str">
        <f aca="false">INDEX(libraries!$A:$A, MATCH(A112, libraries!$B:$B, 0), 1)</f>
        <v>lib0153</v>
      </c>
      <c r="I112" s="16" t="s">
        <v>1896</v>
      </c>
      <c r="J112" s="44" t="e">
        <f aca="false">INDEX(#REF!, MATCH(B112, participants!$A:$A, 0), 1)</f>
        <v>#VALUE!</v>
      </c>
    </row>
    <row r="113" customFormat="false" ht="13.8" hidden="false" customHeight="false" outlineLevel="0" collapsed="false">
      <c r="A113" s="40" t="s">
        <v>1901</v>
      </c>
      <c r="B113" s="41" t="s">
        <v>694</v>
      </c>
      <c r="C113" s="8" t="s">
        <v>1902</v>
      </c>
      <c r="D113" s="8" t="s">
        <v>1697</v>
      </c>
      <c r="E113" s="8"/>
      <c r="F113" s="33"/>
      <c r="G113" s="42" t="str">
        <f aca="false">INDEX(participants!$I:$I, MATCH(B113, participants!$A:$A, 0), 1)</f>
        <v>nf561</v>
      </c>
      <c r="H113" s="42" t="str">
        <f aca="false">INDEX(libraries!$A:$A, MATCH(A113, libraries!$B:$B, 0), 1)</f>
        <v>lib0119</v>
      </c>
      <c r="I113" s="16" t="s">
        <v>1896</v>
      </c>
      <c r="J113" s="44" t="e">
        <f aca="false">INDEX(#REF!, MATCH(B113, participants!$A:$A, 0), 1)</f>
        <v>#VALUE!</v>
      </c>
    </row>
    <row r="114" customFormat="false" ht="13.8" hidden="false" customHeight="false" outlineLevel="0" collapsed="false">
      <c r="A114" s="40" t="s">
        <v>1903</v>
      </c>
      <c r="B114" s="41" t="s">
        <v>700</v>
      </c>
      <c r="C114" s="8" t="s">
        <v>1904</v>
      </c>
      <c r="D114" s="8" t="s">
        <v>1697</v>
      </c>
      <c r="E114" s="8"/>
      <c r="F114" s="33"/>
      <c r="G114" s="42" t="str">
        <f aca="false">INDEX(participants!$I:$I, MATCH(B114, participants!$A:$A, 0), 1)</f>
        <v>nf564</v>
      </c>
      <c r="H114" s="42" t="str">
        <f aca="false">INDEX(libraries!$A:$A, MATCH(A114, libraries!$B:$B, 0), 1)</f>
        <v>lib0175</v>
      </c>
      <c r="I114" s="16" t="s">
        <v>486</v>
      </c>
      <c r="J114" s="44" t="e">
        <f aca="false">INDEX(#REF!, MATCH(B114, participants!$A:$A, 0), 1)</f>
        <v>#VALUE!</v>
      </c>
    </row>
    <row r="115" customFormat="false" ht="13.8" hidden="false" customHeight="false" outlineLevel="0" collapsed="false">
      <c r="A115" s="40" t="s">
        <v>1905</v>
      </c>
      <c r="B115" s="41" t="s">
        <v>700</v>
      </c>
      <c r="C115" s="8" t="s">
        <v>1868</v>
      </c>
      <c r="D115" s="8" t="s">
        <v>1697</v>
      </c>
      <c r="E115" s="8"/>
      <c r="F115" s="33"/>
      <c r="G115" s="42" t="str">
        <f aca="false">INDEX(participants!$I:$I, MATCH(B115, participants!$A:$A, 0), 1)</f>
        <v>nf564</v>
      </c>
      <c r="H115" s="30" t="str">
        <f aca="false">INDEX(libraries!$A:$A, MATCH(A115, libraries!$B:$B, 0), 1)</f>
        <v>lib0198</v>
      </c>
      <c r="I115" s="16" t="s">
        <v>486</v>
      </c>
      <c r="J115" s="44" t="e">
        <f aca="false">INDEX(#REF!, MATCH(B115, participants!$A:$A, 0), 1)</f>
        <v>#VALUE!</v>
      </c>
    </row>
    <row r="116" customFormat="false" ht="13.8" hidden="false" customHeight="false" outlineLevel="0" collapsed="false">
      <c r="A116" s="40" t="s">
        <v>1906</v>
      </c>
      <c r="B116" s="41" t="s">
        <v>700</v>
      </c>
      <c r="C116" s="8" t="s">
        <v>1907</v>
      </c>
      <c r="D116" s="8" t="s">
        <v>1697</v>
      </c>
      <c r="E116" s="8"/>
      <c r="F116" s="33"/>
      <c r="G116" s="42" t="str">
        <f aca="false">INDEX(participants!$I:$I, MATCH(B116, participants!$A:$A, 0), 1)</f>
        <v>nf564</v>
      </c>
      <c r="H116" s="30" t="str">
        <f aca="false">INDEX(libraries!$A:$A, MATCH(A116, libraries!$B:$B, 0), 1)</f>
        <v>lib0138</v>
      </c>
      <c r="I116" s="16" t="s">
        <v>486</v>
      </c>
      <c r="J116" s="44" t="e">
        <f aca="false">INDEX(#REF!, MATCH(B116, participants!$A:$A, 0), 1)</f>
        <v>#VALUE!</v>
      </c>
    </row>
    <row r="117" customFormat="false" ht="13.8" hidden="false" customHeight="false" outlineLevel="0" collapsed="false">
      <c r="A117" s="40" t="s">
        <v>1908</v>
      </c>
      <c r="B117" s="41" t="s">
        <v>700</v>
      </c>
      <c r="C117" s="8" t="s">
        <v>1909</v>
      </c>
      <c r="D117" s="8" t="s">
        <v>1697</v>
      </c>
      <c r="E117" s="8"/>
      <c r="F117" s="33"/>
      <c r="G117" s="42" t="str">
        <f aca="false">INDEX(participants!$I:$I, MATCH(B117, participants!$A:$A, 0), 1)</f>
        <v>nf564</v>
      </c>
      <c r="H117" s="30" t="str">
        <f aca="false">INDEX(libraries!$A:$A, MATCH(A117, libraries!$B:$B, 0), 1)</f>
        <v>lib0183</v>
      </c>
      <c r="I117" s="16" t="s">
        <v>486</v>
      </c>
      <c r="J117" s="44" t="e">
        <f aca="false">INDEX(#REF!, MATCH(B117, participants!$A:$A, 0), 1)</f>
        <v>#VALUE!</v>
      </c>
    </row>
    <row r="118" customFormat="false" ht="13.8" hidden="false" customHeight="false" outlineLevel="0" collapsed="false">
      <c r="A118" s="40" t="s">
        <v>1910</v>
      </c>
      <c r="B118" s="41" t="s">
        <v>763</v>
      </c>
      <c r="C118" s="8" t="s">
        <v>1911</v>
      </c>
      <c r="D118" s="8" t="s">
        <v>1697</v>
      </c>
      <c r="E118" s="8"/>
      <c r="F118" s="33"/>
      <c r="G118" s="42" t="str">
        <f aca="false">INDEX(participants!$I:$I, MATCH(B118, participants!$A:$A, 0), 1)</f>
        <v>nf569</v>
      </c>
      <c r="H118" s="30" t="str">
        <f aca="false">INDEX(libraries!$A:$A, MATCH(A118, libraries!$B:$B, 0), 1)</f>
        <v>lib0197</v>
      </c>
      <c r="I118" s="16" t="s">
        <v>526</v>
      </c>
      <c r="J118" s="44" t="e">
        <f aca="false">INDEX(#REF!, MATCH(B118, participants!$A:$A, 0), 1)</f>
        <v>#VALUE!</v>
      </c>
    </row>
    <row r="119" customFormat="false" ht="13.8" hidden="false" customHeight="false" outlineLevel="0" collapsed="false">
      <c r="A119" s="40" t="s">
        <v>1912</v>
      </c>
      <c r="B119" s="41" t="s">
        <v>705</v>
      </c>
      <c r="C119" s="8" t="s">
        <v>1913</v>
      </c>
      <c r="D119" s="8" t="s">
        <v>1697</v>
      </c>
      <c r="E119" s="8"/>
      <c r="F119" s="33"/>
      <c r="G119" s="42" t="str">
        <f aca="false">INDEX(participants!$I:$I, MATCH(B119, participants!$A:$A, 0), 1)</f>
        <v>nf570</v>
      </c>
      <c r="H119" s="30" t="str">
        <f aca="false">INDEX(libraries!$A:$A, MATCH(A119, libraries!$B:$B, 0), 1)</f>
        <v>lib0156</v>
      </c>
      <c r="I119" s="16" t="s">
        <v>486</v>
      </c>
      <c r="J119" s="44" t="e">
        <f aca="false">INDEX(#REF!, MATCH(B119, participants!$A:$A, 0), 1)</f>
        <v>#VALUE!</v>
      </c>
    </row>
    <row r="120" customFormat="false" ht="13.8" hidden="false" customHeight="false" outlineLevel="0" collapsed="false">
      <c r="A120" s="40" t="s">
        <v>1914</v>
      </c>
      <c r="B120" s="41" t="s">
        <v>705</v>
      </c>
      <c r="C120" s="8" t="s">
        <v>1907</v>
      </c>
      <c r="D120" s="8" t="s">
        <v>1697</v>
      </c>
      <c r="E120" s="8"/>
      <c r="F120" s="33"/>
      <c r="G120" s="42" t="str">
        <f aca="false">INDEX(participants!$I:$I, MATCH(B120, participants!$A:$A, 0), 1)</f>
        <v>nf570</v>
      </c>
      <c r="H120" s="30" t="str">
        <f aca="false">INDEX(libraries!$A:$A, MATCH(A120, libraries!$B:$B, 0), 1)</f>
        <v>lib0160</v>
      </c>
      <c r="I120" s="16" t="s">
        <v>486</v>
      </c>
      <c r="J120" s="44" t="e">
        <f aca="false">INDEX(#REF!, MATCH(B120, participants!$A:$A, 0), 1)</f>
        <v>#VALUE!</v>
      </c>
    </row>
    <row r="121" customFormat="false" ht="13.8" hidden="false" customHeight="false" outlineLevel="0" collapsed="false">
      <c r="A121" s="40" t="s">
        <v>1915</v>
      </c>
      <c r="B121" s="41" t="s">
        <v>705</v>
      </c>
      <c r="C121" s="8" t="s">
        <v>1909</v>
      </c>
      <c r="D121" s="8" t="s">
        <v>1697</v>
      </c>
      <c r="E121" s="8"/>
      <c r="F121" s="33"/>
      <c r="G121" s="42" t="str">
        <f aca="false">INDEX(participants!$I:$I, MATCH(B121, participants!$A:$A, 0), 1)</f>
        <v>nf570</v>
      </c>
      <c r="H121" s="30" t="str">
        <f aca="false">INDEX(libraries!$A:$A, MATCH(A121, libraries!$B:$B, 0), 1)</f>
        <v>lib0205</v>
      </c>
      <c r="I121" s="16" t="s">
        <v>486</v>
      </c>
      <c r="J121" s="44" t="e">
        <f aca="false">INDEX(#REF!, MATCH(B121, participants!$A:$A, 0), 1)</f>
        <v>#VALUE!</v>
      </c>
    </row>
    <row r="122" customFormat="false" ht="13.8" hidden="false" customHeight="false" outlineLevel="0" collapsed="false">
      <c r="A122" s="40" t="s">
        <v>1916</v>
      </c>
      <c r="B122" s="41" t="s">
        <v>772</v>
      </c>
      <c r="C122" s="8" t="s">
        <v>1917</v>
      </c>
      <c r="D122" s="8" t="s">
        <v>1697</v>
      </c>
      <c r="E122" s="8"/>
      <c r="F122" s="33"/>
      <c r="G122" s="42" t="str">
        <f aca="false">INDEX(participants!$I:$I, MATCH(B122, participants!$A:$A, 0), 1)</f>
        <v>nf574</v>
      </c>
      <c r="H122" s="30" t="str">
        <f aca="false">INDEX(libraries!$A:$A, MATCH(A122, libraries!$B:$B, 0), 1)</f>
        <v>lib0139</v>
      </c>
      <c r="I122" s="16" t="s">
        <v>526</v>
      </c>
      <c r="J122" s="44" t="e">
        <f aca="false">INDEX(#REF!, MATCH(B122, participants!$A:$A, 0), 1)</f>
        <v>#VALUE!</v>
      </c>
    </row>
    <row r="123" customFormat="false" ht="13.8" hidden="false" customHeight="false" outlineLevel="0" collapsed="false">
      <c r="A123" s="40" t="s">
        <v>1918</v>
      </c>
      <c r="B123" s="41" t="s">
        <v>776</v>
      </c>
      <c r="C123" s="8" t="s">
        <v>1886</v>
      </c>
      <c r="D123" s="8" t="s">
        <v>1697</v>
      </c>
      <c r="E123" s="8"/>
      <c r="F123" s="33"/>
      <c r="G123" s="42" t="str">
        <f aca="false">INDEX(participants!$I:$I, MATCH(B123, participants!$A:$A, 0), 1)</f>
        <v>nf575</v>
      </c>
      <c r="H123" s="30" t="str">
        <f aca="false">INDEX(libraries!$A:$A, MATCH(A123, libraries!$B:$B, 0), 1)</f>
        <v>lib0193</v>
      </c>
      <c r="I123" s="16" t="s">
        <v>526</v>
      </c>
      <c r="J123" s="44" t="e">
        <f aca="false">INDEX(#REF!, MATCH(B123, participants!$A:$A, 0), 1)</f>
        <v>#VALUE!</v>
      </c>
    </row>
    <row r="124" customFormat="false" ht="13.8" hidden="false" customHeight="false" outlineLevel="0" collapsed="false">
      <c r="A124" s="40" t="s">
        <v>1919</v>
      </c>
      <c r="B124" s="41" t="s">
        <v>1920</v>
      </c>
      <c r="C124" s="8" t="s">
        <v>1921</v>
      </c>
      <c r="D124" s="8" t="s">
        <v>1697</v>
      </c>
      <c r="E124" s="8"/>
      <c r="F124" s="33"/>
      <c r="G124" s="42" t="e">
        <f aca="false">INDEX(participants!$I:$I, MATCH(B124, participants!$A:$A, 0), 1)</f>
        <v>#N/A</v>
      </c>
      <c r="H124" s="30" t="str">
        <f aca="false">INDEX(libraries!$A:$A, MATCH(A124, libraries!$B:$B, 0), 1)</f>
        <v>lib0136</v>
      </c>
      <c r="I124" s="16" t="s">
        <v>526</v>
      </c>
      <c r="J124" s="44" t="e">
        <f aca="false">INDEX(#REF!, MATCH(B124, participants!$A:$A, 0), 1)</f>
        <v>#N/A</v>
      </c>
    </row>
    <row r="125" customFormat="false" ht="13.8" hidden="false" customHeight="false" outlineLevel="0" collapsed="false">
      <c r="A125" s="40" t="s">
        <v>1922</v>
      </c>
      <c r="B125" s="41" t="s">
        <v>1923</v>
      </c>
      <c r="C125" s="8" t="s">
        <v>1924</v>
      </c>
      <c r="D125" s="8" t="s">
        <v>1697</v>
      </c>
      <c r="E125" s="8"/>
      <c r="F125" s="33"/>
      <c r="G125" s="42" t="e">
        <f aca="false">INDEX(participants!$I:$I, MATCH(B125, participants!$A:$A, 0), 1)</f>
        <v>#N/A</v>
      </c>
      <c r="H125" s="30" t="str">
        <f aca="false">INDEX(libraries!$A:$A, MATCH(A125, libraries!$B:$B, 0), 1)</f>
        <v>lib0169</v>
      </c>
      <c r="I125" s="16" t="s">
        <v>526</v>
      </c>
      <c r="J125" s="44" t="e">
        <f aca="false">INDEX(#REF!, MATCH(B125, participants!$A:$A, 0), 1)</f>
        <v>#N/A</v>
      </c>
    </row>
    <row r="126" customFormat="false" ht="13.8" hidden="false" customHeight="false" outlineLevel="0" collapsed="false">
      <c r="A126" s="40" t="s">
        <v>1925</v>
      </c>
      <c r="B126" s="41" t="s">
        <v>1926</v>
      </c>
      <c r="C126" s="8" t="s">
        <v>1927</v>
      </c>
      <c r="D126" s="8" t="s">
        <v>1697</v>
      </c>
      <c r="E126" s="8"/>
      <c r="F126" s="33"/>
      <c r="G126" s="42" t="e">
        <f aca="false">INDEX(participants!$I:$I, MATCH(B126, participants!$A:$A, 0), 1)</f>
        <v>#N/A</v>
      </c>
      <c r="H126" s="30" t="str">
        <f aca="false">INDEX(libraries!$A:$A, MATCH(A126, libraries!$B:$B, 0), 1)</f>
        <v>lib0185</v>
      </c>
      <c r="I126" s="16" t="s">
        <v>486</v>
      </c>
      <c r="J126" s="44" t="e">
        <f aca="false">INDEX(#REF!, MATCH(B126, participants!$A:$A, 0), 1)</f>
        <v>#N/A</v>
      </c>
    </row>
    <row r="127" customFormat="false" ht="13.8" hidden="false" customHeight="false" outlineLevel="0" collapsed="false">
      <c r="A127" s="40" t="s">
        <v>1928</v>
      </c>
      <c r="B127" s="41" t="s">
        <v>1926</v>
      </c>
      <c r="C127" s="8" t="s">
        <v>1929</v>
      </c>
      <c r="D127" s="8" t="s">
        <v>1697</v>
      </c>
      <c r="E127" s="8"/>
      <c r="F127" s="33"/>
      <c r="G127" s="42" t="e">
        <f aca="false">INDEX(participants!$I:$I, MATCH(B127, participants!$A:$A, 0), 1)</f>
        <v>#N/A</v>
      </c>
      <c r="H127" s="30" t="str">
        <f aca="false">INDEX(libraries!$A:$A, MATCH(A127, libraries!$B:$B, 0), 1)</f>
        <v>lib0158</v>
      </c>
      <c r="I127" s="16" t="s">
        <v>486</v>
      </c>
      <c r="J127" s="44" t="e">
        <f aca="false">INDEX(#REF!, MATCH(B127, participants!$A:$A, 0), 1)</f>
        <v>#N/A</v>
      </c>
    </row>
    <row r="128" customFormat="false" ht="13.8" hidden="false" customHeight="false" outlineLevel="0" collapsed="false">
      <c r="A128" s="40" t="s">
        <v>1930</v>
      </c>
      <c r="B128" s="41" t="s">
        <v>711</v>
      </c>
      <c r="C128" s="8" t="s">
        <v>1931</v>
      </c>
      <c r="D128" s="8" t="s">
        <v>1697</v>
      </c>
      <c r="E128" s="8"/>
      <c r="F128" s="33"/>
      <c r="G128" s="42" t="str">
        <f aca="false">INDEX(participants!$I:$I, MATCH(B128, participants!$A:$A, 0), 1)</f>
        <v>nf583</v>
      </c>
      <c r="H128" s="30" t="str">
        <f aca="false">INDEX(libraries!$A:$A, MATCH(A128, libraries!$B:$B, 0), 1)</f>
        <v>lib0149</v>
      </c>
      <c r="I128" s="16" t="s">
        <v>486</v>
      </c>
      <c r="J128" s="44" t="e">
        <f aca="false">INDEX(#REF!, MATCH(B128, participants!$A:$A, 0), 1)</f>
        <v>#VALUE!</v>
      </c>
    </row>
    <row r="129" customFormat="false" ht="13.8" hidden="false" customHeight="false" outlineLevel="0" collapsed="false">
      <c r="A129" s="40" t="s">
        <v>1932</v>
      </c>
      <c r="B129" s="41" t="s">
        <v>717</v>
      </c>
      <c r="C129" s="8" t="s">
        <v>1933</v>
      </c>
      <c r="D129" s="8" t="s">
        <v>1697</v>
      </c>
      <c r="E129" s="8"/>
      <c r="F129" s="33"/>
      <c r="G129" s="42" t="str">
        <f aca="false">INDEX(participants!$I:$I, MATCH(B129, participants!$A:$A, 0), 1)</f>
        <v>nf585</v>
      </c>
      <c r="H129" s="30" t="str">
        <f aca="false">INDEX(libraries!$A:$A, MATCH(A129, libraries!$B:$B, 0), 1)</f>
        <v>lib0152</v>
      </c>
      <c r="I129" s="16" t="s">
        <v>486</v>
      </c>
      <c r="J129" s="44" t="e">
        <f aca="false">INDEX(#REF!, MATCH(B129, participants!$A:$A, 0), 1)</f>
        <v>#VALUE!</v>
      </c>
    </row>
    <row r="130" customFormat="false" ht="13.8" hidden="false" customHeight="false" outlineLevel="0" collapsed="false">
      <c r="A130" s="40" t="s">
        <v>1934</v>
      </c>
      <c r="B130" s="41" t="s">
        <v>717</v>
      </c>
      <c r="C130" s="8" t="s">
        <v>1935</v>
      </c>
      <c r="D130" s="8" t="s">
        <v>1697</v>
      </c>
      <c r="E130" s="8"/>
      <c r="F130" s="33"/>
      <c r="G130" s="42" t="str">
        <f aca="false">INDEX(participants!$I:$I, MATCH(B130, participants!$A:$A, 0), 1)</f>
        <v>nf585</v>
      </c>
      <c r="H130" s="30" t="str">
        <f aca="false">INDEX(libraries!$A:$A, MATCH(A130, libraries!$B:$B, 0), 1)</f>
        <v>lib0172</v>
      </c>
      <c r="I130" s="16" t="s">
        <v>486</v>
      </c>
      <c r="J130" s="44" t="e">
        <f aca="false">INDEX(#REF!, MATCH(B130, participants!$A:$A, 0), 1)</f>
        <v>#VALUE!</v>
      </c>
    </row>
    <row r="131" customFormat="false" ht="13.8" hidden="false" customHeight="false" outlineLevel="0" collapsed="false">
      <c r="A131" s="40" t="s">
        <v>1936</v>
      </c>
      <c r="B131" s="41" t="s">
        <v>717</v>
      </c>
      <c r="C131" s="8" t="s">
        <v>1937</v>
      </c>
      <c r="D131" s="8" t="s">
        <v>1697</v>
      </c>
      <c r="E131" s="8"/>
      <c r="F131" s="33"/>
      <c r="G131" s="42" t="str">
        <f aca="false">INDEX(participants!$I:$I, MATCH(B131, participants!$A:$A, 0), 1)</f>
        <v>nf585</v>
      </c>
      <c r="H131" s="30" t="str">
        <f aca="false">INDEX(libraries!$A:$A, MATCH(A131, libraries!$B:$B, 0), 1)</f>
        <v>lib0141</v>
      </c>
      <c r="I131" s="16" t="s">
        <v>486</v>
      </c>
      <c r="J131" s="44" t="e">
        <f aca="false">INDEX(#REF!, MATCH(B131, participants!$A:$A, 0), 1)</f>
        <v>#VALUE!</v>
      </c>
    </row>
    <row r="132" customFormat="false" ht="13.8" hidden="false" customHeight="false" outlineLevel="0" collapsed="false">
      <c r="A132" s="40" t="s">
        <v>1938</v>
      </c>
      <c r="B132" s="41" t="s">
        <v>717</v>
      </c>
      <c r="C132" s="8" t="s">
        <v>1939</v>
      </c>
      <c r="D132" s="8" t="s">
        <v>1697</v>
      </c>
      <c r="E132" s="8"/>
      <c r="F132" s="33"/>
      <c r="G132" s="42" t="str">
        <f aca="false">INDEX(participants!$I:$I, MATCH(B132, participants!$A:$A, 0), 1)</f>
        <v>nf585</v>
      </c>
      <c r="H132" s="30" t="str">
        <f aca="false">INDEX(libraries!$A:$A, MATCH(A132, libraries!$B:$B, 0), 1)</f>
        <v>lib0202</v>
      </c>
      <c r="I132" s="16" t="s">
        <v>486</v>
      </c>
      <c r="J132" s="44" t="e">
        <f aca="false">INDEX(#REF!, MATCH(B132, participants!$A:$A, 0), 1)</f>
        <v>#VALUE!</v>
      </c>
    </row>
    <row r="133" customFormat="false" ht="13.8" hidden="false" customHeight="false" outlineLevel="0" collapsed="false">
      <c r="A133" s="40" t="s">
        <v>1940</v>
      </c>
      <c r="B133" s="41" t="s">
        <v>1941</v>
      </c>
      <c r="C133" s="8" t="s">
        <v>1942</v>
      </c>
      <c r="D133" s="8" t="s">
        <v>1697</v>
      </c>
      <c r="E133" s="8"/>
      <c r="F133" s="33"/>
      <c r="G133" s="42" t="e">
        <f aca="false">INDEX(participants!$I:$I, MATCH(B133, participants!$A:$A, 0), 1)</f>
        <v>#N/A</v>
      </c>
      <c r="H133" s="30" t="str">
        <f aca="false">INDEX(libraries!$A:$A, MATCH(A133, libraries!$B:$B, 0), 1)</f>
        <v>lib0192</v>
      </c>
      <c r="I133" s="16" t="s">
        <v>526</v>
      </c>
      <c r="J133" s="44" t="e">
        <f aca="false">INDEX(#REF!, MATCH(B133, participants!$A:$A, 0), 1)</f>
        <v>#N/A</v>
      </c>
    </row>
    <row r="134" customFormat="false" ht="13.8" hidden="false" customHeight="false" outlineLevel="0" collapsed="false">
      <c r="A134" s="40" t="s">
        <v>1943</v>
      </c>
      <c r="B134" s="41" t="s">
        <v>722</v>
      </c>
      <c r="C134" s="8" t="s">
        <v>1944</v>
      </c>
      <c r="D134" s="8" t="s">
        <v>1697</v>
      </c>
      <c r="E134" s="8"/>
      <c r="F134" s="33"/>
      <c r="G134" s="42" t="str">
        <f aca="false">INDEX(participants!$I:$I, MATCH(B134, participants!$A:$A, 0), 1)</f>
        <v>nf589</v>
      </c>
      <c r="H134" s="30" t="str">
        <f aca="false">INDEX(libraries!$A:$A, MATCH(A134, libraries!$B:$B, 0), 1)</f>
        <v>lib0204</v>
      </c>
      <c r="I134" s="16" t="s">
        <v>486</v>
      </c>
      <c r="J134" s="44" t="e">
        <f aca="false">INDEX(#REF!, MATCH(B134, participants!$A:$A, 0), 1)</f>
        <v>#VALUE!</v>
      </c>
    </row>
    <row r="135" customFormat="false" ht="13.8" hidden="false" customHeight="false" outlineLevel="0" collapsed="false">
      <c r="A135" s="40" t="s">
        <v>1945</v>
      </c>
      <c r="B135" s="41" t="s">
        <v>722</v>
      </c>
      <c r="C135" s="8" t="s">
        <v>1946</v>
      </c>
      <c r="D135" s="8" t="s">
        <v>1697</v>
      </c>
      <c r="E135" s="8"/>
      <c r="F135" s="33"/>
      <c r="G135" s="42" t="str">
        <f aca="false">INDEX(participants!$I:$I, MATCH(B135, participants!$A:$A, 0), 1)</f>
        <v>nf589</v>
      </c>
      <c r="H135" s="30" t="str">
        <f aca="false">INDEX(libraries!$A:$A, MATCH(A135, libraries!$B:$B, 0), 1)</f>
        <v>lib0127</v>
      </c>
      <c r="I135" s="16" t="s">
        <v>486</v>
      </c>
      <c r="J135" s="44" t="e">
        <f aca="false">INDEX(#REF!, MATCH(B135, participants!$A:$A, 0), 1)</f>
        <v>#VALUE!</v>
      </c>
    </row>
    <row r="136" customFormat="false" ht="13.8" hidden="false" customHeight="false" outlineLevel="0" collapsed="false">
      <c r="A136" s="40" t="s">
        <v>1947</v>
      </c>
      <c r="B136" s="41" t="s">
        <v>722</v>
      </c>
      <c r="C136" s="8" t="s">
        <v>1948</v>
      </c>
      <c r="D136" s="8" t="s">
        <v>1697</v>
      </c>
      <c r="E136" s="8"/>
      <c r="F136" s="33"/>
      <c r="G136" s="42" t="str">
        <f aca="false">INDEX(participants!$I:$I, MATCH(B136, participants!$A:$A, 0), 1)</f>
        <v>nf589</v>
      </c>
      <c r="H136" s="30" t="str">
        <f aca="false">INDEX(libraries!$A:$A, MATCH(A136, libraries!$B:$B, 0), 1)</f>
        <v>lib0199</v>
      </c>
      <c r="I136" s="16" t="s">
        <v>486</v>
      </c>
      <c r="J136" s="44" t="e">
        <f aca="false">INDEX(#REF!, MATCH(B136, participants!$A:$A, 0), 1)</f>
        <v>#VALUE!</v>
      </c>
    </row>
    <row r="137" customFormat="false" ht="13.8" hidden="false" customHeight="false" outlineLevel="0" collapsed="false">
      <c r="A137" s="40" t="s">
        <v>1949</v>
      </c>
      <c r="B137" s="41" t="s">
        <v>722</v>
      </c>
      <c r="C137" s="8" t="s">
        <v>1950</v>
      </c>
      <c r="D137" s="8" t="s">
        <v>1697</v>
      </c>
      <c r="E137" s="8"/>
      <c r="F137" s="33"/>
      <c r="G137" s="42" t="str">
        <f aca="false">INDEX(participants!$I:$I, MATCH(B137, participants!$A:$A, 0), 1)</f>
        <v>nf589</v>
      </c>
      <c r="H137" s="30" t="str">
        <f aca="false">INDEX(libraries!$A:$A, MATCH(A137, libraries!$B:$B, 0), 1)</f>
        <v>lib0129</v>
      </c>
      <c r="I137" s="16" t="s">
        <v>486</v>
      </c>
      <c r="J137" s="44" t="e">
        <f aca="false">INDEX(#REF!, MATCH(B137, participants!$A:$A, 0), 1)</f>
        <v>#VALUE!</v>
      </c>
    </row>
    <row r="138" customFormat="false" ht="13.8" hidden="false" customHeight="false" outlineLevel="0" collapsed="false">
      <c r="A138" s="40" t="s">
        <v>1951</v>
      </c>
      <c r="B138" s="41" t="s">
        <v>1952</v>
      </c>
      <c r="C138" s="8" t="s">
        <v>1953</v>
      </c>
      <c r="D138" s="8" t="s">
        <v>1697</v>
      </c>
      <c r="E138" s="8"/>
      <c r="F138" s="33"/>
      <c r="G138" s="42" t="e">
        <f aca="false">INDEX(participants!$I:$I, MATCH(B138, participants!$A:$A, 0), 1)</f>
        <v>#N/A</v>
      </c>
      <c r="H138" s="30" t="str">
        <f aca="false">INDEX(libraries!$A:$A, MATCH(A138, libraries!$B:$B, 0), 1)</f>
        <v>lib0194</v>
      </c>
      <c r="I138" s="16" t="s">
        <v>526</v>
      </c>
      <c r="J138" s="44" t="e">
        <f aca="false">INDEX(#REF!, MATCH(B138, participants!$A:$A, 0), 1)</f>
        <v>#N/A</v>
      </c>
    </row>
    <row r="139" customFormat="false" ht="13.8" hidden="false" customHeight="false" outlineLevel="0" collapsed="false">
      <c r="A139" s="40" t="s">
        <v>1954</v>
      </c>
      <c r="B139" s="41" t="s">
        <v>1955</v>
      </c>
      <c r="C139" s="8" t="s">
        <v>1956</v>
      </c>
      <c r="D139" s="8" t="s">
        <v>1697</v>
      </c>
      <c r="E139" s="8"/>
      <c r="F139" s="33"/>
      <c r="G139" s="42" t="e">
        <f aca="false">INDEX(participants!$I:$I, MATCH(B139, participants!$A:$A, 0), 1)</f>
        <v>#N/A</v>
      </c>
      <c r="H139" s="30" t="str">
        <f aca="false">INDEX(libraries!$A:$A, MATCH(A139, libraries!$B:$B, 0), 1)</f>
        <v>lib0176</v>
      </c>
      <c r="I139" s="16" t="s">
        <v>526</v>
      </c>
      <c r="J139" s="44" t="e">
        <f aca="false">INDEX(#REF!, MATCH(B139, participants!$A:$A, 0), 1)</f>
        <v>#N/A</v>
      </c>
    </row>
    <row r="140" customFormat="false" ht="13.8" hidden="false" customHeight="false" outlineLevel="0" collapsed="false">
      <c r="A140" s="40" t="s">
        <v>1957</v>
      </c>
      <c r="B140" s="41" t="s">
        <v>1958</v>
      </c>
      <c r="C140" s="8" t="s">
        <v>1959</v>
      </c>
      <c r="D140" s="8" t="s">
        <v>1697</v>
      </c>
      <c r="E140" s="8"/>
      <c r="F140" s="33"/>
      <c r="G140" s="42" t="e">
        <f aca="false">INDEX(participants!$I:$I, MATCH(B140, participants!$A:$A, 0), 1)</f>
        <v>#N/A</v>
      </c>
      <c r="H140" s="30" t="str">
        <f aca="false">INDEX(libraries!$A:$A, MATCH(A140, libraries!$B:$B, 0), 1)</f>
        <v>lib0196</v>
      </c>
      <c r="I140" s="16" t="s">
        <v>486</v>
      </c>
      <c r="J140" s="44" t="e">
        <f aca="false">INDEX(#REF!, MATCH(B140, participants!$A:$A, 0), 1)</f>
        <v>#N/A</v>
      </c>
    </row>
    <row r="141" customFormat="false" ht="13.8" hidden="false" customHeight="false" outlineLevel="0" collapsed="false">
      <c r="A141" s="40" t="s">
        <v>1960</v>
      </c>
      <c r="B141" s="41" t="s">
        <v>1958</v>
      </c>
      <c r="C141" s="8" t="s">
        <v>1939</v>
      </c>
      <c r="D141" s="8" t="s">
        <v>1697</v>
      </c>
      <c r="E141" s="8"/>
      <c r="F141" s="33"/>
      <c r="G141" s="42" t="e">
        <f aca="false">INDEX(participants!$I:$I, MATCH(B141, participants!$A:$A, 0), 1)</f>
        <v>#N/A</v>
      </c>
      <c r="H141" s="30" t="str">
        <f aca="false">INDEX(libraries!$A:$A, MATCH(A141, libraries!$B:$B, 0), 1)</f>
        <v>lib0126</v>
      </c>
      <c r="I141" s="16" t="s">
        <v>486</v>
      </c>
      <c r="J141" s="44" t="e">
        <f aca="false">INDEX(#REF!, MATCH(B141, participants!$A:$A, 0), 1)</f>
        <v>#N/A</v>
      </c>
    </row>
    <row r="142" customFormat="false" ht="13.8" hidden="false" customHeight="false" outlineLevel="0" collapsed="false">
      <c r="A142" s="40" t="s">
        <v>1961</v>
      </c>
      <c r="B142" s="41" t="s">
        <v>665</v>
      </c>
      <c r="C142" s="8" t="s">
        <v>1962</v>
      </c>
      <c r="D142" s="8" t="s">
        <v>1697</v>
      </c>
      <c r="E142" s="8"/>
      <c r="F142" s="33"/>
      <c r="G142" s="42" t="str">
        <f aca="false">INDEX(participants!$I:$I, MATCH(B142, participants!$A:$A, 0), 1)</f>
        <v>nf593</v>
      </c>
      <c r="H142" s="30" t="str">
        <f aca="false">INDEX(libraries!$A:$A, MATCH(A142, libraries!$B:$B, 0), 1)</f>
        <v>lib0146</v>
      </c>
      <c r="I142" s="16" t="s">
        <v>486</v>
      </c>
      <c r="J142" s="44" t="e">
        <f aca="false">INDEX(#REF!, MATCH(B142, participants!$A:$A, 0), 1)</f>
        <v>#VALUE!</v>
      </c>
    </row>
    <row r="143" customFormat="false" ht="13.8" hidden="false" customHeight="false" outlineLevel="0" collapsed="false">
      <c r="A143" s="40" t="s">
        <v>1963</v>
      </c>
      <c r="B143" s="41" t="s">
        <v>726</v>
      </c>
      <c r="C143" s="8" t="s">
        <v>1935</v>
      </c>
      <c r="D143" s="8" t="s">
        <v>1697</v>
      </c>
      <c r="E143" s="8"/>
      <c r="F143" s="33"/>
      <c r="G143" s="42" t="str">
        <f aca="false">INDEX(participants!$I:$I, MATCH(B143, participants!$A:$A, 0), 1)</f>
        <v>nf594</v>
      </c>
      <c r="H143" s="30" t="str">
        <f aca="false">INDEX(libraries!$A:$A, MATCH(A143, libraries!$B:$B, 0), 1)</f>
        <v>lib0125</v>
      </c>
      <c r="I143" s="16" t="s">
        <v>526</v>
      </c>
      <c r="J143" s="44" t="e">
        <f aca="false">INDEX(#REF!, MATCH(B143, participants!$A:$A, 0), 1)</f>
        <v>#VALUE!</v>
      </c>
    </row>
    <row r="144" customFormat="false" ht="13.8" hidden="false" customHeight="false" outlineLevel="0" collapsed="false">
      <c r="A144" s="40" t="s">
        <v>1964</v>
      </c>
      <c r="B144" s="41" t="s">
        <v>1965</v>
      </c>
      <c r="C144" s="8" t="s">
        <v>1937</v>
      </c>
      <c r="D144" s="8" t="s">
        <v>1697</v>
      </c>
      <c r="E144" s="8"/>
      <c r="F144" s="33"/>
      <c r="G144" s="42" t="e">
        <f aca="false">INDEX(participants!$I:$I, MATCH(B144, participants!$A:$A, 0), 1)</f>
        <v>#N/A</v>
      </c>
      <c r="H144" s="30" t="str">
        <f aca="false">INDEX(libraries!$A:$A, MATCH(A144, libraries!$B:$B, 0), 1)</f>
        <v>lib0181</v>
      </c>
      <c r="I144" s="16" t="s">
        <v>526</v>
      </c>
      <c r="J144" s="44" t="e">
        <f aca="false">INDEX(#REF!, MATCH(B144, participants!$A:$A, 0), 1)</f>
        <v>#N/A</v>
      </c>
    </row>
    <row r="145" customFormat="false" ht="13.8" hidden="false" customHeight="false" outlineLevel="0" collapsed="false">
      <c r="A145" s="40" t="s">
        <v>1966</v>
      </c>
      <c r="B145" s="41" t="s">
        <v>1967</v>
      </c>
      <c r="C145" s="8" t="s">
        <v>1968</v>
      </c>
      <c r="D145" s="8" t="s">
        <v>1697</v>
      </c>
      <c r="E145" s="8"/>
      <c r="F145" s="33"/>
      <c r="G145" s="42" t="e">
        <f aca="false">INDEX(participants!$I:$I, MATCH(B145, participants!$A:$A, 0), 1)</f>
        <v>#N/A</v>
      </c>
      <c r="H145" s="30" t="str">
        <f aca="false">INDEX(libraries!$A:$A, MATCH(A145, libraries!$B:$B, 0), 1)</f>
        <v>lib0134</v>
      </c>
      <c r="I145" s="16" t="s">
        <v>526</v>
      </c>
      <c r="J145" s="44" t="e">
        <f aca="false">INDEX(#REF!, MATCH(B145, participants!$A:$A, 0), 1)</f>
        <v>#N/A</v>
      </c>
    </row>
    <row r="146" customFormat="false" ht="13.8" hidden="false" customHeight="false" outlineLevel="0" collapsed="false">
      <c r="A146" s="40" t="s">
        <v>1969</v>
      </c>
      <c r="B146" s="41" t="s">
        <v>1967</v>
      </c>
      <c r="C146" s="8" t="s">
        <v>1968</v>
      </c>
      <c r="D146" s="8" t="s">
        <v>1697</v>
      </c>
      <c r="E146" s="8"/>
      <c r="F146" s="33"/>
      <c r="G146" s="42" t="e">
        <f aca="false">INDEX(participants!$I:$I, MATCH(B146, participants!$A:$A, 0), 1)</f>
        <v>#N/A</v>
      </c>
      <c r="H146" s="30" t="str">
        <f aca="false">INDEX(libraries!$A:$A, MATCH(A146, libraries!$B:$B, 0), 1)</f>
        <v>lib0201</v>
      </c>
      <c r="I146" s="16" t="s">
        <v>526</v>
      </c>
      <c r="J146" s="44" t="e">
        <f aca="false">INDEX(#REF!, MATCH(B146, participants!$A:$A, 0), 1)</f>
        <v>#N/A</v>
      </c>
    </row>
    <row r="147" customFormat="false" ht="13.8" hidden="false" customHeight="false" outlineLevel="0" collapsed="false">
      <c r="A147" s="40" t="s">
        <v>1970</v>
      </c>
      <c r="B147" s="41" t="s">
        <v>1971</v>
      </c>
      <c r="C147" s="8" t="s">
        <v>1972</v>
      </c>
      <c r="D147" s="8" t="s">
        <v>1697</v>
      </c>
      <c r="E147" s="8"/>
      <c r="F147" s="33"/>
      <c r="G147" s="42" t="e">
        <f aca="false">INDEX(participants!$I:$I, MATCH(B147, participants!$A:$A, 0), 1)</f>
        <v>#N/A</v>
      </c>
      <c r="H147" s="30" t="str">
        <f aca="false">INDEX(libraries!$A:$A, MATCH(A147, libraries!$B:$B, 0), 1)</f>
        <v>lib0123</v>
      </c>
      <c r="I147" s="16" t="s">
        <v>486</v>
      </c>
      <c r="J147" s="44" t="e">
        <f aca="false">INDEX(#REF!, MATCH(B147, participants!$A:$A, 0), 1)</f>
        <v>#N/A</v>
      </c>
    </row>
    <row r="148" customFormat="false" ht="13.8" hidden="false" customHeight="false" outlineLevel="0" collapsed="false">
      <c r="A148" s="40" t="s">
        <v>1973</v>
      </c>
      <c r="B148" s="41" t="s">
        <v>670</v>
      </c>
      <c r="C148" s="8" t="s">
        <v>1872</v>
      </c>
      <c r="D148" s="8" t="s">
        <v>1697</v>
      </c>
      <c r="E148" s="8"/>
      <c r="F148" s="33"/>
      <c r="G148" s="42" t="str">
        <f aca="false">INDEX(participants!$I:$I, MATCH(B148, participants!$A:$A, 0), 1)</f>
        <v>nf600</v>
      </c>
      <c r="H148" s="30" t="str">
        <f aca="false">INDEX(libraries!$A:$A, MATCH(A148, libraries!$B:$B, 0), 1)</f>
        <v>lib0157</v>
      </c>
      <c r="I148" s="16" t="s">
        <v>585</v>
      </c>
      <c r="J148" s="44" t="e">
        <f aca="false">INDEX(#REF!, MATCH(B148, participants!$A:$A, 0), 1)</f>
        <v>#VALUE!</v>
      </c>
    </row>
    <row r="149" customFormat="false" ht="13.8" hidden="false" customHeight="false" outlineLevel="0" collapsed="false">
      <c r="A149" s="40" t="s">
        <v>1974</v>
      </c>
      <c r="B149" s="41" t="s">
        <v>670</v>
      </c>
      <c r="C149" s="8" t="s">
        <v>427</v>
      </c>
      <c r="D149" s="8" t="s">
        <v>1697</v>
      </c>
      <c r="E149" s="8"/>
      <c r="F149" s="33"/>
      <c r="G149" s="42" t="str">
        <f aca="false">INDEX(participants!$I:$I, MATCH(B149, participants!$A:$A, 0), 1)</f>
        <v>nf600</v>
      </c>
      <c r="H149" s="30" t="str">
        <f aca="false">INDEX(libraries!$A:$A, MATCH(A149, libraries!$B:$B, 0), 1)</f>
        <v>lib0170</v>
      </c>
      <c r="I149" s="16" t="s">
        <v>585</v>
      </c>
      <c r="J149" s="44" t="e">
        <f aca="false">INDEX(#REF!, MATCH(B149, participants!$A:$A, 0), 1)</f>
        <v>#VALUE!</v>
      </c>
    </row>
    <row r="150" customFormat="false" ht="13.8" hidden="false" customHeight="false" outlineLevel="0" collapsed="false">
      <c r="A150" s="40" t="s">
        <v>1975</v>
      </c>
      <c r="B150" s="41" t="s">
        <v>1976</v>
      </c>
      <c r="C150" s="8" t="s">
        <v>1977</v>
      </c>
      <c r="D150" s="8" t="s">
        <v>1697</v>
      </c>
      <c r="E150" s="8"/>
      <c r="F150" s="33"/>
      <c r="G150" s="42" t="e">
        <f aca="false">INDEX(participants!$I:$I, MATCH(B150, participants!$A:$A, 0), 1)</f>
        <v>#N/A</v>
      </c>
      <c r="H150" s="30" t="str">
        <f aca="false">INDEX(libraries!$A:$A, MATCH(A150, libraries!$B:$B, 0), 1)</f>
        <v>lib0162</v>
      </c>
      <c r="I150" s="16" t="s">
        <v>526</v>
      </c>
      <c r="J150" s="44" t="e">
        <f aca="false">INDEX(#REF!, MATCH(B150, participants!$A:$A, 0), 1)</f>
        <v>#N/A</v>
      </c>
    </row>
    <row r="151" customFormat="false" ht="13.8" hidden="false" customHeight="false" outlineLevel="0" collapsed="false">
      <c r="A151" s="40" t="s">
        <v>1978</v>
      </c>
      <c r="B151" s="41" t="s">
        <v>1979</v>
      </c>
      <c r="C151" s="8" t="s">
        <v>1950</v>
      </c>
      <c r="D151" s="8" t="s">
        <v>1697</v>
      </c>
      <c r="E151" s="8"/>
      <c r="F151" s="33"/>
      <c r="G151" s="42" t="e">
        <f aca="false">INDEX(participants!$I:$I, MATCH(B151, participants!$A:$A, 0), 1)</f>
        <v>#N/A</v>
      </c>
      <c r="H151" s="30" t="str">
        <f aca="false">INDEX(libraries!$A:$A, MATCH(A151, libraries!$B:$B, 0), 1)</f>
        <v>lib0182</v>
      </c>
      <c r="I151" s="16" t="s">
        <v>486</v>
      </c>
      <c r="J151" s="44" t="e">
        <f aca="false">INDEX(#REF!, MATCH(B151, participants!$A:$A, 0), 1)</f>
        <v>#N/A</v>
      </c>
    </row>
    <row r="152" customFormat="false" ht="13.8" hidden="false" customHeight="false" outlineLevel="0" collapsed="false">
      <c r="A152" s="40" t="s">
        <v>1980</v>
      </c>
      <c r="B152" s="41" t="s">
        <v>1981</v>
      </c>
      <c r="C152" s="8" t="s">
        <v>1982</v>
      </c>
      <c r="D152" s="8" t="s">
        <v>1697</v>
      </c>
      <c r="E152" s="8"/>
      <c r="F152" s="33"/>
      <c r="G152" s="42" t="e">
        <f aca="false">INDEX(participants!$I:$I, MATCH(B152, participants!$A:$A, 0), 1)</f>
        <v>#N/A</v>
      </c>
      <c r="H152" s="30" t="str">
        <f aca="false">INDEX(libraries!$A:$A, MATCH(A152, libraries!$B:$B, 0), 1)</f>
        <v>lib0195</v>
      </c>
      <c r="I152" s="16" t="s">
        <v>526</v>
      </c>
      <c r="J152" s="44" t="e">
        <f aca="false">INDEX(#REF!, MATCH(B152, participants!$A:$A, 0), 1)</f>
        <v>#N/A</v>
      </c>
    </row>
    <row r="153" customFormat="false" ht="13.8" hidden="false" customHeight="false" outlineLevel="0" collapsed="false">
      <c r="A153" s="40" t="s">
        <v>1983</v>
      </c>
      <c r="B153" s="41" t="s">
        <v>687</v>
      </c>
      <c r="C153" s="8" t="s">
        <v>427</v>
      </c>
      <c r="D153" s="8" t="s">
        <v>1984</v>
      </c>
      <c r="E153" s="8"/>
      <c r="F153" s="33"/>
      <c r="G153" s="42" t="str">
        <f aca="false">INDEX(participants!$I:$I, MATCH(B153, participants!$A:$A, 0), 1)</f>
        <v>NONE</v>
      </c>
      <c r="H153" s="30" t="str">
        <f aca="false">INDEX(libraries!$A:$A, MATCH(A153, libraries!$B:$B, 0), 1)</f>
        <v>lib0121</v>
      </c>
      <c r="I153" s="16" t="s">
        <v>36</v>
      </c>
      <c r="J153" s="44" t="e">
        <f aca="false">INDEX(#REF!, MATCH(B153, participants!$A:$A, 0), 1)</f>
        <v>#VALUE!</v>
      </c>
    </row>
    <row r="154" customFormat="false" ht="13.8" hidden="false" customHeight="false" outlineLevel="0" collapsed="false">
      <c r="A154" s="40" t="s">
        <v>1985</v>
      </c>
      <c r="B154" s="41" t="s">
        <v>503</v>
      </c>
      <c r="C154" s="8" t="s">
        <v>485</v>
      </c>
      <c r="D154" s="8" t="s">
        <v>1824</v>
      </c>
      <c r="E154" s="8"/>
      <c r="F154" s="33"/>
      <c r="G154" s="42" t="str">
        <f aca="false">INDEX(participants!$I:$I, MATCH(B154, participants!$A:$A, 0), 1)</f>
        <v>2023j</v>
      </c>
      <c r="H154" s="30" t="str">
        <f aca="false">INDEX(libraries!$A:$A, MATCH(A154, libraries!$B:$B, 0), 1)</f>
        <v>lib0087</v>
      </c>
      <c r="I154" s="16" t="s">
        <v>486</v>
      </c>
      <c r="J154" s="44" t="e">
        <f aca="false">INDEX(#REF!, MATCH(B154, participants!$A:$A, 0), 1)</f>
        <v>#VALUE!</v>
      </c>
    </row>
    <row r="155" customFormat="false" ht="13.8" hidden="false" customHeight="false" outlineLevel="0" collapsed="false">
      <c r="A155" s="40" t="s">
        <v>1986</v>
      </c>
      <c r="B155" s="41" t="s">
        <v>479</v>
      </c>
      <c r="C155" s="8" t="s">
        <v>485</v>
      </c>
      <c r="D155" s="8" t="s">
        <v>1824</v>
      </c>
      <c r="E155" s="8"/>
      <c r="F155" s="33"/>
      <c r="G155" s="42" t="str">
        <f aca="false">INDEX(participants!$I:$I, MATCH(B155, participants!$A:$A, 0), 1)</f>
        <v>2031j</v>
      </c>
      <c r="H155" s="30" t="str">
        <f aca="false">INDEX(libraries!$A:$A, MATCH(A155, libraries!$B:$B, 0), 1)</f>
        <v>lib0062</v>
      </c>
      <c r="I155" s="16" t="s">
        <v>486</v>
      </c>
      <c r="J155" s="44" t="e">
        <f aca="false">INDEX(#REF!, MATCH(B155, participants!$A:$A, 0), 1)</f>
        <v>#VALUE!</v>
      </c>
    </row>
    <row r="156" customFormat="false" ht="13.8" hidden="false" customHeight="false" outlineLevel="0" collapsed="false">
      <c r="A156" s="40" t="s">
        <v>1987</v>
      </c>
      <c r="B156" s="41" t="s">
        <v>488</v>
      </c>
      <c r="C156" s="8" t="s">
        <v>485</v>
      </c>
      <c r="D156" s="8" t="s">
        <v>1824</v>
      </c>
      <c r="E156" s="8"/>
      <c r="F156" s="33"/>
      <c r="G156" s="42" t="str">
        <f aca="false">INDEX(participants!$I:$I, MATCH(B156, participants!$A:$A, 0), 1)</f>
        <v>2055j</v>
      </c>
      <c r="H156" s="30" t="str">
        <f aca="false">INDEX(libraries!$A:$A, MATCH(A156, libraries!$B:$B, 0), 1)</f>
        <v>lib0063</v>
      </c>
      <c r="I156" s="16" t="s">
        <v>486</v>
      </c>
      <c r="J156" s="44" t="e">
        <f aca="false">INDEX(#REF!, MATCH(B156, participants!$A:$A, 0), 1)</f>
        <v>#VALUE!</v>
      </c>
    </row>
    <row r="157" customFormat="false" ht="13.8" hidden="false" customHeight="false" outlineLevel="0" collapsed="false">
      <c r="A157" s="40" t="s">
        <v>1988</v>
      </c>
      <c r="B157" s="41" t="s">
        <v>500</v>
      </c>
      <c r="C157" s="8" t="s">
        <v>485</v>
      </c>
      <c r="D157" s="8" t="s">
        <v>1824</v>
      </c>
      <c r="E157" s="8"/>
      <c r="F157" s="33"/>
      <c r="G157" s="42" t="str">
        <f aca="false">INDEX(participants!$I:$I, MATCH(B157, participants!$A:$A, 0), 1)</f>
        <v>2072j</v>
      </c>
      <c r="H157" s="30" t="str">
        <f aca="false">INDEX(libraries!$A:$A, MATCH(A157, libraries!$B:$B, 0), 1)</f>
        <v>lib0059</v>
      </c>
      <c r="I157" s="16" t="s">
        <v>486</v>
      </c>
      <c r="J157" s="44" t="e">
        <f aca="false">INDEX(#REF!, MATCH(B157, participants!$A:$A, 0), 1)</f>
        <v>#VALUE!</v>
      </c>
    </row>
    <row r="158" customFormat="false" ht="13.8" hidden="false" customHeight="false" outlineLevel="0" collapsed="false">
      <c r="A158" s="40" t="s">
        <v>1989</v>
      </c>
      <c r="B158" s="41" t="s">
        <v>494</v>
      </c>
      <c r="C158" s="8" t="s">
        <v>485</v>
      </c>
      <c r="D158" s="8" t="s">
        <v>1824</v>
      </c>
      <c r="E158" s="8"/>
      <c r="F158" s="33"/>
      <c r="G158" s="42" t="str">
        <f aca="false">INDEX(participants!$I:$I, MATCH(B158, participants!$A:$A, 0), 1)</f>
        <v>2082j</v>
      </c>
      <c r="H158" s="30" t="str">
        <f aca="false">INDEX(libraries!$A:$A, MATCH(A158, libraries!$B:$B, 0), 1)</f>
        <v>lib0098</v>
      </c>
      <c r="I158" s="16" t="s">
        <v>486</v>
      </c>
      <c r="J158" s="44" t="e">
        <f aca="false">INDEX(#REF!, MATCH(B158, participants!$A:$A, 0), 1)</f>
        <v>#VALUE!</v>
      </c>
    </row>
    <row r="159" customFormat="false" ht="13.8" hidden="false" customHeight="false" outlineLevel="0" collapsed="false">
      <c r="A159" s="40" t="s">
        <v>1990</v>
      </c>
      <c r="B159" s="41" t="s">
        <v>754</v>
      </c>
      <c r="C159" s="8" t="s">
        <v>1884</v>
      </c>
      <c r="D159" s="8" t="s">
        <v>1697</v>
      </c>
      <c r="E159" s="8"/>
      <c r="F159" s="33"/>
      <c r="G159" s="42" t="str">
        <f aca="false">INDEX(participants!$I:$I, MATCH(B159, participants!$A:$A, 0), 1)</f>
        <v>nf539</v>
      </c>
      <c r="H159" s="30" t="str">
        <f aca="false">INDEX(libraries!$A:$A, MATCH(A159, libraries!$B:$B, 0), 1)</f>
        <v>lib0124</v>
      </c>
      <c r="I159" s="16" t="s">
        <v>526</v>
      </c>
      <c r="J159" s="44" t="e">
        <f aca="false">INDEX(#REF!, MATCH(B159, participants!$A:$A, 0), 1)</f>
        <v>#VALUE!</v>
      </c>
    </row>
    <row r="160" customFormat="false" ht="13.8" hidden="false" customHeight="false" outlineLevel="0" collapsed="false">
      <c r="A160" s="40" t="s">
        <v>1991</v>
      </c>
      <c r="B160" s="41" t="s">
        <v>759</v>
      </c>
      <c r="C160" s="8" t="s">
        <v>1886</v>
      </c>
      <c r="D160" s="8" t="s">
        <v>1697</v>
      </c>
      <c r="E160" s="8"/>
      <c r="F160" s="33"/>
      <c r="G160" s="42" t="str">
        <f aca="false">INDEX(participants!$I:$I, MATCH(B160, participants!$A:$A, 0), 1)</f>
        <v>nf544</v>
      </c>
      <c r="H160" s="42" t="str">
        <f aca="false">INDEX(libraries!$A:$A, MATCH(A160, libraries!$B:$B, 0), 1)</f>
        <v>lib0132</v>
      </c>
      <c r="I160" s="16" t="s">
        <v>526</v>
      </c>
      <c r="J160" s="44" t="e">
        <f aca="false">INDEX(#REF!, MATCH(B160, participants!$A:$A, 0), 1)</f>
        <v>#VALUE!</v>
      </c>
    </row>
    <row r="161" customFormat="false" ht="13.8" hidden="false" customHeight="false" outlineLevel="0" collapsed="false">
      <c r="A161" s="40" t="s">
        <v>1992</v>
      </c>
      <c r="B161" s="41" t="s">
        <v>722</v>
      </c>
      <c r="C161" s="8" t="s">
        <v>427</v>
      </c>
      <c r="D161" s="8" t="s">
        <v>1697</v>
      </c>
      <c r="E161" s="8"/>
      <c r="F161" s="33"/>
      <c r="G161" s="42" t="str">
        <f aca="false">INDEX(participants!$I:$I, MATCH(B161, participants!$A:$A, 0), 1)</f>
        <v>nf589</v>
      </c>
      <c r="H161" s="42" t="str">
        <f aca="false">INDEX(libraries!$A:$A, MATCH(A161, libraries!$B:$B, 0), 1)</f>
        <v>lib0144</v>
      </c>
      <c r="I161" s="16" t="s">
        <v>486</v>
      </c>
      <c r="J161" s="44" t="e">
        <f aca="false">INDEX(#REF!, MATCH(B161, participants!$A:$A, 0), 1)</f>
        <v>#VALUE!</v>
      </c>
    </row>
    <row r="162" customFormat="false" ht="13.8" hidden="false" customHeight="false" outlineLevel="0" collapsed="false">
      <c r="A162" s="40" t="s">
        <v>1993</v>
      </c>
      <c r="B162" s="41" t="s">
        <v>734</v>
      </c>
      <c r="C162" s="8" t="s">
        <v>1874</v>
      </c>
      <c r="D162" s="8" t="s">
        <v>1697</v>
      </c>
      <c r="E162" s="8"/>
      <c r="F162" s="33"/>
      <c r="G162" s="42" t="str">
        <f aca="false">INDEX(participants!$I:$I, MATCH(B162, participants!$A:$A, 0), 1)</f>
        <v>nf510</v>
      </c>
      <c r="H162" s="42" t="str">
        <f aca="false">INDEX(libraries!$A:$A, MATCH(A162, libraries!$B:$B, 0), 1)</f>
        <v>lib0145</v>
      </c>
      <c r="I162" s="16" t="s">
        <v>526</v>
      </c>
      <c r="J162" s="44" t="e">
        <f aca="false">INDEX(#REF!, MATCH(B162, participants!$A:$A, 0), 1)</f>
        <v>#VALUE!</v>
      </c>
    </row>
    <row r="163" customFormat="false" ht="13.8" hidden="false" customHeight="false" outlineLevel="0" collapsed="false">
      <c r="A163" s="40" t="s">
        <v>1994</v>
      </c>
      <c r="B163" s="41" t="s">
        <v>711</v>
      </c>
      <c r="C163" s="8" t="s">
        <v>427</v>
      </c>
      <c r="D163" s="8" t="s">
        <v>1697</v>
      </c>
      <c r="E163" s="8"/>
      <c r="F163" s="33"/>
      <c r="G163" s="42" t="str">
        <f aca="false">INDEX(participants!$I:$I, MATCH(B163, participants!$A:$A, 0), 1)</f>
        <v>nf583</v>
      </c>
      <c r="H163" s="42" t="str">
        <f aca="false">INDEX(libraries!$A:$A, MATCH(A163, libraries!$B:$B, 0), 1)</f>
        <v>lib0147</v>
      </c>
      <c r="I163" s="16" t="s">
        <v>486</v>
      </c>
      <c r="J163" s="44" t="e">
        <f aca="false">INDEX(#REF!, MATCH(B163, participants!$A:$A, 0), 1)</f>
        <v>#VALUE!</v>
      </c>
    </row>
    <row r="164" customFormat="false" ht="13.8" hidden="false" customHeight="false" outlineLevel="0" collapsed="false">
      <c r="A164" s="40" t="s">
        <v>1995</v>
      </c>
      <c r="B164" s="41" t="s">
        <v>1920</v>
      </c>
      <c r="C164" s="8" t="s">
        <v>1921</v>
      </c>
      <c r="D164" s="8" t="s">
        <v>1697</v>
      </c>
      <c r="E164" s="8"/>
      <c r="F164" s="33"/>
      <c r="G164" s="42" t="e">
        <f aca="false">INDEX(participants!$I:$I, MATCH(B164, participants!$A:$A, 0), 1)</f>
        <v>#N/A</v>
      </c>
      <c r="H164" s="42" t="str">
        <f aca="false">INDEX(libraries!$A:$A, MATCH(A164, libraries!$B:$B, 0), 1)</f>
        <v>lib0148</v>
      </c>
      <c r="I164" s="16" t="s">
        <v>526</v>
      </c>
      <c r="J164" s="44" t="e">
        <f aca="false">INDEX(#REF!, MATCH(B164, participants!$A:$A, 0), 1)</f>
        <v>#N/A</v>
      </c>
    </row>
    <row r="165" customFormat="false" ht="13.8" hidden="false" customHeight="false" outlineLevel="0" collapsed="false">
      <c r="A165" s="40" t="s">
        <v>1996</v>
      </c>
      <c r="B165" s="41" t="s">
        <v>1926</v>
      </c>
      <c r="C165" s="8" t="s">
        <v>427</v>
      </c>
      <c r="D165" s="8" t="s">
        <v>1697</v>
      </c>
      <c r="E165" s="8"/>
      <c r="F165" s="33"/>
      <c r="G165" s="42" t="e">
        <f aca="false">INDEX(participants!$I:$I, MATCH(B165, participants!$A:$A, 0), 1)</f>
        <v>#N/A</v>
      </c>
      <c r="H165" s="42" t="str">
        <f aca="false">INDEX(libraries!$A:$A, MATCH(A165, libraries!$B:$B, 0), 1)</f>
        <v>lib0151</v>
      </c>
      <c r="I165" s="16" t="s">
        <v>486</v>
      </c>
      <c r="J165" s="44" t="e">
        <f aca="false">INDEX(#REF!, MATCH(B165, participants!$A:$A, 0), 1)</f>
        <v>#N/A</v>
      </c>
    </row>
    <row r="166" customFormat="false" ht="13.8" hidden="false" customHeight="false" outlineLevel="0" collapsed="false">
      <c r="A166" s="40" t="s">
        <v>1997</v>
      </c>
      <c r="B166" s="41" t="s">
        <v>1965</v>
      </c>
      <c r="C166" s="8" t="s">
        <v>1937</v>
      </c>
      <c r="D166" s="8" t="s">
        <v>1697</v>
      </c>
      <c r="E166" s="8"/>
      <c r="F166" s="33"/>
      <c r="G166" s="42" t="e">
        <f aca="false">INDEX(participants!$I:$I, MATCH(B166, participants!$A:$A, 0), 1)</f>
        <v>#N/A</v>
      </c>
      <c r="H166" s="30" t="str">
        <f aca="false">INDEX(libraries!$A:$A, MATCH(A166, libraries!$B:$B, 0), 1)</f>
        <v>lib0154</v>
      </c>
      <c r="I166" s="16" t="s">
        <v>526</v>
      </c>
      <c r="J166" s="44" t="e">
        <f aca="false">INDEX(#REF!, MATCH(B166, participants!$A:$A, 0), 1)</f>
        <v>#N/A</v>
      </c>
    </row>
    <row r="167" customFormat="false" ht="13.8" hidden="false" customHeight="false" outlineLevel="0" collapsed="false">
      <c r="A167" s="40" t="s">
        <v>1998</v>
      </c>
      <c r="B167" s="41" t="s">
        <v>772</v>
      </c>
      <c r="C167" s="8" t="s">
        <v>1917</v>
      </c>
      <c r="D167" s="8" t="s">
        <v>1697</v>
      </c>
      <c r="E167" s="8"/>
      <c r="F167" s="33"/>
      <c r="G167" s="42" t="str">
        <f aca="false">INDEX(participants!$I:$I, MATCH(B167, participants!$A:$A, 0), 1)</f>
        <v>nf574</v>
      </c>
      <c r="H167" s="30" t="str">
        <f aca="false">INDEX(libraries!$A:$A, MATCH(A167, libraries!$B:$B, 0), 1)</f>
        <v>lib0155</v>
      </c>
      <c r="I167" s="16" t="s">
        <v>526</v>
      </c>
      <c r="J167" s="44" t="e">
        <f aca="false">INDEX(#REF!, MATCH(B167, participants!$A:$A, 0), 1)</f>
        <v>#VALUE!</v>
      </c>
    </row>
    <row r="168" customFormat="false" ht="13.8" hidden="false" customHeight="false" outlineLevel="0" collapsed="false">
      <c r="A168" s="40" t="s">
        <v>1999</v>
      </c>
      <c r="B168" s="41" t="s">
        <v>748</v>
      </c>
      <c r="C168" s="8" t="s">
        <v>427</v>
      </c>
      <c r="D168" s="8" t="s">
        <v>1697</v>
      </c>
      <c r="E168" s="8"/>
      <c r="F168" s="33"/>
      <c r="G168" s="42" t="str">
        <f aca="false">INDEX(participants!$I:$I, MATCH(B168, participants!$A:$A, 0), 1)</f>
        <v>nf536</v>
      </c>
      <c r="H168" s="30" t="str">
        <f aca="false">INDEX(libraries!$A:$A, MATCH(A168, libraries!$B:$B, 0), 1)</f>
        <v>lib0167</v>
      </c>
      <c r="I168" s="16" t="s">
        <v>2000</v>
      </c>
      <c r="J168" s="44" t="e">
        <f aca="false">INDEX(#REF!, MATCH(B168, participants!$A:$A, 0), 1)</f>
        <v>#VALUE!</v>
      </c>
    </row>
    <row r="169" customFormat="false" ht="13.8" hidden="false" customHeight="false" outlineLevel="0" collapsed="false">
      <c r="A169" s="40" t="s">
        <v>2001</v>
      </c>
      <c r="B169" s="41" t="s">
        <v>1955</v>
      </c>
      <c r="C169" s="8" t="s">
        <v>1956</v>
      </c>
      <c r="D169" s="8" t="s">
        <v>1697</v>
      </c>
      <c r="E169" s="8"/>
      <c r="F169" s="33"/>
      <c r="G169" s="42" t="e">
        <f aca="false">INDEX(participants!$I:$I, MATCH(B169, participants!$A:$A, 0), 1)</f>
        <v>#N/A</v>
      </c>
      <c r="H169" s="30" t="str">
        <f aca="false">INDEX(libraries!$A:$A, MATCH(A169, libraries!$B:$B, 0), 1)</f>
        <v>lib0168</v>
      </c>
      <c r="I169" s="16" t="s">
        <v>526</v>
      </c>
      <c r="J169" s="44" t="e">
        <f aca="false">INDEX(#REF!, MATCH(B169, participants!$A:$A, 0), 1)</f>
        <v>#N/A</v>
      </c>
    </row>
    <row r="170" customFormat="false" ht="13.8" hidden="false" customHeight="false" outlineLevel="0" collapsed="false">
      <c r="A170" s="40" t="s">
        <v>2002</v>
      </c>
      <c r="B170" s="41" t="s">
        <v>763</v>
      </c>
      <c r="C170" s="8" t="s">
        <v>1911</v>
      </c>
      <c r="D170" s="8" t="s">
        <v>1697</v>
      </c>
      <c r="E170" s="8"/>
      <c r="F170" s="33"/>
      <c r="G170" s="42" t="str">
        <f aca="false">INDEX(participants!$I:$I, MATCH(B170, participants!$A:$A, 0), 1)</f>
        <v>nf569</v>
      </c>
      <c r="H170" s="30" t="str">
        <f aca="false">INDEX(libraries!$A:$A, MATCH(A170, libraries!$B:$B, 0), 1)</f>
        <v>lib0174</v>
      </c>
      <c r="I170" s="16" t="s">
        <v>526</v>
      </c>
      <c r="J170" s="44" t="e">
        <f aca="false">INDEX(#REF!, MATCH(B170, participants!$A:$A, 0), 1)</f>
        <v>#VALUE!</v>
      </c>
    </row>
    <row r="171" customFormat="false" ht="13.8" hidden="false" customHeight="false" outlineLevel="0" collapsed="false">
      <c r="A171" s="40" t="s">
        <v>2003</v>
      </c>
      <c r="B171" s="41" t="s">
        <v>1941</v>
      </c>
      <c r="C171" s="8" t="s">
        <v>427</v>
      </c>
      <c r="D171" s="8" t="s">
        <v>1697</v>
      </c>
      <c r="E171" s="8"/>
      <c r="F171" s="33"/>
      <c r="G171" s="42" t="e">
        <f aca="false">INDEX(participants!$I:$I, MATCH(B171, participants!$A:$A, 0), 1)</f>
        <v>#N/A</v>
      </c>
      <c r="H171" s="30" t="str">
        <f aca="false">INDEX(libraries!$A:$A, MATCH(A171, libraries!$B:$B, 0), 1)</f>
        <v>lib0188</v>
      </c>
      <c r="I171" s="16" t="s">
        <v>526</v>
      </c>
      <c r="J171" s="44" t="e">
        <f aca="false">INDEX(#REF!, MATCH(B171, participants!$A:$A, 0), 1)</f>
        <v>#N/A</v>
      </c>
    </row>
    <row r="172" customFormat="false" ht="13.8" hidden="false" customHeight="false" outlineLevel="0" collapsed="false">
      <c r="A172" s="40" t="s">
        <v>2004</v>
      </c>
      <c r="B172" s="41" t="s">
        <v>717</v>
      </c>
      <c r="C172" s="8" t="s">
        <v>427</v>
      </c>
      <c r="D172" s="8" t="s">
        <v>1697</v>
      </c>
      <c r="E172" s="8"/>
      <c r="F172" s="33"/>
      <c r="G172" s="42" t="str">
        <f aca="false">INDEX(participants!$I:$I, MATCH(B172, participants!$A:$A, 0), 1)</f>
        <v>nf585</v>
      </c>
      <c r="H172" s="30" t="str">
        <f aca="false">INDEX(libraries!$A:$A, MATCH(A172, libraries!$B:$B, 0), 1)</f>
        <v>lib0189</v>
      </c>
      <c r="I172" s="16" t="s">
        <v>486</v>
      </c>
      <c r="J172" s="44" t="e">
        <f aca="false">INDEX(#REF!, MATCH(B172, participants!$A:$A, 0), 1)</f>
        <v>#VALUE!</v>
      </c>
    </row>
    <row r="173" customFormat="false" ht="13.8" hidden="false" customHeight="false" outlineLevel="0" collapsed="false">
      <c r="A173" s="40" t="s">
        <v>2005</v>
      </c>
      <c r="B173" s="41" t="s">
        <v>705</v>
      </c>
      <c r="C173" s="8" t="s">
        <v>427</v>
      </c>
      <c r="D173" s="8" t="s">
        <v>1697</v>
      </c>
      <c r="E173" s="8"/>
      <c r="F173" s="33"/>
      <c r="G173" s="42" t="str">
        <f aca="false">INDEX(participants!$I:$I, MATCH(B173, participants!$A:$A, 0), 1)</f>
        <v>nf570</v>
      </c>
      <c r="H173" s="30" t="str">
        <f aca="false">INDEX(libraries!$A:$A, MATCH(A173, libraries!$B:$B, 0), 1)</f>
        <v>lib0190</v>
      </c>
      <c r="I173" s="16" t="s">
        <v>486</v>
      </c>
      <c r="J173" s="44" t="e">
        <f aca="false">INDEX(#REF!, MATCH(B173, participants!$A:$A, 0), 1)</f>
        <v>#VALUE!</v>
      </c>
    </row>
    <row r="174" customFormat="false" ht="13.8" hidden="false" customHeight="false" outlineLevel="0" collapsed="false">
      <c r="A174" s="40" t="s">
        <v>2006</v>
      </c>
      <c r="B174" s="41" t="s">
        <v>1920</v>
      </c>
      <c r="C174" s="8" t="s">
        <v>1921</v>
      </c>
      <c r="D174" s="8" t="s">
        <v>1697</v>
      </c>
      <c r="E174" s="8"/>
      <c r="F174" s="33"/>
      <c r="G174" s="42" t="e">
        <f aca="false">INDEX(participants!$I:$I, MATCH(B174, participants!$A:$A, 0), 1)</f>
        <v>#N/A</v>
      </c>
      <c r="H174" s="30" t="str">
        <f aca="false">INDEX(libraries!$A:$A, MATCH(A174, libraries!$B:$B, 0), 1)</f>
        <v>lib0206</v>
      </c>
      <c r="I174" s="16" t="s">
        <v>526</v>
      </c>
      <c r="J174" s="44" t="e">
        <f aca="false">INDEX(#REF!, MATCH(B174, participants!$A:$A, 0), 1)</f>
        <v>#N/A</v>
      </c>
    </row>
    <row r="175" customFormat="false" ht="13.8" hidden="false" customHeight="false" outlineLevel="0" collapsed="false">
      <c r="A175" s="40" t="s">
        <v>2007</v>
      </c>
      <c r="B175" s="41" t="s">
        <v>768</v>
      </c>
      <c r="C175" s="8" t="s">
        <v>1878</v>
      </c>
      <c r="D175" s="8" t="s">
        <v>1697</v>
      </c>
      <c r="E175" s="8"/>
      <c r="F175" s="33"/>
      <c r="G175" s="42" t="str">
        <f aca="false">INDEX(participants!$I:$I, MATCH(B175, participants!$A:$A, 0), 1)</f>
        <v>nf571</v>
      </c>
      <c r="H175" s="30" t="str">
        <f aca="false">INDEX(libraries!$A:$A, MATCH(A175, libraries!$B:$B, 0), 1)</f>
        <v>lib0133</v>
      </c>
      <c r="I175" s="16" t="s">
        <v>526</v>
      </c>
      <c r="J175" s="44" t="e">
        <f aca="false">INDEX(#REF!, MATCH(B175, participants!$A:$A, 0), 1)</f>
        <v>#VALUE!</v>
      </c>
    </row>
    <row r="176" customFormat="false" ht="13.8" hidden="false" customHeight="false" outlineLevel="0" collapsed="false">
      <c r="A176" s="40" t="s">
        <v>2008</v>
      </c>
      <c r="B176" s="41" t="s">
        <v>2009</v>
      </c>
      <c r="C176" s="8" t="s">
        <v>427</v>
      </c>
      <c r="D176" s="8" t="s">
        <v>1697</v>
      </c>
      <c r="E176" s="8"/>
      <c r="F176" s="33"/>
      <c r="G176" s="42" t="e">
        <f aca="false">INDEX(participants!$I:$I, MATCH(B176, participants!$A:$A, 0), 1)</f>
        <v>#N/A</v>
      </c>
      <c r="H176" s="30" t="str">
        <f aca="false">INDEX(libraries!$A:$A, MATCH(A176, libraries!$B:$B, 0), 1)</f>
        <v>lib0161</v>
      </c>
      <c r="I176" s="16" t="s">
        <v>526</v>
      </c>
      <c r="J176" s="44" t="e">
        <f aca="false">INDEX(#REF!, MATCH(B176, participants!$A:$A, 0), 1)</f>
        <v>#N/A</v>
      </c>
    </row>
    <row r="177" customFormat="false" ht="13.8" hidden="false" customHeight="false" outlineLevel="0" collapsed="false">
      <c r="A177" s="40" t="s">
        <v>2010</v>
      </c>
      <c r="B177" s="41" t="s">
        <v>599</v>
      </c>
      <c r="C177" s="8" t="s">
        <v>2011</v>
      </c>
      <c r="D177" s="8" t="s">
        <v>1697</v>
      </c>
      <c r="E177" s="8"/>
      <c r="F177" s="33"/>
      <c r="G177" s="42" t="str">
        <f aca="false">INDEX(participants!$I:$I, MATCH(B177, participants!$A:$A, 0), 1)</f>
        <v>js0050</v>
      </c>
      <c r="H177" s="30" t="str">
        <f aca="false">INDEX(libraries!$A:$A, MATCH(A177, libraries!$B:$B, 0), 1)</f>
        <v>lib0009</v>
      </c>
      <c r="I177" s="16" t="s">
        <v>526</v>
      </c>
      <c r="J177" s="44" t="e">
        <f aca="false">INDEX(#REF!, MATCH(B177, participants!$A:$A, 0), 1)</f>
        <v>#VALUE!</v>
      </c>
    </row>
    <row r="178" customFormat="false" ht="13.8" hidden="false" customHeight="false" outlineLevel="0" collapsed="false">
      <c r="A178" s="40" t="s">
        <v>2012</v>
      </c>
      <c r="B178" s="41" t="s">
        <v>491</v>
      </c>
      <c r="C178" s="8" t="s">
        <v>485</v>
      </c>
      <c r="D178" s="8" t="s">
        <v>1697</v>
      </c>
      <c r="E178" s="8"/>
      <c r="F178" s="33"/>
      <c r="G178" s="42" t="str">
        <f aca="false">INDEX(participants!$I:$I, MATCH(B178, participants!$A:$A, 0), 1)</f>
        <v>2084j</v>
      </c>
      <c r="H178" s="30" t="str">
        <f aca="false">INDEX(libraries!$A:$A, MATCH(A178, libraries!$B:$B, 0), 1)</f>
        <v>lib0074</v>
      </c>
      <c r="I178" s="16" t="s">
        <v>486</v>
      </c>
      <c r="J178" s="44" t="e">
        <f aca="false">INDEX(#REF!, MATCH(B178, participants!$A:$A, 0), 1)</f>
        <v>#VALUE!</v>
      </c>
    </row>
    <row r="179" customFormat="false" ht="13.8" hidden="false" customHeight="false" outlineLevel="0" collapsed="false">
      <c r="A179" s="40" t="s">
        <v>2013</v>
      </c>
      <c r="B179" s="41" t="s">
        <v>500</v>
      </c>
      <c r="C179" s="8" t="s">
        <v>485</v>
      </c>
      <c r="D179" s="8" t="s">
        <v>1697</v>
      </c>
      <c r="E179" s="8"/>
      <c r="F179" s="33"/>
      <c r="G179" s="42" t="str">
        <f aca="false">INDEX(participants!$I:$I, MATCH(B179, participants!$A:$A, 0), 1)</f>
        <v>2072j</v>
      </c>
      <c r="H179" s="30" t="str">
        <f aca="false">INDEX(libraries!$A:$A, MATCH(A179, libraries!$B:$B, 0), 1)</f>
        <v>lib0069</v>
      </c>
      <c r="I179" s="16" t="s">
        <v>486</v>
      </c>
      <c r="J179" s="44" t="e">
        <f aca="false">INDEX(#REF!, MATCH(B179, participants!$A:$A, 0), 1)</f>
        <v>#VALUE!</v>
      </c>
    </row>
    <row r="180" customFormat="false" ht="13.8" hidden="false" customHeight="false" outlineLevel="0" collapsed="false">
      <c r="A180" s="40" t="s">
        <v>2014</v>
      </c>
      <c r="B180" s="41" t="s">
        <v>491</v>
      </c>
      <c r="C180" s="8" t="s">
        <v>485</v>
      </c>
      <c r="D180" s="8" t="s">
        <v>1824</v>
      </c>
      <c r="E180" s="8"/>
      <c r="F180" s="33"/>
      <c r="G180" s="42" t="str">
        <f aca="false">INDEX(participants!$I:$I, MATCH(B180, participants!$A:$A, 0), 1)</f>
        <v>2084j</v>
      </c>
      <c r="H180" s="30" t="str">
        <f aca="false">INDEX(libraries!$A:$A, MATCH(A180, libraries!$B:$B, 0), 1)</f>
        <v>lib0075</v>
      </c>
      <c r="I180" s="16" t="s">
        <v>486</v>
      </c>
      <c r="J180" s="44" t="e">
        <f aca="false">INDEX(#REF!, MATCH(B180, participants!$A:$A, 0), 1)</f>
        <v>#VALUE!</v>
      </c>
    </row>
    <row r="181" customFormat="false" ht="13.8" hidden="false" customHeight="false" outlineLevel="0" collapsed="false">
      <c r="A181" s="40" t="s">
        <v>2015</v>
      </c>
      <c r="B181" s="41" t="s">
        <v>2016</v>
      </c>
      <c r="C181" s="8" t="s">
        <v>485</v>
      </c>
      <c r="D181" s="8" t="s">
        <v>1697</v>
      </c>
      <c r="E181" s="8"/>
      <c r="F181" s="33"/>
      <c r="G181" s="42" t="e">
        <f aca="false">INDEX(participants!$I:$I, MATCH(B181, participants!$A:$A, 0), 1)</f>
        <v>#N/A</v>
      </c>
      <c r="H181" s="30" t="str">
        <f aca="false">INDEX(libraries!$A:$A, MATCH(A181, libraries!$B:$B, 0), 1)</f>
        <v>lib0060</v>
      </c>
      <c r="I181" s="16" t="s">
        <v>676</v>
      </c>
      <c r="J181" s="44" t="e">
        <f aca="false">INDEX(#REF!, MATCH(B181, participants!$A:$A, 0), 1)</f>
        <v>#N/A</v>
      </c>
    </row>
    <row r="182" customFormat="false" ht="13.8" hidden="false" customHeight="false" outlineLevel="0" collapsed="false">
      <c r="A182" s="40" t="s">
        <v>2017</v>
      </c>
      <c r="B182" s="41" t="s">
        <v>674</v>
      </c>
      <c r="C182" s="8" t="s">
        <v>427</v>
      </c>
      <c r="D182" s="8" t="s">
        <v>1697</v>
      </c>
      <c r="E182" s="8"/>
      <c r="F182" s="33"/>
      <c r="G182" s="30" t="n">
        <f aca="false">INDEX(participants!$I:$I, MATCH(B182, participants!$A:$A, 0), 1)</f>
        <v>66</v>
      </c>
      <c r="H182" s="30" t="str">
        <f aca="false">INDEX(libraries!$A:$A, MATCH(A182, libraries!$B:$B, 0), 1)</f>
        <v>lib0150</v>
      </c>
      <c r="I182" s="16" t="s">
        <v>676</v>
      </c>
      <c r="J182" s="44" t="e">
        <f aca="false">INDEX(#REF!, MATCH(B182, participants!$A:$A, 0), 1)</f>
        <v>#VALUE!</v>
      </c>
    </row>
    <row r="183" customFormat="false" ht="13.8" hidden="false" customHeight="false" outlineLevel="0" collapsed="false">
      <c r="A183" s="40" t="s">
        <v>2018</v>
      </c>
      <c r="B183" s="41" t="s">
        <v>1699</v>
      </c>
      <c r="C183" s="8" t="s">
        <v>485</v>
      </c>
      <c r="D183" s="8" t="s">
        <v>1697</v>
      </c>
      <c r="E183" s="8"/>
      <c r="F183" s="33"/>
      <c r="G183" s="42" t="e">
        <f aca="false">INDEX(participants!$I:$I, MATCH(B183, participants!$A:$A, 0), 1)</f>
        <v>#N/A</v>
      </c>
      <c r="H183" s="30" t="str">
        <f aca="false">INDEX(libraries!$A:$A, MATCH(A183, libraries!$B:$B, 0), 1)</f>
        <v>lib0083</v>
      </c>
      <c r="I183" s="16" t="s">
        <v>676</v>
      </c>
      <c r="J183" s="44" t="e">
        <f aca="false">INDEX(#REF!, MATCH(B183, participants!$A:$A, 0), 1)</f>
        <v>#N/A</v>
      </c>
    </row>
    <row r="184" customFormat="false" ht="13.8" hidden="false" customHeight="false" outlineLevel="0" collapsed="false">
      <c r="A184" s="40" t="s">
        <v>2019</v>
      </c>
      <c r="B184" s="41" t="s">
        <v>1696</v>
      </c>
      <c r="C184" s="8" t="s">
        <v>485</v>
      </c>
      <c r="D184" s="8" t="s">
        <v>1697</v>
      </c>
      <c r="E184" s="8"/>
      <c r="F184" s="33"/>
      <c r="G184" s="42" t="e">
        <f aca="false">INDEX(participants!$I:$I, MATCH(B184, participants!$A:$A, 0), 1)</f>
        <v>#N/A</v>
      </c>
      <c r="H184" s="30" t="str">
        <f aca="false">INDEX(libraries!$A:$A, MATCH(A184, libraries!$B:$B, 0), 1)</f>
        <v>lib0079</v>
      </c>
      <c r="I184" s="16" t="s">
        <v>676</v>
      </c>
      <c r="J184" s="44" t="e">
        <f aca="false">INDEX(#REF!, MATCH(B184, participants!$A:$A, 0), 1)</f>
        <v>#N/A</v>
      </c>
    </row>
    <row r="185" customFormat="false" ht="13.8" hidden="false" customHeight="false" outlineLevel="0" collapsed="false">
      <c r="A185" s="40" t="s">
        <v>2020</v>
      </c>
      <c r="B185" s="41" t="s">
        <v>1701</v>
      </c>
      <c r="C185" s="8" t="s">
        <v>485</v>
      </c>
      <c r="D185" s="8" t="s">
        <v>1697</v>
      </c>
      <c r="E185" s="8"/>
      <c r="F185" s="33"/>
      <c r="G185" s="42" t="e">
        <f aca="false">INDEX(participants!$I:$I, MATCH(B185, participants!$A:$A, 0), 1)</f>
        <v>#N/A</v>
      </c>
      <c r="H185" s="30" t="str">
        <f aca="false">INDEX(libraries!$A:$A, MATCH(A185, libraries!$B:$B, 0), 1)</f>
        <v>lib0093</v>
      </c>
      <c r="I185" s="16" t="s">
        <v>676</v>
      </c>
      <c r="J185" s="44" t="e">
        <f aca="false">INDEX(#REF!, MATCH(B185, participants!$A:$A, 0), 1)</f>
        <v>#N/A</v>
      </c>
    </row>
    <row r="186" customFormat="false" ht="13.8" hidden="false" customHeight="false" outlineLevel="0" collapsed="false">
      <c r="A186" s="40" t="s">
        <v>2021</v>
      </c>
      <c r="B186" s="41" t="s">
        <v>1705</v>
      </c>
      <c r="C186" s="8" t="s">
        <v>485</v>
      </c>
      <c r="D186" s="8" t="s">
        <v>1697</v>
      </c>
      <c r="E186" s="8"/>
      <c r="F186" s="33"/>
      <c r="G186" s="42" t="e">
        <f aca="false">INDEX(participants!$I:$I, MATCH(B186, participants!$A:$A, 0), 1)</f>
        <v>#N/A</v>
      </c>
      <c r="H186" s="30" t="str">
        <f aca="false">INDEX(libraries!$A:$A, MATCH(A186, libraries!$B:$B, 0), 1)</f>
        <v>lib0100</v>
      </c>
      <c r="I186" s="16" t="s">
        <v>676</v>
      </c>
      <c r="J186" s="44" t="e">
        <f aca="false">INDEX(#REF!, MATCH(B186, participants!$A:$A, 0), 1)</f>
        <v>#N/A</v>
      </c>
    </row>
    <row r="187" customFormat="false" ht="13.8" hidden="false" customHeight="false" outlineLevel="0" collapsed="false">
      <c r="A187" s="40" t="s">
        <v>2022</v>
      </c>
      <c r="B187" s="41" t="s">
        <v>1707</v>
      </c>
      <c r="C187" s="8" t="s">
        <v>485</v>
      </c>
      <c r="D187" s="8" t="s">
        <v>1697</v>
      </c>
      <c r="E187" s="8"/>
      <c r="F187" s="33"/>
      <c r="G187" s="42" t="e">
        <f aca="false">INDEX(participants!$I:$I, MATCH(B187, participants!$A:$A, 0), 1)</f>
        <v>#N/A</v>
      </c>
      <c r="H187" s="30" t="str">
        <f aca="false">INDEX(libraries!$A:$A, MATCH(A187, libraries!$B:$B, 0), 1)</f>
        <v>lib0068</v>
      </c>
      <c r="I187" s="16" t="s">
        <v>676</v>
      </c>
      <c r="J187" s="44" t="e">
        <f aca="false">INDEX(#REF!, MATCH(B187, participants!$A:$A, 0), 1)</f>
        <v>#N/A</v>
      </c>
    </row>
    <row r="188" customFormat="false" ht="13.8" hidden="false" customHeight="false" outlineLevel="0" collapsed="false">
      <c r="A188" s="40" t="s">
        <v>2023</v>
      </c>
      <c r="B188" s="41" t="s">
        <v>497</v>
      </c>
      <c r="C188" s="8" t="s">
        <v>485</v>
      </c>
      <c r="D188" s="8" t="s">
        <v>1697</v>
      </c>
      <c r="E188" s="8"/>
      <c r="F188" s="33"/>
      <c r="G188" s="42" t="str">
        <f aca="false">INDEX(participants!$I:$I, MATCH(B188, participants!$A:$A, 0), 1)</f>
        <v>2015j</v>
      </c>
      <c r="H188" s="30" t="str">
        <f aca="false">INDEX(libraries!$A:$A, MATCH(A188, libraries!$B:$B, 0), 1)</f>
        <v>lib0064</v>
      </c>
      <c r="I188" s="16" t="s">
        <v>486</v>
      </c>
      <c r="J188" s="44" t="e">
        <f aca="false">INDEX(#REF!, MATCH(B188, participants!$A:$A, 0), 1)</f>
        <v>#VALUE!</v>
      </c>
    </row>
    <row r="189" customFormat="false" ht="13.8" hidden="false" customHeight="false" outlineLevel="0" collapsed="false">
      <c r="A189" s="40" t="s">
        <v>2024</v>
      </c>
      <c r="B189" s="41" t="s">
        <v>497</v>
      </c>
      <c r="C189" s="8" t="s">
        <v>485</v>
      </c>
      <c r="D189" s="8" t="s">
        <v>1824</v>
      </c>
      <c r="E189" s="8"/>
      <c r="F189" s="33"/>
      <c r="G189" s="42" t="str">
        <f aca="false">INDEX(participants!$I:$I, MATCH(B189, participants!$A:$A, 0), 1)</f>
        <v>2015j</v>
      </c>
      <c r="H189" s="30" t="str">
        <f aca="false">INDEX(libraries!$A:$A, MATCH(A189, libraries!$B:$B, 0), 1)</f>
        <v>lib0091</v>
      </c>
      <c r="I189" s="16" t="s">
        <v>486</v>
      </c>
      <c r="J189" s="44" t="e">
        <f aca="false">INDEX(#REF!, MATCH(B189, participants!$A:$A, 0), 1)</f>
        <v>#VALUE!</v>
      </c>
    </row>
    <row r="190" customFormat="false" ht="13.8" hidden="false" customHeight="false" outlineLevel="0" collapsed="false">
      <c r="A190" s="40" t="s">
        <v>2025</v>
      </c>
      <c r="B190" s="41" t="s">
        <v>503</v>
      </c>
      <c r="C190" s="8" t="s">
        <v>485</v>
      </c>
      <c r="D190" s="8" t="s">
        <v>1697</v>
      </c>
      <c r="E190" s="8"/>
      <c r="F190" s="33"/>
      <c r="G190" s="42" t="str">
        <f aca="false">INDEX(participants!$I:$I, MATCH(B190, participants!$A:$A, 0), 1)</f>
        <v>2023j</v>
      </c>
      <c r="H190" s="30" t="str">
        <f aca="false">INDEX(libraries!$A:$A, MATCH(A190, libraries!$B:$B, 0), 1)</f>
        <v>lib0097</v>
      </c>
      <c r="I190" s="16" t="s">
        <v>486</v>
      </c>
      <c r="J190" s="44" t="e">
        <f aca="false">INDEX(#REF!, MATCH(B190, participants!$A:$A, 0), 1)</f>
        <v>#VALUE!</v>
      </c>
    </row>
    <row r="191" customFormat="false" ht="13.8" hidden="false" customHeight="false" outlineLevel="0" collapsed="false">
      <c r="A191" s="40" t="s">
        <v>2026</v>
      </c>
      <c r="B191" s="41" t="s">
        <v>479</v>
      </c>
      <c r="C191" s="8" t="s">
        <v>485</v>
      </c>
      <c r="D191" s="8" t="s">
        <v>1697</v>
      </c>
      <c r="E191" s="8"/>
      <c r="F191" s="33"/>
      <c r="G191" s="42" t="str">
        <f aca="false">INDEX(participants!$I:$I, MATCH(B191, participants!$A:$A, 0), 1)</f>
        <v>2031j</v>
      </c>
      <c r="H191" s="30" t="str">
        <f aca="false">INDEX(libraries!$A:$A, MATCH(A191, libraries!$B:$B, 0), 1)</f>
        <v>lib0089</v>
      </c>
      <c r="I191" s="16" t="s">
        <v>486</v>
      </c>
      <c r="J191" s="44" t="e">
        <f aca="false">INDEX(#REF!, MATCH(B191, participants!$A:$A, 0), 1)</f>
        <v>#VALUE!</v>
      </c>
    </row>
    <row r="192" customFormat="false" ht="13.8" hidden="false" customHeight="false" outlineLevel="0" collapsed="false">
      <c r="A192" s="40" t="s">
        <v>2027</v>
      </c>
      <c r="B192" s="41" t="s">
        <v>488</v>
      </c>
      <c r="C192" s="8" t="s">
        <v>485</v>
      </c>
      <c r="D192" s="8" t="s">
        <v>1697</v>
      </c>
      <c r="E192" s="8"/>
      <c r="F192" s="33"/>
      <c r="G192" s="42" t="str">
        <f aca="false">INDEX(participants!$I:$I, MATCH(B192, participants!$A:$A, 0), 1)</f>
        <v>2055j</v>
      </c>
      <c r="H192" s="30" t="str">
        <f aca="false">INDEX(libraries!$A:$A, MATCH(A192, libraries!$B:$B, 0), 1)</f>
        <v>lib0081</v>
      </c>
      <c r="I192" s="16" t="s">
        <v>486</v>
      </c>
      <c r="J192" s="44" t="e">
        <f aca="false">INDEX(#REF!, MATCH(B192, participants!$A:$A, 0), 1)</f>
        <v>#VALUE!</v>
      </c>
    </row>
    <row r="193" customFormat="false" ht="13.8" hidden="false" customHeight="false" outlineLevel="0" collapsed="false">
      <c r="A193" s="40" t="s">
        <v>2028</v>
      </c>
      <c r="B193" s="41" t="s">
        <v>1722</v>
      </c>
      <c r="C193" s="8" t="s">
        <v>485</v>
      </c>
      <c r="D193" s="8" t="s">
        <v>1697</v>
      </c>
      <c r="E193" s="8"/>
      <c r="F193" s="33"/>
      <c r="G193" s="42" t="e">
        <f aca="false">INDEX(participants!$I:$I, MATCH(B193, participants!$A:$A, 0), 1)</f>
        <v>#N/A</v>
      </c>
      <c r="H193" s="30" t="str">
        <f aca="false">INDEX(libraries!$A:$A, MATCH(A193, libraries!$B:$B, 0), 1)</f>
        <v>lib0066</v>
      </c>
      <c r="I193" s="16" t="s">
        <v>676</v>
      </c>
      <c r="J193" s="44" t="e">
        <f aca="false">INDEX(#REF!, MATCH(B193, participants!$A:$A, 0), 1)</f>
        <v>#N/A</v>
      </c>
    </row>
    <row r="194" customFormat="false" ht="13.8" hidden="false" customHeight="false" outlineLevel="0" collapsed="false">
      <c r="A194" s="40" t="s">
        <v>2029</v>
      </c>
      <c r="B194" s="41" t="s">
        <v>677</v>
      </c>
      <c r="C194" s="8" t="s">
        <v>1724</v>
      </c>
      <c r="D194" s="8" t="s">
        <v>1697</v>
      </c>
      <c r="E194" s="8"/>
      <c r="F194" s="33"/>
      <c r="G194" s="30" t="n">
        <f aca="false">INDEX(participants!$I:$I, MATCH(B194, participants!$A:$A, 0), 1)</f>
        <v>69</v>
      </c>
      <c r="H194" s="30" t="str">
        <f aca="false">INDEX(libraries!$A:$A, MATCH(A194, libraries!$B:$B, 0), 1)</f>
        <v>lib0207</v>
      </c>
      <c r="I194" s="16" t="s">
        <v>676</v>
      </c>
      <c r="J194" s="44" t="e">
        <f aca="false">INDEX(#REF!, MATCH(B194, participants!$A:$A, 0), 1)</f>
        <v>#VALUE!</v>
      </c>
    </row>
    <row r="195" customFormat="false" ht="13.8" hidden="false" customHeight="false" outlineLevel="0" collapsed="false">
      <c r="A195" s="40" t="s">
        <v>2030</v>
      </c>
      <c r="B195" s="41" t="s">
        <v>1730</v>
      </c>
      <c r="C195" s="8" t="s">
        <v>485</v>
      </c>
      <c r="D195" s="8" t="s">
        <v>1697</v>
      </c>
      <c r="E195" s="8"/>
      <c r="F195" s="33"/>
      <c r="G195" s="42" t="e">
        <f aca="false">INDEX(participants!$I:$I, MATCH(B195, participants!$A:$A, 0), 1)</f>
        <v>#N/A</v>
      </c>
      <c r="H195" s="30" t="str">
        <f aca="false">INDEX(libraries!$A:$A, MATCH(A195, libraries!$B:$B, 0), 1)</f>
        <v>lib0071</v>
      </c>
      <c r="I195" s="16" t="s">
        <v>676</v>
      </c>
      <c r="J195" s="44" t="e">
        <f aca="false">INDEX(#REF!, MATCH(B195, participants!$A:$A, 0), 1)</f>
        <v>#N/A</v>
      </c>
    </row>
    <row r="196" customFormat="false" ht="13.8" hidden="false" customHeight="false" outlineLevel="0" collapsed="false">
      <c r="A196" s="40" t="s">
        <v>2031</v>
      </c>
      <c r="B196" s="41" t="s">
        <v>1737</v>
      </c>
      <c r="C196" s="8" t="s">
        <v>485</v>
      </c>
      <c r="D196" s="8" t="s">
        <v>1697</v>
      </c>
      <c r="E196" s="8"/>
      <c r="F196" s="33"/>
      <c r="G196" s="42" t="e">
        <f aca="false">INDEX(participants!$I:$I, MATCH(B196, participants!$A:$A, 0), 1)</f>
        <v>#N/A</v>
      </c>
      <c r="H196" s="30" t="str">
        <f aca="false">INDEX(libraries!$A:$A, MATCH(A196, libraries!$B:$B, 0), 1)</f>
        <v>lib0099</v>
      </c>
      <c r="I196" s="16" t="s">
        <v>676</v>
      </c>
      <c r="J196" s="44" t="e">
        <f aca="false">INDEX(#REF!, MATCH(B196, participants!$A:$A, 0), 1)</f>
        <v>#N/A</v>
      </c>
    </row>
    <row r="197" customFormat="false" ht="13.8" hidden="false" customHeight="false" outlineLevel="0" collapsed="false">
      <c r="A197" s="40" t="s">
        <v>2032</v>
      </c>
      <c r="B197" s="41" t="s">
        <v>1739</v>
      </c>
      <c r="C197" s="8" t="s">
        <v>485</v>
      </c>
      <c r="D197" s="8" t="s">
        <v>1697</v>
      </c>
      <c r="E197" s="8"/>
      <c r="F197" s="33"/>
      <c r="G197" s="42" t="e">
        <f aca="false">INDEX(participants!$I:$I, MATCH(B197, participants!$A:$A, 0), 1)</f>
        <v>#N/A</v>
      </c>
      <c r="H197" s="30" t="str">
        <f aca="false">INDEX(libraries!$A:$A, MATCH(A197, libraries!$B:$B, 0), 1)</f>
        <v>lib0077</v>
      </c>
      <c r="I197" s="16" t="s">
        <v>676</v>
      </c>
      <c r="J197" s="44" t="e">
        <f aca="false">INDEX(#REF!, MATCH(B197, participants!$A:$A, 0), 1)</f>
        <v>#N/A</v>
      </c>
    </row>
    <row r="198" customFormat="false" ht="13.8" hidden="false" customHeight="false" outlineLevel="0" collapsed="false">
      <c r="A198" s="40" t="s">
        <v>2033</v>
      </c>
      <c r="B198" s="41" t="s">
        <v>494</v>
      </c>
      <c r="C198" s="8" t="s">
        <v>485</v>
      </c>
      <c r="D198" s="8" t="s">
        <v>1697</v>
      </c>
      <c r="E198" s="8"/>
      <c r="F198" s="33"/>
      <c r="G198" s="42" t="str">
        <f aca="false">INDEX(participants!$I:$I, MATCH(B198, participants!$A:$A, 0), 1)</f>
        <v>2082j</v>
      </c>
      <c r="H198" s="30" t="str">
        <f aca="false">INDEX(libraries!$A:$A, MATCH(A198, libraries!$B:$B, 0), 1)</f>
        <v>lib0078</v>
      </c>
      <c r="I198" s="16" t="s">
        <v>486</v>
      </c>
      <c r="J198" s="44" t="e">
        <f aca="false">INDEX(#REF!, MATCH(B198, participants!$A:$A, 0), 1)</f>
        <v>#VALUE!</v>
      </c>
    </row>
    <row r="199" customFormat="false" ht="13.8" hidden="false" customHeight="false" outlineLevel="0" collapsed="false">
      <c r="A199" s="40" t="s">
        <v>2034</v>
      </c>
      <c r="B199" s="41" t="s">
        <v>1726</v>
      </c>
      <c r="C199" s="8" t="s">
        <v>485</v>
      </c>
      <c r="D199" s="8" t="s">
        <v>1697</v>
      </c>
      <c r="E199" s="8"/>
      <c r="F199" s="33"/>
      <c r="G199" s="42" t="e">
        <f aca="false">INDEX(participants!$I:$I, MATCH(B199, participants!$A:$A, 0), 1)</f>
        <v>#N/A</v>
      </c>
      <c r="H199" s="30" t="str">
        <f aca="false">INDEX(libraries!$A:$A, MATCH(A199, libraries!$B:$B, 0), 1)</f>
        <v>lib0094</v>
      </c>
      <c r="I199" s="16" t="s">
        <v>676</v>
      </c>
      <c r="J199" s="44" t="e">
        <f aca="false">INDEX(#REF!, MATCH(B199, participants!$A:$A, 0), 1)</f>
        <v>#N/A</v>
      </c>
    </row>
    <row r="200" customFormat="false" ht="13.8" hidden="false" customHeight="false" outlineLevel="0" collapsed="false">
      <c r="A200" s="40" t="s">
        <v>2035</v>
      </c>
      <c r="B200" s="41" t="s">
        <v>700</v>
      </c>
      <c r="C200" s="8" t="s">
        <v>427</v>
      </c>
      <c r="D200" s="8" t="s">
        <v>1697</v>
      </c>
      <c r="E200" s="8"/>
      <c r="F200" s="33"/>
      <c r="G200" s="42" t="str">
        <f aca="false">INDEX(participants!$I:$I, MATCH(B200, participants!$A:$A, 0), 1)</f>
        <v>nf564</v>
      </c>
      <c r="H200" s="30" t="str">
        <f aca="false">INDEX(libraries!$A:$A, MATCH(A200, libraries!$B:$B, 0), 1)</f>
        <v>lib0209</v>
      </c>
      <c r="I200" s="16" t="s">
        <v>486</v>
      </c>
      <c r="J200" s="44" t="e">
        <f aca="false">INDEX(#REF!, MATCH(B200, participants!$A:$A, 0), 1)</f>
        <v>#VALUE!</v>
      </c>
    </row>
    <row r="201" customFormat="false" ht="13.8" hidden="false" customHeight="false" outlineLevel="0" collapsed="false">
      <c r="A201" s="40" t="s">
        <v>2036</v>
      </c>
      <c r="B201" s="41" t="s">
        <v>700</v>
      </c>
      <c r="C201" s="8" t="s">
        <v>427</v>
      </c>
      <c r="D201" s="8" t="s">
        <v>1824</v>
      </c>
      <c r="E201" s="8"/>
      <c r="F201" s="33"/>
      <c r="G201" s="42" t="str">
        <f aca="false">INDEX(participants!$I:$I, MATCH(B201, participants!$A:$A, 0), 1)</f>
        <v>nf564</v>
      </c>
      <c r="H201" s="30" t="str">
        <f aca="false">INDEX(libraries!$A:$A, MATCH(A201, libraries!$B:$B, 0), 1)</f>
        <v>lib0208</v>
      </c>
      <c r="I201" s="16" t="s">
        <v>486</v>
      </c>
      <c r="J201" s="44" t="e">
        <f aca="false">INDEX(#REF!, MATCH(B201, participants!$A:$A, 0), 1)</f>
        <v>#VALUE!</v>
      </c>
    </row>
    <row r="202" customFormat="false" ht="13.8" hidden="false" customHeight="false" outlineLevel="0" collapsed="false">
      <c r="A202" s="40" t="s">
        <v>2037</v>
      </c>
      <c r="B202" s="41" t="s">
        <v>2038</v>
      </c>
      <c r="C202" s="8" t="s">
        <v>2039</v>
      </c>
      <c r="D202" s="8" t="s">
        <v>1697</v>
      </c>
      <c r="E202" s="8"/>
      <c r="F202" s="33"/>
      <c r="G202" s="42" t="e">
        <f aca="false">INDEX(participants!$I:$I, MATCH(B202, participants!$A:$A, 0), 1)</f>
        <v>#N/A</v>
      </c>
      <c r="H202" s="30" t="str">
        <f aca="false">INDEX(libraries!$A:$A, MATCH(A202, libraries!$B:$B, 0), 1)</f>
        <v>lib0210</v>
      </c>
      <c r="I202" s="16" t="s">
        <v>752</v>
      </c>
      <c r="J202" s="44" t="e">
        <f aca="false">INDEX(#REF!, MATCH(B202, participants!$A:$A, 0), 1)</f>
        <v>#N/A</v>
      </c>
    </row>
    <row r="203" customFormat="false" ht="13.8" hidden="false" customHeight="false" outlineLevel="0" collapsed="false">
      <c r="A203" s="40" t="s">
        <v>2040</v>
      </c>
      <c r="B203" s="41" t="s">
        <v>2038</v>
      </c>
      <c r="C203" s="8" t="s">
        <v>2041</v>
      </c>
      <c r="D203" s="8" t="s">
        <v>1697</v>
      </c>
      <c r="E203" s="8"/>
      <c r="F203" s="33"/>
      <c r="G203" s="42" t="e">
        <f aca="false">INDEX(participants!$I:$I, MATCH(B203, participants!$A:$A, 0), 1)</f>
        <v>#N/A</v>
      </c>
      <c r="H203" s="30" t="str">
        <f aca="false">INDEX(libraries!$A:$A, MATCH(A203, libraries!$B:$B, 0), 1)</f>
        <v>lib0211</v>
      </c>
      <c r="I203" s="16" t="s">
        <v>752</v>
      </c>
      <c r="J203" s="44" t="e">
        <f aca="false">INDEX(#REF!, MATCH(B203, participants!$A:$A, 0), 1)</f>
        <v>#N/A</v>
      </c>
    </row>
    <row r="204" customFormat="false" ht="13.8" hidden="false" customHeight="false" outlineLevel="0" collapsed="false">
      <c r="A204" s="40" t="s">
        <v>2042</v>
      </c>
      <c r="B204" s="41" t="s">
        <v>2038</v>
      </c>
      <c r="C204" s="8" t="s">
        <v>1959</v>
      </c>
      <c r="D204" s="8" t="s">
        <v>1697</v>
      </c>
      <c r="E204" s="8"/>
      <c r="F204" s="33"/>
      <c r="G204" s="42" t="e">
        <f aca="false">INDEX(participants!$I:$I, MATCH(B204, participants!$A:$A, 0), 1)</f>
        <v>#N/A</v>
      </c>
      <c r="H204" s="30" t="str">
        <f aca="false">INDEX(libraries!$A:$A, MATCH(A204, libraries!$B:$B, 0), 1)</f>
        <v>lib0212</v>
      </c>
      <c r="I204" s="16" t="s">
        <v>752</v>
      </c>
      <c r="J204" s="44" t="e">
        <f aca="false">INDEX(#REF!, MATCH(B204, participants!$A:$A, 0), 1)</f>
        <v>#N/A</v>
      </c>
    </row>
    <row r="205" customFormat="false" ht="13.8" hidden="false" customHeight="false" outlineLevel="0" collapsed="false">
      <c r="A205" s="40" t="s">
        <v>2043</v>
      </c>
      <c r="B205" s="41" t="s">
        <v>518</v>
      </c>
      <c r="C205" s="8" t="s">
        <v>2044</v>
      </c>
      <c r="D205" s="8" t="s">
        <v>1697</v>
      </c>
      <c r="E205" s="8"/>
      <c r="F205" s="33"/>
      <c r="G205" s="42" t="str">
        <f aca="false">INDEX(participants!$I:$I, MATCH(B205, participants!$A:$A, 0), 1)</f>
        <v>js0105</v>
      </c>
      <c r="H205" s="30" t="str">
        <f aca="false">INDEX(libraries!$A:$A, MATCH(A205, libraries!$B:$B, 0), 1)</f>
        <v>lib0213</v>
      </c>
      <c r="I205" s="16" t="s">
        <v>585</v>
      </c>
      <c r="J205" s="44" t="e">
        <f aca="false">INDEX(#REF!, MATCH(B205, participants!$A:$A, 0), 1)</f>
        <v>#VALUE!</v>
      </c>
    </row>
    <row r="206" customFormat="false" ht="13.8" hidden="false" customHeight="false" outlineLevel="0" collapsed="false">
      <c r="A206" s="40" t="s">
        <v>2045</v>
      </c>
      <c r="B206" s="41" t="s">
        <v>2046</v>
      </c>
      <c r="C206" s="8" t="s">
        <v>2047</v>
      </c>
      <c r="D206" s="8" t="s">
        <v>1697</v>
      </c>
      <c r="E206" s="8"/>
      <c r="F206" s="33"/>
      <c r="G206" s="42" t="e">
        <f aca="false">INDEX(participants!$I:$I, MATCH(B206, participants!$A:$A, 0), 1)</f>
        <v>#N/A</v>
      </c>
      <c r="H206" s="30" t="str">
        <f aca="false">INDEX(libraries!$A:$A, MATCH(A206, libraries!$B:$B, 0), 1)</f>
        <v>lib0215</v>
      </c>
      <c r="I206" s="16" t="s">
        <v>585</v>
      </c>
      <c r="J206" s="44" t="e">
        <f aca="false">INDEX(#REF!, MATCH(B206, participants!$A:$A, 0), 1)</f>
        <v>#N/A</v>
      </c>
    </row>
    <row r="207" customFormat="false" ht="13.8" hidden="false" customHeight="false" outlineLevel="0" collapsed="false">
      <c r="A207" s="40" t="s">
        <v>2048</v>
      </c>
      <c r="B207" s="41" t="s">
        <v>2049</v>
      </c>
      <c r="C207" s="8" t="s">
        <v>2050</v>
      </c>
      <c r="D207" s="8" t="s">
        <v>1697</v>
      </c>
      <c r="E207" s="8"/>
      <c r="F207" s="33"/>
      <c r="G207" s="42" t="e">
        <f aca="false">INDEX(participants!$I:$I, MATCH(B207, participants!$A:$A, 0), 1)</f>
        <v>#N/A</v>
      </c>
      <c r="H207" s="30" t="str">
        <f aca="false">INDEX(libraries!$A:$A, MATCH(A207, libraries!$B:$B, 0), 1)</f>
        <v>lib0217</v>
      </c>
      <c r="I207" s="16" t="s">
        <v>752</v>
      </c>
      <c r="J207" s="44" t="e">
        <f aca="false">INDEX(#REF!, MATCH(B207, participants!$A:$A, 0), 1)</f>
        <v>#N/A</v>
      </c>
    </row>
    <row r="208" customFormat="false" ht="13.8" hidden="false" customHeight="false" outlineLevel="0" collapsed="false">
      <c r="A208" s="40" t="s">
        <v>2051</v>
      </c>
      <c r="B208" s="41" t="s">
        <v>513</v>
      </c>
      <c r="C208" s="8" t="s">
        <v>2052</v>
      </c>
      <c r="D208" s="8" t="s">
        <v>1697</v>
      </c>
      <c r="E208" s="8"/>
      <c r="F208" s="33"/>
      <c r="G208" s="42" t="str">
        <f aca="false">INDEX(participants!$I:$I, MATCH(B208, participants!$A:$A, 0), 1)</f>
        <v>js0053</v>
      </c>
      <c r="H208" s="30" t="str">
        <f aca="false">INDEX(libraries!$A:$A, MATCH(A208, libraries!$B:$B, 0), 1)</f>
        <v>lib0218</v>
      </c>
      <c r="I208" s="16" t="s">
        <v>585</v>
      </c>
      <c r="J208" s="44" t="e">
        <f aca="false">INDEX(#REF!, MATCH(B208, participants!$A:$A, 0), 1)</f>
        <v>#VALUE!</v>
      </c>
    </row>
    <row r="209" customFormat="false" ht="13.8" hidden="false" customHeight="false" outlineLevel="0" collapsed="false">
      <c r="A209" s="40" t="s">
        <v>2053</v>
      </c>
      <c r="B209" s="41" t="s">
        <v>506</v>
      </c>
      <c r="C209" s="8" t="s">
        <v>2054</v>
      </c>
      <c r="D209" s="8" t="s">
        <v>1697</v>
      </c>
      <c r="E209" s="8"/>
      <c r="F209" s="33"/>
      <c r="G209" s="42" t="str">
        <f aca="false">INDEX(participants!$I:$I, MATCH(B209, participants!$A:$A, 0), 1)</f>
        <v>js0045</v>
      </c>
      <c r="H209" s="30" t="str">
        <f aca="false">INDEX(libraries!$A:$A, MATCH(A209, libraries!$B:$B, 0), 1)</f>
        <v>lib0220</v>
      </c>
      <c r="I209" s="16" t="s">
        <v>752</v>
      </c>
      <c r="J209" s="44" t="e">
        <f aca="false">INDEX(#REF!, MATCH(B209, participants!$A:$A, 0), 1)</f>
        <v>#VALUE!</v>
      </c>
    </row>
    <row r="210" customFormat="false" ht="13.8" hidden="false" customHeight="false" outlineLevel="0" collapsed="false">
      <c r="A210" s="40" t="s">
        <v>2055</v>
      </c>
      <c r="B210" s="41" t="s">
        <v>2056</v>
      </c>
      <c r="C210" s="8" t="s">
        <v>2057</v>
      </c>
      <c r="D210" s="8" t="s">
        <v>1697</v>
      </c>
      <c r="E210" s="8"/>
      <c r="F210" s="33"/>
      <c r="G210" s="42" t="e">
        <f aca="false">INDEX(participants!$I:$I, MATCH(B210, participants!$A:$A, 0), 1)</f>
        <v>#N/A</v>
      </c>
      <c r="H210" s="30" t="str">
        <f aca="false">INDEX(libraries!$A:$A, MATCH(A210, libraries!$B:$B, 0), 1)</f>
        <v>lib0221</v>
      </c>
      <c r="I210" s="16" t="s">
        <v>752</v>
      </c>
      <c r="J210" s="44" t="e">
        <f aca="false">INDEX(#REF!, MATCH(B210, participants!$A:$A, 0), 1)</f>
        <v>#N/A</v>
      </c>
    </row>
    <row r="211" customFormat="false" ht="13.8" hidden="false" customHeight="false" outlineLevel="0" collapsed="false">
      <c r="A211" s="40" t="s">
        <v>2058</v>
      </c>
      <c r="B211" s="41" t="s">
        <v>506</v>
      </c>
      <c r="C211" s="8" t="s">
        <v>1796</v>
      </c>
      <c r="D211" s="8" t="s">
        <v>1697</v>
      </c>
      <c r="E211" s="8"/>
      <c r="F211" s="33"/>
      <c r="G211" s="42" t="str">
        <f aca="false">INDEX(participants!$I:$I, MATCH(B211, participants!$A:$A, 0), 1)</f>
        <v>js0045</v>
      </c>
      <c r="H211" s="42" t="str">
        <f aca="false">INDEX(libraries!$A:$A, MATCH(A211, libraries!$B:$B, 0), 1)</f>
        <v>lib0222</v>
      </c>
      <c r="I211" s="16" t="s">
        <v>585</v>
      </c>
      <c r="J211" s="44" t="e">
        <f aca="false">INDEX(#REF!, MATCH(B211, participants!$A:$A, 0), 1)</f>
        <v>#VALUE!</v>
      </c>
    </row>
    <row r="212" customFormat="false" ht="13.8" hidden="false" customHeight="false" outlineLevel="0" collapsed="false">
      <c r="A212" s="40" t="s">
        <v>2059</v>
      </c>
      <c r="B212" s="41" t="s">
        <v>506</v>
      </c>
      <c r="C212" s="8" t="s">
        <v>2060</v>
      </c>
      <c r="D212" s="8" t="s">
        <v>1697</v>
      </c>
      <c r="E212" s="8"/>
      <c r="F212" s="33"/>
      <c r="G212" s="42" t="str">
        <f aca="false">INDEX(participants!$I:$I, MATCH(B212, participants!$A:$A, 0), 1)</f>
        <v>js0045</v>
      </c>
      <c r="H212" s="42" t="str">
        <f aca="false">INDEX(libraries!$A:$A, MATCH(A212, libraries!$B:$B, 0), 1)</f>
        <v>lib0223</v>
      </c>
      <c r="I212" s="16" t="s">
        <v>585</v>
      </c>
      <c r="J212" s="44" t="e">
        <f aca="false">INDEX(#REF!, MATCH(B212, participants!$A:$A, 0), 1)</f>
        <v>#VALUE!</v>
      </c>
    </row>
    <row r="213" customFormat="false" ht="13.8" hidden="false" customHeight="false" outlineLevel="0" collapsed="false">
      <c r="A213" s="40" t="s">
        <v>2061</v>
      </c>
      <c r="B213" s="41" t="s">
        <v>2056</v>
      </c>
      <c r="C213" s="8" t="s">
        <v>2062</v>
      </c>
      <c r="D213" s="8" t="s">
        <v>1697</v>
      </c>
      <c r="E213" s="8"/>
      <c r="F213" s="33"/>
      <c r="G213" s="42" t="e">
        <f aca="false">INDEX(participants!$I:$I, MATCH(B213, participants!$A:$A, 0), 1)</f>
        <v>#N/A</v>
      </c>
      <c r="H213" s="42" t="str">
        <f aca="false">INDEX(libraries!$A:$A, MATCH(A213, libraries!$B:$B, 0), 1)</f>
        <v>lib0224</v>
      </c>
      <c r="I213" s="16" t="s">
        <v>752</v>
      </c>
      <c r="J213" s="44" t="e">
        <f aca="false">INDEX(#REF!, MATCH(B213, participants!$A:$A, 0), 1)</f>
        <v>#N/A</v>
      </c>
    </row>
    <row r="214" customFormat="false" ht="13.8" hidden="false" customHeight="false" outlineLevel="0" collapsed="false">
      <c r="A214" s="40" t="s">
        <v>2063</v>
      </c>
      <c r="B214" s="41" t="s">
        <v>518</v>
      </c>
      <c r="C214" s="8" t="s">
        <v>2064</v>
      </c>
      <c r="D214" s="8" t="s">
        <v>1697</v>
      </c>
      <c r="E214" s="8"/>
      <c r="F214" s="33"/>
      <c r="G214" s="42" t="str">
        <f aca="false">INDEX(participants!$I:$I, MATCH(B214, participants!$A:$A, 0), 1)</f>
        <v>js0105</v>
      </c>
      <c r="H214" s="42" t="str">
        <f aca="false">INDEX(libraries!$A:$A, MATCH(A214, libraries!$B:$B, 0), 1)</f>
        <v>lib0226</v>
      </c>
      <c r="I214" s="16" t="s">
        <v>585</v>
      </c>
      <c r="J214" s="44" t="e">
        <f aca="false">INDEX(#REF!, MATCH(B214, participants!$A:$A, 0), 1)</f>
        <v>#VALUE!</v>
      </c>
    </row>
    <row r="215" customFormat="false" ht="13.8" hidden="false" customHeight="false" outlineLevel="0" collapsed="false">
      <c r="A215" s="40" t="s">
        <v>2065</v>
      </c>
      <c r="B215" s="41" t="s">
        <v>1835</v>
      </c>
      <c r="C215" s="8" t="s">
        <v>2066</v>
      </c>
      <c r="D215" s="8" t="s">
        <v>1697</v>
      </c>
      <c r="E215" s="8"/>
      <c r="F215" s="33"/>
      <c r="G215" s="42" t="e">
        <f aca="false">INDEX(participants!$I:$I, MATCH(B215, participants!$A:$A, 0), 1)</f>
        <v>#N/A</v>
      </c>
      <c r="H215" s="42" t="str">
        <f aca="false">INDEX(libraries!$A:$A, MATCH(A215, libraries!$B:$B, 0), 1)</f>
        <v>lib0227</v>
      </c>
      <c r="I215" s="16" t="s">
        <v>872</v>
      </c>
      <c r="J215" s="44" t="e">
        <f aca="false">INDEX(#REF!, MATCH(B215, participants!$A:$A, 0), 1)</f>
        <v>#N/A</v>
      </c>
    </row>
    <row r="216" customFormat="false" ht="13.8" hidden="false" customHeight="false" outlineLevel="0" collapsed="false">
      <c r="A216" s="40" t="s">
        <v>2067</v>
      </c>
      <c r="B216" s="41" t="s">
        <v>518</v>
      </c>
      <c r="C216" s="8" t="s">
        <v>2068</v>
      </c>
      <c r="D216" s="8" t="s">
        <v>1697</v>
      </c>
      <c r="E216" s="8"/>
      <c r="F216" s="33"/>
      <c r="G216" s="42" t="str">
        <f aca="false">INDEX(participants!$I:$I, MATCH(B216, participants!$A:$A, 0), 1)</f>
        <v>js0105</v>
      </c>
      <c r="H216" s="42" t="str">
        <f aca="false">INDEX(libraries!$A:$A, MATCH(A216, libraries!$B:$B, 0), 1)</f>
        <v>lib0228</v>
      </c>
      <c r="I216" s="16" t="s">
        <v>585</v>
      </c>
      <c r="J216" s="44" t="e">
        <f aca="false">INDEX(#REF!, MATCH(B216, participants!$A:$A, 0), 1)</f>
        <v>#VALUE!</v>
      </c>
    </row>
    <row r="217" customFormat="false" ht="13.8" hidden="false" customHeight="false" outlineLevel="0" collapsed="false">
      <c r="A217" s="40" t="s">
        <v>2069</v>
      </c>
      <c r="B217" s="41" t="s">
        <v>2070</v>
      </c>
      <c r="C217" s="8" t="s">
        <v>2071</v>
      </c>
      <c r="D217" s="8" t="s">
        <v>1697</v>
      </c>
      <c r="E217" s="8"/>
      <c r="F217" s="33"/>
      <c r="G217" s="42" t="e">
        <f aca="false">INDEX(participants!$I:$I, MATCH(B217, participants!$A:$A, 0), 1)</f>
        <v>#N/A</v>
      </c>
      <c r="H217" s="42" t="str">
        <f aca="false">INDEX(libraries!$A:$A, MATCH(A217, libraries!$B:$B, 0), 1)</f>
        <v>lib0229</v>
      </c>
      <c r="I217" s="16" t="s">
        <v>872</v>
      </c>
      <c r="J217" s="44" t="e">
        <f aca="false">INDEX(#REF!, MATCH(B217, participants!$A:$A, 0), 1)</f>
        <v>#N/A</v>
      </c>
    </row>
    <row r="218" customFormat="false" ht="13.8" hidden="false" customHeight="false" outlineLevel="0" collapsed="false">
      <c r="A218" s="40" t="s">
        <v>2072</v>
      </c>
      <c r="B218" s="41" t="s">
        <v>2070</v>
      </c>
      <c r="C218" s="8" t="s">
        <v>2073</v>
      </c>
      <c r="D218" s="8" t="s">
        <v>1697</v>
      </c>
      <c r="E218" s="8"/>
      <c r="F218" s="33"/>
      <c r="G218" s="42" t="e">
        <f aca="false">INDEX(participants!$I:$I, MATCH(B218, participants!$A:$A, 0), 1)</f>
        <v>#N/A</v>
      </c>
      <c r="H218" s="42" t="str">
        <f aca="false">INDEX(libraries!$A:$A, MATCH(A218, libraries!$B:$B, 0), 1)</f>
        <v>lib0230</v>
      </c>
      <c r="I218" s="16" t="s">
        <v>872</v>
      </c>
      <c r="J218" s="44" t="e">
        <f aca="false">INDEX(#REF!, MATCH(B218, participants!$A:$A, 0), 1)</f>
        <v>#N/A</v>
      </c>
    </row>
    <row r="219" customFormat="false" ht="13.8" hidden="false" customHeight="false" outlineLevel="0" collapsed="false">
      <c r="A219" s="40" t="s">
        <v>2074</v>
      </c>
      <c r="B219" s="41" t="s">
        <v>2075</v>
      </c>
      <c r="C219" s="8" t="s">
        <v>1761</v>
      </c>
      <c r="D219" s="8" t="s">
        <v>1697</v>
      </c>
      <c r="E219" s="8"/>
      <c r="F219" s="33"/>
      <c r="G219" s="42" t="e">
        <f aca="false">INDEX(participants!$I:$I, MATCH(B219, participants!$A:$A, 0), 1)</f>
        <v>#N/A</v>
      </c>
      <c r="H219" s="42" t="str">
        <f aca="false">INDEX(libraries!$A:$A, MATCH(A219, libraries!$B:$B, 0), 1)</f>
        <v>lib0231</v>
      </c>
      <c r="I219" s="16" t="s">
        <v>932</v>
      </c>
      <c r="J219" s="44" t="e">
        <f aca="false">INDEX(#REF!, MATCH(B219, participants!$A:$A, 0), 1)</f>
        <v>#N/A</v>
      </c>
    </row>
    <row r="220" customFormat="false" ht="13.8" hidden="false" customHeight="false" outlineLevel="0" collapsed="false">
      <c r="A220" s="40" t="s">
        <v>2076</v>
      </c>
      <c r="B220" s="41" t="s">
        <v>2077</v>
      </c>
      <c r="C220" s="8" t="s">
        <v>2078</v>
      </c>
      <c r="D220" s="8" t="s">
        <v>1697</v>
      </c>
      <c r="E220" s="8"/>
      <c r="F220" s="33"/>
      <c r="G220" s="42" t="e">
        <f aca="false">INDEX(participants!$I:$I, MATCH(B220, participants!$A:$A, 0), 1)</f>
        <v>#N/A</v>
      </c>
      <c r="H220" s="42" t="str">
        <f aca="false">INDEX(libraries!$A:$A, MATCH(A220, libraries!$B:$B, 0), 1)</f>
        <v>lib0232</v>
      </c>
      <c r="I220" s="16" t="s">
        <v>872</v>
      </c>
      <c r="J220" s="44" t="e">
        <f aca="false">INDEX(#REF!, MATCH(B220, participants!$A:$A, 0), 1)</f>
        <v>#N/A</v>
      </c>
    </row>
    <row r="221" customFormat="false" ht="13.8" hidden="false" customHeight="false" outlineLevel="0" collapsed="false">
      <c r="A221" s="40" t="s">
        <v>2079</v>
      </c>
      <c r="B221" s="41" t="s">
        <v>2049</v>
      </c>
      <c r="C221" s="8" t="s">
        <v>1917</v>
      </c>
      <c r="D221" s="8" t="s">
        <v>1697</v>
      </c>
      <c r="E221" s="8"/>
      <c r="F221" s="33"/>
      <c r="G221" s="42" t="e">
        <f aca="false">INDEX(participants!$I:$I, MATCH(B221, participants!$A:$A, 0), 1)</f>
        <v>#N/A</v>
      </c>
      <c r="H221" s="42" t="str">
        <f aca="false">INDEX(libraries!$A:$A, MATCH(A221, libraries!$B:$B, 0), 1)</f>
        <v>lib0233</v>
      </c>
      <c r="I221" s="16" t="s">
        <v>752</v>
      </c>
      <c r="J221" s="44" t="e">
        <f aca="false">INDEX(#REF!, MATCH(B221, participants!$A:$A, 0), 1)</f>
        <v>#N/A</v>
      </c>
    </row>
    <row r="222" customFormat="false" ht="13.8" hidden="false" customHeight="false" outlineLevel="0" collapsed="false">
      <c r="A222" s="40" t="s">
        <v>2080</v>
      </c>
      <c r="B222" s="41" t="s">
        <v>2081</v>
      </c>
      <c r="C222" s="8" t="s">
        <v>2082</v>
      </c>
      <c r="D222" s="8" t="s">
        <v>1697</v>
      </c>
      <c r="E222" s="8"/>
      <c r="F222" s="33"/>
      <c r="G222" s="42" t="e">
        <f aca="false">INDEX(participants!$I:$I, MATCH(B222, participants!$A:$A, 0), 1)</f>
        <v>#N/A</v>
      </c>
      <c r="H222" s="42" t="str">
        <f aca="false">INDEX(libraries!$A:$A, MATCH(A222, libraries!$B:$B, 0), 1)</f>
        <v>lib0234</v>
      </c>
      <c r="I222" s="16" t="s">
        <v>872</v>
      </c>
      <c r="J222" s="44" t="e">
        <f aca="false">INDEX(#REF!, MATCH(B222, participants!$A:$A, 0), 1)</f>
        <v>#N/A</v>
      </c>
    </row>
    <row r="223" customFormat="false" ht="13.8" hidden="false" customHeight="false" outlineLevel="0" collapsed="false">
      <c r="A223" s="40" t="s">
        <v>2083</v>
      </c>
      <c r="B223" s="41" t="s">
        <v>513</v>
      </c>
      <c r="C223" s="8" t="s">
        <v>2084</v>
      </c>
      <c r="D223" s="8" t="s">
        <v>1697</v>
      </c>
      <c r="E223" s="8"/>
      <c r="F223" s="33"/>
      <c r="G223" s="42" t="str">
        <f aca="false">INDEX(participants!$I:$I, MATCH(B223, participants!$A:$A, 0), 1)</f>
        <v>js0053</v>
      </c>
      <c r="H223" s="42" t="str">
        <f aca="false">INDEX(libraries!$A:$A, MATCH(A223, libraries!$B:$B, 0), 1)</f>
        <v>lib0235</v>
      </c>
      <c r="I223" s="16" t="s">
        <v>585</v>
      </c>
      <c r="J223" s="44" t="e">
        <f aca="false">INDEX(#REF!, MATCH(B223, participants!$A:$A, 0), 1)</f>
        <v>#VALUE!</v>
      </c>
    </row>
    <row r="224" customFormat="false" ht="13.8" hidden="false" customHeight="false" outlineLevel="0" collapsed="false">
      <c r="A224" s="40" t="s">
        <v>2085</v>
      </c>
      <c r="B224" s="41" t="s">
        <v>513</v>
      </c>
      <c r="C224" s="8" t="s">
        <v>2086</v>
      </c>
      <c r="D224" s="8" t="s">
        <v>1697</v>
      </c>
      <c r="E224" s="8"/>
      <c r="F224" s="33"/>
      <c r="G224" s="42" t="str">
        <f aca="false">INDEX(participants!$I:$I, MATCH(B224, participants!$A:$A, 0), 1)</f>
        <v>js0053</v>
      </c>
      <c r="H224" s="42" t="str">
        <f aca="false">INDEX(libraries!$A:$A, MATCH(A224, libraries!$B:$B, 0), 1)</f>
        <v>lib0236</v>
      </c>
      <c r="I224" s="16" t="s">
        <v>585</v>
      </c>
      <c r="J224" s="44" t="e">
        <f aca="false">INDEX(#REF!, MATCH(B224, participants!$A:$A, 0), 1)</f>
        <v>#VALUE!</v>
      </c>
    </row>
    <row r="225" customFormat="false" ht="13.8" hidden="false" customHeight="false" outlineLevel="0" collapsed="false">
      <c r="A225" s="40" t="s">
        <v>2087</v>
      </c>
      <c r="B225" s="41" t="s">
        <v>518</v>
      </c>
      <c r="C225" s="8" t="s">
        <v>2088</v>
      </c>
      <c r="D225" s="8" t="s">
        <v>1697</v>
      </c>
      <c r="E225" s="8"/>
      <c r="F225" s="33"/>
      <c r="G225" s="42" t="str">
        <f aca="false">INDEX(participants!$I:$I, MATCH(B225, participants!$A:$A, 0), 1)</f>
        <v>js0105</v>
      </c>
      <c r="H225" s="42" t="str">
        <f aca="false">INDEX(libraries!$A:$A, MATCH(A225, libraries!$B:$B, 0), 1)</f>
        <v>lib0237</v>
      </c>
      <c r="I225" s="16" t="s">
        <v>585</v>
      </c>
      <c r="J225" s="44" t="e">
        <f aca="false">INDEX(#REF!, MATCH(B225, participants!$A:$A, 0), 1)</f>
        <v>#VALUE!</v>
      </c>
    </row>
    <row r="226" customFormat="false" ht="13.8" hidden="false" customHeight="false" outlineLevel="0" collapsed="false">
      <c r="A226" s="40" t="s">
        <v>2089</v>
      </c>
      <c r="B226" s="41" t="s">
        <v>2090</v>
      </c>
      <c r="C226" s="8" t="s">
        <v>2091</v>
      </c>
      <c r="D226" s="8" t="s">
        <v>1824</v>
      </c>
      <c r="E226" s="8"/>
      <c r="F226" s="33"/>
      <c r="G226" s="42" t="e">
        <f aca="false">INDEX(participants!$I:$I, MATCH(B226, participants!$A:$A, 0), 1)</f>
        <v>#N/A</v>
      </c>
      <c r="H226" s="42" t="str">
        <f aca="false">INDEX(libraries!$A:$A, MATCH(A226, libraries!$B:$B, 0), 1)</f>
        <v>lib0238</v>
      </c>
      <c r="I226" s="16" t="s">
        <v>526</v>
      </c>
      <c r="J226" s="44" t="e">
        <f aca="false">INDEX(#REF!, MATCH(B226, participants!$A:$A, 0), 1)</f>
        <v>#N/A</v>
      </c>
    </row>
    <row r="227" customFormat="false" ht="13.8" hidden="false" customHeight="false" outlineLevel="0" collapsed="false">
      <c r="A227" s="40" t="s">
        <v>2092</v>
      </c>
      <c r="B227" s="41" t="s">
        <v>2090</v>
      </c>
      <c r="C227" s="8" t="s">
        <v>2091</v>
      </c>
      <c r="D227" s="8" t="s">
        <v>1697</v>
      </c>
      <c r="E227" s="8"/>
      <c r="F227" s="33"/>
      <c r="G227" s="42" t="e">
        <f aca="false">INDEX(participants!$I:$I, MATCH(B227, participants!$A:$A, 0), 1)</f>
        <v>#N/A</v>
      </c>
      <c r="H227" s="42" t="str">
        <f aca="false">INDEX(libraries!$A:$A, MATCH(A227, libraries!$B:$B, 0), 1)</f>
        <v>lib0239</v>
      </c>
      <c r="I227" s="16" t="s">
        <v>526</v>
      </c>
      <c r="J227" s="44" t="e">
        <f aca="false">INDEX(#REF!, MATCH(B227, participants!$A:$A, 0), 1)</f>
        <v>#N/A</v>
      </c>
    </row>
    <row r="228" customFormat="false" ht="13.8" hidden="false" customHeight="false" outlineLevel="0" collapsed="false">
      <c r="A228" s="40" t="s">
        <v>2093</v>
      </c>
      <c r="B228" s="41" t="s">
        <v>2094</v>
      </c>
      <c r="C228" s="8" t="s">
        <v>2095</v>
      </c>
      <c r="D228" s="8" t="s">
        <v>1697</v>
      </c>
      <c r="E228" s="8"/>
      <c r="F228" s="33"/>
      <c r="G228" s="42" t="e">
        <f aca="false">INDEX(participants!$I:$I, MATCH(B228, participants!$A:$A, 0), 1)</f>
        <v>#N/A</v>
      </c>
      <c r="H228" s="42" t="str">
        <f aca="false">INDEX(libraries!$A:$A, MATCH(A228, libraries!$B:$B, 0), 1)</f>
        <v>lib0240</v>
      </c>
      <c r="I228" s="16" t="s">
        <v>526</v>
      </c>
      <c r="J228" s="44" t="e">
        <f aca="false">INDEX(#REF!, MATCH(B228, participants!$A:$A, 0), 1)</f>
        <v>#N/A</v>
      </c>
    </row>
    <row r="229" customFormat="false" ht="13.8" hidden="false" customHeight="false" outlineLevel="0" collapsed="false">
      <c r="A229" s="40" t="s">
        <v>2096</v>
      </c>
      <c r="B229" s="41" t="s">
        <v>2097</v>
      </c>
      <c r="C229" s="8" t="s">
        <v>2098</v>
      </c>
      <c r="D229" s="8" t="s">
        <v>1697</v>
      </c>
      <c r="E229" s="8"/>
      <c r="F229" s="33"/>
      <c r="G229" s="42" t="e">
        <f aca="false">INDEX(participants!$I:$I, MATCH(B229, participants!$A:$A, 0), 1)</f>
        <v>#N/A</v>
      </c>
      <c r="H229" s="42" t="str">
        <f aca="false">INDEX(libraries!$A:$A, MATCH(A229, libraries!$B:$B, 0), 1)</f>
        <v>lib0241</v>
      </c>
      <c r="I229" s="16" t="s">
        <v>526</v>
      </c>
      <c r="J229" s="44" t="e">
        <f aca="false">INDEX(#REF!, MATCH(B229, participants!$A:$A, 0), 1)</f>
        <v>#N/A</v>
      </c>
    </row>
    <row r="230" customFormat="false" ht="13.8" hidden="false" customHeight="false" outlineLevel="0" collapsed="false">
      <c r="A230" s="40" t="s">
        <v>2099</v>
      </c>
      <c r="B230" s="41" t="s">
        <v>2100</v>
      </c>
      <c r="C230" s="8" t="s">
        <v>2101</v>
      </c>
      <c r="D230" s="8" t="s">
        <v>1697</v>
      </c>
      <c r="E230" s="8"/>
      <c r="F230" s="33"/>
      <c r="G230" s="42" t="e">
        <f aca="false">INDEX(participants!$I:$I, MATCH(B230, participants!$A:$A, 0), 1)</f>
        <v>#N/A</v>
      </c>
      <c r="H230" s="42" t="str">
        <f aca="false">INDEX(libraries!$A:$A, MATCH(A230, libraries!$B:$B, 0), 1)</f>
        <v>lib0242</v>
      </c>
      <c r="I230" s="16" t="s">
        <v>526</v>
      </c>
      <c r="J230" s="44" t="e">
        <f aca="false">INDEX(#REF!, MATCH(B230, participants!$A:$A, 0), 1)</f>
        <v>#N/A</v>
      </c>
    </row>
    <row r="231" customFormat="false" ht="13.8" hidden="false" customHeight="false" outlineLevel="0" collapsed="false">
      <c r="A231" s="40" t="s">
        <v>2102</v>
      </c>
      <c r="B231" s="41" t="s">
        <v>722</v>
      </c>
      <c r="C231" s="8" t="s">
        <v>2103</v>
      </c>
      <c r="D231" s="8" t="s">
        <v>1697</v>
      </c>
      <c r="E231" s="8"/>
      <c r="F231" s="33"/>
      <c r="G231" s="42" t="str">
        <f aca="false">INDEX(participants!$I:$I, MATCH(B231, participants!$A:$A, 0), 1)</f>
        <v>nf589</v>
      </c>
      <c r="H231" s="42" t="str">
        <f aca="false">INDEX(libraries!$A:$A, MATCH(A231, libraries!$B:$B, 0), 1)</f>
        <v>lib0243</v>
      </c>
      <c r="I231" s="16" t="s">
        <v>486</v>
      </c>
      <c r="J231" s="44" t="e">
        <f aca="false">INDEX(#REF!, MATCH(B231, participants!$A:$A, 0), 1)</f>
        <v>#VALUE!</v>
      </c>
    </row>
    <row r="232" customFormat="false" ht="13.8" hidden="false" customHeight="false" outlineLevel="0" collapsed="false">
      <c r="A232" s="40" t="s">
        <v>2104</v>
      </c>
      <c r="B232" s="41" t="s">
        <v>2090</v>
      </c>
      <c r="C232" s="8" t="s">
        <v>2091</v>
      </c>
      <c r="D232" s="8" t="s">
        <v>1697</v>
      </c>
      <c r="E232" s="8"/>
      <c r="F232" s="33"/>
      <c r="G232" s="42" t="e">
        <f aca="false">INDEX(participants!$I:$I, MATCH(B232, participants!$A:$A, 0), 1)</f>
        <v>#N/A</v>
      </c>
      <c r="H232" s="42" t="str">
        <f aca="false">INDEX(libraries!$A:$A, MATCH(A232, libraries!$B:$B, 0), 1)</f>
        <v>lib0244</v>
      </c>
      <c r="I232" s="16" t="s">
        <v>526</v>
      </c>
      <c r="J232" s="44" t="e">
        <f aca="false">INDEX(#REF!, MATCH(B232, participants!$A:$A, 0), 1)</f>
        <v>#N/A</v>
      </c>
    </row>
    <row r="233" customFormat="false" ht="13.8" hidden="false" customHeight="false" outlineLevel="0" collapsed="false">
      <c r="A233" s="40" t="s">
        <v>2105</v>
      </c>
      <c r="B233" s="41" t="s">
        <v>1958</v>
      </c>
      <c r="C233" s="8" t="s">
        <v>2106</v>
      </c>
      <c r="D233" s="8" t="s">
        <v>1697</v>
      </c>
      <c r="E233" s="8"/>
      <c r="F233" s="33"/>
      <c r="G233" s="42" t="e">
        <f aca="false">INDEX(participants!$I:$I, MATCH(B233, participants!$A:$A, 0), 1)</f>
        <v>#N/A</v>
      </c>
      <c r="H233" s="42" t="str">
        <f aca="false">INDEX(libraries!$A:$A, MATCH(A233, libraries!$B:$B, 0), 1)</f>
        <v>lib0245</v>
      </c>
      <c r="I233" s="16" t="s">
        <v>486</v>
      </c>
      <c r="J233" s="44" t="e">
        <f aca="false">INDEX(#REF!, MATCH(B233, participants!$A:$A, 0), 1)</f>
        <v>#N/A</v>
      </c>
    </row>
    <row r="234" customFormat="false" ht="13.8" hidden="false" customHeight="false" outlineLevel="0" collapsed="false">
      <c r="A234" s="40" t="s">
        <v>2107</v>
      </c>
      <c r="B234" s="41" t="s">
        <v>1926</v>
      </c>
      <c r="C234" s="8" t="s">
        <v>2108</v>
      </c>
      <c r="D234" s="8" t="s">
        <v>1697</v>
      </c>
      <c r="E234" s="8"/>
      <c r="F234" s="33"/>
      <c r="G234" s="42" t="e">
        <f aca="false">INDEX(participants!$I:$I, MATCH(B234, participants!$A:$A, 0), 1)</f>
        <v>#N/A</v>
      </c>
      <c r="H234" s="42" t="str">
        <f aca="false">INDEX(libraries!$A:$A, MATCH(A234, libraries!$B:$B, 0), 1)</f>
        <v>lib0246</v>
      </c>
      <c r="I234" s="16" t="s">
        <v>486</v>
      </c>
      <c r="J234" s="44" t="e">
        <f aca="false">INDEX(#REF!, MATCH(B234, participants!$A:$A, 0), 1)</f>
        <v>#N/A</v>
      </c>
    </row>
    <row r="235" customFormat="false" ht="13.8" hidden="false" customHeight="false" outlineLevel="0" collapsed="false">
      <c r="A235" s="40" t="s">
        <v>2109</v>
      </c>
      <c r="B235" s="41" t="s">
        <v>1926</v>
      </c>
      <c r="C235" s="8" t="s">
        <v>2110</v>
      </c>
      <c r="D235" s="8" t="s">
        <v>1697</v>
      </c>
      <c r="E235" s="8"/>
      <c r="F235" s="33"/>
      <c r="G235" s="42" t="e">
        <f aca="false">INDEX(participants!$I:$I, MATCH(B235, participants!$A:$A, 0), 1)</f>
        <v>#N/A</v>
      </c>
      <c r="H235" s="42" t="str">
        <f aca="false">INDEX(libraries!$A:$A, MATCH(A235, libraries!$B:$B, 0), 1)</f>
        <v>lib0247</v>
      </c>
      <c r="I235" s="16" t="s">
        <v>486</v>
      </c>
      <c r="J235" s="44" t="e">
        <f aca="false">INDEX(#REF!, MATCH(B235, participants!$A:$A, 0), 1)</f>
        <v>#N/A</v>
      </c>
    </row>
    <row r="236" customFormat="false" ht="13.8" hidden="false" customHeight="false" outlineLevel="0" collapsed="false">
      <c r="A236" s="40" t="s">
        <v>2111</v>
      </c>
      <c r="B236" s="41" t="s">
        <v>1926</v>
      </c>
      <c r="C236" s="8" t="s">
        <v>2112</v>
      </c>
      <c r="D236" s="8" t="s">
        <v>1697</v>
      </c>
      <c r="E236" s="8"/>
      <c r="F236" s="33"/>
      <c r="G236" s="42" t="e">
        <f aca="false">INDEX(participants!$I:$I, MATCH(B236, participants!$A:$A, 0), 1)</f>
        <v>#N/A</v>
      </c>
      <c r="H236" s="42" t="str">
        <f aca="false">INDEX(libraries!$A:$A, MATCH(A236, libraries!$B:$B, 0), 1)</f>
        <v>lib0248</v>
      </c>
      <c r="I236" s="16" t="s">
        <v>486</v>
      </c>
      <c r="J236" s="44" t="e">
        <f aca="false">INDEX(#REF!, MATCH(B236, participants!$A:$A, 0), 1)</f>
        <v>#N/A</v>
      </c>
    </row>
    <row r="237" customFormat="false" ht="13.8" hidden="false" customHeight="false" outlineLevel="0" collapsed="false">
      <c r="A237" s="40" t="s">
        <v>2113</v>
      </c>
      <c r="B237" s="41" t="s">
        <v>1926</v>
      </c>
      <c r="C237" s="8" t="s">
        <v>2039</v>
      </c>
      <c r="D237" s="8" t="s">
        <v>1697</v>
      </c>
      <c r="E237" s="8"/>
      <c r="F237" s="33"/>
      <c r="G237" s="42" t="e">
        <f aca="false">INDEX(participants!$I:$I, MATCH(B237, participants!$A:$A, 0), 1)</f>
        <v>#N/A</v>
      </c>
      <c r="H237" s="42" t="str">
        <f aca="false">INDEX(libraries!$A:$A, MATCH(A237, libraries!$B:$B, 0), 1)</f>
        <v>lib0249</v>
      </c>
      <c r="I237" s="16" t="s">
        <v>486</v>
      </c>
      <c r="J237" s="44" t="e">
        <f aca="false">INDEX(#REF!, MATCH(B237, participants!$A:$A, 0), 1)</f>
        <v>#N/A</v>
      </c>
    </row>
    <row r="238" customFormat="false" ht="13.8" hidden="false" customHeight="false" outlineLevel="0" collapsed="false">
      <c r="A238" s="40" t="s">
        <v>2114</v>
      </c>
      <c r="B238" s="41" t="s">
        <v>690</v>
      </c>
      <c r="C238" s="8" t="s">
        <v>1911</v>
      </c>
      <c r="D238" s="8" t="s">
        <v>1697</v>
      </c>
      <c r="E238" s="8"/>
      <c r="F238" s="33"/>
      <c r="G238" s="42" t="str">
        <f aca="false">INDEX(participants!$I:$I, MATCH(B238, participants!$A:$A, 0), 1)</f>
        <v>nf487</v>
      </c>
      <c r="H238" s="42" t="str">
        <f aca="false">INDEX(libraries!$A:$A, MATCH(A238, libraries!$B:$B, 0), 1)</f>
        <v>lib0191</v>
      </c>
      <c r="I238" s="16" t="s">
        <v>486</v>
      </c>
      <c r="J238" s="44" t="e">
        <f aca="false">INDEX(#REF!, MATCH(B238, participants!$A:$A, 0), 1)</f>
        <v>#VALUE!</v>
      </c>
    </row>
    <row r="239" customFormat="false" ht="13.8" hidden="false" customHeight="false" outlineLevel="0" collapsed="false">
      <c r="A239" s="40" t="s">
        <v>2115</v>
      </c>
      <c r="B239" s="41" t="s">
        <v>2116</v>
      </c>
      <c r="C239" s="8" t="s">
        <v>1944</v>
      </c>
      <c r="D239" s="8" t="s">
        <v>1697</v>
      </c>
      <c r="E239" s="8"/>
      <c r="F239" s="33"/>
      <c r="G239" s="42" t="e">
        <f aca="false">INDEX(participants!$I:$I, MATCH(B239, participants!$A:$A, 0), 1)</f>
        <v>#N/A</v>
      </c>
      <c r="H239" s="42" t="str">
        <f aca="false">INDEX(libraries!$A:$A, MATCH(A239, libraries!$B:$B, 0), 1)</f>
        <v>lib0251</v>
      </c>
      <c r="I239" s="16" t="s">
        <v>486</v>
      </c>
      <c r="J239" s="44" t="e">
        <f aca="false">INDEX(#REF!, MATCH(B239, participants!$A:$A, 0), 1)</f>
        <v>#N/A</v>
      </c>
    </row>
    <row r="240" customFormat="false" ht="13.8" hidden="false" customHeight="false" outlineLevel="0" collapsed="false">
      <c r="A240" s="40" t="s">
        <v>2117</v>
      </c>
      <c r="B240" s="41" t="s">
        <v>2118</v>
      </c>
      <c r="C240" s="8" t="s">
        <v>2119</v>
      </c>
      <c r="D240" s="8" t="s">
        <v>1697</v>
      </c>
      <c r="E240" s="8"/>
      <c r="F240" s="33"/>
      <c r="G240" s="42" t="e">
        <f aca="false">INDEX(participants!$I:$I, MATCH(B240, participants!$A:$A, 0), 1)</f>
        <v>#N/A</v>
      </c>
      <c r="H240" s="42" t="str">
        <f aca="false">INDEX(libraries!$A:$A, MATCH(A240, libraries!$B:$B, 0), 1)</f>
        <v>lib0252</v>
      </c>
      <c r="I240" s="16" t="s">
        <v>486</v>
      </c>
      <c r="J240" s="44" t="e">
        <f aca="false">INDEX(#REF!, MATCH(B240, participants!$A:$A, 0), 1)</f>
        <v>#N/A</v>
      </c>
    </row>
    <row r="241" customFormat="false" ht="13.8" hidden="false" customHeight="false" outlineLevel="0" collapsed="false">
      <c r="A241" s="40" t="s">
        <v>2120</v>
      </c>
      <c r="B241" s="41" t="s">
        <v>2121</v>
      </c>
      <c r="C241" s="8" t="s">
        <v>2122</v>
      </c>
      <c r="D241" s="8" t="s">
        <v>1697</v>
      </c>
      <c r="E241" s="8"/>
      <c r="F241" s="33"/>
      <c r="G241" s="42" t="e">
        <f aca="false">INDEX(participants!$I:$I, MATCH(B241, participants!$A:$A, 0), 1)</f>
        <v>#N/A</v>
      </c>
      <c r="H241" s="42" t="str">
        <f aca="false">INDEX(libraries!$A:$A, MATCH(A241, libraries!$B:$B, 0), 1)</f>
        <v>lib0254</v>
      </c>
      <c r="I241" s="16" t="s">
        <v>486</v>
      </c>
      <c r="J241" s="44" t="e">
        <f aca="false">INDEX(#REF!, MATCH(B241, participants!$A:$A, 0), 1)</f>
        <v>#N/A</v>
      </c>
    </row>
    <row r="242" customFormat="false" ht="13.8" hidden="false" customHeight="false" outlineLevel="0" collapsed="false">
      <c r="A242" s="40" t="s">
        <v>2123</v>
      </c>
      <c r="B242" s="41" t="s">
        <v>2124</v>
      </c>
      <c r="C242" s="8" t="s">
        <v>2125</v>
      </c>
      <c r="D242" s="8" t="s">
        <v>1697</v>
      </c>
      <c r="E242" s="8"/>
      <c r="F242" s="33"/>
      <c r="G242" s="42" t="e">
        <f aca="false">INDEX(participants!$I:$I, MATCH(B242, participants!$A:$A, 0), 1)</f>
        <v>#N/A</v>
      </c>
      <c r="H242" s="42" t="str">
        <f aca="false">INDEX(libraries!$A:$A, MATCH(A242, libraries!$B:$B, 0), 1)</f>
        <v>lib0255</v>
      </c>
      <c r="I242" s="16" t="s">
        <v>486</v>
      </c>
      <c r="J242" s="44" t="e">
        <f aca="false">INDEX(#REF!, MATCH(B242, participants!$A:$A, 0), 1)</f>
        <v>#N/A</v>
      </c>
    </row>
    <row r="243" customFormat="false" ht="13.8" hidden="false" customHeight="false" outlineLevel="0" collapsed="false">
      <c r="A243" s="40" t="s">
        <v>2126</v>
      </c>
      <c r="B243" s="41" t="s">
        <v>2127</v>
      </c>
      <c r="C243" s="8" t="s">
        <v>2128</v>
      </c>
      <c r="D243" s="8" t="s">
        <v>1697</v>
      </c>
      <c r="E243" s="8"/>
      <c r="F243" s="33"/>
      <c r="G243" s="42" t="e">
        <f aca="false">INDEX(participants!$I:$I, MATCH(B243, participants!$A:$A, 0), 1)</f>
        <v>#N/A</v>
      </c>
      <c r="H243" s="42" t="str">
        <f aca="false">INDEX(libraries!$A:$A, MATCH(A243, libraries!$B:$B, 0), 1)</f>
        <v>lib0256</v>
      </c>
      <c r="I243" s="16" t="s">
        <v>486</v>
      </c>
      <c r="J243" s="44" t="e">
        <f aca="false">INDEX(#REF!, MATCH(B243, participants!$A:$A, 0), 1)</f>
        <v>#N/A</v>
      </c>
    </row>
    <row r="244" customFormat="false" ht="13.8" hidden="false" customHeight="false" outlineLevel="0" collapsed="false">
      <c r="A244" s="40" t="s">
        <v>2129</v>
      </c>
      <c r="B244" s="41" t="s">
        <v>518</v>
      </c>
      <c r="C244" s="8" t="s">
        <v>2130</v>
      </c>
      <c r="D244" s="8" t="s">
        <v>1697</v>
      </c>
      <c r="E244" s="8"/>
      <c r="F244" s="33"/>
      <c r="G244" s="42" t="str">
        <f aca="false">INDEX(participants!$I:$I, MATCH(B244, participants!$A:$A, 0), 1)</f>
        <v>js0105</v>
      </c>
      <c r="H244" s="42" t="str">
        <f aca="false">INDEX(libraries!$A:$A, MATCH(A244, libraries!$B:$B, 0), 1)</f>
        <v>lib0257</v>
      </c>
      <c r="I244" s="16" t="s">
        <v>486</v>
      </c>
      <c r="J244" s="44" t="e">
        <f aca="false">INDEX(#REF!, MATCH(B244, participants!$A:$A, 0), 1)</f>
        <v>#VALUE!</v>
      </c>
    </row>
    <row r="245" customFormat="false" ht="13.8" hidden="false" customHeight="false" outlineLevel="0" collapsed="false">
      <c r="A245" s="40" t="s">
        <v>2131</v>
      </c>
      <c r="B245" s="41" t="s">
        <v>2132</v>
      </c>
      <c r="C245" s="8" t="s">
        <v>2133</v>
      </c>
      <c r="D245" s="8" t="s">
        <v>1697</v>
      </c>
      <c r="E245" s="8"/>
      <c r="F245" s="33"/>
      <c r="G245" s="42" t="e">
        <f aca="false">INDEX(participants!$I:$I, MATCH(B245, participants!$A:$A, 0), 1)</f>
        <v>#N/A</v>
      </c>
      <c r="H245" s="42" t="str">
        <f aca="false">INDEX(libraries!$A:$A, MATCH(A245, libraries!$B:$B, 0), 1)</f>
        <v>lib0258</v>
      </c>
      <c r="I245" s="16" t="s">
        <v>486</v>
      </c>
      <c r="J245" s="44" t="e">
        <f aca="false">INDEX(#REF!, MATCH(B245, participants!$A:$A, 0), 1)</f>
        <v>#N/A</v>
      </c>
    </row>
    <row r="246" customFormat="false" ht="13.8" hidden="false" customHeight="false" outlineLevel="0" collapsed="false">
      <c r="A246" s="40" t="s">
        <v>2134</v>
      </c>
      <c r="B246" s="41" t="s">
        <v>2135</v>
      </c>
      <c r="C246" s="8" t="s">
        <v>2136</v>
      </c>
      <c r="D246" s="8" t="s">
        <v>1697</v>
      </c>
      <c r="E246" s="8"/>
      <c r="F246" s="33"/>
      <c r="G246" s="42" t="e">
        <f aca="false">INDEX(participants!$I:$I, MATCH(B246, participants!$A:$A, 0), 1)</f>
        <v>#N/A</v>
      </c>
      <c r="H246" s="42" t="str">
        <f aca="false">INDEX(libraries!$A:$A, MATCH(A246, libraries!$B:$B, 0), 1)</f>
        <v>lib0259</v>
      </c>
      <c r="I246" s="16" t="s">
        <v>486</v>
      </c>
      <c r="J246" s="44" t="e">
        <f aca="false">INDEX(#REF!, MATCH(B246, participants!$A:$A, 0), 1)</f>
        <v>#N/A</v>
      </c>
    </row>
    <row r="247" customFormat="false" ht="13.8" hidden="false" customHeight="false" outlineLevel="0" collapsed="false">
      <c r="A247" s="40" t="s">
        <v>2137</v>
      </c>
      <c r="B247" s="41" t="s">
        <v>2138</v>
      </c>
      <c r="C247" s="8" t="s">
        <v>2139</v>
      </c>
      <c r="D247" s="8" t="s">
        <v>1697</v>
      </c>
      <c r="E247" s="8"/>
      <c r="F247" s="33"/>
      <c r="G247" s="42" t="e">
        <f aca="false">INDEX(participants!$I:$I, MATCH(B247, participants!$A:$A, 0), 1)</f>
        <v>#N/A</v>
      </c>
      <c r="H247" s="42" t="str">
        <f aca="false">INDEX(libraries!$A:$A, MATCH(A247, libraries!$B:$B, 0), 1)</f>
        <v>lib0260</v>
      </c>
      <c r="I247" s="16" t="s">
        <v>486</v>
      </c>
      <c r="J247" s="44" t="e">
        <f aca="false">INDEX(#REF!, MATCH(B247, participants!$A:$A, 0), 1)</f>
        <v>#N/A</v>
      </c>
    </row>
    <row r="248" customFormat="false" ht="13.8" hidden="false" customHeight="false" outlineLevel="0" collapsed="false">
      <c r="A248" s="40" t="s">
        <v>2140</v>
      </c>
      <c r="B248" s="41" t="s">
        <v>2141</v>
      </c>
      <c r="C248" s="8" t="s">
        <v>2142</v>
      </c>
      <c r="D248" s="8" t="s">
        <v>1697</v>
      </c>
      <c r="E248" s="8"/>
      <c r="F248" s="33"/>
      <c r="G248" s="42" t="e">
        <f aca="false">INDEX(participants!$I:$I, MATCH(B248, participants!$A:$A, 0), 1)</f>
        <v>#N/A</v>
      </c>
      <c r="H248" s="42" t="str">
        <f aca="false">INDEX(libraries!$A:$A, MATCH(A248, libraries!$B:$B, 0), 1)</f>
        <v>lib0261</v>
      </c>
      <c r="I248" s="16" t="s">
        <v>486</v>
      </c>
      <c r="J248" s="44" t="e">
        <f aca="false">INDEX(#REF!, MATCH(B248, participants!$A:$A, 0), 1)</f>
        <v>#N/A</v>
      </c>
    </row>
    <row r="249" customFormat="false" ht="13.8" hidden="false" customHeight="false" outlineLevel="0" collapsed="false">
      <c r="A249" s="40" t="s">
        <v>2143</v>
      </c>
      <c r="B249" s="41" t="s">
        <v>1856</v>
      </c>
      <c r="C249" s="8" t="s">
        <v>2144</v>
      </c>
      <c r="D249" s="8" t="s">
        <v>1697</v>
      </c>
      <c r="E249" s="8"/>
      <c r="F249" s="33"/>
      <c r="G249" s="42" t="e">
        <f aca="false">INDEX(participants!$I:$I, MATCH(B249, participants!$A:$A, 0), 1)</f>
        <v>#N/A</v>
      </c>
      <c r="H249" s="42" t="str">
        <f aca="false">INDEX(libraries!$A:$A, MATCH(A249, libraries!$B:$B, 0), 1)</f>
        <v>lib0262</v>
      </c>
      <c r="I249" s="16" t="s">
        <v>486</v>
      </c>
      <c r="J249" s="44" t="e">
        <f aca="false">INDEX(#REF!, MATCH(B249, participants!$A:$A, 0), 1)</f>
        <v>#N/A</v>
      </c>
    </row>
    <row r="250" customFormat="false" ht="13.8" hidden="false" customHeight="false" outlineLevel="0" collapsed="false">
      <c r="A250" s="40" t="s">
        <v>2145</v>
      </c>
      <c r="B250" s="41" t="s">
        <v>2146</v>
      </c>
      <c r="C250" s="8" t="s">
        <v>2147</v>
      </c>
      <c r="D250" s="8" t="s">
        <v>1697</v>
      </c>
      <c r="E250" s="8"/>
      <c r="F250" s="33"/>
      <c r="G250" s="42" t="e">
        <f aca="false">INDEX(participants!$I:$I, MATCH(B250, participants!$A:$A, 0), 1)</f>
        <v>#N/A</v>
      </c>
      <c r="H250" s="42" t="str">
        <f aca="false">INDEX(libraries!$A:$A, MATCH(A250, libraries!$B:$B, 0), 1)</f>
        <v>lib0263</v>
      </c>
      <c r="I250" s="16" t="s">
        <v>486</v>
      </c>
      <c r="J250" s="44" t="e">
        <f aca="false">INDEX(#REF!, MATCH(B250, participants!$A:$A, 0), 1)</f>
        <v>#N/A</v>
      </c>
    </row>
    <row r="251" customFormat="false" ht="13.8" hidden="false" customHeight="false" outlineLevel="0" collapsed="false">
      <c r="A251" s="40" t="s">
        <v>2148</v>
      </c>
      <c r="B251" s="41" t="s">
        <v>2149</v>
      </c>
      <c r="C251" s="8" t="s">
        <v>2150</v>
      </c>
      <c r="D251" s="8" t="s">
        <v>1697</v>
      </c>
      <c r="E251" s="8"/>
      <c r="F251" s="33"/>
      <c r="G251" s="42" t="e">
        <f aca="false">INDEX(participants!$I:$I, MATCH(B251, participants!$A:$A, 0), 1)</f>
        <v>#N/A</v>
      </c>
      <c r="H251" s="42" t="str">
        <f aca="false">INDEX(libraries!$A:$A, MATCH(A251, libraries!$B:$B, 0), 1)</f>
        <v>lib0264</v>
      </c>
      <c r="I251" s="16" t="s">
        <v>486</v>
      </c>
      <c r="J251" s="44" t="e">
        <f aca="false">INDEX(#REF!, MATCH(B251, participants!$A:$A, 0), 1)</f>
        <v>#N/A</v>
      </c>
    </row>
    <row r="252" customFormat="false" ht="13.8" hidden="false" customHeight="false" outlineLevel="0" collapsed="false">
      <c r="A252" s="40" t="s">
        <v>2151</v>
      </c>
      <c r="B252" s="41" t="s">
        <v>488</v>
      </c>
      <c r="C252" s="8" t="s">
        <v>485</v>
      </c>
      <c r="D252" s="8" t="s">
        <v>1697</v>
      </c>
      <c r="E252" s="8"/>
      <c r="F252" s="33"/>
      <c r="G252" s="42" t="str">
        <f aca="false">INDEX(participants!$I:$I, MATCH(B252, participants!$A:$A, 0), 1)</f>
        <v>2055j</v>
      </c>
      <c r="H252" s="42" t="str">
        <f aca="false">INDEX(libraries!$A:$A, MATCH(A252, libraries!$B:$B, 0), 1)</f>
        <v>lib0265</v>
      </c>
      <c r="I252" s="16" t="s">
        <v>486</v>
      </c>
      <c r="J252" s="44" t="e">
        <f aca="false">INDEX(#REF!, MATCH(B252, participants!$A:$A, 0), 1)</f>
        <v>#VALUE!</v>
      </c>
    </row>
    <row r="253" customFormat="false" ht="13.8" hidden="false" customHeight="false" outlineLevel="0" collapsed="false">
      <c r="A253" s="40" t="s">
        <v>2152</v>
      </c>
      <c r="B253" s="41" t="s">
        <v>2153</v>
      </c>
      <c r="C253" s="8" t="s">
        <v>2154</v>
      </c>
      <c r="D253" s="8" t="s">
        <v>1697</v>
      </c>
      <c r="E253" s="8"/>
      <c r="F253" s="33"/>
      <c r="G253" s="42" t="e">
        <f aca="false">INDEX(participants!$I:$I, MATCH(B253, participants!$A:$A, 0), 1)</f>
        <v>#N/A</v>
      </c>
      <c r="H253" s="42" t="str">
        <f aca="false">INDEX(libraries!$A:$A, MATCH(A253, libraries!$B:$B, 0), 1)</f>
        <v>lib0266</v>
      </c>
      <c r="I253" s="16" t="s">
        <v>486</v>
      </c>
      <c r="J253" s="44" t="e">
        <f aca="false">INDEX(#REF!, MATCH(B253, participants!$A:$A, 0), 1)</f>
        <v>#N/A</v>
      </c>
    </row>
    <row r="254" customFormat="false" ht="13.8" hidden="false" customHeight="false" outlineLevel="0" collapsed="false">
      <c r="A254" s="40" t="s">
        <v>2155</v>
      </c>
      <c r="B254" s="41" t="s">
        <v>2156</v>
      </c>
      <c r="C254" s="8" t="s">
        <v>2157</v>
      </c>
      <c r="D254" s="8" t="s">
        <v>1697</v>
      </c>
      <c r="E254" s="8"/>
      <c r="F254" s="33"/>
      <c r="G254" s="42" t="e">
        <f aca="false">INDEX(participants!$I:$I, MATCH(B254, participants!$A:$A, 0), 1)</f>
        <v>#N/A</v>
      </c>
      <c r="H254" s="42" t="str">
        <f aca="false">INDEX(libraries!$A:$A, MATCH(A254, libraries!$B:$B, 0), 1)</f>
        <v>lib0267</v>
      </c>
      <c r="I254" s="16" t="s">
        <v>526</v>
      </c>
      <c r="J254" s="44" t="e">
        <f aca="false">INDEX(#REF!, MATCH(B254, participants!$A:$A, 0), 1)</f>
        <v>#N/A</v>
      </c>
    </row>
    <row r="255" customFormat="false" ht="13.8" hidden="false" customHeight="false" outlineLevel="0" collapsed="false">
      <c r="A255" s="40" t="s">
        <v>2158</v>
      </c>
      <c r="B255" s="41" t="s">
        <v>522</v>
      </c>
      <c r="C255" s="8" t="s">
        <v>2159</v>
      </c>
      <c r="D255" s="8" t="s">
        <v>1697</v>
      </c>
      <c r="E255" s="8"/>
      <c r="F255" s="33"/>
      <c r="G255" s="42" t="str">
        <f aca="false">INDEX(participants!$I:$I, MATCH(B255, participants!$A:$A, 0), 1)</f>
        <v>js0003</v>
      </c>
      <c r="H255" s="42" t="str">
        <f aca="false">INDEX(libraries!$A:$A, MATCH(A255, libraries!$B:$B, 0), 1)</f>
        <v>lib0268</v>
      </c>
      <c r="I255" s="16" t="s">
        <v>526</v>
      </c>
      <c r="J255" s="44" t="e">
        <f aca="false">INDEX(#REF!, MATCH(B255, participants!$A:$A, 0), 1)</f>
        <v>#VALUE!</v>
      </c>
    </row>
    <row r="256" customFormat="false" ht="13.8" hidden="false" customHeight="false" outlineLevel="0" collapsed="false">
      <c r="A256" s="40" t="s">
        <v>2160</v>
      </c>
      <c r="B256" s="41" t="s">
        <v>2161</v>
      </c>
      <c r="C256" s="8" t="s">
        <v>485</v>
      </c>
      <c r="D256" s="8" t="s">
        <v>1697</v>
      </c>
      <c r="E256" s="8"/>
      <c r="F256" s="33"/>
      <c r="G256" s="42" t="e">
        <f aca="false">INDEX(participants!$I:$I, MATCH(B256, participants!$A:$A, 0), 1)</f>
        <v>#N/A</v>
      </c>
      <c r="H256" s="42" t="str">
        <f aca="false">INDEX(libraries!$A:$A, MATCH(A256, libraries!$B:$B, 0), 1)</f>
        <v>lib0269</v>
      </c>
      <c r="I256" s="16" t="s">
        <v>526</v>
      </c>
      <c r="J256" s="44" t="e">
        <f aca="false">INDEX(#REF!, MATCH(B256, participants!$A:$A, 0), 1)</f>
        <v>#N/A</v>
      </c>
    </row>
    <row r="257" customFormat="false" ht="13.8" hidden="false" customHeight="false" outlineLevel="0" collapsed="false">
      <c r="A257" s="40" t="s">
        <v>2162</v>
      </c>
      <c r="B257" s="41" t="s">
        <v>2163</v>
      </c>
      <c r="C257" s="8" t="s">
        <v>2164</v>
      </c>
      <c r="D257" s="8" t="s">
        <v>1697</v>
      </c>
      <c r="E257" s="8"/>
      <c r="F257" s="33"/>
      <c r="G257" s="42" t="e">
        <f aca="false">INDEX(participants!$I:$I, MATCH(B257, participants!$A:$A, 0), 1)</f>
        <v>#N/A</v>
      </c>
      <c r="H257" s="42" t="str">
        <f aca="false">INDEX(libraries!$A:$A, MATCH(A257, libraries!$B:$B, 0), 1)</f>
        <v>lib0270</v>
      </c>
      <c r="I257" s="16" t="s">
        <v>526</v>
      </c>
      <c r="J257" s="44" t="e">
        <f aca="false">INDEX(#REF!, MATCH(B257, participants!$A:$A, 0), 1)</f>
        <v>#N/A</v>
      </c>
    </row>
    <row r="258" customFormat="false" ht="13.8" hidden="false" customHeight="false" outlineLevel="0" collapsed="false">
      <c r="A258" s="40" t="s">
        <v>2165</v>
      </c>
      <c r="B258" s="41" t="s">
        <v>2166</v>
      </c>
      <c r="C258" s="8" t="s">
        <v>2167</v>
      </c>
      <c r="D258" s="8" t="s">
        <v>1697</v>
      </c>
      <c r="E258" s="8"/>
      <c r="F258" s="33"/>
      <c r="G258" s="42" t="e">
        <f aca="false">INDEX(participants!$I:$I, MATCH(B258, participants!$A:$A, 0), 1)</f>
        <v>#N/A</v>
      </c>
      <c r="H258" s="42" t="str">
        <f aca="false">INDEX(libraries!$A:$A, MATCH(A258, libraries!$B:$B, 0), 1)</f>
        <v>lib0271</v>
      </c>
      <c r="I258" s="16" t="s">
        <v>526</v>
      </c>
      <c r="J258" s="44" t="e">
        <f aca="false">INDEX(#REF!, MATCH(B258, participants!$A:$A, 0), 1)</f>
        <v>#N/A</v>
      </c>
    </row>
    <row r="259" customFormat="false" ht="13.8" hidden="false" customHeight="false" outlineLevel="0" collapsed="false">
      <c r="A259" s="40" t="s">
        <v>2168</v>
      </c>
      <c r="B259" s="41" t="s">
        <v>2169</v>
      </c>
      <c r="C259" s="8" t="s">
        <v>1933</v>
      </c>
      <c r="D259" s="8" t="s">
        <v>1697</v>
      </c>
      <c r="E259" s="8"/>
      <c r="F259" s="33"/>
      <c r="G259" s="42" t="e">
        <f aca="false">INDEX(participants!$I:$I, MATCH(B259, participants!$A:$A, 0), 1)</f>
        <v>#N/A</v>
      </c>
      <c r="H259" s="42" t="str">
        <f aca="false">INDEX(libraries!$A:$A, MATCH(A259, libraries!$B:$B, 0), 1)</f>
        <v>lib0272</v>
      </c>
      <c r="I259" s="16" t="s">
        <v>526</v>
      </c>
      <c r="J259" s="44" t="e">
        <f aca="false">INDEX(#REF!, MATCH(B259, participants!$A:$A, 0), 1)</f>
        <v>#N/A</v>
      </c>
    </row>
    <row r="260" customFormat="false" ht="13.8" hidden="false" customHeight="false" outlineLevel="0" collapsed="false">
      <c r="A260" s="40" t="s">
        <v>2170</v>
      </c>
      <c r="B260" s="41" t="s">
        <v>2171</v>
      </c>
      <c r="C260" s="8" t="s">
        <v>2172</v>
      </c>
      <c r="D260" s="8" t="s">
        <v>1697</v>
      </c>
      <c r="E260" s="8"/>
      <c r="F260" s="33"/>
      <c r="G260" s="42" t="e">
        <f aca="false">INDEX(participants!$I:$I, MATCH(B260, participants!$A:$A, 0), 1)</f>
        <v>#N/A</v>
      </c>
      <c r="H260" s="42" t="str">
        <f aca="false">INDEX(libraries!$A:$A, MATCH(A260, libraries!$B:$B, 0), 1)</f>
        <v>lib0273</v>
      </c>
      <c r="I260" s="16" t="s">
        <v>526</v>
      </c>
      <c r="J260" s="44" t="e">
        <f aca="false">INDEX(#REF!, MATCH(B260, participants!$A:$A, 0), 1)</f>
        <v>#N/A</v>
      </c>
    </row>
    <row r="261" customFormat="false" ht="13.8" hidden="false" customHeight="false" outlineLevel="0" collapsed="false">
      <c r="A261" s="40" t="s">
        <v>2173</v>
      </c>
      <c r="B261" s="41" t="s">
        <v>2174</v>
      </c>
      <c r="C261" s="8" t="s">
        <v>2175</v>
      </c>
      <c r="D261" s="8" t="s">
        <v>1697</v>
      </c>
      <c r="E261" s="8"/>
      <c r="F261" s="33"/>
      <c r="G261" s="42" t="e">
        <f aca="false">INDEX(participants!$I:$I, MATCH(B261, participants!$A:$A, 0), 1)</f>
        <v>#N/A</v>
      </c>
      <c r="H261" s="42" t="str">
        <f aca="false">INDEX(libraries!$A:$A, MATCH(A261, libraries!$B:$B, 0), 1)</f>
        <v>lib0274</v>
      </c>
      <c r="I261" s="16" t="s">
        <v>526</v>
      </c>
      <c r="J261" s="44" t="e">
        <f aca="false">INDEX(#REF!, MATCH(B261, participants!$A:$A, 0), 1)</f>
        <v>#N/A</v>
      </c>
    </row>
    <row r="262" customFormat="false" ht="13.8" hidden="false" customHeight="false" outlineLevel="0" collapsed="false">
      <c r="A262" s="40" t="s">
        <v>2176</v>
      </c>
      <c r="B262" s="41" t="s">
        <v>2177</v>
      </c>
      <c r="C262" s="8" t="s">
        <v>2178</v>
      </c>
      <c r="D262" s="8" t="s">
        <v>1697</v>
      </c>
      <c r="E262" s="8"/>
      <c r="F262" s="33"/>
      <c r="G262" s="42" t="e">
        <f aca="false">INDEX(participants!$I:$I, MATCH(B262, participants!$A:$A, 0), 1)</f>
        <v>#N/A</v>
      </c>
      <c r="H262" s="42" t="str">
        <f aca="false">INDEX(libraries!$A:$A, MATCH(A262, libraries!$B:$B, 0), 1)</f>
        <v>lib0275</v>
      </c>
      <c r="I262" s="16" t="s">
        <v>526</v>
      </c>
      <c r="J262" s="44" t="e">
        <f aca="false">INDEX(#REF!, MATCH(B262, participants!$A:$A, 0), 1)</f>
        <v>#N/A</v>
      </c>
    </row>
    <row r="263" customFormat="false" ht="13.8" hidden="false" customHeight="false" outlineLevel="0" collapsed="false">
      <c r="A263" s="40" t="s">
        <v>2179</v>
      </c>
      <c r="B263" s="41" t="s">
        <v>2180</v>
      </c>
      <c r="C263" s="8" t="s">
        <v>2181</v>
      </c>
      <c r="D263" s="8" t="s">
        <v>1697</v>
      </c>
      <c r="E263" s="8"/>
      <c r="F263" s="33"/>
      <c r="G263" s="42" t="e">
        <f aca="false">INDEX(participants!$I:$I, MATCH(B263, participants!$A:$A, 0), 1)</f>
        <v>#N/A</v>
      </c>
      <c r="H263" s="42" t="str">
        <f aca="false">INDEX(libraries!$A:$A, MATCH(A263, libraries!$B:$B, 0), 1)</f>
        <v>lib0277</v>
      </c>
      <c r="I263" s="16" t="s">
        <v>526</v>
      </c>
      <c r="J263" s="44" t="e">
        <f aca="false">INDEX(#REF!, MATCH(B263, participants!$A:$A, 0), 1)</f>
        <v>#N/A</v>
      </c>
    </row>
    <row r="264" customFormat="false" ht="13.8" hidden="false" customHeight="false" outlineLevel="0" collapsed="false">
      <c r="A264" s="40" t="s">
        <v>2182</v>
      </c>
      <c r="B264" s="41" t="s">
        <v>2183</v>
      </c>
      <c r="C264" s="8" t="s">
        <v>2184</v>
      </c>
      <c r="D264" s="8" t="s">
        <v>1697</v>
      </c>
      <c r="E264" s="8"/>
      <c r="F264" s="33"/>
      <c r="G264" s="42" t="e">
        <f aca="false">INDEX(participants!$I:$I, MATCH(B264, participants!$A:$A, 0), 1)</f>
        <v>#N/A</v>
      </c>
      <c r="H264" s="42" t="str">
        <f aca="false">INDEX(libraries!$A:$A, MATCH(A264, libraries!$B:$B, 0), 1)</f>
        <v>lib0278</v>
      </c>
      <c r="I264" s="16" t="s">
        <v>526</v>
      </c>
      <c r="J264" s="44" t="e">
        <f aca="false">INDEX(#REF!, MATCH(B264, participants!$A:$A, 0), 1)</f>
        <v>#N/A</v>
      </c>
    </row>
    <row r="265" customFormat="false" ht="13.8" hidden="false" customHeight="false" outlineLevel="0" collapsed="false">
      <c r="A265" s="40" t="s">
        <v>2185</v>
      </c>
      <c r="B265" s="41" t="s">
        <v>2186</v>
      </c>
      <c r="C265" s="8" t="s">
        <v>2187</v>
      </c>
      <c r="D265" s="8" t="s">
        <v>1697</v>
      </c>
      <c r="E265" s="8"/>
      <c r="F265" s="33"/>
      <c r="G265" s="42" t="e">
        <f aca="false">INDEX(participants!$I:$I, MATCH(B265, participants!$A:$A, 0), 1)</f>
        <v>#N/A</v>
      </c>
      <c r="H265" s="42" t="str">
        <f aca="false">INDEX(libraries!$A:$A, MATCH(A265, libraries!$B:$B, 0), 1)</f>
        <v>lib0279</v>
      </c>
      <c r="I265" s="16" t="s">
        <v>526</v>
      </c>
      <c r="J265" s="44" t="e">
        <f aca="false">INDEX(#REF!, MATCH(B265, participants!$A:$A, 0), 1)</f>
        <v>#N/A</v>
      </c>
    </row>
    <row r="266" customFormat="false" ht="13.8" hidden="false" customHeight="false" outlineLevel="0" collapsed="false">
      <c r="A266" s="40" t="s">
        <v>2188</v>
      </c>
      <c r="B266" s="41" t="s">
        <v>592</v>
      </c>
      <c r="C266" s="8" t="s">
        <v>2189</v>
      </c>
      <c r="D266" s="8" t="s">
        <v>1697</v>
      </c>
      <c r="E266" s="8"/>
      <c r="F266" s="33"/>
      <c r="G266" s="42" t="str">
        <f aca="false">INDEX(participants!$I:$I, MATCH(B266, participants!$A:$A, 0), 1)</f>
        <v>js0048</v>
      </c>
      <c r="H266" s="42" t="str">
        <f aca="false">INDEX(libraries!$A:$A, MATCH(A266, libraries!$B:$B, 0), 1)</f>
        <v>lib0280</v>
      </c>
      <c r="I266" s="16" t="s">
        <v>526</v>
      </c>
      <c r="J266" s="44" t="e">
        <f aca="false">INDEX(#REF!, MATCH(B266, participants!$A:$A, 0), 1)</f>
        <v>#VALUE!</v>
      </c>
    </row>
    <row r="267" customFormat="false" ht="13.8" hidden="false" customHeight="false" outlineLevel="0" collapsed="false">
      <c r="A267" s="40" t="s">
        <v>2190</v>
      </c>
      <c r="B267" s="41" t="s">
        <v>2191</v>
      </c>
      <c r="C267" s="8" t="s">
        <v>2192</v>
      </c>
      <c r="D267" s="8" t="s">
        <v>1697</v>
      </c>
      <c r="E267" s="8"/>
      <c r="F267" s="33"/>
      <c r="G267" s="42" t="e">
        <f aca="false">INDEX(participants!$I:$I, MATCH(B267, participants!$A:$A, 0), 1)</f>
        <v>#N/A</v>
      </c>
      <c r="H267" s="42" t="str">
        <f aca="false">INDEX(libraries!$A:$A, MATCH(A267, libraries!$B:$B, 0), 1)</f>
        <v>lib0281</v>
      </c>
      <c r="I267" s="16" t="s">
        <v>526</v>
      </c>
      <c r="J267" s="44" t="e">
        <f aca="false">INDEX(#REF!, MATCH(B267, participants!$A:$A, 0), 1)</f>
        <v>#N/A</v>
      </c>
    </row>
    <row r="268" customFormat="false" ht="13.8" hidden="false" customHeight="false" outlineLevel="0" collapsed="false">
      <c r="A268" s="40" t="s">
        <v>2193</v>
      </c>
      <c r="B268" s="41" t="s">
        <v>2194</v>
      </c>
      <c r="C268" s="8" t="s">
        <v>2195</v>
      </c>
      <c r="D268" s="8" t="s">
        <v>1697</v>
      </c>
      <c r="E268" s="8"/>
      <c r="F268" s="33"/>
      <c r="G268" s="42" t="e">
        <f aca="false">INDEX(participants!$I:$I, MATCH(B268, participants!$A:$A, 0), 1)</f>
        <v>#N/A</v>
      </c>
      <c r="H268" s="42" t="str">
        <f aca="false">INDEX(libraries!$A:$A, MATCH(A268, libraries!$B:$B, 0), 1)</f>
        <v>lib0282</v>
      </c>
      <c r="I268" s="16" t="s">
        <v>486</v>
      </c>
      <c r="J268" s="44" t="e">
        <f aca="false">INDEX(#REF!, MATCH(B268, participants!$A:$A, 0), 1)</f>
        <v>#N/A</v>
      </c>
    </row>
    <row r="269" customFormat="false" ht="13.8" hidden="false" customHeight="false" outlineLevel="0" collapsed="false">
      <c r="A269" s="40" t="s">
        <v>2196</v>
      </c>
      <c r="B269" s="41" t="s">
        <v>2197</v>
      </c>
      <c r="C269" s="8" t="s">
        <v>2198</v>
      </c>
      <c r="D269" s="8" t="s">
        <v>1697</v>
      </c>
      <c r="E269" s="8"/>
      <c r="F269" s="33"/>
      <c r="G269" s="42" t="e">
        <f aca="false">INDEX(participants!$I:$I, MATCH(B269, participants!$A:$A, 0), 1)</f>
        <v>#N/A</v>
      </c>
      <c r="H269" s="42" t="str">
        <f aca="false">INDEX(libraries!$A:$A, MATCH(A269, libraries!$B:$B, 0), 1)</f>
        <v>lib0283</v>
      </c>
      <c r="I269" s="16" t="s">
        <v>486</v>
      </c>
      <c r="J269" s="44" t="e">
        <f aca="false">INDEX(#REF!, MATCH(B269, participants!$A:$A, 0), 1)</f>
        <v>#N/A</v>
      </c>
    </row>
    <row r="270" customFormat="false" ht="13.8" hidden="false" customHeight="false" outlineLevel="0" collapsed="false">
      <c r="A270" s="40" t="s">
        <v>2199</v>
      </c>
      <c r="B270" s="41" t="s">
        <v>581</v>
      </c>
      <c r="C270" s="8" t="s">
        <v>2200</v>
      </c>
      <c r="D270" s="8" t="s">
        <v>1697</v>
      </c>
      <c r="E270" s="8"/>
      <c r="F270" s="33"/>
      <c r="G270" s="42" t="str">
        <f aca="false">INDEX(participants!$I:$I, MATCH(B270, participants!$A:$A, 0), 1)</f>
        <v>js0044</v>
      </c>
      <c r="H270" s="30" t="str">
        <f aca="false">INDEX(libraries!$A:$A, MATCH(A270, libraries!$B:$B, 0), 1)</f>
        <v>lib0284</v>
      </c>
      <c r="I270" s="16" t="s">
        <v>585</v>
      </c>
      <c r="J270" s="44" t="e">
        <f aca="false">INDEX(#REF!, MATCH(B270, participants!$A:$A, 0), 1)</f>
        <v>#VALUE!</v>
      </c>
    </row>
    <row r="271" customFormat="false" ht="13.8" hidden="false" customHeight="false" outlineLevel="0" collapsed="false">
      <c r="A271" s="40" t="s">
        <v>2201</v>
      </c>
      <c r="B271" s="41" t="s">
        <v>610</v>
      </c>
      <c r="C271" s="8" t="s">
        <v>2202</v>
      </c>
      <c r="D271" s="8" t="s">
        <v>1697</v>
      </c>
      <c r="E271" s="8"/>
      <c r="F271" s="33"/>
      <c r="G271" s="42" t="str">
        <f aca="false">INDEX(participants!$I:$I, MATCH(B271, participants!$A:$A, 0), 1)</f>
        <v>js0054</v>
      </c>
      <c r="H271" s="30" t="str">
        <f aca="false">INDEX(libraries!$A:$A, MATCH(A271, libraries!$B:$B, 0), 1)</f>
        <v>lib0285</v>
      </c>
      <c r="I271" s="16" t="s">
        <v>585</v>
      </c>
      <c r="J271" s="44" t="e">
        <f aca="false">INDEX(#REF!, MATCH(B271, participants!$A:$A, 0), 1)</f>
        <v>#VALUE!</v>
      </c>
    </row>
    <row r="272" customFormat="false" ht="13.8" hidden="false" customHeight="false" outlineLevel="0" collapsed="false">
      <c r="A272" s="40" t="s">
        <v>2203</v>
      </c>
      <c r="B272" s="41" t="s">
        <v>2204</v>
      </c>
      <c r="C272" s="8" t="s">
        <v>2205</v>
      </c>
      <c r="D272" s="8" t="s">
        <v>1697</v>
      </c>
      <c r="E272" s="8"/>
      <c r="F272" s="33"/>
      <c r="G272" s="42" t="e">
        <f aca="false">INDEX(participants!$I:$I, MATCH(B272, participants!$A:$A, 0), 1)</f>
        <v>#N/A</v>
      </c>
      <c r="H272" s="30" t="str">
        <f aca="false">INDEX(libraries!$A:$A, MATCH(A272, libraries!$B:$B, 0), 1)</f>
        <v>lib0286</v>
      </c>
      <c r="I272" s="16" t="s">
        <v>585</v>
      </c>
      <c r="J272" s="44" t="e">
        <f aca="false">INDEX(#REF!, MATCH(B272, participants!$A:$A, 0), 1)</f>
        <v>#N/A</v>
      </c>
    </row>
    <row r="273" customFormat="false" ht="13.8" hidden="false" customHeight="false" outlineLevel="0" collapsed="false">
      <c r="A273" s="40" t="s">
        <v>2206</v>
      </c>
      <c r="B273" s="41" t="s">
        <v>2207</v>
      </c>
      <c r="C273" s="8" t="s">
        <v>2208</v>
      </c>
      <c r="D273" s="8" t="s">
        <v>1697</v>
      </c>
      <c r="E273" s="8"/>
      <c r="F273" s="33"/>
      <c r="G273" s="42" t="e">
        <f aca="false">INDEX(participants!$I:$I, MATCH(B273, participants!$A:$A, 0), 1)</f>
        <v>#N/A</v>
      </c>
      <c r="H273" s="30" t="str">
        <f aca="false">INDEX(libraries!$A:$A, MATCH(A273, libraries!$B:$B, 0), 1)</f>
        <v>lib0287</v>
      </c>
      <c r="I273" s="16" t="s">
        <v>526</v>
      </c>
      <c r="J273" s="44" t="e">
        <f aca="false">INDEX(#REF!, MATCH(B273, participants!$A:$A, 0), 1)</f>
        <v>#N/A</v>
      </c>
    </row>
    <row r="274" customFormat="false" ht="13.8" hidden="false" customHeight="false" outlineLevel="0" collapsed="false">
      <c r="A274" s="40" t="s">
        <v>2209</v>
      </c>
      <c r="B274" s="41" t="s">
        <v>2210</v>
      </c>
      <c r="C274" s="8" t="s">
        <v>2211</v>
      </c>
      <c r="D274" s="8" t="s">
        <v>1697</v>
      </c>
      <c r="E274" s="8"/>
      <c r="F274" s="33"/>
      <c r="G274" s="42" t="e">
        <f aca="false">INDEX(participants!$I:$I, MATCH(B274, participants!$A:$A, 0), 1)</f>
        <v>#N/A</v>
      </c>
      <c r="H274" s="30" t="str">
        <f aca="false">INDEX(libraries!$A:$A, MATCH(A274, libraries!$B:$B, 0), 1)</f>
        <v>lib0288</v>
      </c>
      <c r="I274" s="16" t="s">
        <v>486</v>
      </c>
      <c r="J274" s="44" t="e">
        <f aca="false">INDEX(#REF!, MATCH(B274, participants!$A:$A, 0), 1)</f>
        <v>#N/A</v>
      </c>
    </row>
    <row r="275" customFormat="false" ht="13.8" hidden="false" customHeight="false" outlineLevel="0" collapsed="false">
      <c r="A275" s="40" t="s">
        <v>2212</v>
      </c>
      <c r="B275" s="41" t="s">
        <v>694</v>
      </c>
      <c r="C275" s="8" t="s">
        <v>2213</v>
      </c>
      <c r="D275" s="8" t="s">
        <v>1697</v>
      </c>
      <c r="E275" s="8"/>
      <c r="F275" s="33"/>
      <c r="G275" s="42" t="str">
        <f aca="false">INDEX(participants!$I:$I, MATCH(B275, participants!$A:$A, 0), 1)</f>
        <v>nf561</v>
      </c>
      <c r="H275" s="30" t="str">
        <f aca="false">INDEX(libraries!$A:$A, MATCH(A275, libraries!$B:$B, 0), 1)</f>
        <v>lib0289</v>
      </c>
      <c r="I275" s="16" t="s">
        <v>486</v>
      </c>
      <c r="J275" s="44" t="e">
        <f aca="false">INDEX(#REF!, MATCH(B275, participants!$A:$A, 0), 1)</f>
        <v>#VALUE!</v>
      </c>
    </row>
    <row r="276" customFormat="false" ht="13.8" hidden="false" customHeight="false" outlineLevel="0" collapsed="false">
      <c r="A276" s="40" t="s">
        <v>2214</v>
      </c>
      <c r="B276" s="41" t="s">
        <v>2215</v>
      </c>
      <c r="C276" s="8" t="s">
        <v>2216</v>
      </c>
      <c r="D276" s="8" t="s">
        <v>1697</v>
      </c>
      <c r="E276" s="8"/>
      <c r="F276" s="33"/>
      <c r="G276" s="42" t="e">
        <f aca="false">INDEX(participants!$I:$I, MATCH(B276, participants!$A:$A, 0), 1)</f>
        <v>#N/A</v>
      </c>
      <c r="H276" s="30" t="str">
        <f aca="false">INDEX(libraries!$A:$A, MATCH(A276, libraries!$B:$B, 0), 1)</f>
        <v>lib0290</v>
      </c>
      <c r="I276" s="16" t="s">
        <v>486</v>
      </c>
      <c r="J276" s="44" t="e">
        <f aca="false">INDEX(#REF!, MATCH(B276, participants!$A:$A, 0), 1)</f>
        <v>#N/A</v>
      </c>
    </row>
    <row r="277" customFormat="false" ht="13.8" hidden="false" customHeight="false" outlineLevel="0" collapsed="false">
      <c r="A277" s="40" t="s">
        <v>2217</v>
      </c>
      <c r="B277" s="41" t="s">
        <v>2218</v>
      </c>
      <c r="C277" s="8" t="s">
        <v>2219</v>
      </c>
      <c r="D277" s="8" t="s">
        <v>1697</v>
      </c>
      <c r="E277" s="8"/>
      <c r="F277" s="33"/>
      <c r="G277" s="42" t="e">
        <f aca="false">INDEX(participants!$I:$I, MATCH(B277, participants!$A:$A, 0), 1)</f>
        <v>#N/A</v>
      </c>
      <c r="H277" s="30" t="str">
        <f aca="false">INDEX(libraries!$A:$A, MATCH(A277, libraries!$B:$B, 0), 1)</f>
        <v>lib0291</v>
      </c>
      <c r="I277" s="16" t="s">
        <v>486</v>
      </c>
      <c r="J277" s="44" t="e">
        <f aca="false">INDEX(#REF!, MATCH(B277, participants!$A:$A, 0), 1)</f>
        <v>#N/A</v>
      </c>
    </row>
    <row r="278" customFormat="false" ht="13.8" hidden="false" customHeight="false" outlineLevel="0" collapsed="false">
      <c r="A278" s="37" t="s">
        <v>2220</v>
      </c>
      <c r="B278" s="41" t="s">
        <v>2221</v>
      </c>
      <c r="C278" s="8" t="s">
        <v>2222</v>
      </c>
      <c r="D278" s="8" t="s">
        <v>1697</v>
      </c>
      <c r="E278" s="8"/>
      <c r="G278" s="42" t="e">
        <f aca="false">INDEX(participants!$I:$I, MATCH(B278, participants!$A:$A, 0), 1)</f>
        <v>#N/A</v>
      </c>
      <c r="H278" s="30" t="str">
        <f aca="false">INDEX(libraries!$A:$A, MATCH(A278, libraries!$B:$B, 0), 1)</f>
        <v>lib0292</v>
      </c>
      <c r="I278" s="16" t="s">
        <v>486</v>
      </c>
      <c r="J278" s="44" t="e">
        <f aca="false">INDEX(#REF!, MATCH(B278, participants!$A:$A, 0), 1)</f>
        <v>#N/A</v>
      </c>
    </row>
    <row r="279" customFormat="false" ht="13.8" hidden="false" customHeight="false" outlineLevel="0" collapsed="false">
      <c r="A279" s="40" t="s">
        <v>2223</v>
      </c>
      <c r="B279" s="41" t="s">
        <v>2224</v>
      </c>
      <c r="C279" s="8" t="s">
        <v>2225</v>
      </c>
      <c r="D279" s="8" t="s">
        <v>1697</v>
      </c>
      <c r="E279" s="8"/>
      <c r="F279" s="33"/>
      <c r="G279" s="42" t="e">
        <f aca="false">INDEX(participants!$I:$I, MATCH(B279, participants!$A:$A, 0), 1)</f>
        <v>#N/A</v>
      </c>
      <c r="H279" s="30" t="str">
        <f aca="false">INDEX(libraries!$A:$A, MATCH(A279, libraries!$B:$B, 0), 1)</f>
        <v>lib0293</v>
      </c>
      <c r="I279" s="16" t="s">
        <v>486</v>
      </c>
      <c r="J279" s="44" t="e">
        <f aca="false">INDEX(#REF!, MATCH(B279, participants!$A:$A, 0), 1)</f>
        <v>#N/A</v>
      </c>
    </row>
    <row r="280" customFormat="false" ht="13.8" hidden="false" customHeight="false" outlineLevel="0" collapsed="false">
      <c r="A280" s="40" t="s">
        <v>2226</v>
      </c>
      <c r="B280" s="41" t="s">
        <v>2227</v>
      </c>
      <c r="C280" s="8" t="s">
        <v>2228</v>
      </c>
      <c r="D280" s="8" t="s">
        <v>1697</v>
      </c>
      <c r="E280" s="8"/>
      <c r="F280" s="33"/>
      <c r="G280" s="42" t="e">
        <f aca="false">INDEX(participants!$I:$I, MATCH(B280, participants!$A:$A, 0), 1)</f>
        <v>#N/A</v>
      </c>
      <c r="H280" s="30" t="str">
        <f aca="false">INDEX(libraries!$A:$A, MATCH(A280, libraries!$B:$B, 0), 1)</f>
        <v>lib0294</v>
      </c>
      <c r="I280" s="16" t="s">
        <v>526</v>
      </c>
      <c r="J280" s="44" t="e">
        <f aca="false">INDEX(#REF!, MATCH(B280, participants!$A:$A, 0), 1)</f>
        <v>#N/A</v>
      </c>
    </row>
    <row r="281" customFormat="false" ht="13.8" hidden="false" customHeight="false" outlineLevel="0" collapsed="false">
      <c r="A281" s="40" t="s">
        <v>2229</v>
      </c>
      <c r="B281" s="41" t="s">
        <v>730</v>
      </c>
      <c r="C281" s="8" t="s">
        <v>1872</v>
      </c>
      <c r="D281" s="8" t="s">
        <v>1697</v>
      </c>
      <c r="E281" s="8"/>
      <c r="F281" s="33"/>
      <c r="G281" s="42" t="str">
        <f aca="false">INDEX(participants!$I:$I, MATCH(B281, participants!$A:$A, 0), 1)</f>
        <v>nf509</v>
      </c>
      <c r="H281" s="30" t="str">
        <f aca="false">INDEX(libraries!$A:$A, MATCH(A281, libraries!$B:$B, 0), 1)</f>
        <v>lib0295</v>
      </c>
      <c r="I281" s="16" t="s">
        <v>526</v>
      </c>
      <c r="J281" s="44" t="e">
        <f aca="false">INDEX(#REF!, MATCH(B281, participants!$A:$A, 0), 1)</f>
        <v>#VALUE!</v>
      </c>
    </row>
    <row r="282" customFormat="false" ht="13.8" hidden="false" customHeight="false" outlineLevel="0" collapsed="false">
      <c r="A282" s="40" t="s">
        <v>2230</v>
      </c>
      <c r="B282" s="41" t="s">
        <v>734</v>
      </c>
      <c r="C282" s="8" t="s">
        <v>2231</v>
      </c>
      <c r="D282" s="8" t="s">
        <v>1697</v>
      </c>
      <c r="E282" s="8"/>
      <c r="F282" s="33"/>
      <c r="G282" s="42" t="str">
        <f aca="false">INDEX(participants!$I:$I, MATCH(B282, participants!$A:$A, 0), 1)</f>
        <v>nf510</v>
      </c>
      <c r="H282" s="30" t="str">
        <f aca="false">INDEX(libraries!$A:$A, MATCH(A282, libraries!$B:$B, 0), 1)</f>
        <v>lib0296</v>
      </c>
      <c r="I282" s="16" t="s">
        <v>526</v>
      </c>
      <c r="J282" s="44" t="e">
        <f aca="false">INDEX(#REF!, MATCH(B282, participants!$A:$A, 0), 1)</f>
        <v>#VALUE!</v>
      </c>
    </row>
    <row r="283" customFormat="false" ht="13.8" hidden="false" customHeight="false" outlineLevel="0" collapsed="false">
      <c r="A283" s="40" t="s">
        <v>2232</v>
      </c>
      <c r="B283" s="41" t="s">
        <v>748</v>
      </c>
      <c r="C283" s="8" t="s">
        <v>1880</v>
      </c>
      <c r="D283" s="8" t="s">
        <v>1697</v>
      </c>
      <c r="E283" s="8"/>
      <c r="F283" s="33"/>
      <c r="G283" s="42" t="str">
        <f aca="false">INDEX(participants!$I:$I, MATCH(B283, participants!$A:$A, 0), 1)</f>
        <v>nf536</v>
      </c>
      <c r="H283" s="30" t="str">
        <f aca="false">INDEX(libraries!$A:$A, MATCH(A283, libraries!$B:$B, 0), 1)</f>
        <v>lib0297</v>
      </c>
      <c r="I283" s="16" t="s">
        <v>752</v>
      </c>
      <c r="J283" s="44" t="e">
        <f aca="false">INDEX(#REF!, MATCH(B283, participants!$A:$A, 0), 1)</f>
        <v>#VALUE!</v>
      </c>
    </row>
    <row r="284" customFormat="false" ht="13.8" hidden="false" customHeight="false" outlineLevel="0" collapsed="false">
      <c r="A284" s="40" t="s">
        <v>2233</v>
      </c>
      <c r="B284" s="41" t="s">
        <v>2234</v>
      </c>
      <c r="C284" s="8" t="s">
        <v>2235</v>
      </c>
      <c r="D284" s="8" t="s">
        <v>1697</v>
      </c>
      <c r="E284" s="8"/>
      <c r="F284" s="33"/>
      <c r="G284" s="42" t="e">
        <f aca="false">INDEX(participants!$I:$I, MATCH(B284, participants!$A:$A, 0), 1)</f>
        <v>#N/A</v>
      </c>
      <c r="H284" s="30" t="str">
        <f aca="false">INDEX(libraries!$A:$A, MATCH(A284, libraries!$B:$B, 0), 1)</f>
        <v>lib0298</v>
      </c>
      <c r="I284" s="16" t="s">
        <v>526</v>
      </c>
      <c r="J284" s="44" t="e">
        <f aca="false">INDEX(#REF!, MATCH(B284, participants!$A:$A, 0), 1)</f>
        <v>#N/A</v>
      </c>
    </row>
    <row r="285" customFormat="false" ht="13.8" hidden="false" customHeight="false" outlineLevel="0" collapsed="false">
      <c r="A285" s="40" t="s">
        <v>2236</v>
      </c>
      <c r="B285" s="41" t="s">
        <v>743</v>
      </c>
      <c r="C285" s="8" t="s">
        <v>1880</v>
      </c>
      <c r="D285" s="8" t="s">
        <v>1697</v>
      </c>
      <c r="E285" s="8"/>
      <c r="F285" s="33"/>
      <c r="G285" s="42" t="str">
        <f aca="false">INDEX(participants!$I:$I, MATCH(B285, participants!$A:$A, 0), 1)</f>
        <v>nf531</v>
      </c>
      <c r="H285" s="30" t="str">
        <f aca="false">INDEX(libraries!$A:$A, MATCH(A285, libraries!$B:$B, 0), 1)</f>
        <v>lib0299</v>
      </c>
      <c r="I285" s="16" t="s">
        <v>526</v>
      </c>
      <c r="J285" s="44" t="e">
        <f aca="false">INDEX(#REF!, MATCH(B285, participants!$A:$A, 0), 1)</f>
        <v>#VALUE!</v>
      </c>
    </row>
    <row r="286" customFormat="false" ht="13.8" hidden="false" customHeight="false" outlineLevel="0" collapsed="false">
      <c r="A286" s="40" t="s">
        <v>2237</v>
      </c>
      <c r="B286" s="41" t="s">
        <v>2238</v>
      </c>
      <c r="C286" s="8" t="s">
        <v>2239</v>
      </c>
      <c r="D286" s="8" t="s">
        <v>1697</v>
      </c>
      <c r="E286" s="8"/>
      <c r="F286" s="33"/>
      <c r="G286" s="42" t="e">
        <f aca="false">INDEX(participants!$I:$I, MATCH(B286, participants!$A:$A, 0), 1)</f>
        <v>#N/A</v>
      </c>
      <c r="H286" s="30" t="str">
        <f aca="false">INDEX(libraries!$A:$A, MATCH(A286, libraries!$B:$B, 0), 1)</f>
        <v>lib0300</v>
      </c>
      <c r="I286" s="16" t="s">
        <v>526</v>
      </c>
      <c r="J286" s="44" t="e">
        <f aca="false">INDEX(#REF!, MATCH(B286, participants!$A:$A, 0), 1)</f>
        <v>#N/A</v>
      </c>
    </row>
    <row r="287" customFormat="false" ht="13.8" hidden="false" customHeight="false" outlineLevel="0" collapsed="false">
      <c r="A287" s="40" t="s">
        <v>2240</v>
      </c>
      <c r="B287" s="41" t="s">
        <v>2241</v>
      </c>
      <c r="C287" s="8" t="s">
        <v>2242</v>
      </c>
      <c r="D287" s="8" t="s">
        <v>1697</v>
      </c>
      <c r="E287" s="8"/>
      <c r="F287" s="33"/>
      <c r="G287" s="42" t="e">
        <f aca="false">INDEX(participants!$I:$I, MATCH(B287, participants!$A:$A, 0), 1)</f>
        <v>#N/A</v>
      </c>
      <c r="H287" s="30" t="str">
        <f aca="false">INDEX(libraries!$A:$A, MATCH(A287, libraries!$B:$B, 0), 1)</f>
        <v>lib0301</v>
      </c>
      <c r="I287" s="16" t="s">
        <v>526</v>
      </c>
      <c r="J287" s="44" t="e">
        <f aca="false">INDEX(#REF!, MATCH(B287, participants!$A:$A, 0), 1)</f>
        <v>#N/A</v>
      </c>
    </row>
    <row r="288" customFormat="false" ht="13.8" hidden="false" customHeight="false" outlineLevel="0" collapsed="false">
      <c r="A288" s="40" t="s">
        <v>2243</v>
      </c>
      <c r="B288" s="41" t="s">
        <v>2009</v>
      </c>
      <c r="C288" s="8" t="s">
        <v>2244</v>
      </c>
      <c r="D288" s="8" t="s">
        <v>1697</v>
      </c>
      <c r="E288" s="8"/>
      <c r="F288" s="33"/>
      <c r="G288" s="42" t="e">
        <f aca="false">INDEX(participants!$I:$I, MATCH(B288, participants!$A:$A, 0), 1)</f>
        <v>#N/A</v>
      </c>
      <c r="H288" s="30" t="str">
        <f aca="false">INDEX(libraries!$A:$A, MATCH(A288, libraries!$B:$B, 0), 1)</f>
        <v>lib0302</v>
      </c>
      <c r="I288" s="16" t="s">
        <v>526</v>
      </c>
      <c r="J288" s="44" t="e">
        <f aca="false">INDEX(#REF!, MATCH(B288, participants!$A:$A, 0), 1)</f>
        <v>#N/A</v>
      </c>
    </row>
    <row r="289" customFormat="false" ht="13.8" hidden="false" customHeight="false" outlineLevel="0" collapsed="false">
      <c r="A289" s="40" t="s">
        <v>2245</v>
      </c>
      <c r="B289" s="41" t="s">
        <v>1955</v>
      </c>
      <c r="C289" s="8" t="s">
        <v>1956</v>
      </c>
      <c r="D289" s="8" t="s">
        <v>1697</v>
      </c>
      <c r="E289" s="8"/>
      <c r="F289" s="33"/>
      <c r="G289" s="42" t="e">
        <f aca="false">INDEX(participants!$I:$I, MATCH(B289, participants!$A:$A, 0), 1)</f>
        <v>#N/A</v>
      </c>
      <c r="H289" s="30" t="str">
        <f aca="false">INDEX(libraries!$A:$A, MATCH(A289, libraries!$B:$B, 0), 1)</f>
        <v>lib0303</v>
      </c>
      <c r="I289" s="16" t="s">
        <v>526</v>
      </c>
      <c r="J289" s="44" t="e">
        <f aca="false">INDEX(#REF!, MATCH(B289, participants!$A:$A, 0), 1)</f>
        <v>#N/A</v>
      </c>
    </row>
    <row r="290" customFormat="false" ht="13.8" hidden="false" customHeight="false" outlineLevel="0" collapsed="false">
      <c r="A290" s="40" t="s">
        <v>2246</v>
      </c>
      <c r="B290" s="41" t="s">
        <v>2247</v>
      </c>
      <c r="C290" s="8" t="s">
        <v>2248</v>
      </c>
      <c r="D290" s="8" t="s">
        <v>1697</v>
      </c>
      <c r="E290" s="8"/>
      <c r="F290" s="33"/>
      <c r="G290" s="42" t="e">
        <f aca="false">INDEX(participants!$I:$I, MATCH(B290, participants!$A:$A, 0), 1)</f>
        <v>#N/A</v>
      </c>
      <c r="H290" s="30" t="str">
        <f aca="false">INDEX(libraries!$A:$A, MATCH(A290, libraries!$B:$B, 0), 1)</f>
        <v>lib0304</v>
      </c>
      <c r="I290" s="16" t="s">
        <v>526</v>
      </c>
      <c r="J290" s="44" t="e">
        <f aca="false">INDEX(#REF!, MATCH(B290, participants!$A:$A, 0), 1)</f>
        <v>#N/A</v>
      </c>
    </row>
    <row r="291" customFormat="false" ht="13.8" hidden="false" customHeight="false" outlineLevel="0" collapsed="false">
      <c r="A291" s="40" t="s">
        <v>2249</v>
      </c>
      <c r="B291" s="41" t="s">
        <v>2250</v>
      </c>
      <c r="C291" s="8" t="s">
        <v>1982</v>
      </c>
      <c r="D291" s="8" t="s">
        <v>1697</v>
      </c>
      <c r="E291" s="8"/>
      <c r="F291" s="33"/>
      <c r="G291" s="42" t="e">
        <f aca="false">INDEX(participants!$I:$I, MATCH(B291, participants!$A:$A, 0), 1)</f>
        <v>#N/A</v>
      </c>
      <c r="H291" s="30" t="str">
        <f aca="false">INDEX(libraries!$A:$A, MATCH(A291, libraries!$B:$B, 0), 1)</f>
        <v>lib0305</v>
      </c>
      <c r="I291" s="16" t="s">
        <v>526</v>
      </c>
      <c r="J291" s="44" t="e">
        <f aca="false">INDEX(#REF!, MATCH(B291, participants!$A:$A, 0), 1)</f>
        <v>#N/A</v>
      </c>
    </row>
    <row r="292" customFormat="false" ht="13.8" hidden="false" customHeight="false" outlineLevel="0" collapsed="false">
      <c r="A292" s="40" t="s">
        <v>2251</v>
      </c>
      <c r="B292" s="41" t="s">
        <v>2094</v>
      </c>
      <c r="C292" s="8" t="s">
        <v>2252</v>
      </c>
      <c r="D292" s="8" t="s">
        <v>1697</v>
      </c>
      <c r="E292" s="8"/>
      <c r="F292" s="33"/>
      <c r="G292" s="42" t="e">
        <f aca="false">INDEX(participants!$I:$I, MATCH(B292, participants!$A:$A, 0), 1)</f>
        <v>#N/A</v>
      </c>
      <c r="H292" s="30" t="str">
        <f aca="false">INDEX(libraries!$A:$A, MATCH(A292, libraries!$B:$B, 0), 1)</f>
        <v>lib0306</v>
      </c>
      <c r="I292" s="16" t="s">
        <v>526</v>
      </c>
      <c r="J292" s="44" t="e">
        <f aca="false">INDEX(#REF!, MATCH(B292, participants!$A:$A, 0), 1)</f>
        <v>#N/A</v>
      </c>
    </row>
    <row r="293" customFormat="false" ht="13.8" hidden="false" customHeight="false" outlineLevel="0" collapsed="false">
      <c r="A293" s="37" t="s">
        <v>2253</v>
      </c>
      <c r="B293" s="41" t="s">
        <v>2254</v>
      </c>
      <c r="C293" s="8" t="s">
        <v>2216</v>
      </c>
      <c r="D293" s="8" t="s">
        <v>1697</v>
      </c>
      <c r="E293" s="8"/>
      <c r="G293" s="42" t="e">
        <f aca="false">INDEX(participants!$I:$I, MATCH(B293, participants!$A:$A, 0), 1)</f>
        <v>#N/A</v>
      </c>
      <c r="H293" s="30" t="str">
        <f aca="false">INDEX(libraries!$A:$A, MATCH(A293, libraries!$B:$B, 0), 1)</f>
        <v>lib0307</v>
      </c>
      <c r="I293" s="16" t="s">
        <v>486</v>
      </c>
      <c r="J293" s="44" t="e">
        <f aca="false">INDEX(#REF!, MATCH(B293, participants!$A:$A, 0), 1)</f>
        <v>#N/A</v>
      </c>
    </row>
    <row r="294" customFormat="false" ht="13.8" hidden="false" customHeight="false" outlineLevel="0" collapsed="false">
      <c r="A294" s="40" t="s">
        <v>2255</v>
      </c>
      <c r="B294" s="41" t="s">
        <v>2256</v>
      </c>
      <c r="C294" s="8" t="s">
        <v>2257</v>
      </c>
      <c r="D294" s="8" t="s">
        <v>1697</v>
      </c>
      <c r="E294" s="8"/>
      <c r="F294" s="33"/>
      <c r="G294" s="42" t="e">
        <f aca="false">INDEX(participants!$I:$I, MATCH(B294, participants!$A:$A, 0), 1)</f>
        <v>#N/A</v>
      </c>
      <c r="H294" s="30" t="str">
        <f aca="false">INDEX(libraries!$A:$A, MATCH(A294, libraries!$B:$B, 0), 1)</f>
        <v>lib0308</v>
      </c>
      <c r="I294" s="16" t="s">
        <v>526</v>
      </c>
      <c r="J294" s="44" t="e">
        <f aca="false">INDEX(#REF!, MATCH(B294, participants!$A:$A, 0), 1)</f>
        <v>#N/A</v>
      </c>
    </row>
    <row r="295" customFormat="false" ht="13.8" hidden="false" customHeight="false" outlineLevel="0" collapsed="false">
      <c r="A295" s="40" t="s">
        <v>2258</v>
      </c>
      <c r="B295" s="41" t="s">
        <v>2259</v>
      </c>
      <c r="C295" s="8" t="s">
        <v>2260</v>
      </c>
      <c r="D295" s="8" t="s">
        <v>1697</v>
      </c>
      <c r="E295" s="8"/>
      <c r="F295" s="33"/>
      <c r="G295" s="42" t="e">
        <f aca="false">INDEX(participants!$I:$I, MATCH(B295, participants!$A:$A, 0), 1)</f>
        <v>#N/A</v>
      </c>
      <c r="H295" s="30" t="str">
        <f aca="false">INDEX(libraries!$A:$A, MATCH(A295, libraries!$B:$B, 0), 1)</f>
        <v>lib0309</v>
      </c>
      <c r="I295" s="16" t="s">
        <v>752</v>
      </c>
      <c r="J295" s="44" t="e">
        <f aca="false">INDEX(#REF!, MATCH(B295, participants!$A:$A, 0), 1)</f>
        <v>#N/A</v>
      </c>
    </row>
    <row r="296" customFormat="false" ht="13.8" hidden="false" customHeight="false" outlineLevel="0" collapsed="false">
      <c r="A296" s="40" t="s">
        <v>2261</v>
      </c>
      <c r="B296" s="41" t="s">
        <v>2262</v>
      </c>
      <c r="C296" s="8" t="s">
        <v>2263</v>
      </c>
      <c r="D296" s="8" t="s">
        <v>1697</v>
      </c>
      <c r="E296" s="8"/>
      <c r="F296" s="33"/>
      <c r="G296" s="42" t="e">
        <f aca="false">INDEX(participants!$I:$I, MATCH(B296, participants!$A:$A, 0), 1)</f>
        <v>#N/A</v>
      </c>
      <c r="H296" s="30" t="str">
        <f aca="false">INDEX(libraries!$A:$A, MATCH(A296, libraries!$B:$B, 0), 1)</f>
        <v>lib0310</v>
      </c>
      <c r="I296" s="16" t="s">
        <v>526</v>
      </c>
      <c r="J296" s="44" t="e">
        <f aca="false">INDEX(#REF!, MATCH(B296, participants!$A:$A, 0), 1)</f>
        <v>#N/A</v>
      </c>
    </row>
    <row r="297" customFormat="false" ht="13.8" hidden="false" customHeight="false" outlineLevel="0" collapsed="false">
      <c r="A297" s="40" t="s">
        <v>2264</v>
      </c>
      <c r="B297" s="41" t="s">
        <v>2265</v>
      </c>
      <c r="C297" s="8" t="s">
        <v>2266</v>
      </c>
      <c r="D297" s="8" t="s">
        <v>1697</v>
      </c>
      <c r="E297" s="8"/>
      <c r="F297" s="33"/>
      <c r="G297" s="42" t="e">
        <f aca="false">INDEX(participants!$I:$I, MATCH(B297, participants!$A:$A, 0), 1)</f>
        <v>#N/A</v>
      </c>
      <c r="H297" s="30" t="str">
        <f aca="false">INDEX(libraries!$A:$A, MATCH(A297, libraries!$B:$B, 0), 1)</f>
        <v>lib0311</v>
      </c>
      <c r="I297" s="16" t="s">
        <v>526</v>
      </c>
      <c r="J297" s="44" t="e">
        <f aca="false">INDEX(#REF!, MATCH(B297, participants!$A:$A, 0), 1)</f>
        <v>#N/A</v>
      </c>
    </row>
    <row r="298" customFormat="false" ht="13.8" hidden="false" customHeight="false" outlineLevel="0" collapsed="false">
      <c r="A298" s="40" t="s">
        <v>2267</v>
      </c>
      <c r="B298" s="41" t="s">
        <v>2268</v>
      </c>
      <c r="C298" s="8" t="s">
        <v>2269</v>
      </c>
      <c r="D298" s="8" t="s">
        <v>1697</v>
      </c>
      <c r="E298" s="8"/>
      <c r="F298" s="33"/>
      <c r="G298" s="42" t="e">
        <f aca="false">INDEX(participants!$I:$I, MATCH(B298, participants!$A:$A, 0), 1)</f>
        <v>#N/A</v>
      </c>
      <c r="H298" s="30" t="str">
        <f aca="false">INDEX(libraries!$A:$A, MATCH(A298, libraries!$B:$B, 0), 1)</f>
        <v>lib0312</v>
      </c>
      <c r="I298" s="16" t="s">
        <v>526</v>
      </c>
      <c r="J298" s="44" t="e">
        <f aca="false">INDEX(#REF!, MATCH(B298, participants!$A:$A, 0), 1)</f>
        <v>#N/A</v>
      </c>
    </row>
    <row r="299" customFormat="false" ht="13.8" hidden="false" customHeight="false" outlineLevel="0" collapsed="false">
      <c r="A299" s="40" t="s">
        <v>2270</v>
      </c>
      <c r="B299" s="41" t="s">
        <v>2271</v>
      </c>
      <c r="C299" s="8" t="s">
        <v>2272</v>
      </c>
      <c r="D299" s="8" t="s">
        <v>1697</v>
      </c>
      <c r="E299" s="8"/>
      <c r="F299" s="33"/>
      <c r="G299" s="42" t="e">
        <f aca="false">INDEX(participants!$I:$I, MATCH(B299, participants!$A:$A, 0), 1)</f>
        <v>#N/A</v>
      </c>
      <c r="H299" s="30" t="str">
        <f aca="false">INDEX(libraries!$A:$A, MATCH(A299, libraries!$B:$B, 0), 1)</f>
        <v>lib0313</v>
      </c>
      <c r="I299" s="16" t="s">
        <v>526</v>
      </c>
      <c r="J299" s="44" t="e">
        <f aca="false">INDEX(#REF!, MATCH(B299, participants!$A:$A, 0), 1)</f>
        <v>#N/A</v>
      </c>
    </row>
    <row r="300" customFormat="false" ht="13.8" hidden="false" customHeight="false" outlineLevel="0" collapsed="false">
      <c r="A300" s="40" t="s">
        <v>2273</v>
      </c>
      <c r="B300" s="41" t="s">
        <v>2138</v>
      </c>
      <c r="C300" s="8" t="s">
        <v>2274</v>
      </c>
      <c r="D300" s="8" t="s">
        <v>1697</v>
      </c>
      <c r="E300" s="8"/>
      <c r="F300" s="33"/>
      <c r="G300" s="42" t="e">
        <f aca="false">INDEX(participants!$I:$I, MATCH(B300, participants!$A:$A, 0), 1)</f>
        <v>#N/A</v>
      </c>
      <c r="H300" s="30" t="str">
        <f aca="false">INDEX(libraries!$A:$A, MATCH(A300, libraries!$B:$B, 0), 1)</f>
        <v>lib0314</v>
      </c>
      <c r="I300" s="16" t="s">
        <v>486</v>
      </c>
      <c r="J300" s="44" t="e">
        <f aca="false">INDEX(#REF!, MATCH(B300, participants!$A:$A, 0), 1)</f>
        <v>#N/A</v>
      </c>
    </row>
    <row r="301" customFormat="false" ht="13.8" hidden="false" customHeight="false" outlineLevel="0" collapsed="false">
      <c r="A301" s="40" t="s">
        <v>2275</v>
      </c>
      <c r="B301" s="41" t="s">
        <v>2276</v>
      </c>
      <c r="C301" s="8" t="s">
        <v>2277</v>
      </c>
      <c r="D301" s="8" t="s">
        <v>1697</v>
      </c>
      <c r="E301" s="8"/>
      <c r="F301" s="33"/>
      <c r="G301" s="42" t="e">
        <f aca="false">INDEX(participants!$I:$I, MATCH(B301, participants!$A:$A, 0), 1)</f>
        <v>#N/A</v>
      </c>
      <c r="H301" s="30" t="str">
        <f aca="false">INDEX(libraries!$A:$A, MATCH(A301, libraries!$B:$B, 0), 1)</f>
        <v>lib0315</v>
      </c>
      <c r="I301" s="16" t="s">
        <v>486</v>
      </c>
      <c r="J301" s="44" t="e">
        <f aca="false">INDEX(#REF!, MATCH(B301, participants!$A:$A, 0), 1)</f>
        <v>#N/A</v>
      </c>
    </row>
    <row r="302" customFormat="false" ht="13.8" hidden="false" customHeight="false" outlineLevel="0" collapsed="false">
      <c r="A302" s="40" t="s">
        <v>2278</v>
      </c>
      <c r="B302" s="41" t="s">
        <v>2124</v>
      </c>
      <c r="C302" s="8" t="s">
        <v>2125</v>
      </c>
      <c r="D302" s="8" t="s">
        <v>1697</v>
      </c>
      <c r="E302" s="8"/>
      <c r="F302" s="33"/>
      <c r="G302" s="42" t="e">
        <f aca="false">INDEX(participants!$I:$I, MATCH(B302, participants!$A:$A, 0), 1)</f>
        <v>#N/A</v>
      </c>
      <c r="H302" s="30" t="str">
        <f aca="false">INDEX(libraries!$A:$A, MATCH(A302, libraries!$B:$B, 0), 1)</f>
        <v>lib0316</v>
      </c>
      <c r="I302" s="16" t="s">
        <v>486</v>
      </c>
      <c r="J302" s="44" t="e">
        <f aca="false">INDEX(#REF!, MATCH(B302, participants!$A:$A, 0), 1)</f>
        <v>#N/A</v>
      </c>
    </row>
    <row r="303" customFormat="false" ht="13.8" hidden="false" customHeight="false" outlineLevel="0" collapsed="false">
      <c r="A303" s="40" t="s">
        <v>2279</v>
      </c>
      <c r="B303" s="41" t="s">
        <v>2280</v>
      </c>
      <c r="C303" s="8" t="s">
        <v>2281</v>
      </c>
      <c r="D303" s="8" t="s">
        <v>1697</v>
      </c>
      <c r="E303" s="8"/>
      <c r="F303" s="33"/>
      <c r="G303" s="42" t="e">
        <f aca="false">INDEX(participants!$I:$I, MATCH(B303, participants!$A:$A, 0), 1)</f>
        <v>#N/A</v>
      </c>
      <c r="H303" s="30" t="str">
        <f aca="false">INDEX(libraries!$A:$A, MATCH(A303, libraries!$B:$B, 0), 1)</f>
        <v>lib0317</v>
      </c>
      <c r="I303" s="16" t="s">
        <v>526</v>
      </c>
      <c r="J303" s="44" t="e">
        <f aca="false">INDEX(#REF!, MATCH(B303, participants!$A:$A, 0), 1)</f>
        <v>#N/A</v>
      </c>
    </row>
    <row r="304" customFormat="false" ht="13.8" hidden="false" customHeight="false" outlineLevel="0" collapsed="false">
      <c r="A304" s="40" t="s">
        <v>2282</v>
      </c>
      <c r="B304" s="41" t="s">
        <v>2283</v>
      </c>
      <c r="C304" s="8" t="s">
        <v>2284</v>
      </c>
      <c r="D304" s="8" t="s">
        <v>1697</v>
      </c>
      <c r="E304" s="8"/>
      <c r="F304" s="33"/>
      <c r="G304" s="42" t="e">
        <f aca="false">INDEX(participants!$I:$I, MATCH(B304, participants!$A:$A, 0), 1)</f>
        <v>#N/A</v>
      </c>
      <c r="H304" s="30" t="str">
        <f aca="false">INDEX(libraries!$A:$A, MATCH(A304, libraries!$B:$B, 0), 1)</f>
        <v>lib0318</v>
      </c>
      <c r="I304" s="16" t="s">
        <v>526</v>
      </c>
      <c r="J304" s="44" t="e">
        <f aca="false">INDEX(#REF!, MATCH(B304, participants!$A:$A, 0), 1)</f>
        <v>#N/A</v>
      </c>
    </row>
    <row r="305" customFormat="false" ht="13.8" hidden="false" customHeight="false" outlineLevel="0" collapsed="false">
      <c r="A305" s="40" t="s">
        <v>2285</v>
      </c>
      <c r="B305" s="41" t="s">
        <v>2286</v>
      </c>
      <c r="C305" s="8" t="s">
        <v>2284</v>
      </c>
      <c r="D305" s="8" t="s">
        <v>1697</v>
      </c>
      <c r="E305" s="8"/>
      <c r="F305" s="33"/>
      <c r="G305" s="42" t="e">
        <f aca="false">INDEX(participants!$I:$I, MATCH(B305, participants!$A:$A, 0), 1)</f>
        <v>#N/A</v>
      </c>
      <c r="H305" s="30" t="str">
        <f aca="false">INDEX(libraries!$A:$A, MATCH(A305, libraries!$B:$B, 0), 1)</f>
        <v>lib0319</v>
      </c>
      <c r="I305" s="16" t="s">
        <v>526</v>
      </c>
      <c r="J305" s="44" t="e">
        <f aca="false">INDEX(#REF!, MATCH(B305, participants!$A:$A, 0), 1)</f>
        <v>#N/A</v>
      </c>
    </row>
    <row r="306" customFormat="false" ht="13.8" hidden="false" customHeight="false" outlineLevel="0" collapsed="false">
      <c r="A306" s="40" t="s">
        <v>2287</v>
      </c>
      <c r="B306" s="41" t="s">
        <v>2288</v>
      </c>
      <c r="C306" s="8" t="s">
        <v>2289</v>
      </c>
      <c r="D306" s="8" t="s">
        <v>1697</v>
      </c>
      <c r="E306" s="8"/>
      <c r="F306" s="33"/>
      <c r="G306" s="42" t="e">
        <f aca="false">INDEX(participants!$I:$I, MATCH(B306, participants!$A:$A, 0), 1)</f>
        <v>#N/A</v>
      </c>
      <c r="H306" s="30" t="str">
        <f aca="false">INDEX(libraries!$A:$A, MATCH(A306, libraries!$B:$B, 0), 1)</f>
        <v>lib0320</v>
      </c>
      <c r="I306" s="16" t="s">
        <v>526</v>
      </c>
      <c r="J306" s="44" t="e">
        <f aca="false">INDEX(#REF!, MATCH(B306, participants!$A:$A, 0), 1)</f>
        <v>#N/A</v>
      </c>
    </row>
    <row r="307" customFormat="false" ht="13.8" hidden="false" customHeight="false" outlineLevel="0" collapsed="false">
      <c r="A307" s="40" t="s">
        <v>2290</v>
      </c>
      <c r="B307" s="41" t="s">
        <v>2218</v>
      </c>
      <c r="C307" s="8" t="s">
        <v>2235</v>
      </c>
      <c r="D307" s="8" t="s">
        <v>1697</v>
      </c>
      <c r="E307" s="8"/>
      <c r="F307" s="33"/>
      <c r="G307" s="42" t="e">
        <f aca="false">INDEX(participants!$I:$I, MATCH(B307, participants!$A:$A, 0), 1)</f>
        <v>#N/A</v>
      </c>
      <c r="H307" s="30" t="str">
        <f aca="false">INDEX(libraries!$A:$A, MATCH(A307, libraries!$B:$B, 0), 1)</f>
        <v>lib0321</v>
      </c>
      <c r="I307" s="16" t="s">
        <v>486</v>
      </c>
      <c r="J307" s="44" t="e">
        <f aca="false">INDEX(#REF!, MATCH(B307, participants!$A:$A, 0), 1)</f>
        <v>#N/A</v>
      </c>
    </row>
    <row r="308" customFormat="false" ht="13.8" hidden="false" customHeight="false" outlineLevel="0" collapsed="false">
      <c r="A308" s="40" t="s">
        <v>2291</v>
      </c>
      <c r="B308" s="41" t="s">
        <v>2292</v>
      </c>
      <c r="C308" s="8" t="s">
        <v>2293</v>
      </c>
      <c r="D308" s="8" t="s">
        <v>1697</v>
      </c>
      <c r="E308" s="8"/>
      <c r="F308" s="33"/>
      <c r="G308" s="42" t="e">
        <f aca="false">INDEX(participants!$I:$I, MATCH(B308, participants!$A:$A, 0), 1)</f>
        <v>#N/A</v>
      </c>
      <c r="H308" s="30" t="str">
        <f aca="false">INDEX(libraries!$A:$A, MATCH(A308, libraries!$B:$B, 0), 1)</f>
        <v>lib0322</v>
      </c>
      <c r="I308" s="16" t="s">
        <v>752</v>
      </c>
      <c r="J308" s="44" t="e">
        <f aca="false">INDEX(#REF!, MATCH(B308, participants!$A:$A, 0), 1)</f>
        <v>#N/A</v>
      </c>
    </row>
    <row r="309" customFormat="false" ht="13.8" hidden="false" customHeight="false" outlineLevel="0" collapsed="false">
      <c r="A309" s="40" t="s">
        <v>2294</v>
      </c>
      <c r="B309" s="41" t="s">
        <v>2295</v>
      </c>
      <c r="C309" s="8" t="s">
        <v>2296</v>
      </c>
      <c r="D309" s="8" t="s">
        <v>1697</v>
      </c>
      <c r="E309" s="8"/>
      <c r="F309" s="33"/>
      <c r="G309" s="42" t="e">
        <f aca="false">INDEX(participants!$I:$I, MATCH(B309, participants!$A:$A, 0), 1)</f>
        <v>#N/A</v>
      </c>
      <c r="H309" s="30" t="str">
        <f aca="false">INDEX(libraries!$A:$A, MATCH(A309, libraries!$B:$B, 0), 1)</f>
        <v>lib0323</v>
      </c>
      <c r="I309" s="16" t="s">
        <v>752</v>
      </c>
      <c r="J309" s="44" t="e">
        <f aca="false">INDEX(#REF!, MATCH(B309, participants!$A:$A, 0), 1)</f>
        <v>#N/A</v>
      </c>
    </row>
    <row r="310" customFormat="false" ht="13.8" hidden="false" customHeight="false" outlineLevel="0" collapsed="false">
      <c r="A310" s="40" t="s">
        <v>2297</v>
      </c>
      <c r="B310" s="41" t="s">
        <v>2298</v>
      </c>
      <c r="C310" s="8" t="s">
        <v>2235</v>
      </c>
      <c r="D310" s="8" t="s">
        <v>1697</v>
      </c>
      <c r="E310" s="8"/>
      <c r="F310" s="33"/>
      <c r="G310" s="42" t="e">
        <f aca="false">INDEX(participants!$I:$I, MATCH(B310, participants!$A:$A, 0), 1)</f>
        <v>#N/A</v>
      </c>
      <c r="H310" s="30" t="str">
        <f aca="false">INDEX(libraries!$A:$A, MATCH(A310, libraries!$B:$B, 0), 1)</f>
        <v>lib0324</v>
      </c>
      <c r="I310" s="16" t="s">
        <v>526</v>
      </c>
      <c r="J310" s="44" t="e">
        <f aca="false">INDEX(#REF!, MATCH(B310, participants!$A:$A, 0), 1)</f>
        <v>#N/A</v>
      </c>
    </row>
    <row r="311" customFormat="false" ht="13.8" hidden="false" customHeight="false" outlineLevel="0" collapsed="false">
      <c r="A311" s="40" t="s">
        <v>2299</v>
      </c>
      <c r="B311" s="41" t="s">
        <v>2300</v>
      </c>
      <c r="C311" s="8" t="s">
        <v>2301</v>
      </c>
      <c r="D311" s="8" t="s">
        <v>1697</v>
      </c>
      <c r="E311" s="8"/>
      <c r="F311" s="33"/>
      <c r="G311" s="42" t="e">
        <f aca="false">INDEX(participants!$I:$I, MATCH(B311, participants!$A:$A, 0), 1)</f>
        <v>#N/A</v>
      </c>
      <c r="H311" s="30" t="str">
        <f aca="false">INDEX(libraries!$A:$A, MATCH(A311, libraries!$B:$B, 0), 1)</f>
        <v>lib0327</v>
      </c>
      <c r="I311" s="16" t="s">
        <v>526</v>
      </c>
      <c r="J311" s="44" t="e">
        <f aca="false">INDEX(#REF!, MATCH(B311, participants!$A:$A, 0), 1)</f>
        <v>#N/A</v>
      </c>
    </row>
    <row r="312" customFormat="false" ht="13.8" hidden="false" customHeight="false" outlineLevel="0" collapsed="false">
      <c r="A312" s="40" t="s">
        <v>2302</v>
      </c>
      <c r="B312" s="41" t="s">
        <v>2303</v>
      </c>
      <c r="C312" s="8" t="s">
        <v>2248</v>
      </c>
      <c r="D312" s="8" t="s">
        <v>1697</v>
      </c>
      <c r="E312" s="8"/>
      <c r="F312" s="33"/>
      <c r="G312" s="42" t="e">
        <f aca="false">INDEX(participants!$I:$I, MATCH(B312, participants!$A:$A, 0), 1)</f>
        <v>#N/A</v>
      </c>
      <c r="H312" s="30" t="str">
        <f aca="false">INDEX(libraries!$A:$A, MATCH(A312, libraries!$B:$B, 0), 1)</f>
        <v>lib0328</v>
      </c>
      <c r="I312" s="16" t="s">
        <v>526</v>
      </c>
      <c r="J312" s="44" t="e">
        <f aca="false">INDEX(#REF!, MATCH(B312, participants!$A:$A, 0), 1)</f>
        <v>#N/A</v>
      </c>
    </row>
    <row r="313" customFormat="false" ht="13.8" hidden="false" customHeight="false" outlineLevel="0" collapsed="false">
      <c r="A313" s="40" t="s">
        <v>2304</v>
      </c>
      <c r="B313" s="41" t="s">
        <v>2305</v>
      </c>
      <c r="C313" s="8" t="s">
        <v>2306</v>
      </c>
      <c r="D313" s="8" t="s">
        <v>1697</v>
      </c>
      <c r="E313" s="8"/>
      <c r="F313" s="33"/>
      <c r="G313" s="42" t="e">
        <f aca="false">INDEX(participants!$I:$I, MATCH(B313, participants!$A:$A, 0), 1)</f>
        <v>#N/A</v>
      </c>
      <c r="H313" s="30" t="str">
        <f aca="false">INDEX(libraries!$A:$A, MATCH(A313, libraries!$B:$B, 0), 1)</f>
        <v>lib0329</v>
      </c>
      <c r="I313" s="16" t="s">
        <v>526</v>
      </c>
      <c r="J313" s="44" t="e">
        <f aca="false">INDEX(#REF!, MATCH(B313, participants!$A:$A, 0), 1)</f>
        <v>#N/A</v>
      </c>
    </row>
    <row r="314" customFormat="false" ht="13.8" hidden="false" customHeight="false" outlineLevel="0" collapsed="false">
      <c r="A314" s="40" t="s">
        <v>2307</v>
      </c>
      <c r="B314" s="41" t="s">
        <v>2308</v>
      </c>
      <c r="C314" s="8" t="s">
        <v>2309</v>
      </c>
      <c r="D314" s="8" t="s">
        <v>1697</v>
      </c>
      <c r="E314" s="8"/>
      <c r="F314" s="33"/>
      <c r="G314" s="42" t="e">
        <f aca="false">INDEX(participants!$I:$I, MATCH(B314, participants!$A:$A, 0), 1)</f>
        <v>#N/A</v>
      </c>
      <c r="H314" s="30" t="str">
        <f aca="false">INDEX(libraries!$A:$A, MATCH(A314, libraries!$B:$B, 0), 1)</f>
        <v>lib0330</v>
      </c>
      <c r="I314" s="16" t="s">
        <v>526</v>
      </c>
      <c r="J314" s="44" t="e">
        <f aca="false">INDEX(#REF!, MATCH(B314, participants!$A:$A, 0), 1)</f>
        <v>#N/A</v>
      </c>
    </row>
    <row r="315" customFormat="false" ht="13.8" hidden="false" customHeight="false" outlineLevel="0" collapsed="false">
      <c r="A315" s="40" t="s">
        <v>2310</v>
      </c>
      <c r="B315" s="41" t="s">
        <v>2311</v>
      </c>
      <c r="C315" s="8" t="s">
        <v>2312</v>
      </c>
      <c r="D315" s="8" t="s">
        <v>1697</v>
      </c>
      <c r="E315" s="8"/>
      <c r="F315" s="33"/>
      <c r="G315" s="42" t="e">
        <f aca="false">INDEX(participants!$I:$I, MATCH(B315, participants!$A:$A, 0), 1)</f>
        <v>#N/A</v>
      </c>
      <c r="H315" s="42" t="str">
        <f aca="false">INDEX(libraries!$A:$A, MATCH(A315, libraries!$B:$B, 0), 1)</f>
        <v>lib0331</v>
      </c>
      <c r="I315" s="16" t="s">
        <v>2313</v>
      </c>
      <c r="J315" s="44" t="e">
        <f aca="false">INDEX(#REF!, MATCH(B315, participants!$A:$A, 0), 1)</f>
        <v>#N/A</v>
      </c>
    </row>
    <row r="316" customFormat="false" ht="13.8" hidden="false" customHeight="false" outlineLevel="0" collapsed="false">
      <c r="A316" s="40" t="s">
        <v>2314</v>
      </c>
      <c r="B316" s="41" t="s">
        <v>2315</v>
      </c>
      <c r="C316" s="8" t="s">
        <v>2242</v>
      </c>
      <c r="D316" s="8" t="s">
        <v>1697</v>
      </c>
      <c r="E316" s="8"/>
      <c r="F316" s="33"/>
      <c r="G316" s="42" t="e">
        <f aca="false">INDEX(participants!$I:$I, MATCH(B316, participants!$A:$A, 0), 1)</f>
        <v>#N/A</v>
      </c>
      <c r="H316" s="42" t="str">
        <f aca="false">INDEX(libraries!$A:$A, MATCH(A316, libraries!$B:$B, 0), 1)</f>
        <v>lib0332</v>
      </c>
      <c r="I316" s="16" t="s">
        <v>526</v>
      </c>
      <c r="J316" s="44" t="e">
        <f aca="false">INDEX(#REF!, MATCH(B316, participants!$A:$A, 0), 1)</f>
        <v>#N/A</v>
      </c>
    </row>
    <row r="317" customFormat="false" ht="13.8" hidden="false" customHeight="false" outlineLevel="0" collapsed="false">
      <c r="A317" s="40" t="s">
        <v>2316</v>
      </c>
      <c r="B317" s="41" t="s">
        <v>2317</v>
      </c>
      <c r="C317" s="8" t="s">
        <v>2318</v>
      </c>
      <c r="D317" s="8" t="s">
        <v>1697</v>
      </c>
      <c r="E317" s="8"/>
      <c r="F317" s="33"/>
      <c r="G317" s="42" t="e">
        <f aca="false">INDEX(participants!$I:$I, MATCH(B317, participants!$A:$A, 0), 1)</f>
        <v>#N/A</v>
      </c>
      <c r="H317" s="42" t="str">
        <f aca="false">INDEX(libraries!$A:$A, MATCH(A317, libraries!$B:$B, 0), 1)</f>
        <v>lib0333</v>
      </c>
      <c r="I317" s="16" t="s">
        <v>486</v>
      </c>
      <c r="J317" s="44" t="e">
        <f aca="false">INDEX(#REF!, MATCH(B317, participants!$A:$A, 0), 1)</f>
        <v>#N/A</v>
      </c>
    </row>
    <row r="318" customFormat="false" ht="13.8" hidden="false" customHeight="false" outlineLevel="0" collapsed="false">
      <c r="A318" s="40" t="s">
        <v>2319</v>
      </c>
      <c r="B318" s="41" t="s">
        <v>2320</v>
      </c>
      <c r="C318" s="8" t="s">
        <v>2321</v>
      </c>
      <c r="D318" s="8" t="s">
        <v>1697</v>
      </c>
      <c r="E318" s="8" t="s">
        <v>2322</v>
      </c>
      <c r="F318" s="33"/>
      <c r="G318" s="42" t="e">
        <f aca="false">INDEX(participants!$I:$I, MATCH(B318, participants!$A:$A, 0), 1)</f>
        <v>#N/A</v>
      </c>
      <c r="H318" s="42" t="str">
        <f aca="false">INDEX(libraries!$A:$A, MATCH(A318, libraries!$B:$B, 0), 1)</f>
        <v>lib0334</v>
      </c>
      <c r="I318" s="16" t="s">
        <v>486</v>
      </c>
      <c r="J318" s="44" t="e">
        <f aca="false">INDEX(#REF!, MATCH(B318, participants!$A:$A, 0), 1)</f>
        <v>#N/A</v>
      </c>
    </row>
    <row r="319" customFormat="false" ht="13.8" hidden="false" customHeight="false" outlineLevel="0" collapsed="false">
      <c r="A319" s="40" t="s">
        <v>2323</v>
      </c>
      <c r="B319" s="41" t="s">
        <v>2324</v>
      </c>
      <c r="C319" s="8" t="s">
        <v>2325</v>
      </c>
      <c r="D319" s="8" t="s">
        <v>1697</v>
      </c>
      <c r="E319" s="8"/>
      <c r="F319" s="33"/>
      <c r="G319" s="42" t="e">
        <f aca="false">INDEX(participants!$I:$I, MATCH(B319, participants!$A:$A, 0), 1)</f>
        <v>#N/A</v>
      </c>
      <c r="H319" s="42" t="str">
        <f aca="false">INDEX(libraries!$A:$A, MATCH(A319, libraries!$B:$B, 0), 1)</f>
        <v>lib0335</v>
      </c>
      <c r="I319" s="16" t="s">
        <v>526</v>
      </c>
      <c r="J319" s="44" t="e">
        <f aca="false">INDEX(#REF!, MATCH(B319, participants!$A:$A, 0), 1)</f>
        <v>#N/A</v>
      </c>
    </row>
    <row r="320" customFormat="false" ht="13.8" hidden="false" customHeight="false" outlineLevel="0" collapsed="false">
      <c r="A320" s="40" t="s">
        <v>2326</v>
      </c>
      <c r="B320" s="41" t="s">
        <v>2141</v>
      </c>
      <c r="C320" s="8" t="s">
        <v>2142</v>
      </c>
      <c r="D320" s="8" t="s">
        <v>1697</v>
      </c>
      <c r="E320" s="8"/>
      <c r="F320" s="33"/>
      <c r="G320" s="42" t="e">
        <f aca="false">INDEX(participants!$I:$I, MATCH(B320, participants!$A:$A, 0), 1)</f>
        <v>#N/A</v>
      </c>
      <c r="H320" s="42" t="str">
        <f aca="false">INDEX(libraries!$A:$A, MATCH(A320, libraries!$B:$B, 0), 1)</f>
        <v>lib0415</v>
      </c>
      <c r="I320" s="16" t="s">
        <v>486</v>
      </c>
      <c r="J320" s="44" t="e">
        <f aca="false">INDEX(#REF!, MATCH(B320, participants!$A:$A, 0), 1)</f>
        <v>#N/A</v>
      </c>
    </row>
    <row r="321" customFormat="false" ht="13.8" hidden="false" customHeight="false" outlineLevel="0" collapsed="false">
      <c r="A321" s="40" t="s">
        <v>2327</v>
      </c>
      <c r="B321" s="41" t="s">
        <v>2197</v>
      </c>
      <c r="C321" s="8" t="s">
        <v>2328</v>
      </c>
      <c r="D321" s="8" t="s">
        <v>1697</v>
      </c>
      <c r="E321" s="8"/>
      <c r="F321" s="33"/>
      <c r="G321" s="42" t="e">
        <f aca="false">INDEX(participants!$I:$I, MATCH(B321, participants!$A:$A, 0), 1)</f>
        <v>#N/A</v>
      </c>
      <c r="H321" s="42" t="str">
        <f aca="false">INDEX(libraries!$A:$A, MATCH(A321, libraries!$B:$B, 0), 1)</f>
        <v>lib0414</v>
      </c>
      <c r="I321" s="16" t="s">
        <v>486</v>
      </c>
      <c r="J321" s="44" t="e">
        <f aca="false">INDEX(#REF!, MATCH(B321, participants!$A:$A, 0), 1)</f>
        <v>#N/A</v>
      </c>
    </row>
    <row r="322" customFormat="false" ht="13.8" hidden="false" customHeight="false" outlineLevel="0" collapsed="false">
      <c r="A322" s="40" t="s">
        <v>2329</v>
      </c>
      <c r="B322" s="41" t="s">
        <v>2330</v>
      </c>
      <c r="C322" s="8" t="s">
        <v>2331</v>
      </c>
      <c r="D322" s="8" t="s">
        <v>1697</v>
      </c>
      <c r="E322" s="8" t="s">
        <v>2332</v>
      </c>
      <c r="F322" s="33"/>
      <c r="G322" s="42" t="e">
        <f aca="false">INDEX(participants!$I:$I, MATCH(B322, participants!$A:$A, 0), 1)</f>
        <v>#N/A</v>
      </c>
      <c r="H322" s="42" t="str">
        <f aca="false">INDEX(libraries!$A:$A, MATCH(A322, libraries!$B:$B, 0), 1)</f>
        <v>lib0413</v>
      </c>
      <c r="I322" s="16" t="s">
        <v>486</v>
      </c>
      <c r="J322" s="44" t="e">
        <f aca="false">INDEX(#REF!, MATCH(B322, participants!$A:$A, 0), 1)</f>
        <v>#N/A</v>
      </c>
    </row>
    <row r="323" customFormat="false" ht="13.8" hidden="false" customHeight="false" outlineLevel="0" collapsed="false">
      <c r="A323" s="40" t="s">
        <v>2333</v>
      </c>
      <c r="B323" s="41" t="s">
        <v>2334</v>
      </c>
      <c r="C323" s="8" t="s">
        <v>2335</v>
      </c>
      <c r="D323" s="8" t="s">
        <v>1697</v>
      </c>
      <c r="E323" s="8"/>
      <c r="F323" s="33"/>
      <c r="G323" s="42" t="e">
        <f aca="false">INDEX(participants!$I:$I, MATCH(B323, participants!$A:$A, 0), 1)</f>
        <v>#N/A</v>
      </c>
      <c r="H323" s="42" t="str">
        <f aca="false">INDEX(libraries!$A:$A, MATCH(A323, libraries!$B:$B, 0), 1)</f>
        <v>lib0412</v>
      </c>
      <c r="I323" s="16" t="s">
        <v>486</v>
      </c>
      <c r="J323" s="44" t="e">
        <f aca="false">INDEX(#REF!, MATCH(B323, participants!$A:$A, 0), 1)</f>
        <v>#N/A</v>
      </c>
    </row>
    <row r="324" customFormat="false" ht="13.8" hidden="false" customHeight="false" outlineLevel="0" collapsed="false">
      <c r="A324" s="40" t="s">
        <v>2336</v>
      </c>
      <c r="B324" s="41" t="s">
        <v>2337</v>
      </c>
      <c r="C324" s="8" t="s">
        <v>2338</v>
      </c>
      <c r="D324" s="8" t="s">
        <v>1697</v>
      </c>
      <c r="E324" s="8"/>
      <c r="F324" s="33"/>
      <c r="G324" s="42" t="e">
        <f aca="false">INDEX(participants!$I:$I, MATCH(B324, participants!$A:$A, 0), 1)</f>
        <v>#N/A</v>
      </c>
      <c r="H324" s="42" t="str">
        <f aca="false">INDEX(libraries!$A:$A, MATCH(A324, libraries!$B:$B, 0), 1)</f>
        <v>lib0411</v>
      </c>
      <c r="I324" s="16" t="s">
        <v>486</v>
      </c>
      <c r="J324" s="44" t="e">
        <f aca="false">INDEX(#REF!, MATCH(B324, participants!$A:$A, 0), 1)</f>
        <v>#N/A</v>
      </c>
    </row>
    <row r="325" customFormat="false" ht="13.8" hidden="false" customHeight="false" outlineLevel="0" collapsed="false">
      <c r="A325" s="40" t="s">
        <v>2339</v>
      </c>
      <c r="B325" s="41" t="s">
        <v>2340</v>
      </c>
      <c r="C325" s="8" t="s">
        <v>2341</v>
      </c>
      <c r="D325" s="8" t="s">
        <v>1697</v>
      </c>
      <c r="E325" s="8"/>
      <c r="F325" s="33"/>
      <c r="G325" s="42" t="e">
        <f aca="false">INDEX(participants!$I:$I, MATCH(B325, participants!$A:$A, 0), 1)</f>
        <v>#N/A</v>
      </c>
      <c r="H325" s="42" t="str">
        <f aca="false">INDEX(libraries!$A:$A, MATCH(A325, libraries!$B:$B, 0), 1)</f>
        <v>lib0410</v>
      </c>
      <c r="I325" s="16" t="s">
        <v>486</v>
      </c>
      <c r="J325" s="44" t="e">
        <f aca="false">INDEX(#REF!, MATCH(B325, participants!$A:$A, 0), 1)</f>
        <v>#N/A</v>
      </c>
    </row>
    <row r="326" customFormat="false" ht="13.8" hidden="false" customHeight="false" outlineLevel="0" collapsed="false">
      <c r="A326" s="40" t="s">
        <v>2342</v>
      </c>
      <c r="B326" s="41" t="s">
        <v>2343</v>
      </c>
      <c r="C326" s="8" t="s">
        <v>2344</v>
      </c>
      <c r="D326" s="8" t="s">
        <v>1697</v>
      </c>
      <c r="E326" s="8"/>
      <c r="F326" s="33"/>
      <c r="G326" s="42" t="e">
        <f aca="false">INDEX(participants!$I:$I, MATCH(B326, participants!$A:$A, 0), 1)</f>
        <v>#N/A</v>
      </c>
      <c r="H326" s="42" t="str">
        <f aca="false">INDEX(libraries!$A:$A, MATCH(A326, libraries!$B:$B, 0), 1)</f>
        <v>lib0409</v>
      </c>
      <c r="I326" s="16" t="s">
        <v>486</v>
      </c>
      <c r="J326" s="44" t="e">
        <f aca="false">INDEX(#REF!, MATCH(B326, participants!$A:$A, 0), 1)</f>
        <v>#N/A</v>
      </c>
    </row>
    <row r="327" customFormat="false" ht="13.8" hidden="false" customHeight="false" outlineLevel="0" collapsed="false">
      <c r="A327" s="40" t="s">
        <v>2345</v>
      </c>
      <c r="B327" s="41" t="s">
        <v>2346</v>
      </c>
      <c r="C327" s="8" t="s">
        <v>485</v>
      </c>
      <c r="D327" s="8" t="s">
        <v>1697</v>
      </c>
      <c r="E327" s="8"/>
      <c r="F327" s="33"/>
      <c r="G327" s="42" t="e">
        <f aca="false">INDEX(participants!$I:$I, MATCH(B327, participants!$A:$A, 0), 1)</f>
        <v>#N/A</v>
      </c>
      <c r="H327" s="42" t="str">
        <f aca="false">INDEX(libraries!$A:$A, MATCH(A327, libraries!$B:$B, 0), 1)</f>
        <v>lib0416</v>
      </c>
      <c r="I327" s="16" t="s">
        <v>1012</v>
      </c>
      <c r="J327" s="44" t="e">
        <f aca="false">INDEX(#REF!, MATCH(B327, participants!$A:$A, 0), 1)</f>
        <v>#N/A</v>
      </c>
    </row>
    <row r="328" customFormat="false" ht="13.8" hidden="false" customHeight="false" outlineLevel="0" collapsed="false">
      <c r="A328" s="40" t="s">
        <v>2347</v>
      </c>
      <c r="B328" s="41" t="s">
        <v>2348</v>
      </c>
      <c r="C328" s="8" t="s">
        <v>2349</v>
      </c>
      <c r="D328" s="8" t="s">
        <v>1697</v>
      </c>
      <c r="E328" s="8" t="s">
        <v>2350</v>
      </c>
      <c r="F328" s="33"/>
      <c r="G328" s="42" t="e">
        <f aca="false">INDEX(participants!$I:$I, MATCH(B328, participants!$A:$A, 0), 1)</f>
        <v>#N/A</v>
      </c>
      <c r="H328" s="42" t="str">
        <f aca="false">INDEX(libraries!$A:$A, MATCH(A328, libraries!$B:$B, 0), 1)</f>
        <v>lib0417</v>
      </c>
      <c r="I328" s="16" t="s">
        <v>486</v>
      </c>
      <c r="J328" s="44" t="e">
        <f aca="false">INDEX(#REF!, MATCH(B328, participants!$A:$A, 0), 1)</f>
        <v>#N/A</v>
      </c>
    </row>
    <row r="329" customFormat="false" ht="13.8" hidden="false" customHeight="false" outlineLevel="0" collapsed="false">
      <c r="A329" s="40" t="s">
        <v>2351</v>
      </c>
      <c r="B329" s="41" t="s">
        <v>2348</v>
      </c>
      <c r="C329" s="8" t="s">
        <v>2352</v>
      </c>
      <c r="D329" s="8" t="s">
        <v>1697</v>
      </c>
      <c r="E329" s="8" t="s">
        <v>2353</v>
      </c>
      <c r="F329" s="33"/>
      <c r="G329" s="42" t="e">
        <f aca="false">INDEX(participants!$I:$I, MATCH(B329, participants!$A:$A, 0), 1)</f>
        <v>#N/A</v>
      </c>
      <c r="H329" s="42" t="str">
        <f aca="false">INDEX(libraries!$A:$A, MATCH(A329, libraries!$B:$B, 0), 1)</f>
        <v>lib0418</v>
      </c>
      <c r="I329" s="16" t="s">
        <v>1896</v>
      </c>
      <c r="J329" s="44" t="e">
        <f aca="false">INDEX(#REF!, MATCH(B329, participants!$A:$A, 0), 1)</f>
        <v>#N/A</v>
      </c>
    </row>
    <row r="330" customFormat="false" ht="13.8" hidden="false" customHeight="false" outlineLevel="0" collapsed="false">
      <c r="A330" s="40" t="s">
        <v>2354</v>
      </c>
      <c r="B330" s="41" t="s">
        <v>2348</v>
      </c>
      <c r="C330" s="8" t="s">
        <v>2355</v>
      </c>
      <c r="D330" s="8" t="s">
        <v>1697</v>
      </c>
      <c r="E330" s="8" t="s">
        <v>2356</v>
      </c>
      <c r="F330" s="8" t="s">
        <v>2357</v>
      </c>
      <c r="G330" s="42" t="e">
        <f aca="false">INDEX(participants!$I:$I, MATCH(B330, participants!$A:$A, 0), 1)</f>
        <v>#N/A</v>
      </c>
      <c r="H330" s="42" t="str">
        <f aca="false">INDEX(libraries!$A:$A, MATCH(A330, libraries!$B:$B, 0), 1)</f>
        <v>lib0419</v>
      </c>
      <c r="I330" s="16" t="s">
        <v>1896</v>
      </c>
      <c r="J330" s="44" t="e">
        <f aca="false">INDEX(#REF!, MATCH(B330, participants!$A:$A, 0), 1)</f>
        <v>#N/A</v>
      </c>
    </row>
    <row r="331" customFormat="false" ht="13.8" hidden="false" customHeight="false" outlineLevel="0" collapsed="false">
      <c r="A331" s="37" t="s">
        <v>2358</v>
      </c>
      <c r="B331" s="41" t="s">
        <v>2221</v>
      </c>
      <c r="C331" s="8" t="s">
        <v>2359</v>
      </c>
      <c r="D331" s="8" t="s">
        <v>1697</v>
      </c>
      <c r="E331" s="8"/>
      <c r="G331" s="42" t="e">
        <f aca="false">INDEX(participants!$I:$I, MATCH(B331, participants!$A:$A, 0), 1)</f>
        <v>#N/A</v>
      </c>
      <c r="H331" s="42" t="str">
        <f aca="false">INDEX(libraries!$A:$A, MATCH(A331, libraries!$B:$B, 0), 1)</f>
        <v>lib0422</v>
      </c>
      <c r="I331" s="16" t="s">
        <v>486</v>
      </c>
      <c r="J331" s="44" t="e">
        <f aca="false">INDEX(#REF!, MATCH(B331, participants!$A:$A, 0), 1)</f>
        <v>#N/A</v>
      </c>
    </row>
    <row r="332" customFormat="false" ht="13.8" hidden="false" customHeight="false" outlineLevel="0" collapsed="false">
      <c r="A332" s="37" t="s">
        <v>2360</v>
      </c>
      <c r="B332" s="41" t="s">
        <v>2361</v>
      </c>
      <c r="C332" s="8" t="s">
        <v>2362</v>
      </c>
      <c r="D332" s="8" t="s">
        <v>1697</v>
      </c>
      <c r="E332" s="8"/>
      <c r="G332" s="42" t="e">
        <f aca="false">INDEX(participants!$I:$I, MATCH(B332, participants!$A:$A, 0), 1)</f>
        <v>#N/A</v>
      </c>
      <c r="H332" s="42" t="str">
        <f aca="false">INDEX(libraries!$A:$A, MATCH(A332, libraries!$B:$B, 0), 1)</f>
        <v>lib0427</v>
      </c>
      <c r="I332" s="16" t="s">
        <v>2313</v>
      </c>
      <c r="J332" s="44" t="e">
        <f aca="false">INDEX(#REF!, MATCH(B332, participants!$A:$A, 0), 1)</f>
        <v>#N/A</v>
      </c>
    </row>
    <row r="333" customFormat="false" ht="13.8" hidden="false" customHeight="false" outlineLevel="0" collapsed="false">
      <c r="A333" s="37" t="s">
        <v>2363</v>
      </c>
      <c r="B333" s="41" t="s">
        <v>748</v>
      </c>
      <c r="C333" s="8" t="s">
        <v>2364</v>
      </c>
      <c r="D333" s="8" t="s">
        <v>1697</v>
      </c>
      <c r="E333" s="8"/>
      <c r="G333" s="42" t="str">
        <f aca="false">INDEX(participants!$I:$I, MATCH(B333, participants!$A:$A, 0), 1)</f>
        <v>nf536</v>
      </c>
      <c r="H333" s="42" t="str">
        <f aca="false">INDEX(libraries!$A:$A, MATCH(A333, libraries!$B:$B, 0), 1)</f>
        <v>lib0428</v>
      </c>
      <c r="I333" s="16" t="s">
        <v>526</v>
      </c>
      <c r="J333" s="44" t="e">
        <f aca="false">INDEX(#REF!, MATCH(B333, participants!$A:$A, 0), 1)</f>
        <v>#VALUE!</v>
      </c>
    </row>
    <row r="334" customFormat="false" ht="13.8" hidden="false" customHeight="false" outlineLevel="0" collapsed="false">
      <c r="A334" s="37" t="s">
        <v>2365</v>
      </c>
      <c r="B334" s="41" t="s">
        <v>2366</v>
      </c>
      <c r="C334" s="8" t="s">
        <v>2367</v>
      </c>
      <c r="D334" s="8" t="s">
        <v>1697</v>
      </c>
      <c r="E334" s="8"/>
      <c r="G334" s="42" t="e">
        <f aca="false">INDEX(participants!$I:$I, MATCH(B334, participants!$A:$A, 0), 1)</f>
        <v>#N/A</v>
      </c>
      <c r="H334" s="42" t="str">
        <f aca="false">INDEX(libraries!$A:$A, MATCH(A334, libraries!$B:$B, 0), 1)</f>
        <v>lib0432</v>
      </c>
      <c r="I334" s="16" t="s">
        <v>486</v>
      </c>
      <c r="J334" s="44" t="e">
        <f aca="false">INDEX(#REF!, MATCH(B334, participants!$A:$A, 0), 1)</f>
        <v>#N/A</v>
      </c>
    </row>
    <row r="335" customFormat="false" ht="13.8" hidden="false" customHeight="false" outlineLevel="0" collapsed="false">
      <c r="A335" s="37" t="s">
        <v>2368</v>
      </c>
      <c r="B335" s="41" t="s">
        <v>2254</v>
      </c>
      <c r="C335" s="8" t="s">
        <v>2369</v>
      </c>
      <c r="D335" s="8" t="s">
        <v>1697</v>
      </c>
      <c r="E335" s="8"/>
      <c r="G335" s="42" t="e">
        <f aca="false">INDEX(participants!$I:$I, MATCH(B335, participants!$A:$A, 0), 1)</f>
        <v>#N/A</v>
      </c>
      <c r="H335" s="42" t="str">
        <f aca="false">INDEX(libraries!$A:$A, MATCH(A335, libraries!$B:$B, 0), 1)</f>
        <v>lib0441</v>
      </c>
      <c r="I335" s="16" t="s">
        <v>1896</v>
      </c>
      <c r="J335" s="44" t="e">
        <f aca="false">INDEX(#REF!, MATCH(B335, participants!$A:$A, 0), 1)</f>
        <v>#N/A</v>
      </c>
    </row>
    <row r="336" customFormat="false" ht="13.8" hidden="false" customHeight="false" outlineLevel="0" collapsed="false">
      <c r="A336" s="37" t="s">
        <v>2370</v>
      </c>
      <c r="B336" s="41" t="s">
        <v>2254</v>
      </c>
      <c r="C336" s="8" t="s">
        <v>2371</v>
      </c>
      <c r="D336" s="8" t="s">
        <v>1697</v>
      </c>
      <c r="E336" s="8"/>
      <c r="G336" s="42" t="e">
        <f aca="false">INDEX(participants!$I:$I, MATCH(B336, participants!$A:$A, 0), 1)</f>
        <v>#N/A</v>
      </c>
      <c r="H336" s="42" t="str">
        <f aca="false">INDEX(libraries!$A:$A, MATCH(A336, libraries!$B:$B, 0), 1)</f>
        <v>lib0442</v>
      </c>
      <c r="I336" s="16" t="s">
        <v>486</v>
      </c>
      <c r="J336" s="44" t="e">
        <f aca="false">INDEX(#REF!, MATCH(B336, participants!$A:$A, 0), 1)</f>
        <v>#N/A</v>
      </c>
    </row>
    <row r="337" customFormat="false" ht="13.8" hidden="false" customHeight="false" outlineLevel="0" collapsed="false">
      <c r="A337" s="37" t="s">
        <v>2372</v>
      </c>
      <c r="B337" s="41" t="s">
        <v>2254</v>
      </c>
      <c r="C337" s="8" t="s">
        <v>2373</v>
      </c>
      <c r="D337" s="8" t="s">
        <v>1697</v>
      </c>
      <c r="E337" s="8"/>
      <c r="G337" s="42" t="e">
        <f aca="false">INDEX(participants!$I:$I, MATCH(B337, participants!$A:$A, 0), 1)</f>
        <v>#N/A</v>
      </c>
      <c r="H337" s="42" t="str">
        <f aca="false">INDEX(libraries!$A:$A, MATCH(A337, libraries!$B:$B, 0), 1)</f>
        <v>lib0443</v>
      </c>
      <c r="I337" s="16" t="s">
        <v>486</v>
      </c>
      <c r="J337" s="44" t="e">
        <f aca="false">INDEX(#REF!, MATCH(B337, participants!$A:$A, 0), 1)</f>
        <v>#N/A</v>
      </c>
    </row>
    <row r="338" customFormat="false" ht="13.8" hidden="false" customHeight="false" outlineLevel="0" collapsed="false">
      <c r="A338" s="37" t="s">
        <v>2374</v>
      </c>
      <c r="B338" s="41" t="s">
        <v>2254</v>
      </c>
      <c r="C338" s="8" t="s">
        <v>2375</v>
      </c>
      <c r="D338" s="8" t="s">
        <v>1697</v>
      </c>
      <c r="E338" s="8"/>
      <c r="G338" s="42" t="e">
        <f aca="false">INDEX(participants!$I:$I, MATCH(B338, participants!$A:$A, 0), 1)</f>
        <v>#N/A</v>
      </c>
      <c r="H338" s="42" t="str">
        <f aca="false">INDEX(libraries!$A:$A, MATCH(A338, libraries!$B:$B, 0), 1)</f>
        <v>lib0444</v>
      </c>
      <c r="I338" s="16" t="s">
        <v>1896</v>
      </c>
      <c r="J338" s="44" t="e">
        <f aca="false">INDEX(#REF!, MATCH(B338, participants!$A:$A, 0), 1)</f>
        <v>#N/A</v>
      </c>
    </row>
    <row r="339" customFormat="false" ht="13.8" hidden="false" customHeight="false" outlineLevel="0" collapsed="false">
      <c r="A339" s="37" t="s">
        <v>2376</v>
      </c>
      <c r="B339" s="41" t="s">
        <v>2254</v>
      </c>
      <c r="C339" s="8" t="s">
        <v>2377</v>
      </c>
      <c r="D339" s="8" t="s">
        <v>1697</v>
      </c>
      <c r="E339" s="8"/>
      <c r="G339" s="42" t="e">
        <f aca="false">INDEX(participants!$I:$I, MATCH(B339, participants!$A:$A, 0), 1)</f>
        <v>#N/A</v>
      </c>
      <c r="H339" s="42" t="str">
        <f aca="false">INDEX(libraries!$A:$A, MATCH(A339, libraries!$B:$B, 0), 1)</f>
        <v>lib0445</v>
      </c>
      <c r="I339" s="16" t="s">
        <v>486</v>
      </c>
      <c r="J339" s="44" t="e">
        <f aca="false">INDEX(#REF!, MATCH(B339, participants!$A:$A, 0), 1)</f>
        <v>#N/A</v>
      </c>
    </row>
    <row r="340" customFormat="false" ht="13.8" hidden="false" customHeight="false" outlineLevel="0" collapsed="false">
      <c r="A340" s="37" t="s">
        <v>2378</v>
      </c>
      <c r="B340" s="41" t="s">
        <v>2343</v>
      </c>
      <c r="C340" s="8" t="s">
        <v>2379</v>
      </c>
      <c r="D340" s="8" t="s">
        <v>1697</v>
      </c>
      <c r="E340" s="8" t="s">
        <v>2380</v>
      </c>
      <c r="F340" s="8" t="s">
        <v>2381</v>
      </c>
      <c r="G340" s="42" t="e">
        <f aca="false">INDEX(participants!$I:$I, MATCH(B340, participants!$A:$A, 0), 1)</f>
        <v>#N/A</v>
      </c>
      <c r="H340" s="42" t="str">
        <f aca="false">INDEX(libraries!$A:$A, MATCH(A340, libraries!$B:$B, 0), 1)</f>
        <v>lib0448</v>
      </c>
      <c r="I340" s="16" t="s">
        <v>1896</v>
      </c>
      <c r="J340" s="44" t="e">
        <f aca="false">INDEX(#REF!, MATCH(B340, participants!$A:$A, 0), 1)</f>
        <v>#N/A</v>
      </c>
    </row>
    <row r="341" customFormat="false" ht="13.8" hidden="false" customHeight="false" outlineLevel="0" collapsed="false">
      <c r="A341" s="37" t="s">
        <v>2382</v>
      </c>
      <c r="B341" s="41" t="s">
        <v>2343</v>
      </c>
      <c r="C341" s="8" t="s">
        <v>2301</v>
      </c>
      <c r="D341" s="8" t="s">
        <v>1697</v>
      </c>
      <c r="E341" s="8" t="s">
        <v>2383</v>
      </c>
      <c r="F341" s="8" t="s">
        <v>2384</v>
      </c>
      <c r="G341" s="42" t="e">
        <f aca="false">INDEX(participants!$I:$I, MATCH(B341, participants!$A:$A, 0), 1)</f>
        <v>#N/A</v>
      </c>
      <c r="H341" s="42" t="str">
        <f aca="false">INDEX(libraries!$A:$A, MATCH(A341, libraries!$B:$B, 0), 1)</f>
        <v>lib0449</v>
      </c>
      <c r="I341" s="16" t="s">
        <v>1896</v>
      </c>
      <c r="J341" s="44" t="e">
        <f aca="false">INDEX(#REF!, MATCH(B341, participants!$A:$A, 0), 1)</f>
        <v>#N/A</v>
      </c>
    </row>
    <row r="342" customFormat="false" ht="13.8" hidden="false" customHeight="false" outlineLevel="0" collapsed="false">
      <c r="A342" s="37" t="s">
        <v>2385</v>
      </c>
      <c r="B342" s="41" t="s">
        <v>2259</v>
      </c>
      <c r="C342" s="8" t="s">
        <v>2189</v>
      </c>
      <c r="D342" s="8" t="s">
        <v>1697</v>
      </c>
      <c r="E342" s="8"/>
      <c r="G342" s="42" t="e">
        <f aca="false">INDEX(participants!$I:$I, MATCH(B342, participants!$A:$A, 0), 1)</f>
        <v>#N/A</v>
      </c>
      <c r="H342" s="42" t="str">
        <f aca="false">INDEX(libraries!$A:$A, MATCH(A342, libraries!$B:$B, 0), 1)</f>
        <v>lib0450</v>
      </c>
      <c r="I342" s="16" t="s">
        <v>752</v>
      </c>
      <c r="J342" s="44" t="e">
        <f aca="false">INDEX(#REF!, MATCH(B342, participants!$A:$A, 0), 1)</f>
        <v>#N/A</v>
      </c>
    </row>
    <row r="343" customFormat="false" ht="13.8" hidden="false" customHeight="false" outlineLevel="0" collapsed="false">
      <c r="A343" s="37" t="s">
        <v>2386</v>
      </c>
      <c r="B343" s="41" t="s">
        <v>2334</v>
      </c>
      <c r="C343" s="8" t="s">
        <v>2257</v>
      </c>
      <c r="D343" s="8" t="s">
        <v>1697</v>
      </c>
      <c r="E343" s="8" t="s">
        <v>2387</v>
      </c>
      <c r="G343" s="42" t="e">
        <f aca="false">INDEX(participants!$I:$I, MATCH(B343, participants!$A:$A, 0), 1)</f>
        <v>#N/A</v>
      </c>
      <c r="H343" s="42" t="str">
        <f aca="false">INDEX(libraries!$A:$A, MATCH(A343, libraries!$B:$B, 0), 1)</f>
        <v>lib0452</v>
      </c>
      <c r="I343" s="16" t="s">
        <v>1896</v>
      </c>
      <c r="J343" s="44" t="e">
        <f aca="false">INDEX(#REF!, MATCH(B343, participants!$A:$A, 0), 1)</f>
        <v>#N/A</v>
      </c>
    </row>
    <row r="344" customFormat="false" ht="13.8" hidden="false" customHeight="false" outlineLevel="0" collapsed="false">
      <c r="A344" s="37" t="s">
        <v>2388</v>
      </c>
      <c r="B344" s="41" t="s">
        <v>2197</v>
      </c>
      <c r="C344" s="8" t="s">
        <v>2389</v>
      </c>
      <c r="D344" s="8" t="s">
        <v>1697</v>
      </c>
      <c r="E344" s="8"/>
      <c r="G344" s="42" t="e">
        <f aca="false">INDEX(participants!$I:$I, MATCH(B344, participants!$A:$A, 0), 1)</f>
        <v>#N/A</v>
      </c>
      <c r="H344" s="42" t="str">
        <f aca="false">INDEX(libraries!$A:$A, MATCH(A344, libraries!$B:$B, 0), 1)</f>
        <v>lib0456</v>
      </c>
      <c r="I344" s="16" t="s">
        <v>486</v>
      </c>
      <c r="J344" s="44" t="e">
        <f aca="false">INDEX(#REF!, MATCH(B344, participants!$A:$A, 0), 1)</f>
        <v>#N/A</v>
      </c>
    </row>
    <row r="345" customFormat="false" ht="13.8" hidden="false" customHeight="false" outlineLevel="0" collapsed="false">
      <c r="A345" s="37" t="s">
        <v>2390</v>
      </c>
      <c r="B345" s="41" t="s">
        <v>2197</v>
      </c>
      <c r="C345" s="8" t="s">
        <v>2391</v>
      </c>
      <c r="D345" s="8" t="s">
        <v>1697</v>
      </c>
      <c r="E345" s="8"/>
      <c r="G345" s="42" t="e">
        <f aca="false">INDEX(participants!$I:$I, MATCH(B345, participants!$A:$A, 0), 1)</f>
        <v>#N/A</v>
      </c>
      <c r="H345" s="42" t="str">
        <f aca="false">INDEX(libraries!$A:$A, MATCH(A345, libraries!$B:$B, 0), 1)</f>
        <v>lib0457</v>
      </c>
      <c r="I345" s="16" t="s">
        <v>486</v>
      </c>
      <c r="J345" s="44" t="e">
        <f aca="false">INDEX(#REF!, MATCH(B345, participants!$A:$A, 0), 1)</f>
        <v>#N/A</v>
      </c>
    </row>
    <row r="346" customFormat="false" ht="13.8" hidden="false" customHeight="false" outlineLevel="0" collapsed="false">
      <c r="A346" s="37" t="s">
        <v>2392</v>
      </c>
      <c r="B346" s="41" t="s">
        <v>2295</v>
      </c>
      <c r="C346" s="8" t="s">
        <v>2242</v>
      </c>
      <c r="D346" s="8" t="s">
        <v>1697</v>
      </c>
      <c r="E346" s="8"/>
      <c r="G346" s="42" t="e">
        <f aca="false">INDEX(participants!$I:$I, MATCH(B346, participants!$A:$A, 0), 1)</f>
        <v>#N/A</v>
      </c>
      <c r="H346" s="42" t="str">
        <f aca="false">INDEX(libraries!$A:$A, MATCH(A346, libraries!$B:$B, 0), 1)</f>
        <v>lib0461</v>
      </c>
      <c r="I346" s="16" t="s">
        <v>752</v>
      </c>
      <c r="J346" s="44" t="e">
        <f aca="false">INDEX(#REF!, MATCH(B346, participants!$A:$A, 0), 1)</f>
        <v>#N/A</v>
      </c>
    </row>
    <row r="347" customFormat="false" ht="13.8" hidden="false" customHeight="false" outlineLevel="0" collapsed="false">
      <c r="A347" s="37" t="s">
        <v>2393</v>
      </c>
      <c r="B347" s="41" t="s">
        <v>2394</v>
      </c>
      <c r="C347" s="8" t="s">
        <v>2379</v>
      </c>
      <c r="D347" s="8" t="s">
        <v>1697</v>
      </c>
      <c r="E347" s="8"/>
      <c r="G347" s="42" t="e">
        <f aca="false">INDEX(participants!$I:$I, MATCH(B347, participants!$A:$A, 0), 1)</f>
        <v>#N/A</v>
      </c>
      <c r="H347" s="42" t="str">
        <f aca="false">INDEX(libraries!$A:$A, MATCH(A347, libraries!$B:$B, 0), 1)</f>
        <v>lib0468</v>
      </c>
      <c r="I347" s="16" t="s">
        <v>486</v>
      </c>
      <c r="J347" s="44" t="e">
        <f aca="false">INDEX(#REF!, MATCH(B347, participants!$A:$A, 0), 1)</f>
        <v>#N/A</v>
      </c>
    </row>
    <row r="348" customFormat="false" ht="13.8" hidden="false" customHeight="false" outlineLevel="0" collapsed="false">
      <c r="A348" s="37" t="s">
        <v>2395</v>
      </c>
      <c r="B348" s="41" t="s">
        <v>2396</v>
      </c>
      <c r="C348" s="8" t="s">
        <v>2397</v>
      </c>
      <c r="D348" s="8" t="s">
        <v>1697</v>
      </c>
      <c r="E348" s="8"/>
      <c r="G348" s="42" t="e">
        <f aca="false">INDEX(participants!$I:$I, MATCH(B348, participants!$A:$A, 0), 1)</f>
        <v>#N/A</v>
      </c>
      <c r="H348" s="42" t="str">
        <f aca="false">INDEX(libraries!$A:$A, MATCH(A348, libraries!$B:$B, 0), 1)</f>
        <v>lib0469</v>
      </c>
      <c r="I348" s="16" t="s">
        <v>752</v>
      </c>
      <c r="J348" s="44" t="e">
        <f aca="false">INDEX(#REF!, MATCH(B348, participants!$A:$A, 0), 1)</f>
        <v>#N/A</v>
      </c>
    </row>
    <row r="349" customFormat="false" ht="13.8" hidden="false" customHeight="false" outlineLevel="0" collapsed="false">
      <c r="A349" s="37" t="s">
        <v>2398</v>
      </c>
      <c r="B349" s="41" t="s">
        <v>2399</v>
      </c>
      <c r="C349" s="8" t="s">
        <v>2400</v>
      </c>
      <c r="D349" s="8" t="s">
        <v>1697</v>
      </c>
      <c r="E349" s="8"/>
      <c r="G349" s="42" t="e">
        <f aca="false">INDEX(participants!$I:$I, MATCH(B349, participants!$A:$A, 0), 1)</f>
        <v>#N/A</v>
      </c>
      <c r="H349" s="42" t="str">
        <f aca="false">INDEX(libraries!$A:$A, MATCH(A349, libraries!$B:$B, 0), 1)</f>
        <v>lib0470</v>
      </c>
      <c r="I349" s="16" t="s">
        <v>1012</v>
      </c>
      <c r="J349" s="44" t="e">
        <f aca="false">INDEX(#REF!, MATCH(B349, participants!$A:$A, 0), 1)</f>
        <v>#N/A</v>
      </c>
    </row>
    <row r="350" customFormat="false" ht="13.8" hidden="false" customHeight="false" outlineLevel="0" collapsed="false">
      <c r="A350" s="37" t="s">
        <v>2401</v>
      </c>
      <c r="B350" s="41" t="s">
        <v>2402</v>
      </c>
      <c r="C350" s="8" t="s">
        <v>2403</v>
      </c>
      <c r="D350" s="8" t="s">
        <v>1697</v>
      </c>
      <c r="E350" s="8"/>
      <c r="G350" s="42" t="e">
        <f aca="false">INDEX(participants!$I:$I, MATCH(B350, participants!$A:$A, 0), 1)</f>
        <v>#N/A</v>
      </c>
      <c r="H350" s="42" t="str">
        <f aca="false">INDEX(libraries!$A:$A, MATCH(A350, libraries!$B:$B, 0), 1)</f>
        <v>lib0471</v>
      </c>
      <c r="I350" s="16" t="s">
        <v>526</v>
      </c>
      <c r="J350" s="44" t="e">
        <f aca="false">INDEX(#REF!, MATCH(B350, participants!$A:$A, 0), 1)</f>
        <v>#N/A</v>
      </c>
    </row>
    <row r="351" customFormat="false" ht="13.8" hidden="false" customHeight="false" outlineLevel="0" collapsed="false">
      <c r="A351" s="37" t="s">
        <v>2404</v>
      </c>
      <c r="B351" s="41" t="s">
        <v>2405</v>
      </c>
      <c r="C351" s="8" t="s">
        <v>2406</v>
      </c>
      <c r="D351" s="8" t="s">
        <v>1697</v>
      </c>
      <c r="E351" s="8"/>
      <c r="G351" s="42" t="e">
        <f aca="false">INDEX(participants!$I:$I, MATCH(B351, participants!$A:$A, 0), 1)</f>
        <v>#N/A</v>
      </c>
      <c r="H351" s="42" t="str">
        <f aca="false">INDEX(libraries!$A:$A, MATCH(A351, libraries!$B:$B, 0), 1)</f>
        <v>lib0472</v>
      </c>
      <c r="I351" s="16" t="s">
        <v>1012</v>
      </c>
      <c r="J351" s="44" t="e">
        <f aca="false">INDEX(#REF!, MATCH(B351, participants!$A:$A, 0), 1)</f>
        <v>#N/A</v>
      </c>
    </row>
    <row r="352" customFormat="false" ht="13.8" hidden="false" customHeight="false" outlineLevel="0" collapsed="false">
      <c r="A352" s="37" t="s">
        <v>2407</v>
      </c>
      <c r="B352" s="41" t="s">
        <v>2408</v>
      </c>
      <c r="C352" s="8" t="s">
        <v>2257</v>
      </c>
      <c r="D352" s="8" t="s">
        <v>1697</v>
      </c>
      <c r="E352" s="8"/>
      <c r="G352" s="42" t="e">
        <f aca="false">INDEX(participants!$I:$I, MATCH(B352, participants!$A:$A, 0), 1)</f>
        <v>#N/A</v>
      </c>
      <c r="H352" s="42" t="str">
        <f aca="false">INDEX(libraries!$A:$A, MATCH(A352, libraries!$B:$B, 0), 1)</f>
        <v>lib0473</v>
      </c>
      <c r="I352" s="16" t="s">
        <v>2409</v>
      </c>
      <c r="J352" s="44" t="e">
        <f aca="false">INDEX(#REF!, MATCH(B352, participants!$A:$A, 0), 1)</f>
        <v>#N/A</v>
      </c>
    </row>
    <row r="353" customFormat="false" ht="13.8" hidden="false" customHeight="false" outlineLevel="0" collapsed="false">
      <c r="A353" s="37" t="s">
        <v>2410</v>
      </c>
      <c r="B353" s="41" t="s">
        <v>2411</v>
      </c>
      <c r="C353" s="8" t="s">
        <v>2412</v>
      </c>
      <c r="D353" s="8" t="s">
        <v>1697</v>
      </c>
      <c r="E353" s="8"/>
      <c r="G353" s="42" t="e">
        <f aca="false">INDEX(participants!$I:$I, MATCH(B353, participants!$A:$A, 0), 1)</f>
        <v>#N/A</v>
      </c>
      <c r="H353" s="42" t="str">
        <f aca="false">INDEX(libraries!$A:$A, MATCH(A353, libraries!$B:$B, 0), 1)</f>
        <v>lib0474</v>
      </c>
      <c r="I353" s="16" t="s">
        <v>676</v>
      </c>
      <c r="J353" s="44" t="e">
        <f aca="false">INDEX(#REF!, MATCH(B353, participants!$A:$A, 0), 1)</f>
        <v>#N/A</v>
      </c>
    </row>
    <row r="354" customFormat="false" ht="13.8" hidden="false" customHeight="false" outlineLevel="0" collapsed="false">
      <c r="A354" s="37" t="s">
        <v>2413</v>
      </c>
      <c r="B354" s="41" t="s">
        <v>2414</v>
      </c>
      <c r="C354" s="8" t="s">
        <v>2412</v>
      </c>
      <c r="D354" s="8" t="s">
        <v>1697</v>
      </c>
      <c r="E354" s="8"/>
      <c r="G354" s="42" t="e">
        <f aca="false">INDEX(participants!$I:$I, MATCH(B354, participants!$A:$A, 0), 1)</f>
        <v>#N/A</v>
      </c>
      <c r="H354" s="42" t="str">
        <f aca="false">INDEX(libraries!$A:$A, MATCH(A354, libraries!$B:$B, 0), 1)</f>
        <v>lib0475</v>
      </c>
      <c r="I354" s="16" t="s">
        <v>676</v>
      </c>
      <c r="J354" s="44" t="e">
        <f aca="false">INDEX(#REF!, MATCH(B354, participants!$A:$A, 0), 1)</f>
        <v>#N/A</v>
      </c>
    </row>
    <row r="355" customFormat="false" ht="13.8" hidden="false" customHeight="false" outlineLevel="0" collapsed="false">
      <c r="A355" s="37" t="s">
        <v>2415</v>
      </c>
      <c r="B355" s="41" t="s">
        <v>2416</v>
      </c>
      <c r="C355" s="8" t="s">
        <v>2257</v>
      </c>
      <c r="D355" s="8" t="s">
        <v>1697</v>
      </c>
      <c r="E355" s="8"/>
      <c r="G355" s="42" t="e">
        <f aca="false">INDEX(participants!$I:$I, MATCH(B355, participants!$A:$A, 0), 1)</f>
        <v>#N/A</v>
      </c>
      <c r="H355" s="42" t="str">
        <f aca="false">INDEX(libraries!$A:$A, MATCH(A355, libraries!$B:$B, 0), 1)</f>
        <v>lib0476</v>
      </c>
      <c r="I355" s="16" t="s">
        <v>676</v>
      </c>
      <c r="J355" s="44" t="e">
        <f aca="false">INDEX(#REF!, MATCH(B355, participants!$A:$A, 0), 1)</f>
        <v>#N/A</v>
      </c>
    </row>
    <row r="356" customFormat="false" ht="13.8" hidden="false" customHeight="false" outlineLevel="0" collapsed="false">
      <c r="A356" s="37" t="s">
        <v>2417</v>
      </c>
      <c r="B356" s="41" t="s">
        <v>2418</v>
      </c>
      <c r="C356" s="8" t="s">
        <v>2419</v>
      </c>
      <c r="D356" s="8" t="s">
        <v>1697</v>
      </c>
      <c r="E356" s="8"/>
      <c r="G356" s="42" t="e">
        <f aca="false">INDEX(participants!$I:$I, MATCH(B356, participants!$A:$A, 0), 1)</f>
        <v>#N/A</v>
      </c>
      <c r="H356" s="42" t="str">
        <f aca="false">INDEX(libraries!$A:$A, MATCH(A356, libraries!$B:$B, 0), 1)</f>
        <v>lib0477</v>
      </c>
      <c r="I356" s="16" t="s">
        <v>676</v>
      </c>
      <c r="J356" s="44" t="e">
        <f aca="false">INDEX(#REF!, MATCH(B356, participants!$A:$A, 0), 1)</f>
        <v>#N/A</v>
      </c>
    </row>
    <row r="357" customFormat="false" ht="13.8" hidden="false" customHeight="false" outlineLevel="0" collapsed="false">
      <c r="A357" s="37" t="s">
        <v>2420</v>
      </c>
      <c r="B357" s="41" t="s">
        <v>2421</v>
      </c>
      <c r="C357" s="8" t="s">
        <v>2419</v>
      </c>
      <c r="D357" s="8" t="s">
        <v>1697</v>
      </c>
      <c r="E357" s="8"/>
      <c r="G357" s="42" t="e">
        <f aca="false">INDEX(participants!$I:$I, MATCH(B357, participants!$A:$A, 0), 1)</f>
        <v>#N/A</v>
      </c>
      <c r="H357" s="42" t="str">
        <f aca="false">INDEX(libraries!$A:$A, MATCH(A357, libraries!$B:$B, 0), 1)</f>
        <v>lib0478</v>
      </c>
      <c r="I357" s="16" t="s">
        <v>676</v>
      </c>
      <c r="J357" s="44" t="e">
        <f aca="false">INDEX(#REF!, MATCH(B357, participants!$A:$A, 0), 1)</f>
        <v>#N/A</v>
      </c>
    </row>
    <row r="358" customFormat="false" ht="13.8" hidden="false" customHeight="false" outlineLevel="0" collapsed="false">
      <c r="A358" s="37" t="s">
        <v>2422</v>
      </c>
      <c r="B358" s="41" t="s">
        <v>2423</v>
      </c>
      <c r="C358" s="8" t="s">
        <v>2419</v>
      </c>
      <c r="D358" s="8" t="s">
        <v>1697</v>
      </c>
      <c r="E358" s="8"/>
      <c r="G358" s="42" t="e">
        <f aca="false">INDEX(participants!$I:$I, MATCH(B358, participants!$A:$A, 0), 1)</f>
        <v>#N/A</v>
      </c>
      <c r="H358" s="42" t="str">
        <f aca="false">INDEX(libraries!$A:$A, MATCH(A358, libraries!$B:$B, 0), 1)</f>
        <v>lib0479</v>
      </c>
      <c r="I358" s="16" t="s">
        <v>676</v>
      </c>
      <c r="J358" s="44" t="e">
        <f aca="false">INDEX(#REF!, MATCH(B358, participants!$A:$A, 0), 1)</f>
        <v>#N/A</v>
      </c>
    </row>
    <row r="359" customFormat="false" ht="13.8" hidden="false" customHeight="false" outlineLevel="0" collapsed="false">
      <c r="A359" s="37" t="s">
        <v>2424</v>
      </c>
      <c r="B359" s="41" t="s">
        <v>2425</v>
      </c>
      <c r="C359" s="8" t="s">
        <v>2426</v>
      </c>
      <c r="D359" s="8" t="s">
        <v>1697</v>
      </c>
      <c r="E359" s="8"/>
      <c r="G359" s="42" t="e">
        <f aca="false">INDEX(participants!$I:$I, MATCH(B359, participants!$A:$A, 0), 1)</f>
        <v>#N/A</v>
      </c>
      <c r="H359" s="30" t="str">
        <f aca="false">INDEX(libraries!$A:$A, MATCH(A359, libraries!$B:$B, 0), 1)</f>
        <v>lib0480</v>
      </c>
      <c r="I359" s="16" t="s">
        <v>676</v>
      </c>
      <c r="J359" s="44" t="e">
        <f aca="false">INDEX(#REF!, MATCH(B359, participants!$A:$A, 0), 1)</f>
        <v>#N/A</v>
      </c>
    </row>
    <row r="360" customFormat="false" ht="13.8" hidden="false" customHeight="false" outlineLevel="0" collapsed="false">
      <c r="A360" s="37" t="s">
        <v>2427</v>
      </c>
      <c r="B360" s="41" t="s">
        <v>2428</v>
      </c>
      <c r="C360" s="8" t="s">
        <v>2312</v>
      </c>
      <c r="D360" s="8" t="s">
        <v>1697</v>
      </c>
      <c r="E360" s="8"/>
      <c r="G360" s="42" t="e">
        <f aca="false">INDEX(participants!$I:$I, MATCH(B360, participants!$A:$A, 0), 1)</f>
        <v>#N/A</v>
      </c>
      <c r="H360" s="30" t="str">
        <f aca="false">INDEX(libraries!$A:$A, MATCH(A360, libraries!$B:$B, 0), 1)</f>
        <v>lib0481</v>
      </c>
      <c r="I360" s="16" t="s">
        <v>676</v>
      </c>
      <c r="J360" s="44" t="e">
        <f aca="false">INDEX(#REF!, MATCH(B360, participants!$A:$A, 0), 1)</f>
        <v>#N/A</v>
      </c>
    </row>
    <row r="361" customFormat="false" ht="13.8" hidden="false" customHeight="false" outlineLevel="0" collapsed="false">
      <c r="A361" s="37" t="s">
        <v>2429</v>
      </c>
      <c r="B361" s="41" t="s">
        <v>2430</v>
      </c>
      <c r="C361" s="8" t="s">
        <v>2431</v>
      </c>
      <c r="D361" s="8" t="s">
        <v>1697</v>
      </c>
      <c r="E361" s="8"/>
      <c r="G361" s="42" t="e">
        <f aca="false">INDEX(participants!$I:$I, MATCH(B361, participants!$A:$A, 0), 1)</f>
        <v>#N/A</v>
      </c>
      <c r="H361" s="30" t="str">
        <f aca="false">INDEX(libraries!$A:$A, MATCH(A361, libraries!$B:$B, 0), 1)</f>
        <v>lib0482</v>
      </c>
      <c r="I361" s="16" t="s">
        <v>676</v>
      </c>
      <c r="J361" s="44" t="e">
        <f aca="false">INDEX(#REF!, MATCH(B361, participants!$A:$A, 0), 1)</f>
        <v>#N/A</v>
      </c>
    </row>
    <row r="362" customFormat="false" ht="13.8" hidden="false" customHeight="false" outlineLevel="0" collapsed="false">
      <c r="A362" s="37" t="s">
        <v>2432</v>
      </c>
      <c r="B362" s="41" t="s">
        <v>610</v>
      </c>
      <c r="C362" s="8" t="s">
        <v>2362</v>
      </c>
      <c r="D362" s="8" t="s">
        <v>1697</v>
      </c>
      <c r="E362" s="8"/>
      <c r="G362" s="42" t="str">
        <f aca="false">INDEX(participants!$I:$I, MATCH(B362, participants!$A:$A, 0), 1)</f>
        <v>js0054</v>
      </c>
      <c r="H362" s="30" t="str">
        <f aca="false">INDEX(libraries!$A:$A, MATCH(A362, libraries!$B:$B, 0), 1)</f>
        <v>lib0483</v>
      </c>
      <c r="I362" s="16" t="s">
        <v>526</v>
      </c>
      <c r="J362" s="44" t="e">
        <f aca="false">INDEX(#REF!, MATCH(B362, participants!$A:$A, 0), 1)</f>
        <v>#VALUE!</v>
      </c>
    </row>
    <row r="363" customFormat="false" ht="13.8" hidden="false" customHeight="false" outlineLevel="0" collapsed="false">
      <c r="A363" s="37" t="s">
        <v>2433</v>
      </c>
      <c r="B363" s="41" t="s">
        <v>1730</v>
      </c>
      <c r="C363" s="8" t="s">
        <v>2434</v>
      </c>
      <c r="D363" s="8" t="s">
        <v>1697</v>
      </c>
      <c r="E363" s="8"/>
      <c r="G363" s="42" t="e">
        <f aca="false">INDEX(participants!$I:$I, MATCH(B363, participants!$A:$A, 0), 1)</f>
        <v>#N/A</v>
      </c>
      <c r="H363" s="30" t="str">
        <f aca="false">INDEX(libraries!$A:$A, MATCH(A363, libraries!$B:$B, 0), 1)</f>
        <v>lib0484</v>
      </c>
      <c r="I363" s="16" t="s">
        <v>676</v>
      </c>
      <c r="J363" s="44" t="e">
        <f aca="false">INDEX(#REF!, MATCH(B363, participants!$A:$A, 0), 1)</f>
        <v>#N/A</v>
      </c>
    </row>
    <row r="364" customFormat="false" ht="13.8" hidden="false" customHeight="false" outlineLevel="0" collapsed="false">
      <c r="A364" s="37" t="s">
        <v>2435</v>
      </c>
      <c r="B364" s="41" t="s">
        <v>2436</v>
      </c>
      <c r="C364" s="8" t="s">
        <v>2434</v>
      </c>
      <c r="D364" s="8" t="s">
        <v>1697</v>
      </c>
      <c r="E364" s="8"/>
      <c r="G364" s="42" t="e">
        <f aca="false">INDEX(participants!$I:$I, MATCH(B364, participants!$A:$A, 0), 1)</f>
        <v>#N/A</v>
      </c>
      <c r="H364" s="30" t="str">
        <f aca="false">INDEX(libraries!$A:$A, MATCH(A364, libraries!$B:$B, 0), 1)</f>
        <v>lib0485</v>
      </c>
      <c r="I364" s="16" t="s">
        <v>676</v>
      </c>
      <c r="J364" s="44" t="e">
        <f aca="false">INDEX(#REF!, MATCH(B364, participants!$A:$A, 0), 1)</f>
        <v>#N/A</v>
      </c>
    </row>
    <row r="365" customFormat="false" ht="13.8" hidden="false" customHeight="false" outlineLevel="0" collapsed="false">
      <c r="A365" s="37" t="s">
        <v>2437</v>
      </c>
      <c r="B365" s="41" t="s">
        <v>2438</v>
      </c>
      <c r="C365" s="8" t="s">
        <v>2434</v>
      </c>
      <c r="D365" s="8" t="s">
        <v>1697</v>
      </c>
      <c r="E365" s="8"/>
      <c r="G365" s="42" t="e">
        <f aca="false">INDEX(participants!$I:$I, MATCH(B365, participants!$A:$A, 0), 1)</f>
        <v>#N/A</v>
      </c>
      <c r="H365" s="30" t="str">
        <f aca="false">INDEX(libraries!$A:$A, MATCH(A365, libraries!$B:$B, 0), 1)</f>
        <v>lib0486</v>
      </c>
      <c r="I365" s="16" t="s">
        <v>676</v>
      </c>
      <c r="J365" s="44" t="e">
        <f aca="false">INDEX(#REF!, MATCH(B365, participants!$A:$A, 0), 1)</f>
        <v>#N/A</v>
      </c>
    </row>
    <row r="366" customFormat="false" ht="13.8" hidden="false" customHeight="false" outlineLevel="0" collapsed="false">
      <c r="A366" s="37" t="s">
        <v>2439</v>
      </c>
      <c r="B366" s="41" t="s">
        <v>2440</v>
      </c>
      <c r="C366" s="8" t="s">
        <v>2434</v>
      </c>
      <c r="D366" s="8" t="s">
        <v>1697</v>
      </c>
      <c r="E366" s="8"/>
      <c r="G366" s="42" t="e">
        <f aca="false">INDEX(participants!$I:$I, MATCH(B366, participants!$A:$A, 0), 1)</f>
        <v>#N/A</v>
      </c>
      <c r="H366" s="30" t="str">
        <f aca="false">INDEX(libraries!$A:$A, MATCH(A366, libraries!$B:$B, 0), 1)</f>
        <v>lib0487</v>
      </c>
      <c r="I366" s="16" t="s">
        <v>676</v>
      </c>
      <c r="J366" s="44" t="e">
        <f aca="false">INDEX(#REF!, MATCH(B366, participants!$A:$A, 0), 1)</f>
        <v>#N/A</v>
      </c>
    </row>
    <row r="367" customFormat="false" ht="13.8" hidden="false" customHeight="false" outlineLevel="0" collapsed="false">
      <c r="A367" s="37" t="s">
        <v>2441</v>
      </c>
      <c r="B367" s="41" t="s">
        <v>2442</v>
      </c>
      <c r="C367" s="8" t="s">
        <v>2434</v>
      </c>
      <c r="D367" s="8" t="s">
        <v>1697</v>
      </c>
      <c r="E367" s="8"/>
      <c r="G367" s="42" t="e">
        <f aca="false">INDEX(participants!$I:$I, MATCH(B367, participants!$A:$A, 0), 1)</f>
        <v>#N/A</v>
      </c>
      <c r="H367" s="30" t="str">
        <f aca="false">INDEX(libraries!$A:$A, MATCH(A367, libraries!$B:$B, 0), 1)</f>
        <v>lib0488</v>
      </c>
      <c r="I367" s="16" t="s">
        <v>676</v>
      </c>
      <c r="J367" s="44" t="e">
        <f aca="false">INDEX(#REF!, MATCH(B367, participants!$A:$A, 0), 1)</f>
        <v>#N/A</v>
      </c>
    </row>
    <row r="368" customFormat="false" ht="13.8" hidden="false" customHeight="false" outlineLevel="0" collapsed="false">
      <c r="A368" s="37" t="s">
        <v>2443</v>
      </c>
      <c r="B368" s="41" t="s">
        <v>2444</v>
      </c>
      <c r="C368" s="8" t="s">
        <v>2434</v>
      </c>
      <c r="D368" s="8" t="s">
        <v>1697</v>
      </c>
      <c r="E368" s="8"/>
      <c r="G368" s="42" t="e">
        <f aca="false">INDEX(participants!$I:$I, MATCH(B368, participants!$A:$A, 0), 1)</f>
        <v>#N/A</v>
      </c>
      <c r="H368" s="30" t="str">
        <f aca="false">INDEX(libraries!$A:$A, MATCH(A368, libraries!$B:$B, 0), 1)</f>
        <v>lib0489</v>
      </c>
      <c r="I368" s="16" t="s">
        <v>676</v>
      </c>
      <c r="J368" s="44" t="e">
        <f aca="false">INDEX(#REF!, MATCH(B368, participants!$A:$A, 0), 1)</f>
        <v>#N/A</v>
      </c>
    </row>
    <row r="369" customFormat="false" ht="13.8" hidden="false" customHeight="false" outlineLevel="0" collapsed="false">
      <c r="A369" s="37" t="s">
        <v>2445</v>
      </c>
      <c r="B369" s="41" t="s">
        <v>2446</v>
      </c>
      <c r="C369" s="8" t="s">
        <v>2434</v>
      </c>
      <c r="D369" s="8" t="s">
        <v>1697</v>
      </c>
      <c r="E369" s="8"/>
      <c r="G369" s="42" t="e">
        <f aca="false">INDEX(participants!$I:$I, MATCH(B369, participants!$A:$A, 0), 1)</f>
        <v>#N/A</v>
      </c>
      <c r="H369" s="30" t="str">
        <f aca="false">INDEX(libraries!$A:$A, MATCH(A369, libraries!$B:$B, 0), 1)</f>
        <v>lib0490</v>
      </c>
      <c r="I369" s="16" t="s">
        <v>676</v>
      </c>
      <c r="J369" s="44" t="e">
        <f aca="false">INDEX(#REF!, MATCH(B369, participants!$A:$A, 0), 1)</f>
        <v>#N/A</v>
      </c>
    </row>
    <row r="370" customFormat="false" ht="13.8" hidden="false" customHeight="false" outlineLevel="0" collapsed="false">
      <c r="A370" s="37" t="s">
        <v>2447</v>
      </c>
      <c r="B370" s="41" t="s">
        <v>2448</v>
      </c>
      <c r="C370" s="8" t="s">
        <v>2434</v>
      </c>
      <c r="D370" s="8" t="s">
        <v>1697</v>
      </c>
      <c r="E370" s="8"/>
      <c r="G370" s="42" t="e">
        <f aca="false">INDEX(participants!$I:$I, MATCH(B370, participants!$A:$A, 0), 1)</f>
        <v>#N/A</v>
      </c>
      <c r="H370" s="30" t="str">
        <f aca="false">INDEX(libraries!$A:$A, MATCH(A370, libraries!$B:$B, 0), 1)</f>
        <v>lib0491</v>
      </c>
      <c r="I370" s="16" t="s">
        <v>676</v>
      </c>
      <c r="J370" s="44" t="e">
        <f aca="false">INDEX(#REF!, MATCH(B370, participants!$A:$A, 0), 1)</f>
        <v>#N/A</v>
      </c>
    </row>
    <row r="371" customFormat="false" ht="13.8" hidden="false" customHeight="false" outlineLevel="0" collapsed="false">
      <c r="A371" s="37" t="s">
        <v>2449</v>
      </c>
      <c r="B371" s="41" t="s">
        <v>2450</v>
      </c>
      <c r="C371" s="8" t="s">
        <v>2434</v>
      </c>
      <c r="D371" s="8" t="s">
        <v>1697</v>
      </c>
      <c r="E371" s="8"/>
      <c r="G371" s="42" t="e">
        <f aca="false">INDEX(participants!$I:$I, MATCH(B371, participants!$A:$A, 0), 1)</f>
        <v>#N/A</v>
      </c>
      <c r="H371" s="30" t="str">
        <f aca="false">INDEX(libraries!$A:$A, MATCH(A371, libraries!$B:$B, 0), 1)</f>
        <v>lib0492</v>
      </c>
      <c r="I371" s="16" t="s">
        <v>676</v>
      </c>
      <c r="J371" s="44" t="e">
        <f aca="false">INDEX(#REF!, MATCH(B371, participants!$A:$A, 0), 1)</f>
        <v>#N/A</v>
      </c>
    </row>
    <row r="372" customFormat="false" ht="13.8" hidden="false" customHeight="false" outlineLevel="0" collapsed="false">
      <c r="A372" s="37" t="s">
        <v>2451</v>
      </c>
      <c r="B372" s="41" t="s">
        <v>2452</v>
      </c>
      <c r="C372" s="8" t="s">
        <v>2434</v>
      </c>
      <c r="D372" s="8" t="s">
        <v>1697</v>
      </c>
      <c r="E372" s="8"/>
      <c r="G372" s="42" t="e">
        <f aca="false">INDEX(participants!$I:$I, MATCH(B372, participants!$A:$A, 0), 1)</f>
        <v>#N/A</v>
      </c>
      <c r="H372" s="30" t="str">
        <f aca="false">INDEX(libraries!$A:$A, MATCH(A372, libraries!$B:$B, 0), 1)</f>
        <v>lib0493</v>
      </c>
      <c r="I372" s="16" t="s">
        <v>676</v>
      </c>
      <c r="J372" s="44" t="e">
        <f aca="false">INDEX(#REF!, MATCH(B372, participants!$A:$A, 0), 1)</f>
        <v>#N/A</v>
      </c>
    </row>
    <row r="373" customFormat="false" ht="13.8" hidden="false" customHeight="false" outlineLevel="0" collapsed="false">
      <c r="A373" s="37" t="s">
        <v>2453</v>
      </c>
      <c r="B373" s="41" t="s">
        <v>2454</v>
      </c>
      <c r="C373" s="8" t="s">
        <v>2434</v>
      </c>
      <c r="D373" s="8" t="s">
        <v>1697</v>
      </c>
      <c r="E373" s="8"/>
      <c r="G373" s="42" t="e">
        <f aca="false">INDEX(participants!$I:$I, MATCH(B373, participants!$A:$A, 0), 1)</f>
        <v>#N/A</v>
      </c>
      <c r="H373" s="30" t="str">
        <f aca="false">INDEX(libraries!$A:$A, MATCH(A373, libraries!$B:$B, 0), 1)</f>
        <v>lib0494</v>
      </c>
      <c r="I373" s="16" t="s">
        <v>676</v>
      </c>
      <c r="J373" s="44" t="e">
        <f aca="false">INDEX(#REF!, MATCH(B373, participants!$A:$A, 0), 1)</f>
        <v>#N/A</v>
      </c>
    </row>
    <row r="374" customFormat="false" ht="13.8" hidden="false" customHeight="false" outlineLevel="0" collapsed="false">
      <c r="A374" s="37" t="s">
        <v>2455</v>
      </c>
      <c r="B374" s="41" t="s">
        <v>2456</v>
      </c>
      <c r="C374" s="8" t="s">
        <v>2434</v>
      </c>
      <c r="D374" s="8" t="s">
        <v>1697</v>
      </c>
      <c r="E374" s="8"/>
      <c r="G374" s="42" t="e">
        <f aca="false">INDEX(participants!$I:$I, MATCH(B374, participants!$A:$A, 0), 1)</f>
        <v>#N/A</v>
      </c>
      <c r="H374" s="30" t="str">
        <f aca="false">INDEX(libraries!$A:$A, MATCH(A374, libraries!$B:$B, 0), 1)</f>
        <v>lib0495</v>
      </c>
      <c r="I374" s="16" t="s">
        <v>676</v>
      </c>
      <c r="J374" s="44" t="e">
        <f aca="false">INDEX(#REF!, MATCH(B374, participants!$A:$A, 0), 1)</f>
        <v>#N/A</v>
      </c>
    </row>
    <row r="375" customFormat="false" ht="13.8" hidden="false" customHeight="false" outlineLevel="0" collapsed="false">
      <c r="A375" s="37" t="s">
        <v>2457</v>
      </c>
      <c r="B375" s="41" t="s">
        <v>617</v>
      </c>
      <c r="C375" s="8" t="s">
        <v>1972</v>
      </c>
      <c r="D375" s="8" t="s">
        <v>1697</v>
      </c>
      <c r="E375" s="8"/>
      <c r="G375" s="42" t="str">
        <f aca="false">INDEX(participants!$I:$I, MATCH(B375, participants!$A:$A, 0), 1)</f>
        <v>js0056</v>
      </c>
      <c r="H375" s="30" t="str">
        <f aca="false">INDEX(libraries!$A:$A, MATCH(A375, libraries!$B:$B, 0), 1)</f>
        <v>lib0496</v>
      </c>
      <c r="I375" s="16" t="s">
        <v>526</v>
      </c>
      <c r="J375" s="44" t="e">
        <f aca="false">INDEX(#REF!, MATCH(B375, participants!$A:$A, 0), 1)</f>
        <v>#VALUE!</v>
      </c>
    </row>
    <row r="376" customFormat="false" ht="13.8" hidden="false" customHeight="false" outlineLevel="0" collapsed="false">
      <c r="A376" s="37" t="s">
        <v>2458</v>
      </c>
      <c r="B376" s="41" t="s">
        <v>617</v>
      </c>
      <c r="C376" s="8" t="s">
        <v>2459</v>
      </c>
      <c r="D376" s="8" t="s">
        <v>1697</v>
      </c>
      <c r="E376" s="8"/>
      <c r="G376" s="42" t="str">
        <f aca="false">INDEX(participants!$I:$I, MATCH(B376, participants!$A:$A, 0), 1)</f>
        <v>js0056</v>
      </c>
      <c r="H376" s="30" t="str">
        <f aca="false">INDEX(libraries!$A:$A, MATCH(A376, libraries!$B:$B, 0), 1)</f>
        <v>lib0497</v>
      </c>
      <c r="I376" s="16" t="s">
        <v>526</v>
      </c>
      <c r="J376" s="44" t="e">
        <f aca="false">INDEX(#REF!, MATCH(B376, participants!$A:$A, 0), 1)</f>
        <v>#VALUE!</v>
      </c>
    </row>
    <row r="377" customFormat="false" ht="13.8" hidden="false" customHeight="false" outlineLevel="0" collapsed="false">
      <c r="A377" s="37" t="s">
        <v>2460</v>
      </c>
      <c r="B377" s="41" t="s">
        <v>2461</v>
      </c>
      <c r="C377" s="8" t="s">
        <v>2211</v>
      </c>
      <c r="D377" s="8" t="s">
        <v>1697</v>
      </c>
      <c r="E377" s="8"/>
      <c r="G377" s="42" t="e">
        <f aca="false">INDEX(participants!$I:$I, MATCH(B377, participants!$A:$A, 0), 1)</f>
        <v>#N/A</v>
      </c>
      <c r="H377" s="30" t="str">
        <f aca="false">INDEX(libraries!$A:$A, MATCH(A377, libraries!$B:$B, 0), 1)</f>
        <v>lib0498</v>
      </c>
      <c r="I377" s="16" t="s">
        <v>526</v>
      </c>
      <c r="J377" s="44" t="e">
        <f aca="false">INDEX(#REF!, MATCH(B377, participants!$A:$A, 0), 1)</f>
        <v>#N/A</v>
      </c>
    </row>
    <row r="378" customFormat="false" ht="13.8" hidden="false" customHeight="false" outlineLevel="0" collapsed="false">
      <c r="A378" s="37" t="s">
        <v>2462</v>
      </c>
      <c r="B378" s="41" t="s">
        <v>610</v>
      </c>
      <c r="C378" s="8" t="s">
        <v>2463</v>
      </c>
      <c r="D378" s="8" t="s">
        <v>1697</v>
      </c>
      <c r="E378" s="8"/>
      <c r="G378" s="42" t="str">
        <f aca="false">INDEX(participants!$I:$I, MATCH(B378, participants!$A:$A, 0), 1)</f>
        <v>js0054</v>
      </c>
      <c r="H378" s="30" t="str">
        <f aca="false">INDEX(libraries!$A:$A, MATCH(A378, libraries!$B:$B, 0), 1)</f>
        <v>lib0499</v>
      </c>
      <c r="I378" s="16" t="s">
        <v>526</v>
      </c>
      <c r="J378" s="44" t="e">
        <f aca="false">INDEX(#REF!, MATCH(B378, participants!$A:$A, 0), 1)</f>
        <v>#VALUE!</v>
      </c>
    </row>
    <row r="379" customFormat="false" ht="13.8" hidden="false" customHeight="false" outlineLevel="0" collapsed="false">
      <c r="A379" s="37" t="s">
        <v>2464</v>
      </c>
      <c r="B379" s="41" t="s">
        <v>2465</v>
      </c>
      <c r="C379" s="8" t="s">
        <v>2466</v>
      </c>
      <c r="D379" s="8" t="s">
        <v>1697</v>
      </c>
      <c r="E379" s="8"/>
      <c r="G379" s="42" t="e">
        <f aca="false">INDEX(participants!$I:$I, MATCH(B379, participants!$A:$A, 0), 1)</f>
        <v>#N/A</v>
      </c>
      <c r="H379" s="30" t="str">
        <f aca="false">INDEX(libraries!$A:$A, MATCH(A379, libraries!$B:$B, 0), 1)</f>
        <v>lib0500</v>
      </c>
      <c r="I379" s="16" t="s">
        <v>752</v>
      </c>
      <c r="J379" s="44" t="e">
        <f aca="false">INDEX(#REF!, MATCH(B379, participants!$A:$A, 0), 1)</f>
        <v>#N/A</v>
      </c>
    </row>
    <row r="380" customFormat="false" ht="13.8" hidden="false" customHeight="false" outlineLevel="0" collapsed="false">
      <c r="A380" s="37" t="s">
        <v>2467</v>
      </c>
      <c r="B380" s="41" t="s">
        <v>2465</v>
      </c>
      <c r="C380" s="8" t="s">
        <v>2468</v>
      </c>
      <c r="D380" s="8" t="s">
        <v>1697</v>
      </c>
      <c r="E380" s="8"/>
      <c r="G380" s="42" t="e">
        <f aca="false">INDEX(participants!$I:$I, MATCH(B380, participants!$A:$A, 0), 1)</f>
        <v>#N/A</v>
      </c>
      <c r="H380" s="30" t="str">
        <f aca="false">INDEX(libraries!$A:$A, MATCH(A380, libraries!$B:$B, 0), 1)</f>
        <v>lib0501</v>
      </c>
      <c r="I380" s="16" t="s">
        <v>526</v>
      </c>
      <c r="J380" s="44" t="e">
        <f aca="false">INDEX(#REF!, MATCH(B380, participants!$A:$A, 0), 1)</f>
        <v>#N/A</v>
      </c>
    </row>
    <row r="381" customFormat="false" ht="13.8" hidden="false" customHeight="false" outlineLevel="0" collapsed="false">
      <c r="A381" s="37" t="s">
        <v>2469</v>
      </c>
      <c r="B381" s="41" t="s">
        <v>2038</v>
      </c>
      <c r="C381" s="8" t="s">
        <v>2470</v>
      </c>
      <c r="D381" s="8" t="s">
        <v>1697</v>
      </c>
      <c r="E381" s="8"/>
      <c r="G381" s="42" t="e">
        <f aca="false">INDEX(participants!$I:$I, MATCH(B381, participants!$A:$A, 0), 1)</f>
        <v>#N/A</v>
      </c>
      <c r="H381" s="30" t="str">
        <f aca="false">INDEX(libraries!$A:$A, MATCH(A381, libraries!$B:$B, 0), 1)</f>
        <v>lib0502</v>
      </c>
      <c r="I381" s="16" t="s">
        <v>752</v>
      </c>
      <c r="J381" s="44" t="e">
        <f aca="false">INDEX(#REF!, MATCH(B381, participants!$A:$A, 0), 1)</f>
        <v>#N/A</v>
      </c>
    </row>
    <row r="382" customFormat="false" ht="13.8" hidden="false" customHeight="false" outlineLevel="0" collapsed="false">
      <c r="A382" s="37" t="s">
        <v>2471</v>
      </c>
      <c r="B382" s="41" t="s">
        <v>2038</v>
      </c>
      <c r="C382" s="8" t="s">
        <v>2472</v>
      </c>
      <c r="D382" s="8" t="s">
        <v>1697</v>
      </c>
      <c r="E382" s="8"/>
      <c r="G382" s="42" t="e">
        <f aca="false">INDEX(participants!$I:$I, MATCH(B382, participants!$A:$A, 0), 1)</f>
        <v>#N/A</v>
      </c>
      <c r="H382" s="30" t="str">
        <f aca="false">INDEX(libraries!$A:$A, MATCH(A382, libraries!$B:$B, 0), 1)</f>
        <v>lib0503</v>
      </c>
      <c r="I382" s="16" t="s">
        <v>752</v>
      </c>
      <c r="J382" s="44" t="e">
        <f aca="false">INDEX(#REF!, MATCH(B382, participants!$A:$A, 0), 1)</f>
        <v>#N/A</v>
      </c>
    </row>
    <row r="383" customFormat="false" ht="13.8" hidden="false" customHeight="false" outlineLevel="0" collapsed="false">
      <c r="A383" s="37" t="s">
        <v>2473</v>
      </c>
      <c r="B383" s="41" t="s">
        <v>2038</v>
      </c>
      <c r="C383" s="8" t="s">
        <v>2379</v>
      </c>
      <c r="D383" s="8" t="s">
        <v>1697</v>
      </c>
      <c r="E383" s="8"/>
      <c r="G383" s="42" t="e">
        <f aca="false">INDEX(participants!$I:$I, MATCH(B383, participants!$A:$A, 0), 1)</f>
        <v>#N/A</v>
      </c>
      <c r="H383" s="30" t="str">
        <f aca="false">INDEX(libraries!$A:$A, MATCH(A383, libraries!$B:$B, 0), 1)</f>
        <v>lib0504</v>
      </c>
      <c r="I383" s="16" t="s">
        <v>526</v>
      </c>
      <c r="J383" s="44" t="e">
        <f aca="false">INDEX(#REF!, MATCH(B383, participants!$A:$A, 0), 1)</f>
        <v>#N/A</v>
      </c>
    </row>
    <row r="384" customFormat="false" ht="13.8" hidden="false" customHeight="false" outlineLevel="0" collapsed="false">
      <c r="A384" s="37" t="s">
        <v>2474</v>
      </c>
      <c r="B384" s="41" t="s">
        <v>518</v>
      </c>
      <c r="C384" s="8" t="s">
        <v>2475</v>
      </c>
      <c r="D384" s="8" t="s">
        <v>1697</v>
      </c>
      <c r="E384" s="8"/>
      <c r="G384" s="42" t="str">
        <f aca="false">INDEX(participants!$I:$I, MATCH(B384, participants!$A:$A, 0), 1)</f>
        <v>js0105</v>
      </c>
      <c r="H384" s="30" t="str">
        <f aca="false">INDEX(libraries!$A:$A, MATCH(A384, libraries!$B:$B, 0), 1)</f>
        <v>lib0505</v>
      </c>
      <c r="I384" s="16" t="s">
        <v>486</v>
      </c>
      <c r="J384" s="44" t="e">
        <f aca="false">INDEX(#REF!, MATCH(B384, participants!$A:$A, 0), 1)</f>
        <v>#VALUE!</v>
      </c>
    </row>
    <row r="385" customFormat="false" ht="13.8" hidden="false" customHeight="false" outlineLevel="0" collapsed="false">
      <c r="A385" s="37" t="s">
        <v>2476</v>
      </c>
      <c r="B385" s="41" t="s">
        <v>518</v>
      </c>
      <c r="C385" s="8" t="s">
        <v>2477</v>
      </c>
      <c r="D385" s="8" t="s">
        <v>1697</v>
      </c>
      <c r="E385" s="8"/>
      <c r="G385" s="42" t="str">
        <f aca="false">INDEX(participants!$I:$I, MATCH(B385, participants!$A:$A, 0), 1)</f>
        <v>js0105</v>
      </c>
      <c r="H385" s="30" t="str">
        <f aca="false">INDEX(libraries!$A:$A, MATCH(A385, libraries!$B:$B, 0), 1)</f>
        <v>lib0506</v>
      </c>
      <c r="I385" s="16" t="s">
        <v>486</v>
      </c>
      <c r="J385" s="44" t="e">
        <f aca="false">INDEX(#REF!, MATCH(B385, participants!$A:$A, 0), 1)</f>
        <v>#VALUE!</v>
      </c>
    </row>
    <row r="386" customFormat="false" ht="13.8" hidden="false" customHeight="false" outlineLevel="0" collapsed="false">
      <c r="A386" s="37" t="s">
        <v>2478</v>
      </c>
      <c r="B386" s="41" t="s">
        <v>518</v>
      </c>
      <c r="C386" s="8" t="s">
        <v>2364</v>
      </c>
      <c r="D386" s="8" t="s">
        <v>1697</v>
      </c>
      <c r="E386" s="8"/>
      <c r="G386" s="42" t="str">
        <f aca="false">INDEX(participants!$I:$I, MATCH(B386, participants!$A:$A, 0), 1)</f>
        <v>js0105</v>
      </c>
      <c r="H386" s="30" t="str">
        <f aca="false">INDEX(libraries!$A:$A, MATCH(A386, libraries!$B:$B, 0), 1)</f>
        <v>lib0507</v>
      </c>
      <c r="I386" s="16" t="s">
        <v>585</v>
      </c>
      <c r="J386" s="44" t="e">
        <f aca="false">INDEX(#REF!, MATCH(B386, participants!$A:$A, 0), 1)</f>
        <v>#VALUE!</v>
      </c>
    </row>
    <row r="387" customFormat="false" ht="13.8" hidden="false" customHeight="false" outlineLevel="0" collapsed="false">
      <c r="A387" s="37" t="s">
        <v>2479</v>
      </c>
      <c r="B387" s="41" t="s">
        <v>518</v>
      </c>
      <c r="C387" s="8" t="s">
        <v>2371</v>
      </c>
      <c r="D387" s="8" t="s">
        <v>1697</v>
      </c>
      <c r="E387" s="8"/>
      <c r="G387" s="42" t="str">
        <f aca="false">INDEX(participants!$I:$I, MATCH(B387, participants!$A:$A, 0), 1)</f>
        <v>js0105</v>
      </c>
      <c r="H387" s="30" t="str">
        <f aca="false">INDEX(libraries!$A:$A, MATCH(A387, libraries!$B:$B, 0), 1)</f>
        <v>lib0508</v>
      </c>
      <c r="I387" s="16" t="s">
        <v>526</v>
      </c>
      <c r="J387" s="44" t="e">
        <f aca="false">INDEX(#REF!, MATCH(B387, participants!$A:$A, 0), 1)</f>
        <v>#VALUE!</v>
      </c>
    </row>
    <row r="388" customFormat="false" ht="13.8" hidden="false" customHeight="false" outlineLevel="0" collapsed="false">
      <c r="A388" s="37" t="s">
        <v>2480</v>
      </c>
      <c r="B388" s="41" t="s">
        <v>2141</v>
      </c>
      <c r="C388" s="8" t="s">
        <v>2481</v>
      </c>
      <c r="D388" s="8" t="s">
        <v>1697</v>
      </c>
      <c r="E388" s="8"/>
      <c r="G388" s="42" t="e">
        <f aca="false">INDEX(participants!$I:$I, MATCH(B388, participants!$A:$A, 0), 1)</f>
        <v>#N/A</v>
      </c>
      <c r="H388" s="30" t="str">
        <f aca="false">INDEX(libraries!$A:$A, MATCH(A388, libraries!$B:$B, 0), 1)</f>
        <v>lib0509</v>
      </c>
      <c r="I388" s="16" t="s">
        <v>486</v>
      </c>
      <c r="J388" s="44" t="e">
        <f aca="false">INDEX(#REF!, MATCH(B388, participants!$A:$A, 0), 1)</f>
        <v>#N/A</v>
      </c>
    </row>
    <row r="389" customFormat="false" ht="13.8" hidden="false" customHeight="false" outlineLevel="0" collapsed="false">
      <c r="A389" s="37" t="s">
        <v>2482</v>
      </c>
      <c r="B389" s="41" t="s">
        <v>2141</v>
      </c>
      <c r="C389" s="8" t="s">
        <v>2483</v>
      </c>
      <c r="D389" s="8" t="s">
        <v>1697</v>
      </c>
      <c r="E389" s="8"/>
      <c r="G389" s="42" t="e">
        <f aca="false">INDEX(participants!$I:$I, MATCH(B389, participants!$A:$A, 0), 1)</f>
        <v>#N/A</v>
      </c>
      <c r="H389" s="30" t="str">
        <f aca="false">INDEX(libraries!$A:$A, MATCH(A389, libraries!$B:$B, 0), 1)</f>
        <v>lib0510</v>
      </c>
      <c r="I389" s="16" t="s">
        <v>486</v>
      </c>
      <c r="J389" s="44" t="e">
        <f aca="false">INDEX(#REF!, MATCH(B389, participants!$A:$A, 0), 1)</f>
        <v>#N/A</v>
      </c>
    </row>
    <row r="390" customFormat="false" ht="13.8" hidden="false" customHeight="false" outlineLevel="0" collapsed="false">
      <c r="A390" s="37" t="s">
        <v>2484</v>
      </c>
      <c r="B390" s="41" t="s">
        <v>2141</v>
      </c>
      <c r="C390" s="8" t="s">
        <v>2485</v>
      </c>
      <c r="D390" s="8" t="s">
        <v>1697</v>
      </c>
      <c r="E390" s="8"/>
      <c r="G390" s="42" t="e">
        <f aca="false">INDEX(participants!$I:$I, MATCH(B390, participants!$A:$A, 0), 1)</f>
        <v>#N/A</v>
      </c>
      <c r="H390" s="30" t="str">
        <f aca="false">INDEX(libraries!$A:$A, MATCH(A390, libraries!$B:$B, 0), 1)</f>
        <v>lib0511</v>
      </c>
      <c r="I390" s="16" t="s">
        <v>486</v>
      </c>
      <c r="J390" s="44" t="e">
        <f aca="false">INDEX(#REF!, MATCH(B390, participants!$A:$A, 0), 1)</f>
        <v>#N/A</v>
      </c>
    </row>
    <row r="391" customFormat="false" ht="13.8" hidden="false" customHeight="false" outlineLevel="0" collapsed="false">
      <c r="A391" s="37" t="s">
        <v>2486</v>
      </c>
      <c r="B391" s="41" t="s">
        <v>2461</v>
      </c>
      <c r="C391" s="8" t="s">
        <v>2487</v>
      </c>
      <c r="D391" s="8" t="s">
        <v>1697</v>
      </c>
      <c r="E391" s="8"/>
      <c r="G391" s="42" t="e">
        <f aca="false">INDEX(participants!$I:$I, MATCH(B391, participants!$A:$A, 0), 1)</f>
        <v>#N/A</v>
      </c>
      <c r="H391" s="30" t="str">
        <f aca="false">INDEX(libraries!$A:$A, MATCH(A391, libraries!$B:$B, 0), 1)</f>
        <v>lib0512</v>
      </c>
      <c r="I391" s="16" t="s">
        <v>526</v>
      </c>
      <c r="J391" s="44" t="e">
        <f aca="false">INDEX(#REF!, MATCH(B391, participants!$A:$A, 0), 1)</f>
        <v>#N/A</v>
      </c>
    </row>
    <row r="392" customFormat="false" ht="13.8" hidden="false" customHeight="false" outlineLevel="0" collapsed="false">
      <c r="A392" s="37" t="s">
        <v>2488</v>
      </c>
      <c r="B392" s="41" t="s">
        <v>2461</v>
      </c>
      <c r="C392" s="8" t="s">
        <v>2489</v>
      </c>
      <c r="D392" s="8" t="s">
        <v>1697</v>
      </c>
      <c r="E392" s="8"/>
      <c r="G392" s="42" t="e">
        <f aca="false">INDEX(participants!$I:$I, MATCH(B392, participants!$A:$A, 0), 1)</f>
        <v>#N/A</v>
      </c>
      <c r="H392" s="30" t="str">
        <f aca="false">INDEX(libraries!$A:$A, MATCH(A392, libraries!$B:$B, 0), 1)</f>
        <v>lib0513</v>
      </c>
      <c r="I392" s="16" t="s">
        <v>752</v>
      </c>
      <c r="J392" s="44" t="e">
        <f aca="false">INDEX(#REF!, MATCH(B392, participants!$A:$A, 0), 1)</f>
        <v>#N/A</v>
      </c>
    </row>
    <row r="393" customFormat="false" ht="13.8" hidden="false" customHeight="false" outlineLevel="0" collapsed="false">
      <c r="A393" s="37" t="s">
        <v>2490</v>
      </c>
      <c r="B393" s="41" t="s">
        <v>2461</v>
      </c>
      <c r="C393" s="8" t="s">
        <v>2491</v>
      </c>
      <c r="D393" s="8" t="s">
        <v>1697</v>
      </c>
      <c r="E393" s="8"/>
      <c r="G393" s="42" t="e">
        <f aca="false">INDEX(participants!$I:$I, MATCH(B393, participants!$A:$A, 0), 1)</f>
        <v>#N/A</v>
      </c>
      <c r="H393" s="30" t="str">
        <f aca="false">INDEX(libraries!$A:$A, MATCH(A393, libraries!$B:$B, 0), 1)</f>
        <v>lib0514</v>
      </c>
      <c r="I393" s="16" t="s">
        <v>752</v>
      </c>
      <c r="J393" s="44" t="e">
        <f aca="false">INDEX(#REF!, MATCH(B393, participants!$A:$A, 0), 1)</f>
        <v>#N/A</v>
      </c>
    </row>
    <row r="394" customFormat="false" ht="13.8" hidden="false" customHeight="false" outlineLevel="0" collapsed="false">
      <c r="A394" s="37" t="s">
        <v>2492</v>
      </c>
      <c r="B394" s="41" t="s">
        <v>2204</v>
      </c>
      <c r="C394" s="8" t="s">
        <v>2493</v>
      </c>
      <c r="D394" s="8" t="s">
        <v>1697</v>
      </c>
      <c r="E394" s="8"/>
      <c r="G394" s="42" t="e">
        <f aca="false">INDEX(participants!$I:$I, MATCH(B394, participants!$A:$A, 0), 1)</f>
        <v>#N/A</v>
      </c>
      <c r="H394" s="30" t="str">
        <f aca="false">INDEX(libraries!$A:$A, MATCH(A394, libraries!$B:$B, 0), 1)</f>
        <v>lib0515</v>
      </c>
      <c r="I394" s="16" t="s">
        <v>585</v>
      </c>
      <c r="J394" s="44" t="e">
        <f aca="false">INDEX(#REF!, MATCH(B394, participants!$A:$A, 0), 1)</f>
        <v>#N/A</v>
      </c>
    </row>
    <row r="395" customFormat="false" ht="13.8" hidden="false" customHeight="false" outlineLevel="0" collapsed="false">
      <c r="A395" s="37" t="s">
        <v>2494</v>
      </c>
      <c r="B395" s="41" t="s">
        <v>2495</v>
      </c>
      <c r="C395" s="8" t="s">
        <v>2496</v>
      </c>
      <c r="D395" s="8" t="s">
        <v>1697</v>
      </c>
      <c r="E395" s="8"/>
      <c r="G395" s="42" t="e">
        <f aca="false">INDEX(participants!$I:$I, MATCH(B395, participants!$A:$A, 0), 1)</f>
        <v>#N/A</v>
      </c>
      <c r="H395" s="30" t="str">
        <f aca="false">INDEX(libraries!$A:$A, MATCH(A395, libraries!$B:$B, 0), 1)</f>
        <v>lib0421</v>
      </c>
      <c r="I395" s="16" t="s">
        <v>1896</v>
      </c>
      <c r="J395" s="44" t="e">
        <f aca="false">INDEX(#REF!, MATCH(B395, participants!$A:$A, 0), 1)</f>
        <v>#N/A</v>
      </c>
    </row>
    <row r="396" customFormat="false" ht="13.8" hidden="false" customHeight="false" outlineLevel="0" collapsed="false">
      <c r="A396" s="37" t="s">
        <v>2497</v>
      </c>
      <c r="B396" s="41" t="s">
        <v>2498</v>
      </c>
      <c r="C396" s="8" t="s">
        <v>2400</v>
      </c>
      <c r="D396" s="8" t="s">
        <v>1697</v>
      </c>
      <c r="E396" s="8" t="s">
        <v>2499</v>
      </c>
      <c r="G396" s="42" t="e">
        <f aca="false">INDEX(participants!$I:$I, MATCH(B396, participants!$A:$A, 0), 1)</f>
        <v>#N/A</v>
      </c>
      <c r="H396" s="30" t="str">
        <f aca="false">INDEX(libraries!$A:$A, MATCH(A396, libraries!$B:$B, 0), 1)</f>
        <v>lib0423</v>
      </c>
      <c r="I396" s="16" t="s">
        <v>1896</v>
      </c>
      <c r="J396" s="44" t="e">
        <f aca="false">INDEX(#REF!, MATCH(B396, participants!$A:$A, 0), 1)</f>
        <v>#N/A</v>
      </c>
    </row>
    <row r="397" customFormat="false" ht="13.8" hidden="false" customHeight="false" outlineLevel="0" collapsed="false">
      <c r="A397" s="37" t="s">
        <v>2500</v>
      </c>
      <c r="B397" s="41" t="s">
        <v>2501</v>
      </c>
      <c r="C397" s="8" t="s">
        <v>2379</v>
      </c>
      <c r="D397" s="8" t="s">
        <v>1697</v>
      </c>
      <c r="E397" s="8"/>
      <c r="G397" s="42" t="e">
        <f aca="false">INDEX(participants!$I:$I, MATCH(B397, participants!$A:$A, 0), 1)</f>
        <v>#N/A</v>
      </c>
      <c r="H397" s="30" t="str">
        <f aca="false">INDEX(libraries!$A:$A, MATCH(A397, libraries!$B:$B, 0), 1)</f>
        <v>lib0424</v>
      </c>
      <c r="I397" s="16" t="s">
        <v>1896</v>
      </c>
      <c r="J397" s="44" t="e">
        <f aca="false">INDEX(#REF!, MATCH(B397, participants!$A:$A, 0), 1)</f>
        <v>#N/A</v>
      </c>
    </row>
    <row r="398" customFormat="false" ht="13.8" hidden="false" customHeight="false" outlineLevel="0" collapsed="false">
      <c r="A398" s="37" t="s">
        <v>2502</v>
      </c>
      <c r="B398" s="41" t="s">
        <v>2503</v>
      </c>
      <c r="C398" s="8" t="s">
        <v>2504</v>
      </c>
      <c r="D398" s="8" t="s">
        <v>1697</v>
      </c>
      <c r="E398" s="8" t="s">
        <v>2505</v>
      </c>
      <c r="G398" s="42" t="e">
        <f aca="false">INDEX(participants!$I:$I, MATCH(B398, participants!$A:$A, 0), 1)</f>
        <v>#N/A</v>
      </c>
      <c r="H398" s="30" t="str">
        <f aca="false">INDEX(libraries!$A:$A, MATCH(A398, libraries!$B:$B, 0), 1)</f>
        <v>lib0425</v>
      </c>
      <c r="I398" s="16" t="s">
        <v>1896</v>
      </c>
      <c r="J398" s="44" t="e">
        <f aca="false">INDEX(#REF!, MATCH(B398, participants!$A:$A, 0), 1)</f>
        <v>#N/A</v>
      </c>
    </row>
    <row r="399" customFormat="false" ht="13.8" hidden="false" customHeight="false" outlineLevel="0" collapsed="false">
      <c r="A399" s="37" t="s">
        <v>2506</v>
      </c>
      <c r="B399" s="41" t="s">
        <v>2507</v>
      </c>
      <c r="C399" s="8" t="s">
        <v>2406</v>
      </c>
      <c r="D399" s="8" t="s">
        <v>1697</v>
      </c>
      <c r="E399" s="8" t="s">
        <v>2499</v>
      </c>
      <c r="G399" s="42" t="e">
        <f aca="false">INDEX(participants!$I:$I, MATCH(B399, participants!$A:$A, 0), 1)</f>
        <v>#N/A</v>
      </c>
      <c r="H399" s="30" t="str">
        <f aca="false">INDEX(libraries!$A:$A, MATCH(A399, libraries!$B:$B, 0), 1)</f>
        <v>lib0426</v>
      </c>
      <c r="I399" s="16" t="s">
        <v>1896</v>
      </c>
      <c r="J399" s="44" t="e">
        <f aca="false">INDEX(#REF!, MATCH(B399, participants!$A:$A, 0), 1)</f>
        <v>#N/A</v>
      </c>
    </row>
    <row r="400" customFormat="false" ht="13.8" hidden="false" customHeight="false" outlineLevel="0" collapsed="false">
      <c r="A400" s="37" t="s">
        <v>2508</v>
      </c>
      <c r="B400" s="41" t="s">
        <v>748</v>
      </c>
      <c r="C400" s="8" t="s">
        <v>2403</v>
      </c>
      <c r="D400" s="8" t="s">
        <v>1697</v>
      </c>
      <c r="E400" s="8"/>
      <c r="G400" s="42" t="str">
        <f aca="false">INDEX(participants!$I:$I, MATCH(B400, participants!$A:$A, 0), 1)</f>
        <v>nf536</v>
      </c>
      <c r="H400" s="30" t="str">
        <f aca="false">INDEX(libraries!$A:$A, MATCH(A400, libraries!$B:$B, 0), 1)</f>
        <v>lib0429</v>
      </c>
      <c r="I400" s="16" t="s">
        <v>526</v>
      </c>
      <c r="J400" s="44" t="e">
        <f aca="false">INDEX(#REF!, MATCH(B400, participants!$A:$A, 0), 1)</f>
        <v>#VALUE!</v>
      </c>
    </row>
    <row r="401" customFormat="false" ht="13.8" hidden="false" customHeight="false" outlineLevel="0" collapsed="false">
      <c r="A401" s="37" t="s">
        <v>2509</v>
      </c>
      <c r="B401" s="41" t="s">
        <v>2238</v>
      </c>
      <c r="C401" s="8" t="s">
        <v>2510</v>
      </c>
      <c r="D401" s="8" t="s">
        <v>1697</v>
      </c>
      <c r="E401" s="8"/>
      <c r="G401" s="42" t="e">
        <f aca="false">INDEX(participants!$I:$I, MATCH(B401, participants!$A:$A, 0), 1)</f>
        <v>#N/A</v>
      </c>
      <c r="H401" s="30" t="str">
        <f aca="false">INDEX(libraries!$A:$A, MATCH(A401, libraries!$B:$B, 0), 1)</f>
        <v>lib0430</v>
      </c>
      <c r="I401" s="16" t="s">
        <v>526</v>
      </c>
      <c r="J401" s="44" t="e">
        <f aca="false">INDEX(#REF!, MATCH(B401, participants!$A:$A, 0), 1)</f>
        <v>#N/A</v>
      </c>
    </row>
    <row r="402" customFormat="false" ht="13.8" hidden="false" customHeight="false" outlineLevel="0" collapsed="false">
      <c r="A402" s="37" t="s">
        <v>2511</v>
      </c>
      <c r="B402" s="41" t="s">
        <v>2512</v>
      </c>
      <c r="C402" s="8" t="s">
        <v>2510</v>
      </c>
      <c r="D402" s="8" t="s">
        <v>1697</v>
      </c>
      <c r="E402" s="8"/>
      <c r="G402" s="42" t="e">
        <f aca="false">INDEX(participants!$I:$I, MATCH(B402, participants!$A:$A, 0), 1)</f>
        <v>#N/A</v>
      </c>
      <c r="H402" s="30" t="str">
        <f aca="false">INDEX(libraries!$A:$A, MATCH(A402, libraries!$B:$B, 0), 1)</f>
        <v>lib0431</v>
      </c>
      <c r="I402" s="16" t="s">
        <v>526</v>
      </c>
      <c r="J402" s="44" t="e">
        <f aca="false">INDEX(#REF!, MATCH(B402, participants!$A:$A, 0), 1)</f>
        <v>#N/A</v>
      </c>
    </row>
    <row r="403" customFormat="false" ht="13.8" hidden="false" customHeight="false" outlineLevel="0" collapsed="false">
      <c r="A403" s="37" t="s">
        <v>2513</v>
      </c>
      <c r="B403" s="41" t="s">
        <v>1976</v>
      </c>
      <c r="C403" s="8" t="s">
        <v>2514</v>
      </c>
      <c r="D403" s="8" t="s">
        <v>1697</v>
      </c>
      <c r="E403" s="8"/>
      <c r="G403" s="42" t="e">
        <f aca="false">INDEX(participants!$I:$I, MATCH(B403, participants!$A:$A, 0), 1)</f>
        <v>#N/A</v>
      </c>
      <c r="H403" s="30" t="str">
        <f aca="false">INDEX(libraries!$A:$A, MATCH(A403, libraries!$B:$B, 0), 1)</f>
        <v>lib0433</v>
      </c>
      <c r="I403" s="16" t="s">
        <v>526</v>
      </c>
      <c r="J403" s="44" t="e">
        <f aca="false">INDEX(#REF!, MATCH(B403, participants!$A:$A, 0), 1)</f>
        <v>#N/A</v>
      </c>
    </row>
    <row r="404" customFormat="false" ht="13.8" hidden="false" customHeight="false" outlineLevel="0" collapsed="false">
      <c r="A404" s="37" t="s">
        <v>2515</v>
      </c>
      <c r="B404" s="41" t="s">
        <v>1976</v>
      </c>
      <c r="C404" s="8" t="s">
        <v>2516</v>
      </c>
      <c r="D404" s="8" t="s">
        <v>1697</v>
      </c>
      <c r="E404" s="8"/>
      <c r="G404" s="42" t="e">
        <f aca="false">INDEX(participants!$I:$I, MATCH(B404, participants!$A:$A, 0), 1)</f>
        <v>#N/A</v>
      </c>
      <c r="H404" s="42" t="str">
        <f aca="false">INDEX(libraries!$A:$A, MATCH(A404, libraries!$B:$B, 0), 1)</f>
        <v>lib0434</v>
      </c>
      <c r="I404" s="16" t="s">
        <v>526</v>
      </c>
      <c r="J404" s="44" t="e">
        <f aca="false">INDEX(#REF!, MATCH(B404, participants!$A:$A, 0), 1)</f>
        <v>#N/A</v>
      </c>
    </row>
    <row r="405" customFormat="false" ht="13.8" hidden="false" customHeight="false" outlineLevel="0" collapsed="false">
      <c r="A405" s="37" t="s">
        <v>2517</v>
      </c>
      <c r="B405" s="41" t="s">
        <v>1976</v>
      </c>
      <c r="C405" s="8" t="s">
        <v>2235</v>
      </c>
      <c r="D405" s="8" t="s">
        <v>1697</v>
      </c>
      <c r="E405" s="8"/>
      <c r="G405" s="42" t="e">
        <f aca="false">INDEX(participants!$I:$I, MATCH(B405, participants!$A:$A, 0), 1)</f>
        <v>#N/A</v>
      </c>
      <c r="H405" s="42" t="str">
        <f aca="false">INDEX(libraries!$A:$A, MATCH(A405, libraries!$B:$B, 0), 1)</f>
        <v>lib0435</v>
      </c>
      <c r="I405" s="16" t="s">
        <v>526</v>
      </c>
      <c r="J405" s="44" t="e">
        <f aca="false">INDEX(#REF!, MATCH(B405, participants!$A:$A, 0), 1)</f>
        <v>#N/A</v>
      </c>
    </row>
    <row r="406" customFormat="false" ht="13.8" hidden="false" customHeight="false" outlineLevel="0" collapsed="false">
      <c r="A406" s="37" t="s">
        <v>2518</v>
      </c>
      <c r="B406" s="41" t="s">
        <v>2097</v>
      </c>
      <c r="C406" s="8" t="s">
        <v>2514</v>
      </c>
      <c r="D406" s="8" t="s">
        <v>1697</v>
      </c>
      <c r="E406" s="8"/>
      <c r="G406" s="42" t="e">
        <f aca="false">INDEX(participants!$I:$I, MATCH(B406, participants!$A:$A, 0), 1)</f>
        <v>#N/A</v>
      </c>
      <c r="H406" s="42" t="str">
        <f aca="false">INDEX(libraries!$A:$A, MATCH(A406, libraries!$B:$B, 0), 1)</f>
        <v>lib0436</v>
      </c>
      <c r="I406" s="16" t="s">
        <v>526</v>
      </c>
      <c r="J406" s="44" t="e">
        <f aca="false">INDEX(#REF!, MATCH(B406, participants!$A:$A, 0), 1)</f>
        <v>#N/A</v>
      </c>
    </row>
    <row r="407" customFormat="false" ht="13.8" hidden="false" customHeight="false" outlineLevel="0" collapsed="false">
      <c r="A407" s="37" t="s">
        <v>2519</v>
      </c>
      <c r="B407" s="41" t="s">
        <v>2097</v>
      </c>
      <c r="C407" s="8" t="s">
        <v>2516</v>
      </c>
      <c r="D407" s="8" t="s">
        <v>1697</v>
      </c>
      <c r="E407" s="8"/>
      <c r="G407" s="42" t="e">
        <f aca="false">INDEX(participants!$I:$I, MATCH(B407, participants!$A:$A, 0), 1)</f>
        <v>#N/A</v>
      </c>
      <c r="H407" s="42" t="str">
        <f aca="false">INDEX(libraries!$A:$A, MATCH(A407, libraries!$B:$B, 0), 1)</f>
        <v>lib0437</v>
      </c>
      <c r="I407" s="16" t="s">
        <v>526</v>
      </c>
      <c r="J407" s="44" t="e">
        <f aca="false">INDEX(#REF!, MATCH(B407, participants!$A:$A, 0), 1)</f>
        <v>#N/A</v>
      </c>
    </row>
    <row r="408" customFormat="false" ht="13.8" hidden="false" customHeight="false" outlineLevel="0" collapsed="false">
      <c r="A408" s="37" t="s">
        <v>2520</v>
      </c>
      <c r="B408" s="41" t="s">
        <v>2097</v>
      </c>
      <c r="C408" s="8" t="s">
        <v>2242</v>
      </c>
      <c r="D408" s="8" t="s">
        <v>1697</v>
      </c>
      <c r="E408" s="8"/>
      <c r="G408" s="42" t="e">
        <f aca="false">INDEX(participants!$I:$I, MATCH(B408, participants!$A:$A, 0), 1)</f>
        <v>#N/A</v>
      </c>
      <c r="H408" s="42" t="str">
        <f aca="false">INDEX(libraries!$A:$A, MATCH(A408, libraries!$B:$B, 0), 1)</f>
        <v>lib0438</v>
      </c>
      <c r="I408" s="16" t="s">
        <v>526</v>
      </c>
      <c r="J408" s="44" t="e">
        <f aca="false">INDEX(#REF!, MATCH(B408, participants!$A:$A, 0), 1)</f>
        <v>#N/A</v>
      </c>
    </row>
    <row r="409" customFormat="false" ht="13.8" hidden="false" customHeight="false" outlineLevel="0" collapsed="false">
      <c r="A409" s="37" t="s">
        <v>2521</v>
      </c>
      <c r="B409" s="41" t="s">
        <v>2097</v>
      </c>
      <c r="C409" s="8" t="s">
        <v>2400</v>
      </c>
      <c r="D409" s="8" t="s">
        <v>1697</v>
      </c>
      <c r="E409" s="8"/>
      <c r="G409" s="42" t="e">
        <f aca="false">INDEX(participants!$I:$I, MATCH(B409, participants!$A:$A, 0), 1)</f>
        <v>#N/A</v>
      </c>
      <c r="H409" s="42" t="str">
        <f aca="false">INDEX(libraries!$A:$A, MATCH(A409, libraries!$B:$B, 0), 1)</f>
        <v>lib0439</v>
      </c>
      <c r="I409" s="16" t="s">
        <v>526</v>
      </c>
      <c r="J409" s="44" t="e">
        <f aca="false">INDEX(#REF!, MATCH(B409, participants!$A:$A, 0), 1)</f>
        <v>#N/A</v>
      </c>
    </row>
    <row r="410" customFormat="false" ht="13.8" hidden="false" customHeight="false" outlineLevel="0" collapsed="false">
      <c r="A410" s="37" t="s">
        <v>2522</v>
      </c>
      <c r="B410" s="41" t="s">
        <v>2097</v>
      </c>
      <c r="C410" s="8" t="s">
        <v>2235</v>
      </c>
      <c r="D410" s="8" t="s">
        <v>1697</v>
      </c>
      <c r="E410" s="8"/>
      <c r="G410" s="42" t="e">
        <f aca="false">INDEX(participants!$I:$I, MATCH(B410, participants!$A:$A, 0), 1)</f>
        <v>#N/A</v>
      </c>
      <c r="H410" s="42" t="str">
        <f aca="false">INDEX(libraries!$A:$A, MATCH(A410, libraries!$B:$B, 0), 1)</f>
        <v>lib0440</v>
      </c>
      <c r="I410" s="16" t="s">
        <v>526</v>
      </c>
      <c r="J410" s="44" t="e">
        <f aca="false">INDEX(#REF!, MATCH(B410, participants!$A:$A, 0), 1)</f>
        <v>#N/A</v>
      </c>
    </row>
    <row r="411" customFormat="false" ht="13.8" hidden="false" customHeight="false" outlineLevel="0" collapsed="false">
      <c r="A411" s="37" t="s">
        <v>2523</v>
      </c>
      <c r="B411" s="41" t="s">
        <v>2346</v>
      </c>
      <c r="C411" s="8" t="s">
        <v>2257</v>
      </c>
      <c r="D411" s="8" t="s">
        <v>1697</v>
      </c>
      <c r="E411" s="8"/>
      <c r="G411" s="42" t="e">
        <f aca="false">INDEX(participants!$I:$I, MATCH(B411, participants!$A:$A, 0), 1)</f>
        <v>#N/A</v>
      </c>
      <c r="H411" s="42" t="str">
        <f aca="false">INDEX(libraries!$A:$A, MATCH(A411, libraries!$B:$B, 0), 1)</f>
        <v>lib0446</v>
      </c>
      <c r="I411" s="16" t="s">
        <v>1012</v>
      </c>
      <c r="J411" s="44" t="e">
        <f aca="false">INDEX(#REF!, MATCH(B411, participants!$A:$A, 0), 1)</f>
        <v>#N/A</v>
      </c>
    </row>
    <row r="412" customFormat="false" ht="13.8" hidden="false" customHeight="false" outlineLevel="0" collapsed="false">
      <c r="A412" s="37" t="s">
        <v>2524</v>
      </c>
      <c r="B412" s="41" t="s">
        <v>2525</v>
      </c>
      <c r="C412" s="8" t="s">
        <v>2526</v>
      </c>
      <c r="D412" s="8" t="s">
        <v>1697</v>
      </c>
      <c r="E412" s="8"/>
      <c r="G412" s="42" t="e">
        <f aca="false">INDEX(participants!$I:$I, MATCH(B412, participants!$A:$A, 0), 1)</f>
        <v>#N/A</v>
      </c>
      <c r="H412" s="42" t="str">
        <f aca="false">INDEX(libraries!$A:$A, MATCH(A412, libraries!$B:$B, 0), 1)</f>
        <v>lib0447</v>
      </c>
      <c r="I412" s="16" t="s">
        <v>1012</v>
      </c>
      <c r="J412" s="44" t="e">
        <f aca="false">INDEX(#REF!, MATCH(B412, participants!$A:$A, 0), 1)</f>
        <v>#N/A</v>
      </c>
    </row>
    <row r="413" customFormat="false" ht="13.8" hidden="false" customHeight="false" outlineLevel="0" collapsed="false">
      <c r="A413" s="37" t="s">
        <v>2527</v>
      </c>
      <c r="B413" s="41" t="s">
        <v>2528</v>
      </c>
      <c r="C413" s="8" t="s">
        <v>2529</v>
      </c>
      <c r="D413" s="8" t="s">
        <v>1697</v>
      </c>
      <c r="E413" s="8" t="s">
        <v>2530</v>
      </c>
      <c r="G413" s="42" t="e">
        <f aca="false">INDEX(participants!$I:$I, MATCH(B413, participants!$A:$A, 0), 1)</f>
        <v>#N/A</v>
      </c>
      <c r="H413" s="42" t="str">
        <f aca="false">INDEX(libraries!$A:$A, MATCH(A413, libraries!$B:$B, 0), 1)</f>
        <v>lib0451</v>
      </c>
      <c r="I413" s="16" t="s">
        <v>1896</v>
      </c>
      <c r="J413" s="44" t="e">
        <f aca="false">INDEX(#REF!, MATCH(B413, participants!$A:$A, 0), 1)</f>
        <v>#N/A</v>
      </c>
    </row>
    <row r="414" customFormat="false" ht="13.8" hidden="false" customHeight="false" outlineLevel="0" collapsed="false">
      <c r="A414" s="37" t="s">
        <v>2531</v>
      </c>
      <c r="B414" s="41" t="s">
        <v>2532</v>
      </c>
      <c r="C414" s="8" t="s">
        <v>2516</v>
      </c>
      <c r="D414" s="8" t="s">
        <v>1697</v>
      </c>
      <c r="E414" s="8"/>
      <c r="G414" s="42" t="e">
        <f aca="false">INDEX(participants!$I:$I, MATCH(B414, participants!$A:$A, 0), 1)</f>
        <v>#N/A</v>
      </c>
      <c r="H414" s="42" t="str">
        <f aca="false">INDEX(libraries!$A:$A, MATCH(A414, libraries!$B:$B, 0), 1)</f>
        <v>lib0453</v>
      </c>
      <c r="I414" s="16" t="s">
        <v>526</v>
      </c>
      <c r="J414" s="44" t="e">
        <f aca="false">INDEX(#REF!, MATCH(B414, participants!$A:$A, 0), 1)</f>
        <v>#N/A</v>
      </c>
    </row>
    <row r="415" customFormat="false" ht="13.8" hidden="false" customHeight="false" outlineLevel="0" collapsed="false">
      <c r="A415" s="37" t="s">
        <v>2533</v>
      </c>
      <c r="B415" s="41" t="s">
        <v>2532</v>
      </c>
      <c r="C415" s="8" t="s">
        <v>2213</v>
      </c>
      <c r="D415" s="8" t="s">
        <v>1697</v>
      </c>
      <c r="E415" s="8"/>
      <c r="G415" s="42" t="e">
        <f aca="false">INDEX(participants!$I:$I, MATCH(B415, participants!$A:$A, 0), 1)</f>
        <v>#N/A</v>
      </c>
      <c r="H415" s="42" t="str">
        <f aca="false">INDEX(libraries!$A:$A, MATCH(A415, libraries!$B:$B, 0), 1)</f>
        <v>lib0454</v>
      </c>
      <c r="I415" s="16" t="s">
        <v>526</v>
      </c>
      <c r="J415" s="44" t="e">
        <f aca="false">INDEX(#REF!, MATCH(B415, participants!$A:$A, 0), 1)</f>
        <v>#N/A</v>
      </c>
    </row>
    <row r="416" customFormat="false" ht="13.8" hidden="false" customHeight="false" outlineLevel="0" collapsed="false">
      <c r="A416" s="37" t="s">
        <v>2534</v>
      </c>
      <c r="B416" s="41" t="s">
        <v>2535</v>
      </c>
      <c r="C416" s="8" t="s">
        <v>2379</v>
      </c>
      <c r="D416" s="8" t="s">
        <v>1697</v>
      </c>
      <c r="E416" s="8"/>
      <c r="G416" s="42" t="e">
        <f aca="false">INDEX(participants!$I:$I, MATCH(B416, participants!$A:$A, 0), 1)</f>
        <v>#N/A</v>
      </c>
      <c r="H416" s="42" t="str">
        <f aca="false">INDEX(libraries!$A:$A, MATCH(A416, libraries!$B:$B, 0), 1)</f>
        <v>lib0455</v>
      </c>
      <c r="I416" s="16" t="s">
        <v>526</v>
      </c>
      <c r="J416" s="44" t="e">
        <f aca="false">INDEX(#REF!, MATCH(B416, participants!$A:$A, 0), 1)</f>
        <v>#N/A</v>
      </c>
    </row>
    <row r="417" customFormat="false" ht="13.8" hidden="false" customHeight="false" outlineLevel="0" collapsed="false">
      <c r="A417" s="37" t="s">
        <v>2536</v>
      </c>
      <c r="B417" s="41" t="s">
        <v>2197</v>
      </c>
      <c r="C417" s="8" t="s">
        <v>2537</v>
      </c>
      <c r="D417" s="8" t="s">
        <v>1697</v>
      </c>
      <c r="E417" s="8"/>
      <c r="G417" s="42" t="e">
        <f aca="false">INDEX(participants!$I:$I, MATCH(B417, participants!$A:$A, 0), 1)</f>
        <v>#N/A</v>
      </c>
      <c r="H417" s="42" t="str">
        <f aca="false">INDEX(libraries!$A:$A, MATCH(A417, libraries!$B:$B, 0), 1)</f>
        <v>lib0458</v>
      </c>
      <c r="I417" s="16" t="s">
        <v>486</v>
      </c>
      <c r="J417" s="44" t="e">
        <f aca="false">INDEX(#REF!, MATCH(B417, participants!$A:$A, 0), 1)</f>
        <v>#N/A</v>
      </c>
    </row>
    <row r="418" customFormat="false" ht="13.8" hidden="false" customHeight="false" outlineLevel="0" collapsed="false">
      <c r="A418" s="37" t="s">
        <v>2538</v>
      </c>
      <c r="B418" s="41" t="s">
        <v>2288</v>
      </c>
      <c r="C418" s="8" t="s">
        <v>2539</v>
      </c>
      <c r="D418" s="8" t="s">
        <v>1697</v>
      </c>
      <c r="E418" s="8"/>
      <c r="G418" s="42" t="e">
        <f aca="false">INDEX(participants!$I:$I, MATCH(B418, participants!$A:$A, 0), 1)</f>
        <v>#N/A</v>
      </c>
      <c r="H418" s="30" t="str">
        <f aca="false">INDEX(libraries!$A:$A, MATCH(A418, libraries!$B:$B, 0), 1)</f>
        <v>lib0459</v>
      </c>
      <c r="I418" s="16" t="s">
        <v>1012</v>
      </c>
      <c r="J418" s="44" t="e">
        <f aca="false">INDEX(#REF!, MATCH(B418, participants!$A:$A, 0), 1)</f>
        <v>#N/A</v>
      </c>
    </row>
    <row r="419" customFormat="false" ht="13.8" hidden="false" customHeight="false" outlineLevel="0" collapsed="false">
      <c r="A419" s="37" t="s">
        <v>2540</v>
      </c>
      <c r="B419" s="41" t="s">
        <v>2541</v>
      </c>
      <c r="C419" s="8" t="s">
        <v>2537</v>
      </c>
      <c r="D419" s="8" t="s">
        <v>1697</v>
      </c>
      <c r="E419" s="8"/>
      <c r="G419" s="42" t="e">
        <f aca="false">INDEX(participants!$I:$I, MATCH(B419, participants!$A:$A, 0), 1)</f>
        <v>#N/A</v>
      </c>
      <c r="H419" s="30" t="str">
        <f aca="false">INDEX(libraries!$A:$A, MATCH(A419, libraries!$B:$B, 0), 1)</f>
        <v>lib0460</v>
      </c>
      <c r="I419" s="16" t="s">
        <v>526</v>
      </c>
      <c r="J419" s="44" t="e">
        <f aca="false">INDEX(#REF!, MATCH(B419, participants!$A:$A, 0), 1)</f>
        <v>#N/A</v>
      </c>
    </row>
    <row r="420" customFormat="false" ht="13.8" hidden="false" customHeight="false" outlineLevel="0" collapsed="false">
      <c r="A420" s="37" t="s">
        <v>2542</v>
      </c>
      <c r="B420" s="41" t="s">
        <v>2543</v>
      </c>
      <c r="C420" s="8" t="s">
        <v>2544</v>
      </c>
      <c r="D420" s="8" t="s">
        <v>1697</v>
      </c>
      <c r="E420" s="8" t="s">
        <v>2545</v>
      </c>
      <c r="G420" s="42" t="e">
        <f aca="false">INDEX(participants!$I:$I, MATCH(B420, participants!$A:$A, 0), 1)</f>
        <v>#N/A</v>
      </c>
      <c r="H420" s="30" t="str">
        <f aca="false">INDEX(libraries!$A:$A, MATCH(A420, libraries!$B:$B, 0), 1)</f>
        <v>lib0462</v>
      </c>
      <c r="I420" s="16" t="s">
        <v>1896</v>
      </c>
      <c r="J420" s="44" t="e">
        <f aca="false">INDEX(#REF!, MATCH(B420, participants!$A:$A, 0), 1)</f>
        <v>#N/A</v>
      </c>
    </row>
    <row r="421" customFormat="false" ht="13.8" hidden="false" customHeight="false" outlineLevel="0" collapsed="false">
      <c r="A421" s="37" t="s">
        <v>2546</v>
      </c>
      <c r="B421" s="41" t="s">
        <v>2348</v>
      </c>
      <c r="C421" s="8" t="s">
        <v>2400</v>
      </c>
      <c r="D421" s="8" t="s">
        <v>1697</v>
      </c>
      <c r="E421" s="8" t="s">
        <v>2356</v>
      </c>
      <c r="G421" s="42" t="e">
        <f aca="false">INDEX(participants!$I:$I, MATCH(B421, participants!$A:$A, 0), 1)</f>
        <v>#N/A</v>
      </c>
      <c r="H421" s="30" t="str">
        <f aca="false">INDEX(libraries!$A:$A, MATCH(A421, libraries!$B:$B, 0), 1)</f>
        <v>lib0463</v>
      </c>
      <c r="I421" s="16" t="s">
        <v>486</v>
      </c>
      <c r="J421" s="44" t="e">
        <f aca="false">INDEX(#REF!, MATCH(B421, participants!$A:$A, 0), 1)</f>
        <v>#N/A</v>
      </c>
    </row>
    <row r="422" customFormat="false" ht="13.8" hidden="false" customHeight="false" outlineLevel="0" collapsed="false">
      <c r="A422" s="37" t="s">
        <v>2547</v>
      </c>
      <c r="B422" s="41" t="s">
        <v>2548</v>
      </c>
      <c r="C422" s="8" t="s">
        <v>2549</v>
      </c>
      <c r="D422" s="8" t="s">
        <v>1697</v>
      </c>
      <c r="E422" s="8" t="s">
        <v>2550</v>
      </c>
      <c r="F422" s="8" t="s">
        <v>2551</v>
      </c>
      <c r="G422" s="42" t="e">
        <f aca="false">INDEX(participants!$I:$I, MATCH(B422, participants!$A:$A, 0), 1)</f>
        <v>#N/A</v>
      </c>
      <c r="H422" s="30" t="str">
        <f aca="false">INDEX(libraries!$A:$A, MATCH(A422, libraries!$B:$B, 0), 1)</f>
        <v>lib0464</v>
      </c>
      <c r="I422" s="16" t="s">
        <v>526</v>
      </c>
      <c r="J422" s="44" t="e">
        <f aca="false">INDEX(#REF!, MATCH(B422, participants!$A:$A, 0), 1)</f>
        <v>#N/A</v>
      </c>
    </row>
    <row r="423" customFormat="false" ht="13.8" hidden="false" customHeight="false" outlineLevel="0" collapsed="false">
      <c r="A423" s="37" t="s">
        <v>2552</v>
      </c>
      <c r="B423" s="41" t="s">
        <v>2553</v>
      </c>
      <c r="C423" s="8" t="s">
        <v>2306</v>
      </c>
      <c r="D423" s="8" t="s">
        <v>1697</v>
      </c>
      <c r="E423" s="8"/>
      <c r="G423" s="42" t="e">
        <f aca="false">INDEX(participants!$I:$I, MATCH(B423, participants!$A:$A, 0), 1)</f>
        <v>#N/A</v>
      </c>
      <c r="H423" s="30" t="str">
        <f aca="false">INDEX(libraries!$A:$A, MATCH(A423, libraries!$B:$B, 0), 1)</f>
        <v>lib0465</v>
      </c>
      <c r="I423" s="16" t="s">
        <v>1012</v>
      </c>
      <c r="J423" s="44" t="e">
        <f aca="false">INDEX(#REF!, MATCH(B423, participants!$A:$A, 0), 1)</f>
        <v>#N/A</v>
      </c>
    </row>
    <row r="424" customFormat="false" ht="13.8" hidden="false" customHeight="false" outlineLevel="0" collapsed="false">
      <c r="A424" s="37" t="s">
        <v>2554</v>
      </c>
      <c r="B424" s="41" t="s">
        <v>2555</v>
      </c>
      <c r="C424" s="8" t="s">
        <v>2556</v>
      </c>
      <c r="D424" s="8" t="s">
        <v>1697</v>
      </c>
      <c r="E424" s="8"/>
      <c r="G424" s="42" t="e">
        <f aca="false">INDEX(participants!$I:$I, MATCH(B424, participants!$A:$A, 0), 1)</f>
        <v>#N/A</v>
      </c>
      <c r="H424" s="30" t="str">
        <f aca="false">INDEX(libraries!$A:$A, MATCH(A424, libraries!$B:$B, 0), 1)</f>
        <v>lib0466</v>
      </c>
      <c r="I424" s="16" t="s">
        <v>1012</v>
      </c>
      <c r="J424" s="44" t="e">
        <f aca="false">INDEX(#REF!, MATCH(B424, participants!$A:$A, 0), 1)</f>
        <v>#N/A</v>
      </c>
    </row>
    <row r="425" customFormat="false" ht="13.8" hidden="false" customHeight="false" outlineLevel="0" collapsed="false">
      <c r="A425" s="37" t="s">
        <v>2557</v>
      </c>
      <c r="B425" s="41" t="s">
        <v>2558</v>
      </c>
      <c r="C425" s="8" t="s">
        <v>2373</v>
      </c>
      <c r="D425" s="8" t="s">
        <v>1697</v>
      </c>
      <c r="E425" s="8"/>
      <c r="G425" s="42" t="e">
        <f aca="false">INDEX(participants!$I:$I, MATCH(B425, participants!$A:$A, 0), 1)</f>
        <v>#N/A</v>
      </c>
      <c r="H425" s="30" t="str">
        <f aca="false">INDEX(libraries!$A:$A, MATCH(A425, libraries!$B:$B, 0), 1)</f>
        <v>lib0467</v>
      </c>
      <c r="I425" s="16" t="s">
        <v>1012</v>
      </c>
      <c r="J425" s="44" t="e">
        <f aca="false">INDEX(#REF!, MATCH(B425, participants!$A:$A, 0), 1)</f>
        <v>#N/A</v>
      </c>
    </row>
    <row r="426" customFormat="false" ht="13.8" hidden="false" customHeight="false" outlineLevel="0" collapsed="false">
      <c r="A426" s="37" t="s">
        <v>2559</v>
      </c>
      <c r="B426" s="41" t="s">
        <v>2560</v>
      </c>
      <c r="C426" s="8" t="s">
        <v>427</v>
      </c>
      <c r="D426" s="8" t="s">
        <v>1697</v>
      </c>
      <c r="E426" s="8" t="s">
        <v>2561</v>
      </c>
      <c r="F426" s="8" t="s">
        <v>2562</v>
      </c>
      <c r="G426" s="42" t="e">
        <f aca="false">INDEX(participants!$I:$I, MATCH(B426, participants!$A:$A, 0), 1)</f>
        <v>#N/A</v>
      </c>
      <c r="H426" s="30" t="str">
        <f aca="false">INDEX(libraries!$A:$A, MATCH(A426, libraries!$B:$B, 0), 1)</f>
        <v>lib0516</v>
      </c>
      <c r="I426" s="21" t="s">
        <v>526</v>
      </c>
      <c r="J426" s="44" t="e">
        <f aca="false">INDEX(#REF!, MATCH(B426, participants!$A:$A, 0), 1)</f>
        <v>#N/A</v>
      </c>
    </row>
    <row r="427" customFormat="false" ht="13.8" hidden="false" customHeight="false" outlineLevel="0" collapsed="false">
      <c r="A427" s="37" t="s">
        <v>2563</v>
      </c>
      <c r="B427" s="41" t="s">
        <v>2564</v>
      </c>
      <c r="C427" s="8" t="s">
        <v>427</v>
      </c>
      <c r="D427" s="8" t="s">
        <v>1697</v>
      </c>
      <c r="E427" s="8" t="s">
        <v>2561</v>
      </c>
      <c r="F427" s="8" t="s">
        <v>2565</v>
      </c>
      <c r="G427" s="42" t="e">
        <f aca="false">INDEX(participants!$I:$I, MATCH(B427, participants!$A:$A, 0), 1)</f>
        <v>#N/A</v>
      </c>
      <c r="H427" s="30" t="str">
        <f aca="false">INDEX(libraries!$A:$A, MATCH(A427, libraries!$B:$B, 0), 1)</f>
        <v>lib0517</v>
      </c>
      <c r="I427" s="21" t="s">
        <v>486</v>
      </c>
      <c r="J427" s="44" t="e">
        <f aca="false">INDEX(#REF!, MATCH(B427, participants!$A:$A, 0), 1)</f>
        <v>#N/A</v>
      </c>
    </row>
    <row r="428" customFormat="false" ht="13.8" hidden="false" customHeight="false" outlineLevel="0" collapsed="false">
      <c r="A428" s="37" t="s">
        <v>2566</v>
      </c>
      <c r="B428" s="41" t="s">
        <v>2564</v>
      </c>
      <c r="C428" s="8" t="s">
        <v>427</v>
      </c>
      <c r="D428" s="8" t="s">
        <v>1697</v>
      </c>
      <c r="E428" s="8" t="s">
        <v>2567</v>
      </c>
      <c r="F428" s="8" t="s">
        <v>2568</v>
      </c>
      <c r="G428" s="42" t="e">
        <f aca="false">INDEX(participants!$I:$I, MATCH(B428, participants!$A:$A, 0), 1)</f>
        <v>#N/A</v>
      </c>
      <c r="H428" s="30" t="str">
        <f aca="false">INDEX(libraries!$A:$A, MATCH(A428, libraries!$B:$B, 0), 1)</f>
        <v>lib0518</v>
      </c>
      <c r="I428" s="21" t="s">
        <v>486</v>
      </c>
      <c r="J428" s="44" t="e">
        <f aca="false">INDEX(#REF!, MATCH(B428, participants!$A:$A, 0), 1)</f>
        <v>#N/A</v>
      </c>
    </row>
    <row r="429" customFormat="false" ht="13.8" hidden="false" customHeight="false" outlineLevel="0" collapsed="false">
      <c r="A429" s="37" t="s">
        <v>2569</v>
      </c>
      <c r="B429" s="41" t="s">
        <v>2570</v>
      </c>
      <c r="C429" s="8" t="s">
        <v>427</v>
      </c>
      <c r="D429" s="8" t="s">
        <v>1697</v>
      </c>
      <c r="E429" s="8" t="s">
        <v>2561</v>
      </c>
      <c r="F429" s="8" t="s">
        <v>2571</v>
      </c>
      <c r="G429" s="42" t="e">
        <f aca="false">INDEX(participants!$I:$I, MATCH(B429, participants!$A:$A, 0), 1)</f>
        <v>#N/A</v>
      </c>
      <c r="H429" s="30" t="str">
        <f aca="false">INDEX(libraries!$A:$A, MATCH(A429, libraries!$B:$B, 0), 1)</f>
        <v>lib0519</v>
      </c>
      <c r="I429" s="21" t="s">
        <v>526</v>
      </c>
      <c r="J429" s="44" t="e">
        <f aca="false">INDEX(#REF!, MATCH(B429, participants!$A:$A, 0), 1)</f>
        <v>#N/A</v>
      </c>
    </row>
    <row r="430" customFormat="false" ht="13.8" hidden="false" customHeight="false" outlineLevel="0" collapsed="false">
      <c r="A430" s="37" t="s">
        <v>2572</v>
      </c>
      <c r="B430" s="41" t="s">
        <v>2221</v>
      </c>
      <c r="C430" s="8" t="s">
        <v>2573</v>
      </c>
      <c r="D430" s="8" t="s">
        <v>1697</v>
      </c>
      <c r="E430" s="8" t="s">
        <v>2574</v>
      </c>
      <c r="F430" s="8" t="s">
        <v>2575</v>
      </c>
      <c r="G430" s="42" t="e">
        <f aca="false">INDEX(participants!$I:$I, MATCH(B430, participants!$A:$A, 0), 1)</f>
        <v>#N/A</v>
      </c>
      <c r="H430" s="30" t="str">
        <f aca="false">INDEX(libraries!$A:$A, MATCH(A430, libraries!$B:$B, 0), 1)</f>
        <v>lib0528</v>
      </c>
      <c r="I430" s="21" t="s">
        <v>427</v>
      </c>
      <c r="J430" s="44" t="e">
        <f aca="false">INDEX(#REF!, MATCH(B430, participants!$A:$A, 0), 1)</f>
        <v>#N/A</v>
      </c>
    </row>
    <row r="431" customFormat="false" ht="13.8" hidden="false" customHeight="false" outlineLevel="0" collapsed="false">
      <c r="A431" s="37" t="s">
        <v>2576</v>
      </c>
      <c r="B431" s="41" t="s">
        <v>2366</v>
      </c>
      <c r="C431" s="8" t="s">
        <v>2577</v>
      </c>
      <c r="D431" s="8" t="s">
        <v>1697</v>
      </c>
      <c r="E431" s="8" t="s">
        <v>2578</v>
      </c>
      <c r="F431" s="8" t="s">
        <v>2579</v>
      </c>
      <c r="G431" s="42" t="e">
        <f aca="false">INDEX(participants!$I:$I, MATCH(B431, participants!$A:$A, 0), 1)</f>
        <v>#N/A</v>
      </c>
      <c r="H431" s="30" t="str">
        <f aca="false">INDEX(libraries!$A:$A, MATCH(A431, libraries!$B:$B, 0), 1)</f>
        <v>lib0529</v>
      </c>
      <c r="I431" s="21" t="s">
        <v>1896</v>
      </c>
      <c r="J431" s="44" t="e">
        <f aca="false">INDEX(#REF!, MATCH(B431, participants!$A:$A, 0), 1)</f>
        <v>#N/A</v>
      </c>
    </row>
    <row r="432" customFormat="false" ht="13.8" hidden="false" customHeight="false" outlineLevel="0" collapsed="false">
      <c r="A432" s="37" t="s">
        <v>2580</v>
      </c>
      <c r="B432" s="41" t="s">
        <v>2330</v>
      </c>
      <c r="C432" s="8" t="s">
        <v>2581</v>
      </c>
      <c r="D432" s="8" t="s">
        <v>1697</v>
      </c>
      <c r="E432" s="8" t="s">
        <v>2582</v>
      </c>
      <c r="F432" s="8" t="s">
        <v>2583</v>
      </c>
      <c r="G432" s="42" t="e">
        <f aca="false">INDEX(participants!$I:$I, MATCH(B432, participants!$A:$A, 0), 1)</f>
        <v>#N/A</v>
      </c>
      <c r="H432" s="30" t="str">
        <f aca="false">INDEX(libraries!$A:$A, MATCH(A432, libraries!$B:$B, 0), 1)</f>
        <v>lib0530</v>
      </c>
      <c r="J432" s="44" t="e">
        <f aca="false">INDEX(#REF!, MATCH(B432, participants!$A:$A, 0), 1)</f>
        <v>#N/A</v>
      </c>
    </row>
    <row r="433" customFormat="false" ht="13.8" hidden="false" customHeight="false" outlineLevel="0" collapsed="false">
      <c r="A433" s="37" t="s">
        <v>2584</v>
      </c>
      <c r="B433" s="41" t="s">
        <v>2320</v>
      </c>
      <c r="C433" s="8" t="s">
        <v>2585</v>
      </c>
      <c r="D433" s="8" t="s">
        <v>1697</v>
      </c>
      <c r="E433" s="8" t="s">
        <v>2586</v>
      </c>
      <c r="F433" s="8" t="s">
        <v>2587</v>
      </c>
      <c r="G433" s="42" t="e">
        <f aca="false">INDEX(participants!$I:$I, MATCH(B433, participants!$A:$A, 0), 1)</f>
        <v>#N/A</v>
      </c>
      <c r="H433" s="30" t="str">
        <f aca="false">INDEX(libraries!$A:$A, MATCH(A433, libraries!$B:$B, 0), 1)</f>
        <v>lib0531</v>
      </c>
      <c r="J433" s="44" t="e">
        <f aca="false">INDEX(#REF!, MATCH(B433, participants!$A:$A, 0), 1)</f>
        <v>#N/A</v>
      </c>
    </row>
    <row r="434" customFormat="false" ht="13.8" hidden="false" customHeight="false" outlineLevel="0" collapsed="false">
      <c r="A434" s="37" t="s">
        <v>2588</v>
      </c>
      <c r="B434" s="41" t="s">
        <v>2589</v>
      </c>
      <c r="C434" s="8" t="s">
        <v>2590</v>
      </c>
      <c r="D434" s="8" t="s">
        <v>1697</v>
      </c>
      <c r="E434" s="8" t="s">
        <v>2591</v>
      </c>
      <c r="F434" s="8" t="s">
        <v>2592</v>
      </c>
      <c r="G434" s="42" t="e">
        <f aca="false">INDEX(participants!$I:$I, MATCH(B434, participants!$A:$A, 0), 1)</f>
        <v>#N/A</v>
      </c>
      <c r="H434" s="30" t="str">
        <f aca="false">INDEX(libraries!$A:$A, MATCH(A434, libraries!$B:$B, 0), 1)</f>
        <v>lib0532</v>
      </c>
      <c r="J434" s="44" t="e">
        <f aca="false">INDEX(#REF!, MATCH(B434, participants!$A:$A, 0), 1)</f>
        <v>#N/A</v>
      </c>
    </row>
    <row r="435" customFormat="false" ht="13.8" hidden="false" customHeight="false" outlineLevel="0" collapsed="false">
      <c r="A435" s="37" t="s">
        <v>2593</v>
      </c>
      <c r="B435" s="41" t="s">
        <v>2589</v>
      </c>
      <c r="C435" s="8" t="s">
        <v>2594</v>
      </c>
      <c r="D435" s="8" t="s">
        <v>1697</v>
      </c>
      <c r="E435" s="8" t="s">
        <v>2591</v>
      </c>
      <c r="F435" s="8" t="s">
        <v>2595</v>
      </c>
      <c r="G435" s="42" t="e">
        <f aca="false">INDEX(participants!$I:$I, MATCH(B435, participants!$A:$A, 0), 1)</f>
        <v>#N/A</v>
      </c>
      <c r="H435" s="30" t="str">
        <f aca="false">INDEX(libraries!$A:$A, MATCH(A435, libraries!$B:$B, 0), 1)</f>
        <v>lib0533</v>
      </c>
      <c r="J435" s="44" t="e">
        <f aca="false">INDEX(#REF!, MATCH(B435, participants!$A:$A, 0), 1)</f>
        <v>#N/A</v>
      </c>
    </row>
    <row r="436" customFormat="false" ht="13.8" hidden="false" customHeight="false" outlineLevel="0" collapsed="false">
      <c r="A436" s="37" t="s">
        <v>2596</v>
      </c>
      <c r="B436" s="41" t="s">
        <v>2589</v>
      </c>
      <c r="C436" s="8" t="s">
        <v>2573</v>
      </c>
      <c r="D436" s="8" t="s">
        <v>1697</v>
      </c>
      <c r="E436" s="8" t="s">
        <v>2586</v>
      </c>
      <c r="F436" s="8" t="s">
        <v>2597</v>
      </c>
      <c r="G436" s="42" t="e">
        <f aca="false">INDEX(participants!$I:$I, MATCH(B436, participants!$A:$A, 0), 1)</f>
        <v>#N/A</v>
      </c>
      <c r="H436" s="30" t="str">
        <f aca="false">INDEX(libraries!$A:$A, MATCH(A436, libraries!$B:$B, 0), 1)</f>
        <v>lib0534</v>
      </c>
      <c r="J436" s="44" t="e">
        <f aca="false">INDEX(#REF!, MATCH(B436, participants!$A:$A, 0), 1)</f>
        <v>#N/A</v>
      </c>
    </row>
    <row r="437" customFormat="false" ht="13.8" hidden="false" customHeight="false" outlineLevel="0" collapsed="false">
      <c r="A437" s="37" t="s">
        <v>2598</v>
      </c>
      <c r="B437" s="41" t="s">
        <v>2599</v>
      </c>
      <c r="C437" s="8" t="s">
        <v>2600</v>
      </c>
      <c r="D437" s="8" t="s">
        <v>1697</v>
      </c>
      <c r="E437" s="8" t="s">
        <v>2601</v>
      </c>
      <c r="F437" s="8" t="s">
        <v>2602</v>
      </c>
      <c r="G437" s="42" t="e">
        <f aca="false">INDEX(participants!$I:$I, MATCH(B437, participants!$A:$A, 0), 1)</f>
        <v>#N/A</v>
      </c>
      <c r="H437" s="30" t="str">
        <f aca="false">INDEX(libraries!$A:$A, MATCH(A437, libraries!$B:$B, 0), 1)</f>
        <v>lib0535</v>
      </c>
      <c r="J437" s="44" t="e">
        <f aca="false">INDEX(#REF!, MATCH(B437, participants!$A:$A, 0), 1)</f>
        <v>#N/A</v>
      </c>
    </row>
    <row r="438" customFormat="false" ht="13.8" hidden="false" customHeight="false" outlineLevel="0" collapsed="false">
      <c r="A438" s="37" t="s">
        <v>2603</v>
      </c>
      <c r="B438" s="41" t="s">
        <v>2599</v>
      </c>
      <c r="C438" s="8" t="s">
        <v>2573</v>
      </c>
      <c r="D438" s="8" t="s">
        <v>1697</v>
      </c>
      <c r="E438" s="8" t="s">
        <v>2574</v>
      </c>
      <c r="F438" s="8" t="s">
        <v>2604</v>
      </c>
      <c r="G438" s="42" t="e">
        <f aca="false">INDEX(participants!$I:$I, MATCH(B438, participants!$A:$A, 0), 1)</f>
        <v>#N/A</v>
      </c>
      <c r="H438" s="30" t="str">
        <f aca="false">INDEX(libraries!$A:$A, MATCH(A438, libraries!$B:$B, 0), 1)</f>
        <v>lib0536</v>
      </c>
      <c r="J438" s="44" t="e">
        <f aca="false">INDEX(#REF!, MATCH(B438, participants!$A:$A, 0), 1)</f>
        <v>#N/A</v>
      </c>
    </row>
    <row r="439" customFormat="false" ht="13.8" hidden="false" customHeight="false" outlineLevel="0" collapsed="false">
      <c r="A439" s="37" t="s">
        <v>2605</v>
      </c>
      <c r="B439" s="41" t="s">
        <v>2606</v>
      </c>
      <c r="C439" s="8" t="s">
        <v>2607</v>
      </c>
      <c r="D439" s="8" t="s">
        <v>1697</v>
      </c>
      <c r="E439" s="8" t="s">
        <v>2608</v>
      </c>
      <c r="F439" s="8" t="s">
        <v>2609</v>
      </c>
      <c r="G439" s="42" t="e">
        <f aca="false">INDEX(participants!$I:$I, MATCH(B439, participants!$A:$A, 0), 1)</f>
        <v>#N/A</v>
      </c>
      <c r="H439" s="30" t="str">
        <f aca="false">INDEX(libraries!$A:$A, MATCH(A439, libraries!$B:$B, 0), 1)</f>
        <v>lib0537</v>
      </c>
      <c r="J439" s="44" t="e">
        <f aca="false">INDEX(#REF!, MATCH(B439, participants!$A:$A, 0), 1)</f>
        <v>#N/A</v>
      </c>
    </row>
    <row r="440" customFormat="false" ht="13.8" hidden="false" customHeight="false" outlineLevel="0" collapsed="false">
      <c r="A440" s="37" t="s">
        <v>2610</v>
      </c>
      <c r="B440" s="41" t="s">
        <v>2606</v>
      </c>
      <c r="C440" s="8" t="s">
        <v>2611</v>
      </c>
      <c r="D440" s="8" t="s">
        <v>1697</v>
      </c>
      <c r="E440" s="8" t="s">
        <v>2612</v>
      </c>
      <c r="F440" s="8" t="s">
        <v>2613</v>
      </c>
      <c r="G440" s="42" t="e">
        <f aca="false">INDEX(participants!$I:$I, MATCH(B440, participants!$A:$A, 0), 1)</f>
        <v>#N/A</v>
      </c>
      <c r="H440" s="30" t="str">
        <f aca="false">INDEX(libraries!$A:$A, MATCH(A440, libraries!$B:$B, 0), 1)</f>
        <v>lib0538</v>
      </c>
      <c r="J440" s="44" t="e">
        <f aca="false">INDEX(#REF!, MATCH(B440, participants!$A:$A, 0), 1)</f>
        <v>#N/A</v>
      </c>
    </row>
    <row r="441" customFormat="false" ht="13.8" hidden="false" customHeight="false" outlineLevel="0" collapsed="false">
      <c r="A441" s="37" t="s">
        <v>2614</v>
      </c>
      <c r="B441" s="41" t="s">
        <v>2606</v>
      </c>
      <c r="C441" s="8" t="s">
        <v>2615</v>
      </c>
      <c r="D441" s="8" t="s">
        <v>1697</v>
      </c>
      <c r="E441" s="8" t="s">
        <v>2616</v>
      </c>
      <c r="F441" s="8" t="s">
        <v>2617</v>
      </c>
      <c r="G441" s="42" t="e">
        <f aca="false">INDEX(participants!$I:$I, MATCH(B441, participants!$A:$A, 0), 1)</f>
        <v>#N/A</v>
      </c>
      <c r="H441" s="30" t="str">
        <f aca="false">INDEX(libraries!$A:$A, MATCH(A441, libraries!$B:$B, 0), 1)</f>
        <v>lib0539</v>
      </c>
      <c r="J441" s="44" t="e">
        <f aca="false">INDEX(#REF!, MATCH(B441, participants!$A:$A, 0), 1)</f>
        <v>#N/A</v>
      </c>
    </row>
    <row r="442" customFormat="false" ht="13.8" hidden="false" customHeight="false" outlineLevel="0" collapsed="false">
      <c r="A442" s="37" t="s">
        <v>2618</v>
      </c>
      <c r="B442" s="41" t="s">
        <v>2589</v>
      </c>
      <c r="C442" s="8" t="s">
        <v>2619</v>
      </c>
      <c r="D442" s="8" t="s">
        <v>1697</v>
      </c>
      <c r="E442" s="8" t="s">
        <v>2591</v>
      </c>
      <c r="F442" s="8" t="s">
        <v>2620</v>
      </c>
      <c r="G442" s="42" t="e">
        <f aca="false">INDEX(participants!$I:$I, MATCH(B442, participants!$A:$A, 0), 1)</f>
        <v>#N/A</v>
      </c>
      <c r="H442" s="30" t="str">
        <f aca="false">INDEX(libraries!$A:$A, MATCH(A442, libraries!$B:$B, 0), 1)</f>
        <v>lib0540</v>
      </c>
      <c r="J442" s="44" t="e">
        <f aca="false">INDEX(#REF!, MATCH(B442, participants!$A:$A, 0), 1)</f>
        <v>#N/A</v>
      </c>
    </row>
    <row r="443" customFormat="false" ht="13.8" hidden="false" customHeight="false" outlineLevel="0" collapsed="false">
      <c r="A443" s="37" t="s">
        <v>2621</v>
      </c>
      <c r="B443" s="41" t="s">
        <v>2606</v>
      </c>
      <c r="C443" s="8" t="n">
        <v>45279</v>
      </c>
      <c r="D443" s="8" t="s">
        <v>1697</v>
      </c>
      <c r="E443" s="8" t="s">
        <v>2622</v>
      </c>
      <c r="F443" s="8" t="s">
        <v>2623</v>
      </c>
      <c r="G443" s="42" t="e">
        <f aca="false">INDEX(participants!$I:$I, MATCH(B443, participants!$A:$A, 0), 1)</f>
        <v>#N/A</v>
      </c>
      <c r="H443" s="30" t="str">
        <f aca="false">INDEX(libraries!$A:$A, MATCH(A443, libraries!$B:$B, 0), 1)</f>
        <v>lib0541</v>
      </c>
      <c r="J443" s="44" t="e">
        <f aca="false">INDEX(#REF!, MATCH(B443, participants!$A:$A, 0), 1)</f>
        <v>#N/A</v>
      </c>
    </row>
    <row r="444" customFormat="false" ht="13.8" hidden="false" customHeight="false" outlineLevel="0" collapsed="false">
      <c r="A444" s="37" t="s">
        <v>2624</v>
      </c>
      <c r="B444" s="41" t="s">
        <v>2625</v>
      </c>
      <c r="C444" s="8" t="s">
        <v>2626</v>
      </c>
      <c r="D444" s="8" t="s">
        <v>1697</v>
      </c>
      <c r="E444" s="8" t="s">
        <v>2627</v>
      </c>
      <c r="F444" s="8" t="s">
        <v>2628</v>
      </c>
      <c r="G444" s="42" t="e">
        <f aca="false">INDEX(participants!$I:$I, MATCH(B444, participants!$A:$A, 0), 1)</f>
        <v>#N/A</v>
      </c>
      <c r="H444" s="30" t="str">
        <f aca="false">INDEX(libraries!$A:$A, MATCH(A444, libraries!$B:$B, 0), 1)</f>
        <v>lib0542</v>
      </c>
      <c r="J444" s="44" t="e">
        <f aca="false">INDEX(#REF!, MATCH(B444, participants!$A:$A, 0), 1)</f>
        <v>#N/A</v>
      </c>
    </row>
    <row r="445" customFormat="false" ht="13.8" hidden="false" customHeight="false" outlineLevel="0" collapsed="false">
      <c r="A445" s="37" t="s">
        <v>2629</v>
      </c>
      <c r="B445" s="41" t="s">
        <v>2625</v>
      </c>
      <c r="C445" s="8" t="s">
        <v>2630</v>
      </c>
      <c r="D445" s="8" t="s">
        <v>1697</v>
      </c>
      <c r="E445" s="8" t="s">
        <v>2631</v>
      </c>
      <c r="F445" s="8" t="s">
        <v>2632</v>
      </c>
      <c r="G445" s="42" t="e">
        <f aca="false">INDEX(participants!$I:$I, MATCH(B445, participants!$A:$A, 0), 1)</f>
        <v>#N/A</v>
      </c>
      <c r="H445" s="30" t="str">
        <f aca="false">INDEX(libraries!$A:$A, MATCH(A445, libraries!$B:$B, 0), 1)</f>
        <v>lib0543</v>
      </c>
      <c r="J445" s="44" t="e">
        <f aca="false">INDEX(#REF!, MATCH(B445, participants!$A:$A, 0), 1)</f>
        <v>#N/A</v>
      </c>
    </row>
    <row r="446" customFormat="false" ht="13.8" hidden="false" customHeight="false" outlineLevel="0" collapsed="false">
      <c r="A446" s="37" t="s">
        <v>2633</v>
      </c>
      <c r="B446" s="41" t="s">
        <v>2625</v>
      </c>
      <c r="C446" s="8" t="s">
        <v>2634</v>
      </c>
      <c r="D446" s="8" t="s">
        <v>1697</v>
      </c>
      <c r="E446" s="8" t="s">
        <v>2635</v>
      </c>
      <c r="F446" s="8" t="s">
        <v>2636</v>
      </c>
      <c r="G446" s="42" t="e">
        <f aca="false">INDEX(participants!$I:$I, MATCH(B446, participants!$A:$A, 0), 1)</f>
        <v>#N/A</v>
      </c>
      <c r="H446" s="30" t="str">
        <f aca="false">INDEX(libraries!$A:$A, MATCH(A446, libraries!$B:$B, 0), 1)</f>
        <v>lib0544</v>
      </c>
      <c r="J446" s="44" t="e">
        <f aca="false">INDEX(#REF!, MATCH(B446, participants!$A:$A, 0), 1)</f>
        <v>#N/A</v>
      </c>
    </row>
    <row r="447" customFormat="false" ht="13.8" hidden="false" customHeight="false" outlineLevel="0" collapsed="false">
      <c r="A447" s="37" t="s">
        <v>2637</v>
      </c>
      <c r="B447" s="41" t="s">
        <v>2625</v>
      </c>
      <c r="C447" s="8" t="s">
        <v>2638</v>
      </c>
      <c r="D447" s="8" t="s">
        <v>1697</v>
      </c>
      <c r="E447" s="8" t="s">
        <v>2639</v>
      </c>
      <c r="F447" s="8" t="s">
        <v>2640</v>
      </c>
      <c r="G447" s="42" t="e">
        <f aca="false">INDEX(participants!$I:$I, MATCH(B447, participants!$A:$A, 0), 1)</f>
        <v>#N/A</v>
      </c>
      <c r="H447" s="30" t="str">
        <f aca="false">INDEX(libraries!$A:$A, MATCH(A447, libraries!$B:$B, 0), 1)</f>
        <v>lib0545</v>
      </c>
      <c r="J447" s="44" t="e">
        <f aca="false">INDEX(#REF!, MATCH(B447, participants!$A:$A, 0), 1)</f>
        <v>#N/A</v>
      </c>
    </row>
    <row r="448" customFormat="false" ht="13.8" hidden="false" customHeight="false" outlineLevel="0" collapsed="false">
      <c r="A448" s="37" t="s">
        <v>2641</v>
      </c>
      <c r="B448" s="41" t="s">
        <v>2320</v>
      </c>
      <c r="C448" s="8" t="s">
        <v>2642</v>
      </c>
      <c r="D448" s="8" t="s">
        <v>1697</v>
      </c>
      <c r="E448" s="8" t="s">
        <v>2643</v>
      </c>
      <c r="F448" s="8" t="s">
        <v>2644</v>
      </c>
      <c r="G448" s="42" t="e">
        <f aca="false">INDEX(participants!$I:$I, MATCH(B448, participants!$A:$A, 0), 1)</f>
        <v>#N/A</v>
      </c>
      <c r="H448" s="30" t="str">
        <f aca="false">INDEX(libraries!$A:$A, MATCH(A448, libraries!$B:$B, 0), 1)</f>
        <v>lib0546</v>
      </c>
      <c r="J448" s="44" t="e">
        <f aca="false">INDEX(#REF!, MATCH(B448, participants!$A:$A, 0), 1)</f>
        <v>#N/A</v>
      </c>
    </row>
    <row r="449" customFormat="false" ht="13.8" hidden="false" customHeight="false" outlineLevel="0" collapsed="false">
      <c r="A449" s="37" t="s">
        <v>2645</v>
      </c>
      <c r="B449" s="41" t="s">
        <v>2646</v>
      </c>
      <c r="C449" s="8" t="s">
        <v>2647</v>
      </c>
      <c r="D449" s="8" t="s">
        <v>1697</v>
      </c>
      <c r="E449" s="8" t="s">
        <v>2499</v>
      </c>
      <c r="F449" s="8" t="s">
        <v>2648</v>
      </c>
      <c r="G449" s="42" t="e">
        <f aca="false">INDEX(participants!$I:$I, MATCH(B449, participants!$A:$A, 0), 1)</f>
        <v>#N/A</v>
      </c>
      <c r="H449" s="30" t="str">
        <f aca="false">INDEX(libraries!$A:$A, MATCH(A449, libraries!$B:$B, 0), 1)</f>
        <v>lib0547</v>
      </c>
      <c r="I449" s="21" t="s">
        <v>1896</v>
      </c>
      <c r="J449" s="44" t="e">
        <f aca="false">INDEX(#REF!, MATCH(B449, participants!$A:$A, 0), 1)</f>
        <v>#N/A</v>
      </c>
    </row>
    <row r="450" customFormat="false" ht="13.8" hidden="false" customHeight="false" outlineLevel="0" collapsed="false">
      <c r="A450" s="37" t="s">
        <v>2649</v>
      </c>
      <c r="B450" s="41" t="s">
        <v>2503</v>
      </c>
      <c r="C450" s="8" t="s">
        <v>2650</v>
      </c>
      <c r="D450" s="8" t="s">
        <v>1697</v>
      </c>
      <c r="E450" s="8" t="s">
        <v>2574</v>
      </c>
      <c r="F450" s="8" t="s">
        <v>2651</v>
      </c>
      <c r="G450" s="42" t="e">
        <f aca="false">INDEX(participants!$I:$I, MATCH(B450, participants!$A:$A, 0), 1)</f>
        <v>#N/A</v>
      </c>
      <c r="H450" s="30" t="str">
        <f aca="false">INDEX(libraries!$A:$A, MATCH(A450, libraries!$B:$B, 0), 1)</f>
        <v>lib0548</v>
      </c>
      <c r="J450" s="44" t="e">
        <f aca="false">INDEX(#REF!, MATCH(B450, participants!$A:$A, 0), 1)</f>
        <v>#N/A</v>
      </c>
    </row>
    <row r="451" customFormat="false" ht="13.8" hidden="false" customHeight="false" outlineLevel="0" collapsed="false">
      <c r="A451" s="37" t="s">
        <v>2652</v>
      </c>
      <c r="B451" s="41" t="s">
        <v>2343</v>
      </c>
      <c r="C451" s="8" t="s">
        <v>2653</v>
      </c>
      <c r="D451" s="8" t="s">
        <v>1697</v>
      </c>
      <c r="E451" s="8" t="s">
        <v>2654</v>
      </c>
      <c r="F451" s="8" t="s">
        <v>2655</v>
      </c>
      <c r="G451" s="42" t="e">
        <f aca="false">INDEX(participants!$I:$I, MATCH(B451, participants!$A:$A, 0), 1)</f>
        <v>#N/A</v>
      </c>
      <c r="H451" s="30" t="e">
        <f aca="false">INDEX(libraries!$A:$A, MATCH(A451, libraries!$B:$B, 0), 1)</f>
        <v>#N/A</v>
      </c>
      <c r="J451" s="44" t="e">
        <f aca="false">INDEX(#REF!, MATCH(B451, participants!$A:$A, 0), 1)</f>
        <v>#N/A</v>
      </c>
    </row>
    <row r="452" customFormat="false" ht="13.8" hidden="false" customHeight="false" outlineLevel="0" collapsed="false">
      <c r="A452" s="37" t="s">
        <v>2656</v>
      </c>
      <c r="B452" s="41" t="s">
        <v>2343</v>
      </c>
      <c r="C452" s="8" t="s">
        <v>2657</v>
      </c>
      <c r="D452" s="8" t="s">
        <v>1697</v>
      </c>
      <c r="E452" s="8" t="s">
        <v>2658</v>
      </c>
      <c r="F452" s="8" t="s">
        <v>2659</v>
      </c>
      <c r="G452" s="42" t="e">
        <f aca="false">INDEX(participants!$I:$I, MATCH(B452, participants!$A:$A, 0), 1)</f>
        <v>#N/A</v>
      </c>
      <c r="H452" s="30" t="str">
        <f aca="false">INDEX(libraries!$A:$A, MATCH(A452, libraries!$B:$B, 0), 1)</f>
        <v>lib0550</v>
      </c>
      <c r="J452" s="44" t="e">
        <f aca="false">INDEX(#REF!, MATCH(B452, participants!$A:$A, 0), 1)</f>
        <v>#N/A</v>
      </c>
    </row>
    <row r="453" customFormat="false" ht="13.8" hidden="false" customHeight="false" outlineLevel="0" collapsed="false">
      <c r="A453" s="37" t="s">
        <v>2660</v>
      </c>
      <c r="B453" s="41" t="s">
        <v>2343</v>
      </c>
      <c r="C453" s="8" t="s">
        <v>2638</v>
      </c>
      <c r="D453" s="8" t="s">
        <v>1697</v>
      </c>
      <c r="E453" s="8" t="s">
        <v>2658</v>
      </c>
      <c r="F453" s="8" t="s">
        <v>2661</v>
      </c>
      <c r="G453" s="42" t="e">
        <f aca="false">INDEX(participants!$I:$I, MATCH(B453, participants!$A:$A, 0), 1)</f>
        <v>#N/A</v>
      </c>
      <c r="H453" s="30" t="str">
        <f aca="false">INDEX(libraries!$A:$A, MATCH(A453, libraries!$B:$B, 0), 1)</f>
        <v>lib0551</v>
      </c>
      <c r="J453" s="44" t="e">
        <f aca="false">INDEX(#REF!, MATCH(B453, participants!$A:$A, 0), 1)</f>
        <v>#N/A</v>
      </c>
    </row>
    <row r="454" customFormat="false" ht="13.8" hidden="false" customHeight="false" outlineLevel="0" collapsed="false">
      <c r="A454" s="37" t="s">
        <v>2662</v>
      </c>
      <c r="B454" s="41" t="s">
        <v>2343</v>
      </c>
      <c r="C454" s="8" t="s">
        <v>2615</v>
      </c>
      <c r="D454" s="8" t="s">
        <v>1697</v>
      </c>
      <c r="E454" s="8" t="s">
        <v>2654</v>
      </c>
      <c r="F454" s="8" t="s">
        <v>2663</v>
      </c>
      <c r="G454" s="42" t="e">
        <f aca="false">INDEX(participants!$I:$I, MATCH(B454, participants!$A:$A, 0), 1)</f>
        <v>#N/A</v>
      </c>
      <c r="H454" s="30" t="str">
        <f aca="false">INDEX(libraries!$A:$A, MATCH(A454, libraries!$B:$B, 0), 1)</f>
        <v>lib0552</v>
      </c>
      <c r="J454" s="44" t="e">
        <f aca="false">INDEX(#REF!, MATCH(B454, participants!$A:$A, 0), 1)</f>
        <v>#N/A</v>
      </c>
    </row>
    <row r="455" customFormat="false" ht="13.8" hidden="false" customHeight="false" outlineLevel="0" collapsed="false">
      <c r="A455" s="37" t="s">
        <v>2664</v>
      </c>
      <c r="B455" s="41" t="s">
        <v>2343</v>
      </c>
      <c r="C455" s="8" t="n">
        <v>45279</v>
      </c>
      <c r="D455" s="8" t="s">
        <v>1697</v>
      </c>
      <c r="E455" s="8" t="s">
        <v>2622</v>
      </c>
      <c r="F455" s="8" t="s">
        <v>2665</v>
      </c>
      <c r="G455" s="42" t="e">
        <f aca="false">INDEX(participants!$I:$I, MATCH(B455, participants!$A:$A, 0), 1)</f>
        <v>#N/A</v>
      </c>
      <c r="H455" s="30" t="str">
        <f aca="false">INDEX(libraries!$A:$A, MATCH(A455, libraries!$B:$B, 0), 1)</f>
        <v>lib0553</v>
      </c>
      <c r="J455" s="44" t="e">
        <f aca="false">INDEX(#REF!, MATCH(B455, participants!$A:$A, 0), 1)</f>
        <v>#N/A</v>
      </c>
    </row>
    <row r="456" customFormat="false" ht="13.8" hidden="false" customHeight="false" outlineLevel="0" collapsed="false">
      <c r="A456" s="37" t="s">
        <v>2666</v>
      </c>
      <c r="B456" s="41" t="n">
        <v>0</v>
      </c>
      <c r="C456" s="8" t="s">
        <v>2667</v>
      </c>
      <c r="D456" s="8" t="s">
        <v>1697</v>
      </c>
      <c r="E456" s="8" t="s">
        <v>2668</v>
      </c>
      <c r="F456" s="8" t="s">
        <v>2669</v>
      </c>
      <c r="G456" s="30" t="e">
        <f aca="false">INDEX(participants!$I:$I, MATCH(B456, participants!$A:$A, 0), 1)</f>
        <v>#N/A</v>
      </c>
      <c r="H456" s="30" t="str">
        <f aca="false">INDEX(libraries!$A:$A, MATCH(A456, libraries!$B:$B, 0), 1)</f>
        <v>lib0554</v>
      </c>
      <c r="J456" s="44" t="e">
        <f aca="false">INDEX(#REF!, MATCH(B456, participants!$A:$A, 0), 1)</f>
        <v>#N/A</v>
      </c>
    </row>
    <row r="457" customFormat="false" ht="13.8" hidden="false" customHeight="false" outlineLevel="0" collapsed="false">
      <c r="A457" s="37" t="s">
        <v>2670</v>
      </c>
      <c r="B457" s="41" t="s">
        <v>2548</v>
      </c>
      <c r="C457" s="8" t="s">
        <v>2671</v>
      </c>
      <c r="D457" s="8" t="s">
        <v>1697</v>
      </c>
      <c r="E457" s="8" t="s">
        <v>2672</v>
      </c>
      <c r="F457" s="8" t="s">
        <v>2673</v>
      </c>
      <c r="G457" s="42" t="e">
        <f aca="false">INDEX(participants!$I:$I, MATCH(B457, participants!$A:$A, 0), 1)</f>
        <v>#N/A</v>
      </c>
      <c r="H457" s="30" t="str">
        <f aca="false">INDEX(libraries!$A:$A, MATCH(A457, libraries!$B:$B, 0), 1)</f>
        <v>lib0555</v>
      </c>
      <c r="J457" s="44" t="e">
        <f aca="false">INDEX(#REF!, MATCH(B457, participants!$A:$A, 0), 1)</f>
        <v>#N/A</v>
      </c>
    </row>
    <row r="458" customFormat="false" ht="13.8" hidden="false" customHeight="false" outlineLevel="0" collapsed="false">
      <c r="A458" s="37" t="s">
        <v>2674</v>
      </c>
      <c r="B458" s="41" t="s">
        <v>2311</v>
      </c>
      <c r="C458" s="8" t="s">
        <v>2675</v>
      </c>
      <c r="D458" s="8" t="s">
        <v>1697</v>
      </c>
      <c r="E458" s="8" t="s">
        <v>2676</v>
      </c>
      <c r="F458" s="8" t="s">
        <v>2677</v>
      </c>
      <c r="G458" s="42" t="e">
        <f aca="false">INDEX(participants!$I:$I, MATCH(B458, participants!$A:$A, 0), 1)</f>
        <v>#N/A</v>
      </c>
      <c r="H458" s="30" t="str">
        <f aca="false">INDEX(libraries!$A:$A, MATCH(A458, libraries!$B:$B, 0), 1)</f>
        <v>lib0556</v>
      </c>
      <c r="J458" s="44" t="e">
        <f aca="false">INDEX(#REF!, MATCH(B458, participants!$A:$A, 0), 1)</f>
        <v>#N/A</v>
      </c>
    </row>
    <row r="459" customFormat="false" ht="13.8" hidden="false" customHeight="false" outlineLevel="0" collapsed="false">
      <c r="A459" s="37" t="s">
        <v>2678</v>
      </c>
      <c r="B459" s="41" t="s">
        <v>2679</v>
      </c>
      <c r="C459" s="8" t="s">
        <v>2680</v>
      </c>
      <c r="D459" s="8" t="s">
        <v>1697</v>
      </c>
      <c r="E459" s="8" t="s">
        <v>2681</v>
      </c>
      <c r="F459" s="8" t="s">
        <v>2682</v>
      </c>
      <c r="G459" s="42" t="e">
        <f aca="false">INDEX(participants!$I:$I, MATCH(B459, participants!$A:$A, 0), 1)</f>
        <v>#N/A</v>
      </c>
      <c r="H459" s="30" t="str">
        <f aca="false">INDEX(libraries!$A:$A, MATCH(A459, libraries!$B:$B, 0), 1)</f>
        <v>lib0557</v>
      </c>
      <c r="J459" s="44" t="e">
        <f aca="false">INDEX(#REF!, MATCH(B459, participants!$A:$A, 0), 1)</f>
        <v>#N/A</v>
      </c>
    </row>
    <row r="460" customFormat="false" ht="13.8" hidden="false" customHeight="false" outlineLevel="0" collapsed="false">
      <c r="A460" s="37" t="s">
        <v>2683</v>
      </c>
      <c r="B460" s="41" t="s">
        <v>2606</v>
      </c>
      <c r="C460" s="8" t="s">
        <v>2684</v>
      </c>
      <c r="D460" s="8" t="s">
        <v>1697</v>
      </c>
      <c r="E460" s="8" t="s">
        <v>2685</v>
      </c>
      <c r="F460" s="8" t="s">
        <v>2686</v>
      </c>
      <c r="G460" s="42" t="e">
        <f aca="false">INDEX(participants!$I:$I, MATCH(B460, participants!$A:$A, 0), 1)</f>
        <v>#N/A</v>
      </c>
      <c r="H460" s="30" t="str">
        <f aca="false">INDEX(libraries!$A:$A, MATCH(A460, libraries!$B:$B, 0), 1)</f>
        <v>lib0558</v>
      </c>
      <c r="J460" s="44" t="e">
        <f aca="false">INDEX(#REF!, MATCH(B460, participants!$A:$A, 0), 1)</f>
        <v>#N/A</v>
      </c>
    </row>
    <row r="461" customFormat="false" ht="13.8" hidden="false" customHeight="false" outlineLevel="0" collapsed="false">
      <c r="A461" s="37" t="s">
        <v>2687</v>
      </c>
      <c r="B461" s="41" t="s">
        <v>2625</v>
      </c>
      <c r="C461" s="8" t="s">
        <v>2684</v>
      </c>
      <c r="D461" s="8" t="s">
        <v>1697</v>
      </c>
      <c r="E461" s="8" t="s">
        <v>2688</v>
      </c>
      <c r="F461" s="8" t="s">
        <v>2689</v>
      </c>
      <c r="G461" s="42" t="e">
        <f aca="false">INDEX(participants!$I:$I, MATCH(B461, participants!$A:$A, 0), 1)</f>
        <v>#N/A</v>
      </c>
      <c r="H461" s="30" t="str">
        <f aca="false">INDEX(libraries!$A:$A, MATCH(A461, libraries!$B:$B, 0), 1)</f>
        <v>lib0559</v>
      </c>
      <c r="J461" s="44" t="e">
        <f aca="false">INDEX(#REF!, MATCH(B461, participants!$A:$A, 0), 1)</f>
        <v>#N/A</v>
      </c>
    </row>
    <row r="462" customFormat="false" ht="13.8" hidden="false" customHeight="false" outlineLevel="0" collapsed="false">
      <c r="A462" s="37" t="s">
        <v>2690</v>
      </c>
      <c r="B462" s="41" t="s">
        <v>2589</v>
      </c>
      <c r="C462" s="8" t="s">
        <v>2691</v>
      </c>
      <c r="D462" s="8" t="s">
        <v>1697</v>
      </c>
      <c r="E462" s="8" t="s">
        <v>2681</v>
      </c>
      <c r="F462" s="8" t="s">
        <v>2692</v>
      </c>
      <c r="G462" s="42" t="e">
        <f aca="false">INDEX(participants!$I:$I, MATCH(B462, participants!$A:$A, 0), 1)</f>
        <v>#N/A</v>
      </c>
      <c r="H462" s="30" t="str">
        <f aca="false">INDEX(libraries!$A:$A, MATCH(A462, libraries!$B:$B, 0), 1)</f>
        <v>lib0560</v>
      </c>
      <c r="J462" s="44" t="e">
        <f aca="false">INDEX(#REF!, MATCH(B462, participants!$A:$A, 0), 1)</f>
        <v>#N/A</v>
      </c>
    </row>
    <row r="463" customFormat="false" ht="13.8" hidden="false" customHeight="false" outlineLevel="0" collapsed="false">
      <c r="A463" s="37" t="s">
        <v>2693</v>
      </c>
      <c r="B463" s="41" t="s">
        <v>2343</v>
      </c>
      <c r="C463" s="8" t="s">
        <v>2694</v>
      </c>
      <c r="D463" s="8" t="s">
        <v>1697</v>
      </c>
      <c r="E463" s="8" t="s">
        <v>2681</v>
      </c>
      <c r="F463" s="8" t="s">
        <v>2695</v>
      </c>
      <c r="G463" s="42" t="e">
        <f aca="false">INDEX(participants!$I:$I, MATCH(B463, participants!$A:$A, 0), 1)</f>
        <v>#N/A</v>
      </c>
      <c r="H463" s="30" t="str">
        <f aca="false">INDEX(libraries!$A:$A, MATCH(A463, libraries!$B:$B, 0), 1)</f>
        <v>lib0561</v>
      </c>
      <c r="J463" s="44" t="e">
        <f aca="false">INDEX(#REF!, MATCH(B463, participants!$A:$A, 0), 1)</f>
        <v>#N/A</v>
      </c>
    </row>
    <row r="464" customFormat="false" ht="13.8" hidden="false" customHeight="false" outlineLevel="0" collapsed="false">
      <c r="A464" s="37" t="s">
        <v>2696</v>
      </c>
      <c r="B464" s="41" t="s">
        <v>2343</v>
      </c>
      <c r="C464" s="8" t="s">
        <v>2684</v>
      </c>
      <c r="D464" s="8" t="s">
        <v>1697</v>
      </c>
      <c r="E464" s="8" t="s">
        <v>2681</v>
      </c>
      <c r="F464" s="8" t="s">
        <v>2697</v>
      </c>
      <c r="G464" s="42" t="e">
        <f aca="false">INDEX(participants!$I:$I, MATCH(B464, participants!$A:$A, 0), 1)</f>
        <v>#N/A</v>
      </c>
      <c r="H464" s="30" t="str">
        <f aca="false">INDEX(libraries!$A:$A, MATCH(A464, libraries!$B:$B, 0), 1)</f>
        <v>lib0562</v>
      </c>
      <c r="J464" s="44" t="e">
        <f aca="false">INDEX(#REF!, MATCH(B464, participants!$A:$A, 0), 1)</f>
        <v>#N/A</v>
      </c>
    </row>
    <row r="465" customFormat="false" ht="13.8" hidden="false" customHeight="false" outlineLevel="0" collapsed="false">
      <c r="A465" s="37" t="s">
        <v>2698</v>
      </c>
      <c r="B465" s="41" t="s">
        <v>2361</v>
      </c>
      <c r="C465" s="8" t="s">
        <v>2699</v>
      </c>
      <c r="D465" s="8" t="s">
        <v>1697</v>
      </c>
      <c r="E465" s="8" t="s">
        <v>2700</v>
      </c>
      <c r="F465" s="8" t="s">
        <v>2701</v>
      </c>
      <c r="G465" s="42" t="e">
        <f aca="false">INDEX(participants!$I:$I, MATCH(B465, participants!$A:$A, 0), 1)</f>
        <v>#N/A</v>
      </c>
      <c r="H465" s="30" t="str">
        <f aca="false">INDEX(libraries!$A:$A, MATCH(A465, libraries!$B:$B, 0), 1)</f>
        <v>lib0563</v>
      </c>
      <c r="J465" s="44" t="e">
        <f aca="false">INDEX(#REF!, MATCH(B465, participants!$A:$A, 0), 1)</f>
        <v>#N/A</v>
      </c>
    </row>
    <row r="466" customFormat="false" ht="13.8" hidden="false" customHeight="false" outlineLevel="0" collapsed="false">
      <c r="A466" s="37" t="s">
        <v>2702</v>
      </c>
      <c r="B466" s="41" t="s">
        <v>2361</v>
      </c>
      <c r="C466" s="8" t="s">
        <v>2703</v>
      </c>
      <c r="D466" s="8" t="s">
        <v>1697</v>
      </c>
      <c r="E466" s="8" t="s">
        <v>2681</v>
      </c>
      <c r="F466" s="8" t="s">
        <v>2704</v>
      </c>
      <c r="G466" s="42" t="e">
        <f aca="false">INDEX(participants!$I:$I, MATCH(B466, participants!$A:$A, 0), 1)</f>
        <v>#N/A</v>
      </c>
      <c r="H466" s="30" t="str">
        <f aca="false">INDEX(libraries!$A:$A, MATCH(A466, libraries!$B:$B, 0), 1)</f>
        <v>lib0564</v>
      </c>
      <c r="J466" s="44" t="e">
        <f aca="false">INDEX(#REF!, MATCH(B466, participants!$A:$A, 0), 1)</f>
        <v>#N/A</v>
      </c>
    </row>
    <row r="467" customFormat="false" ht="13.8" hidden="false" customHeight="false" outlineLevel="0" collapsed="false">
      <c r="A467" s="37" t="s">
        <v>2705</v>
      </c>
      <c r="B467" s="41" t="s">
        <v>2679</v>
      </c>
      <c r="C467" s="8" t="s">
        <v>2706</v>
      </c>
      <c r="D467" s="8" t="s">
        <v>1697</v>
      </c>
      <c r="E467" s="8" t="s">
        <v>2681</v>
      </c>
      <c r="F467" s="8" t="s">
        <v>2707</v>
      </c>
      <c r="G467" s="42" t="e">
        <f aca="false">INDEX(participants!$I:$I, MATCH(B467, participants!$A:$A, 0), 1)</f>
        <v>#N/A</v>
      </c>
      <c r="H467" s="30" t="str">
        <f aca="false">INDEX(libraries!$A:$A, MATCH(A467, libraries!$B:$B, 0), 1)</f>
        <v>lib0565</v>
      </c>
      <c r="J467" s="44" t="e">
        <f aca="false">INDEX(#REF!, MATCH(B467, participants!$A:$A, 0), 1)</f>
        <v>#N/A</v>
      </c>
    </row>
    <row r="468" customFormat="false" ht="13.8" hidden="false" customHeight="false" outlineLevel="0" collapsed="false">
      <c r="A468" s="37" t="s">
        <v>2708</v>
      </c>
      <c r="B468" s="41" t="s">
        <v>2679</v>
      </c>
      <c r="C468" s="8" t="s">
        <v>2585</v>
      </c>
      <c r="D468" s="8" t="s">
        <v>1697</v>
      </c>
      <c r="E468" s="8" t="s">
        <v>2681</v>
      </c>
      <c r="F468" s="8" t="s">
        <v>2709</v>
      </c>
      <c r="G468" s="42" t="e">
        <f aca="false">INDEX(participants!$I:$I, MATCH(B468, participants!$A:$A, 0), 1)</f>
        <v>#N/A</v>
      </c>
      <c r="H468" s="30" t="str">
        <f aca="false">INDEX(libraries!$A:$A, MATCH(A468, libraries!$B:$B, 0), 1)</f>
        <v>lib0566</v>
      </c>
      <c r="J468" s="44" t="e">
        <f aca="false">INDEX(#REF!, MATCH(B468, participants!$A:$A, 0), 1)</f>
        <v>#N/A</v>
      </c>
    </row>
    <row r="469" customFormat="false" ht="13.8" hidden="false" customHeight="false" outlineLevel="0" collapsed="false">
      <c r="A469" s="37" t="s">
        <v>2710</v>
      </c>
      <c r="B469" s="41" t="s">
        <v>2503</v>
      </c>
      <c r="C469" s="8" t="s">
        <v>2219</v>
      </c>
      <c r="D469" s="8" t="s">
        <v>1697</v>
      </c>
      <c r="E469" s="8" t="s">
        <v>2711</v>
      </c>
      <c r="F469" s="8" t="s">
        <v>2712</v>
      </c>
      <c r="G469" s="42" t="e">
        <f aca="false">INDEX(participants!$I:$I, MATCH(B469, participants!$A:$A, 0), 1)</f>
        <v>#N/A</v>
      </c>
      <c r="H469" s="30" t="str">
        <f aca="false">INDEX(libraries!$A:$A, MATCH(A469, libraries!$B:$B, 0), 1)</f>
        <v>lib0567</v>
      </c>
      <c r="J469" s="44" t="e">
        <f aca="false">INDEX(#REF!, MATCH(B469, participants!$A:$A, 0), 1)</f>
        <v>#N/A</v>
      </c>
    </row>
    <row r="470" customFormat="false" ht="13.8" hidden="false" customHeight="false" outlineLevel="0" collapsed="false">
      <c r="A470" s="37" t="s">
        <v>2713</v>
      </c>
      <c r="B470" s="41" t="s">
        <v>2366</v>
      </c>
      <c r="C470" s="8" t="s">
        <v>2714</v>
      </c>
      <c r="D470" s="8" t="s">
        <v>1697</v>
      </c>
      <c r="E470" s="8" t="s">
        <v>2715</v>
      </c>
      <c r="F470" s="8" t="s">
        <v>2716</v>
      </c>
      <c r="G470" s="42" t="e">
        <f aca="false">INDEX(participants!$I:$I, MATCH(B470, participants!$A:$A, 0), 1)</f>
        <v>#N/A</v>
      </c>
      <c r="H470" s="30" t="str">
        <f aca="false">INDEX(libraries!$A:$A, MATCH(A470, libraries!$B:$B, 0), 1)</f>
        <v>lib0568</v>
      </c>
      <c r="I470" s="21" t="s">
        <v>486</v>
      </c>
      <c r="J470" s="44" t="e">
        <f aca="false">INDEX(#REF!, MATCH(B470, participants!$A:$A, 0), 1)</f>
        <v>#N/A</v>
      </c>
    </row>
    <row r="471" customFormat="false" ht="13.8" hidden="false" customHeight="false" outlineLevel="0" collapsed="false">
      <c r="A471" s="37" t="s">
        <v>2717</v>
      </c>
      <c r="B471" s="41" t="s">
        <v>2366</v>
      </c>
      <c r="C471" s="8" t="s">
        <v>2718</v>
      </c>
      <c r="D471" s="8" t="s">
        <v>1697</v>
      </c>
      <c r="E471" s="8" t="s">
        <v>2719</v>
      </c>
      <c r="F471" s="8" t="s">
        <v>2720</v>
      </c>
      <c r="G471" s="42" t="e">
        <f aca="false">INDEX(participants!$I:$I, MATCH(B471, participants!$A:$A, 0), 1)</f>
        <v>#N/A</v>
      </c>
      <c r="H471" s="30" t="str">
        <f aca="false">INDEX(libraries!$A:$A, MATCH(A471, libraries!$B:$B, 0), 1)</f>
        <v>lib0569</v>
      </c>
      <c r="I471" s="21" t="s">
        <v>1896</v>
      </c>
      <c r="J471" s="44" t="e">
        <f aca="false">INDEX(#REF!, MATCH(B471, participants!$A:$A, 0), 1)</f>
        <v>#N/A</v>
      </c>
    </row>
    <row r="472" customFormat="false" ht="13.8" hidden="false" customHeight="false" outlineLevel="0" collapsed="false">
      <c r="A472" s="37" t="s">
        <v>2721</v>
      </c>
      <c r="B472" s="41" t="s">
        <v>2348</v>
      </c>
      <c r="C472" s="8" t="s">
        <v>2352</v>
      </c>
      <c r="D472" s="8" t="s">
        <v>1697</v>
      </c>
      <c r="E472" s="8" t="s">
        <v>2353</v>
      </c>
      <c r="F472" s="8" t="s">
        <v>2722</v>
      </c>
      <c r="G472" s="42" t="e">
        <f aca="false">INDEX(participants!$I:$I, MATCH(B472, participants!$A:$A, 0), 1)</f>
        <v>#N/A</v>
      </c>
      <c r="H472" s="30" t="str">
        <f aca="false">INDEX(libraries!$A:$A, MATCH(A472, libraries!$B:$B, 0), 1)</f>
        <v>lib0570</v>
      </c>
      <c r="J472" s="44" t="e">
        <f aca="false">INDEX(#REF!, MATCH(B472, participants!$A:$A, 0), 1)</f>
        <v>#N/A</v>
      </c>
    </row>
    <row r="473" customFormat="false" ht="13.8" hidden="false" customHeight="false" outlineLevel="0" collapsed="false">
      <c r="A473" s="37" t="s">
        <v>2723</v>
      </c>
      <c r="B473" s="41" t="s">
        <v>2348</v>
      </c>
      <c r="C473" s="8" t="s">
        <v>2724</v>
      </c>
      <c r="D473" s="8" t="s">
        <v>1697</v>
      </c>
      <c r="E473" s="8" t="s">
        <v>2725</v>
      </c>
      <c r="F473" s="8" t="s">
        <v>2726</v>
      </c>
      <c r="G473" s="42" t="e">
        <f aca="false">INDEX(participants!$I:$I, MATCH(B473, participants!$A:$A, 0), 1)</f>
        <v>#N/A</v>
      </c>
      <c r="H473" s="30" t="str">
        <f aca="false">INDEX(libraries!$A:$A, MATCH(A473, libraries!$B:$B, 0), 1)</f>
        <v>lib0571</v>
      </c>
      <c r="J473" s="44" t="e">
        <f aca="false">INDEX(#REF!, MATCH(B473, participants!$A:$A, 0), 1)</f>
        <v>#N/A</v>
      </c>
    </row>
    <row r="474" customFormat="false" ht="13.8" hidden="false" customHeight="false" outlineLevel="0" collapsed="false">
      <c r="A474" s="37" t="s">
        <v>2727</v>
      </c>
      <c r="B474" s="41" t="s">
        <v>2348</v>
      </c>
      <c r="C474" s="8" t="s">
        <v>2728</v>
      </c>
      <c r="D474" s="8" t="s">
        <v>1697</v>
      </c>
      <c r="E474" s="8" t="s">
        <v>2725</v>
      </c>
      <c r="F474" s="8" t="s">
        <v>2729</v>
      </c>
      <c r="G474" s="42" t="e">
        <f aca="false">INDEX(participants!$I:$I, MATCH(B474, participants!$A:$A, 0), 1)</f>
        <v>#N/A</v>
      </c>
      <c r="H474" s="30" t="str">
        <f aca="false">INDEX(libraries!$A:$A, MATCH(A474, libraries!$B:$B, 0), 1)</f>
        <v>lib0572</v>
      </c>
      <c r="J474" s="44" t="e">
        <f aca="false">INDEX(#REF!, MATCH(B474, participants!$A:$A, 0), 1)</f>
        <v>#N/A</v>
      </c>
    </row>
    <row r="475" customFormat="false" ht="13.8" hidden="false" customHeight="false" outlineLevel="0" collapsed="false">
      <c r="A475" s="37" t="s">
        <v>2730</v>
      </c>
      <c r="B475" s="41" t="s">
        <v>2589</v>
      </c>
      <c r="C475" s="8" t="s">
        <v>2731</v>
      </c>
      <c r="D475" s="8" t="s">
        <v>1697</v>
      </c>
      <c r="E475" s="8" t="s">
        <v>2732</v>
      </c>
      <c r="F475" s="8" t="s">
        <v>2733</v>
      </c>
      <c r="G475" s="42" t="e">
        <f aca="false">INDEX(participants!$I:$I, MATCH(B475, participants!$A:$A, 0), 1)</f>
        <v>#N/A</v>
      </c>
      <c r="H475" s="30" t="str">
        <f aca="false">INDEX(libraries!$A:$A, MATCH(A475, libraries!$B:$B, 0), 1)</f>
        <v>lib0573</v>
      </c>
      <c r="J475" s="44" t="e">
        <f aca="false">INDEX(#REF!, MATCH(B475, participants!$A:$A, 0), 1)</f>
        <v>#N/A</v>
      </c>
    </row>
    <row r="476" customFormat="false" ht="13.8" hidden="false" customHeight="false" outlineLevel="0" collapsed="false">
      <c r="A476" s="37" t="s">
        <v>2734</v>
      </c>
      <c r="B476" s="41" t="s">
        <v>2646</v>
      </c>
      <c r="C476" s="8" t="s">
        <v>2735</v>
      </c>
      <c r="D476" s="8" t="s">
        <v>1697</v>
      </c>
      <c r="E476" s="8" t="s">
        <v>2499</v>
      </c>
      <c r="F476" s="8" t="s">
        <v>2736</v>
      </c>
      <c r="G476" s="42" t="e">
        <f aca="false">INDEX(participants!$I:$I, MATCH(B476, participants!$A:$A, 0), 1)</f>
        <v>#N/A</v>
      </c>
      <c r="H476" s="30" t="str">
        <f aca="false">INDEX(libraries!$A:$A, MATCH(A476, libraries!$B:$B, 0), 1)</f>
        <v>lib0574</v>
      </c>
      <c r="I476" s="21" t="s">
        <v>1896</v>
      </c>
      <c r="J476" s="44" t="e">
        <f aca="false">INDEX(#REF!, MATCH(B476, participants!$A:$A, 0), 1)</f>
        <v>#N/A</v>
      </c>
    </row>
    <row r="477" customFormat="false" ht="13.8" hidden="false" customHeight="false" outlineLevel="0" collapsed="false">
      <c r="A477" s="37" t="s">
        <v>2737</v>
      </c>
      <c r="B477" s="41" t="s">
        <v>2646</v>
      </c>
      <c r="C477" s="8" t="s">
        <v>2738</v>
      </c>
      <c r="D477" s="8" t="s">
        <v>1697</v>
      </c>
      <c r="E477" s="8" t="s">
        <v>2499</v>
      </c>
      <c r="F477" s="8" t="s">
        <v>2739</v>
      </c>
      <c r="G477" s="42" t="e">
        <f aca="false">INDEX(participants!$I:$I, MATCH(B477, participants!$A:$A, 0), 1)</f>
        <v>#N/A</v>
      </c>
      <c r="H477" s="30" t="str">
        <f aca="false">INDEX(libraries!$A:$A, MATCH(A477, libraries!$B:$B, 0), 1)</f>
        <v>lib0575</v>
      </c>
      <c r="I477" s="21" t="s">
        <v>1896</v>
      </c>
      <c r="J477" s="44" t="e">
        <f aca="false">INDEX(#REF!, MATCH(B477, participants!$A:$A, 0), 1)</f>
        <v>#N/A</v>
      </c>
    </row>
    <row r="478" customFormat="false" ht="13.8" hidden="false" customHeight="false" outlineLevel="0" collapsed="false">
      <c r="A478" s="37" t="s">
        <v>2740</v>
      </c>
      <c r="B478" s="41" t="s">
        <v>2221</v>
      </c>
      <c r="C478" s="8" t="s">
        <v>2309</v>
      </c>
      <c r="D478" s="8" t="s">
        <v>1697</v>
      </c>
      <c r="E478" s="8" t="s">
        <v>2380</v>
      </c>
      <c r="F478" s="8" t="s">
        <v>2741</v>
      </c>
      <c r="G478" s="42" t="e">
        <f aca="false">INDEX(participants!$I:$I, MATCH(B478, participants!$A:$A, 0), 1)</f>
        <v>#N/A</v>
      </c>
      <c r="H478" s="30" t="str">
        <f aca="false">INDEX(libraries!$A:$A, MATCH(A478, libraries!$B:$B, 0), 1)</f>
        <v>lib0576</v>
      </c>
      <c r="I478" s="21" t="s">
        <v>1896</v>
      </c>
      <c r="J478" s="44" t="e">
        <f aca="false">INDEX(#REF!, MATCH(B478, participants!$A:$A, 0), 1)</f>
        <v>#N/A</v>
      </c>
    </row>
    <row r="479" customFormat="false" ht="13.8" hidden="false" customHeight="false" outlineLevel="0" collapsed="false">
      <c r="A479" s="37" t="s">
        <v>2742</v>
      </c>
      <c r="B479" s="41" t="s">
        <v>2221</v>
      </c>
      <c r="C479" s="8" t="s">
        <v>2459</v>
      </c>
      <c r="D479" s="8" t="s">
        <v>1697</v>
      </c>
      <c r="E479" s="8" t="s">
        <v>2380</v>
      </c>
      <c r="F479" s="8" t="s">
        <v>2743</v>
      </c>
      <c r="G479" s="42" t="e">
        <f aca="false">INDEX(participants!$I:$I, MATCH(B479, participants!$A:$A, 0), 1)</f>
        <v>#N/A</v>
      </c>
      <c r="H479" s="30" t="str">
        <f aca="false">INDEX(libraries!$A:$A, MATCH(A479, libraries!$B:$B, 0), 1)</f>
        <v>lib0577</v>
      </c>
      <c r="J479" s="44" t="e">
        <f aca="false">INDEX(#REF!, MATCH(B479, participants!$A:$A, 0), 1)</f>
        <v>#N/A</v>
      </c>
    </row>
    <row r="480" customFormat="false" ht="13.8" hidden="false" customHeight="false" outlineLevel="0" collapsed="false">
      <c r="A480" s="37" t="s">
        <v>2744</v>
      </c>
      <c r="B480" s="41" t="s">
        <v>2221</v>
      </c>
      <c r="C480" s="8" t="s">
        <v>2745</v>
      </c>
      <c r="D480" s="8" t="s">
        <v>1697</v>
      </c>
      <c r="E480" s="8" t="s">
        <v>2746</v>
      </c>
      <c r="F480" s="8" t="s">
        <v>2747</v>
      </c>
      <c r="G480" s="42" t="e">
        <f aca="false">INDEX(participants!$I:$I, MATCH(B480, participants!$A:$A, 0), 1)</f>
        <v>#N/A</v>
      </c>
      <c r="H480" s="30" t="str">
        <f aca="false">INDEX(libraries!$A:$A, MATCH(A480, libraries!$B:$B, 0), 1)</f>
        <v>lib0578</v>
      </c>
      <c r="J480" s="44" t="e">
        <f aca="false">INDEX(#REF!, MATCH(B480, participants!$A:$A, 0), 1)</f>
        <v>#N/A</v>
      </c>
    </row>
    <row r="481" customFormat="false" ht="13.8" hidden="false" customHeight="false" outlineLevel="0" collapsed="false">
      <c r="A481" s="37" t="s">
        <v>2748</v>
      </c>
      <c r="B481" s="41" t="s">
        <v>2599</v>
      </c>
      <c r="C481" s="8" t="s">
        <v>2607</v>
      </c>
      <c r="D481" s="8" t="s">
        <v>1697</v>
      </c>
      <c r="E481" s="8" t="s">
        <v>2749</v>
      </c>
      <c r="F481" s="8" t="s">
        <v>2750</v>
      </c>
      <c r="G481" s="42" t="e">
        <f aca="false">INDEX(participants!$I:$I, MATCH(B481, participants!$A:$A, 0), 1)</f>
        <v>#N/A</v>
      </c>
      <c r="H481" s="30" t="str">
        <f aca="false">INDEX(libraries!$A:$A, MATCH(A481, libraries!$B:$B, 0), 1)</f>
        <v>lib0579</v>
      </c>
      <c r="J481" s="44" t="e">
        <f aca="false">INDEX(#REF!, MATCH(B481, participants!$A:$A, 0), 1)</f>
        <v>#N/A</v>
      </c>
    </row>
    <row r="482" customFormat="false" ht="13.8" hidden="false" customHeight="false" outlineLevel="0" collapsed="false">
      <c r="A482" s="37" t="s">
        <v>2751</v>
      </c>
      <c r="B482" s="41" t="s">
        <v>2599</v>
      </c>
      <c r="C482" s="8" t="s">
        <v>2752</v>
      </c>
      <c r="D482" s="8" t="s">
        <v>1697</v>
      </c>
      <c r="E482" s="8" t="s">
        <v>2753</v>
      </c>
      <c r="F482" s="8" t="s">
        <v>2754</v>
      </c>
      <c r="G482" s="42" t="e">
        <f aca="false">INDEX(participants!$I:$I, MATCH(B482, participants!$A:$A, 0), 1)</f>
        <v>#N/A</v>
      </c>
      <c r="H482" s="30" t="str">
        <f aca="false">INDEX(libraries!$A:$A, MATCH(A482, libraries!$B:$B, 0), 1)</f>
        <v>lib0580</v>
      </c>
      <c r="J482" s="44" t="e">
        <f aca="false">INDEX(#REF!, MATCH(B482, participants!$A:$A, 0), 1)</f>
        <v>#N/A</v>
      </c>
    </row>
    <row r="483" customFormat="false" ht="13.8" hidden="false" customHeight="false" outlineLevel="0" collapsed="false">
      <c r="A483" s="37" t="s">
        <v>2755</v>
      </c>
      <c r="B483" s="41" t="s">
        <v>2599</v>
      </c>
      <c r="C483" s="8" t="s">
        <v>2756</v>
      </c>
      <c r="D483" s="8" t="s">
        <v>1697</v>
      </c>
      <c r="E483" s="8" t="s">
        <v>2757</v>
      </c>
      <c r="F483" s="8" t="s">
        <v>2758</v>
      </c>
      <c r="G483" s="42" t="e">
        <f aca="false">INDEX(participants!$I:$I, MATCH(B483, participants!$A:$A, 0), 1)</f>
        <v>#N/A</v>
      </c>
      <c r="H483" s="30" t="str">
        <f aca="false">INDEX(libraries!$A:$A, MATCH(A483, libraries!$B:$B, 0), 1)</f>
        <v>lib0581</v>
      </c>
      <c r="J483" s="44" t="e">
        <f aca="false">INDEX(#REF!, MATCH(B483, participants!$A:$A, 0), 1)</f>
        <v>#N/A</v>
      </c>
    </row>
    <row r="484" customFormat="false" ht="13.8" hidden="false" customHeight="false" outlineLevel="0" collapsed="false">
      <c r="A484" s="37" t="s">
        <v>2759</v>
      </c>
      <c r="B484" s="41" t="s">
        <v>2599</v>
      </c>
      <c r="C484" s="8" t="s">
        <v>2642</v>
      </c>
      <c r="D484" s="8" t="s">
        <v>1697</v>
      </c>
      <c r="E484" s="8" t="s">
        <v>2760</v>
      </c>
      <c r="F484" s="8" t="s">
        <v>2761</v>
      </c>
      <c r="G484" s="42" t="e">
        <f aca="false">INDEX(participants!$I:$I, MATCH(B484, participants!$A:$A, 0), 1)</f>
        <v>#N/A</v>
      </c>
      <c r="H484" s="30" t="str">
        <f aca="false">INDEX(libraries!$A:$A, MATCH(A484, libraries!$B:$B, 0), 1)</f>
        <v>lib0582</v>
      </c>
      <c r="J484" s="44" t="e">
        <f aca="false">INDEX(#REF!, MATCH(B484, participants!$A:$A, 0), 1)</f>
        <v>#N/A</v>
      </c>
    </row>
    <row r="485" customFormat="false" ht="13.8" hidden="false" customHeight="false" outlineLevel="0" collapsed="false">
      <c r="A485" s="37" t="s">
        <v>2762</v>
      </c>
      <c r="B485" s="41" t="s">
        <v>2625</v>
      </c>
      <c r="C485" s="8" t="n">
        <v>45279</v>
      </c>
      <c r="D485" s="8" t="s">
        <v>1697</v>
      </c>
      <c r="E485" s="8" t="s">
        <v>2631</v>
      </c>
      <c r="F485" s="8" t="s">
        <v>2763</v>
      </c>
      <c r="G485" s="42" t="e">
        <f aca="false">INDEX(participants!$I:$I, MATCH(B485, participants!$A:$A, 0), 1)</f>
        <v>#N/A</v>
      </c>
      <c r="H485" s="30" t="str">
        <f aca="false">INDEX(libraries!$A:$A, MATCH(A485, libraries!$B:$B, 0), 1)</f>
        <v>lib0583</v>
      </c>
      <c r="J485" s="44" t="e">
        <f aca="false">INDEX(#REF!, MATCH(B485, participants!$A:$A, 0), 1)</f>
        <v>#N/A</v>
      </c>
    </row>
    <row r="486" customFormat="false" ht="13.8" hidden="false" customHeight="false" outlineLevel="0" collapsed="false">
      <c r="A486" s="37" t="s">
        <v>2764</v>
      </c>
      <c r="B486" s="41" t="s">
        <v>2348</v>
      </c>
      <c r="C486" s="8" t="s">
        <v>2657</v>
      </c>
      <c r="D486" s="8" t="s">
        <v>1697</v>
      </c>
      <c r="E486" s="8" t="s">
        <v>2725</v>
      </c>
      <c r="F486" s="8" t="s">
        <v>2765</v>
      </c>
      <c r="G486" s="42" t="e">
        <f aca="false">INDEX(participants!$I:$I, MATCH(B486, participants!$A:$A, 0), 1)</f>
        <v>#N/A</v>
      </c>
      <c r="H486" s="30" t="str">
        <f aca="false">INDEX(libraries!$A:$A, MATCH(A486, libraries!$B:$B, 0), 1)</f>
        <v>lib0586</v>
      </c>
      <c r="J486" s="44" t="e">
        <f aca="false">INDEX(#REF!, MATCH(B486, participants!$A:$A, 0), 1)</f>
        <v>#N/A</v>
      </c>
    </row>
    <row r="487" customFormat="false" ht="13.8" hidden="false" customHeight="false" outlineLevel="0" collapsed="false">
      <c r="A487" s="37" t="s">
        <v>2766</v>
      </c>
      <c r="B487" s="41" t="s">
        <v>2548</v>
      </c>
      <c r="C487" s="8" t="n">
        <v>45279</v>
      </c>
      <c r="D487" s="8" t="s">
        <v>1697</v>
      </c>
      <c r="E487" s="8" t="s">
        <v>2767</v>
      </c>
      <c r="F487" s="8" t="s">
        <v>2768</v>
      </c>
      <c r="G487" s="42" t="e">
        <f aca="false">INDEX(participants!$I:$I, MATCH(B487, participants!$A:$A, 0), 1)</f>
        <v>#N/A</v>
      </c>
      <c r="H487" s="30" t="str">
        <f aca="false">INDEX(libraries!$A:$A, MATCH(A487, libraries!$B:$B, 0), 1)</f>
        <v>lib0587</v>
      </c>
      <c r="J487" s="44" t="e">
        <f aca="false">INDEX(#REF!, MATCH(B487, participants!$A:$A, 0), 1)</f>
        <v>#N/A</v>
      </c>
    </row>
    <row r="488" customFormat="false" ht="13.8" hidden="false" customHeight="false" outlineLevel="0" collapsed="false">
      <c r="A488" s="37" t="s">
        <v>2769</v>
      </c>
      <c r="B488" s="41" t="s">
        <v>2330</v>
      </c>
      <c r="C488" s="8" t="s">
        <v>2770</v>
      </c>
      <c r="D488" s="8" t="s">
        <v>1697</v>
      </c>
      <c r="E488" s="8" t="s">
        <v>2681</v>
      </c>
      <c r="F488" s="8" t="s">
        <v>2771</v>
      </c>
      <c r="G488" s="42" t="e">
        <f aca="false">INDEX(participants!$I:$I, MATCH(B488, participants!$A:$A, 0), 1)</f>
        <v>#N/A</v>
      </c>
      <c r="H488" s="30" t="str">
        <f aca="false">INDEX(libraries!$A:$A, MATCH(A488, libraries!$B:$B, 0), 1)</f>
        <v>lib0588</v>
      </c>
      <c r="J488" s="44" t="e">
        <f aca="false">INDEX(#REF!, MATCH(B488, participants!$A:$A, 0), 1)</f>
        <v>#N/A</v>
      </c>
    </row>
    <row r="489" customFormat="false" ht="13.8" hidden="false" customHeight="false" outlineLevel="0" collapsed="false">
      <c r="A489" s="37" t="s">
        <v>2772</v>
      </c>
      <c r="B489" s="41" t="s">
        <v>2366</v>
      </c>
      <c r="C489" s="8" t="s">
        <v>2703</v>
      </c>
      <c r="D489" s="8" t="s">
        <v>1697</v>
      </c>
      <c r="E489" s="8" t="s">
        <v>2773</v>
      </c>
      <c r="F489" s="8" t="s">
        <v>2774</v>
      </c>
      <c r="G489" s="42" t="e">
        <f aca="false">INDEX(participants!$I:$I, MATCH(B489, participants!$A:$A, 0), 1)</f>
        <v>#N/A</v>
      </c>
      <c r="H489" s="30" t="str">
        <f aca="false">INDEX(libraries!$A:$A, MATCH(A489, libraries!$B:$B, 0), 1)</f>
        <v>lib0589</v>
      </c>
      <c r="J489" s="44" t="e">
        <f aca="false">INDEX(#REF!, MATCH(B489, participants!$A:$A, 0), 1)</f>
        <v>#N/A</v>
      </c>
    </row>
    <row r="490" customFormat="false" ht="13.8" hidden="false" customHeight="false" outlineLevel="0" collapsed="false">
      <c r="A490" s="37" t="s">
        <v>2775</v>
      </c>
      <c r="B490" s="41" t="s">
        <v>2320</v>
      </c>
      <c r="C490" s="8" t="s">
        <v>2703</v>
      </c>
      <c r="D490" s="8" t="s">
        <v>1697</v>
      </c>
      <c r="E490" s="8" t="s">
        <v>2681</v>
      </c>
      <c r="F490" s="8" t="s">
        <v>2776</v>
      </c>
      <c r="G490" s="42" t="e">
        <f aca="false">INDEX(participants!$I:$I, MATCH(B490, participants!$A:$A, 0), 1)</f>
        <v>#N/A</v>
      </c>
      <c r="H490" s="30" t="str">
        <f aca="false">INDEX(libraries!$A:$A, MATCH(A490, libraries!$B:$B, 0), 1)</f>
        <v>lib0590</v>
      </c>
      <c r="J490" s="44" t="e">
        <f aca="false">INDEX(#REF!, MATCH(B490, participants!$A:$A, 0), 1)</f>
        <v>#N/A</v>
      </c>
    </row>
    <row r="491" customFormat="false" ht="13.8" hidden="false" customHeight="false" outlineLevel="0" collapsed="false">
      <c r="A491" s="37" t="s">
        <v>2777</v>
      </c>
      <c r="B491" s="41" t="s">
        <v>2361</v>
      </c>
      <c r="C491" s="8" t="s">
        <v>2778</v>
      </c>
      <c r="D491" s="8" t="s">
        <v>1697</v>
      </c>
      <c r="E491" s="8" t="s">
        <v>2681</v>
      </c>
      <c r="F491" s="8" t="s">
        <v>2779</v>
      </c>
      <c r="G491" s="42" t="e">
        <f aca="false">INDEX(participants!$I:$I, MATCH(B491, participants!$A:$A, 0), 1)</f>
        <v>#N/A</v>
      </c>
      <c r="H491" s="30" t="str">
        <f aca="false">INDEX(libraries!$A:$A, MATCH(A491, libraries!$B:$B, 0), 1)</f>
        <v>lib0591</v>
      </c>
      <c r="J491" s="44" t="e">
        <f aca="false">INDEX(#REF!, MATCH(B491, participants!$A:$A, 0), 1)</f>
        <v>#N/A</v>
      </c>
    </row>
    <row r="492" customFormat="false" ht="13.8" hidden="false" customHeight="false" outlineLevel="0" collapsed="false">
      <c r="A492" s="37" t="s">
        <v>2780</v>
      </c>
      <c r="B492" s="41" t="s">
        <v>2361</v>
      </c>
      <c r="C492" s="8" t="s">
        <v>2781</v>
      </c>
      <c r="D492" s="8" t="s">
        <v>1697</v>
      </c>
      <c r="E492" s="8" t="s">
        <v>2782</v>
      </c>
      <c r="F492" s="8" t="s">
        <v>2783</v>
      </c>
      <c r="G492" s="42" t="e">
        <f aca="false">INDEX(participants!$I:$I, MATCH(B492, participants!$A:$A, 0), 1)</f>
        <v>#N/A</v>
      </c>
      <c r="H492" s="30" t="str">
        <f aca="false">INDEX(libraries!$A:$A, MATCH(A492, libraries!$B:$B, 0), 1)</f>
        <v>lib0592</v>
      </c>
      <c r="I492" s="21" t="s">
        <v>1896</v>
      </c>
      <c r="J492" s="44" t="e">
        <f aca="false">INDEX(#REF!, MATCH(B492, participants!$A:$A, 0), 1)</f>
        <v>#N/A</v>
      </c>
    </row>
    <row r="493" customFormat="false" ht="13.8" hidden="false" customHeight="false" outlineLevel="0" collapsed="false">
      <c r="A493" s="37" t="s">
        <v>2784</v>
      </c>
      <c r="B493" s="41" t="s">
        <v>2320</v>
      </c>
      <c r="C493" s="8" t="s">
        <v>2785</v>
      </c>
      <c r="D493" s="8" t="s">
        <v>1697</v>
      </c>
      <c r="E493" s="8" t="s">
        <v>2681</v>
      </c>
      <c r="F493" s="8" t="s">
        <v>2786</v>
      </c>
      <c r="G493" s="42" t="e">
        <f aca="false">INDEX(participants!$I:$I, MATCH(B493, participants!$A:$A, 0), 1)</f>
        <v>#N/A</v>
      </c>
      <c r="H493" s="30" t="str">
        <f aca="false">INDEX(libraries!$A:$A, MATCH(A493, libraries!$B:$B, 0), 1)</f>
        <v>lib0593</v>
      </c>
      <c r="J493" s="44" t="e">
        <f aca="false">INDEX(#REF!, MATCH(B493, participants!$A:$A, 0), 1)</f>
        <v>#N/A</v>
      </c>
    </row>
    <row r="494" customFormat="false" ht="13.8" hidden="false" customHeight="false" outlineLevel="0" collapsed="false">
      <c r="A494" s="37" t="s">
        <v>2787</v>
      </c>
      <c r="B494" s="41" t="s">
        <v>2221</v>
      </c>
      <c r="C494" s="8" t="s">
        <v>2788</v>
      </c>
      <c r="D494" s="8" t="s">
        <v>1697</v>
      </c>
      <c r="E494" s="8" t="s">
        <v>2746</v>
      </c>
      <c r="F494" s="8" t="s">
        <v>2789</v>
      </c>
      <c r="G494" s="42" t="e">
        <f aca="false">INDEX(participants!$I:$I, MATCH(B494, participants!$A:$A, 0), 1)</f>
        <v>#N/A</v>
      </c>
      <c r="H494" s="30" t="str">
        <f aca="false">INDEX(libraries!$A:$A, MATCH(A494, libraries!$B:$B, 0), 1)</f>
        <v>lib0595</v>
      </c>
      <c r="J494" s="44" t="e">
        <f aca="false">INDEX(#REF!, MATCH(B494, participants!$A:$A, 0), 1)</f>
        <v>#N/A</v>
      </c>
    </row>
    <row r="495" customFormat="false" ht="13.8" hidden="false" customHeight="false" outlineLevel="0" collapsed="false">
      <c r="A495" s="37" t="s">
        <v>2790</v>
      </c>
      <c r="B495" s="41" t="s">
        <v>2599</v>
      </c>
      <c r="C495" s="8" t="s">
        <v>2791</v>
      </c>
      <c r="D495" s="8" t="s">
        <v>1697</v>
      </c>
      <c r="E495" s="8" t="s">
        <v>2792</v>
      </c>
      <c r="F495" s="8" t="s">
        <v>2793</v>
      </c>
      <c r="G495" s="42" t="e">
        <f aca="false">INDEX(participants!$I:$I, MATCH(B495, participants!$A:$A, 0), 1)</f>
        <v>#N/A</v>
      </c>
      <c r="H495" s="30" t="str">
        <f aca="false">INDEX(libraries!$A:$A, MATCH(A495, libraries!$B:$B, 0), 1)</f>
        <v>lib0596</v>
      </c>
      <c r="J495" s="44" t="e">
        <f aca="false">INDEX(#REF!, MATCH(B495, participants!$A:$A, 0), 1)</f>
        <v>#N/A</v>
      </c>
    </row>
    <row r="496" customFormat="false" ht="13.8" hidden="false" customHeight="false" outlineLevel="0" collapsed="false">
      <c r="A496" s="37" t="s">
        <v>2794</v>
      </c>
      <c r="B496" s="41" t="s">
        <v>2625</v>
      </c>
      <c r="C496" s="8" t="s">
        <v>2615</v>
      </c>
      <c r="D496" s="8" t="s">
        <v>1697</v>
      </c>
      <c r="E496" s="8" t="s">
        <v>2795</v>
      </c>
      <c r="F496" s="8" t="s">
        <v>2796</v>
      </c>
      <c r="G496" s="42" t="e">
        <f aca="false">INDEX(participants!$I:$I, MATCH(B496, participants!$A:$A, 0), 1)</f>
        <v>#N/A</v>
      </c>
      <c r="H496" s="30" t="str">
        <f aca="false">INDEX(libraries!$A:$A, MATCH(A496, libraries!$B:$B, 0), 1)</f>
        <v>lib0597</v>
      </c>
      <c r="J496" s="44" t="e">
        <f aca="false">INDEX(#REF!, MATCH(B496, participants!$A:$A, 0), 1)</f>
        <v>#N/A</v>
      </c>
    </row>
    <row r="497" customFormat="false" ht="13.8" hidden="false" customHeight="false" outlineLevel="0" collapsed="false">
      <c r="A497" s="37" t="s">
        <v>2797</v>
      </c>
      <c r="B497" s="41" t="s">
        <v>2625</v>
      </c>
      <c r="C497" s="8" t="s">
        <v>2611</v>
      </c>
      <c r="D497" s="8" t="s">
        <v>1697</v>
      </c>
      <c r="E497" s="8" t="s">
        <v>2798</v>
      </c>
      <c r="F497" s="8" t="s">
        <v>2799</v>
      </c>
      <c r="G497" s="42" t="e">
        <f aca="false">INDEX(participants!$I:$I, MATCH(B497, participants!$A:$A, 0), 1)</f>
        <v>#N/A</v>
      </c>
      <c r="H497" s="30" t="str">
        <f aca="false">INDEX(libraries!$A:$A, MATCH(A497, libraries!$B:$B, 0), 1)</f>
        <v>lib0598</v>
      </c>
      <c r="J497" s="44" t="e">
        <f aca="false">INDEX(#REF!, MATCH(B497, participants!$A:$A, 0), 1)</f>
        <v>#N/A</v>
      </c>
    </row>
    <row r="498" customFormat="false" ht="13.8" hidden="false" customHeight="false" outlineLevel="0" collapsed="false">
      <c r="A498" s="37" t="s">
        <v>2800</v>
      </c>
      <c r="B498" s="41" t="s">
        <v>2548</v>
      </c>
      <c r="C498" s="8" t="s">
        <v>2615</v>
      </c>
      <c r="D498" s="8" t="s">
        <v>1697</v>
      </c>
      <c r="E498" s="8" t="s">
        <v>2672</v>
      </c>
      <c r="F498" s="8" t="s">
        <v>2801</v>
      </c>
      <c r="G498" s="42" t="e">
        <f aca="false">INDEX(participants!$I:$I, MATCH(B498, participants!$A:$A, 0), 1)</f>
        <v>#N/A</v>
      </c>
      <c r="H498" s="30" t="str">
        <f aca="false">INDEX(libraries!$A:$A, MATCH(A498, libraries!$B:$B, 0), 1)</f>
        <v>lib0600</v>
      </c>
      <c r="J498" s="44" t="e">
        <f aca="false">INDEX(#REF!, MATCH(B498, participants!$A:$A, 0), 1)</f>
        <v>#N/A</v>
      </c>
    </row>
    <row r="499" customFormat="false" ht="13.8" hidden="false" customHeight="false" outlineLevel="0" collapsed="false">
      <c r="A499" s="37" t="s">
        <v>2802</v>
      </c>
      <c r="B499" s="41" t="s">
        <v>2320</v>
      </c>
      <c r="C499" s="8" t="s">
        <v>2803</v>
      </c>
      <c r="D499" s="8" t="s">
        <v>1697</v>
      </c>
      <c r="E499" s="8" t="s">
        <v>2681</v>
      </c>
      <c r="F499" s="8" t="s">
        <v>2804</v>
      </c>
      <c r="G499" s="42" t="e">
        <f aca="false">INDEX(participants!$I:$I, MATCH(B499, participants!$A:$A, 0), 1)</f>
        <v>#N/A</v>
      </c>
      <c r="H499" s="30" t="str">
        <f aca="false">INDEX(libraries!$A:$A, MATCH(A499, libraries!$B:$B, 0), 1)</f>
        <v>lib0601</v>
      </c>
      <c r="J499" s="44" t="e">
        <f aca="false">INDEX(#REF!, MATCH(B499, participants!$A:$A, 0), 1)</f>
        <v>#N/A</v>
      </c>
    </row>
    <row r="500" customFormat="false" ht="13.8" hidden="false" customHeight="false" outlineLevel="0" collapsed="false">
      <c r="A500" s="37" t="s">
        <v>2805</v>
      </c>
      <c r="B500" s="41" t="s">
        <v>2548</v>
      </c>
      <c r="C500" s="8" t="s">
        <v>2684</v>
      </c>
      <c r="D500" s="8" t="s">
        <v>1697</v>
      </c>
      <c r="E500" s="8" t="s">
        <v>2806</v>
      </c>
      <c r="F500" s="8" t="s">
        <v>2807</v>
      </c>
      <c r="G500" s="42" t="e">
        <f aca="false">INDEX(participants!$I:$I, MATCH(B500, participants!$A:$A, 0), 1)</f>
        <v>#N/A</v>
      </c>
      <c r="H500" s="30" t="str">
        <f aca="false">INDEX(libraries!$A:$A, MATCH(A500, libraries!$B:$B, 0), 1)</f>
        <v>lib0602</v>
      </c>
      <c r="J500" s="44" t="e">
        <f aca="false">INDEX(#REF!, MATCH(B500, participants!$A:$A, 0), 1)</f>
        <v>#N/A</v>
      </c>
    </row>
    <row r="501" customFormat="false" ht="13.8" hidden="false" customHeight="false" outlineLevel="0" collapsed="false">
      <c r="A501" s="37" t="s">
        <v>2808</v>
      </c>
      <c r="B501" s="41" t="s">
        <v>2599</v>
      </c>
      <c r="C501" s="8" t="s">
        <v>2809</v>
      </c>
      <c r="D501" s="8" t="s">
        <v>1697</v>
      </c>
      <c r="E501" s="8" t="s">
        <v>2681</v>
      </c>
      <c r="F501" s="8" t="s">
        <v>2810</v>
      </c>
      <c r="G501" s="42" t="e">
        <f aca="false">INDEX(participants!$I:$I, MATCH(B501, participants!$A:$A, 0), 1)</f>
        <v>#N/A</v>
      </c>
      <c r="H501" s="42" t="str">
        <f aca="false">INDEX(libraries!$A:$A, MATCH(A501, libraries!$B:$B, 0), 1)</f>
        <v>lib0603</v>
      </c>
      <c r="J501" s="44" t="e">
        <f aca="false">INDEX(#REF!, MATCH(B501, participants!$A:$A, 0), 1)</f>
        <v>#N/A</v>
      </c>
    </row>
    <row r="502" customFormat="false" ht="13.8" hidden="false" customHeight="false" outlineLevel="0" collapsed="false">
      <c r="A502" s="37" t="s">
        <v>2811</v>
      </c>
      <c r="B502" s="41" t="s">
        <v>2221</v>
      </c>
      <c r="C502" s="8" t="s">
        <v>2812</v>
      </c>
      <c r="D502" s="8" t="s">
        <v>1697</v>
      </c>
      <c r="E502" s="8" t="s">
        <v>2813</v>
      </c>
      <c r="F502" s="8" t="s">
        <v>2814</v>
      </c>
      <c r="G502" s="42" t="e">
        <f aca="false">INDEX(participants!$I:$I, MATCH(B502, participants!$A:$A, 0), 1)</f>
        <v>#N/A</v>
      </c>
      <c r="H502" s="42" t="str">
        <f aca="false">INDEX(libraries!$A:$A, MATCH(A502, libraries!$B:$B, 0), 1)</f>
        <v>lib0604</v>
      </c>
      <c r="I502" s="21" t="s">
        <v>427</v>
      </c>
      <c r="J502" s="44" t="e">
        <f aca="false">INDEX(#REF!, MATCH(B502, participants!$A:$A, 0), 1)</f>
        <v>#N/A</v>
      </c>
    </row>
    <row r="503" customFormat="false" ht="13.8" hidden="false" customHeight="false" outlineLevel="0" collapsed="false">
      <c r="A503" s="37" t="s">
        <v>2815</v>
      </c>
      <c r="B503" s="41" t="s">
        <v>2361</v>
      </c>
      <c r="C503" s="8" t="s">
        <v>2816</v>
      </c>
      <c r="D503" s="8" t="s">
        <v>1697</v>
      </c>
      <c r="E503" s="8" t="s">
        <v>2700</v>
      </c>
      <c r="F503" s="8" t="s">
        <v>2817</v>
      </c>
      <c r="G503" s="42" t="e">
        <f aca="false">INDEX(participants!$I:$I, MATCH(B503, participants!$A:$A, 0), 1)</f>
        <v>#N/A</v>
      </c>
      <c r="H503" s="42" t="str">
        <f aca="false">INDEX(libraries!$A:$A, MATCH(A503, libraries!$B:$B, 0), 1)</f>
        <v>lib0605</v>
      </c>
      <c r="J503" s="44" t="e">
        <f aca="false">INDEX(#REF!, MATCH(B503, participants!$A:$A, 0), 1)</f>
        <v>#N/A</v>
      </c>
    </row>
    <row r="504" customFormat="false" ht="13.8" hidden="false" customHeight="false" outlineLevel="0" collapsed="false">
      <c r="A504" s="37" t="s">
        <v>2818</v>
      </c>
      <c r="B504" s="41" t="s">
        <v>2361</v>
      </c>
      <c r="C504" s="8" t="s">
        <v>2362</v>
      </c>
      <c r="D504" s="8" t="s">
        <v>1697</v>
      </c>
      <c r="E504" s="8" t="s">
        <v>2681</v>
      </c>
      <c r="F504" s="8" t="s">
        <v>2819</v>
      </c>
      <c r="G504" s="42" t="e">
        <f aca="false">INDEX(participants!$I:$I, MATCH(B504, participants!$A:$A, 0), 1)</f>
        <v>#N/A</v>
      </c>
      <c r="H504" s="42" t="str">
        <f aca="false">INDEX(libraries!$A:$A, MATCH(A504, libraries!$B:$B, 0), 1)</f>
        <v>lib0606</v>
      </c>
      <c r="J504" s="44" t="e">
        <f aca="false">INDEX(#REF!, MATCH(B504, participants!$A:$A, 0), 1)</f>
        <v>#N/A</v>
      </c>
    </row>
    <row r="505" customFormat="false" ht="13.8" hidden="false" customHeight="false" outlineLevel="0" collapsed="false">
      <c r="A505" s="37" t="s">
        <v>2820</v>
      </c>
      <c r="B505" s="41" t="s">
        <v>2348</v>
      </c>
      <c r="C505" s="8" t="s">
        <v>2400</v>
      </c>
      <c r="D505" s="8" t="s">
        <v>1697</v>
      </c>
      <c r="E505" s="8" t="s">
        <v>2356</v>
      </c>
      <c r="F505" s="8" t="s">
        <v>2821</v>
      </c>
      <c r="G505" s="42" t="e">
        <f aca="false">INDEX(participants!$I:$I, MATCH(B505, participants!$A:$A, 0), 1)</f>
        <v>#N/A</v>
      </c>
      <c r="H505" s="42" t="str">
        <f aca="false">INDEX(libraries!$A:$A, MATCH(A505, libraries!$B:$B, 0), 1)</f>
        <v>lib0607</v>
      </c>
      <c r="J505" s="44" t="e">
        <f aca="false">INDEX(#REF!, MATCH(B505, participants!$A:$A, 0), 1)</f>
        <v>#N/A</v>
      </c>
    </row>
    <row r="506" customFormat="false" ht="13.8" hidden="false" customHeight="false" outlineLevel="0" collapsed="false">
      <c r="A506" s="37" t="s">
        <v>2822</v>
      </c>
      <c r="B506" s="41" t="s">
        <v>2320</v>
      </c>
      <c r="C506" s="8" t="s">
        <v>2823</v>
      </c>
      <c r="D506" s="8" t="s">
        <v>1697</v>
      </c>
      <c r="E506" s="8" t="s">
        <v>2824</v>
      </c>
      <c r="F506" s="8" t="s">
        <v>2825</v>
      </c>
      <c r="G506" s="42" t="e">
        <f aca="false">INDEX(participants!$I:$I, MATCH(B506, participants!$A:$A, 0), 1)</f>
        <v>#N/A</v>
      </c>
      <c r="H506" s="42" t="str">
        <f aca="false">INDEX(libraries!$A:$A, MATCH(A506, libraries!$B:$B, 0), 1)</f>
        <v>lib0608</v>
      </c>
      <c r="J506" s="44" t="e">
        <f aca="false">INDEX(#REF!, MATCH(B506, participants!$A:$A, 0), 1)</f>
        <v>#N/A</v>
      </c>
    </row>
    <row r="507" customFormat="false" ht="13.8" hidden="false" customHeight="false" outlineLevel="0" collapsed="false">
      <c r="A507" s="37" t="s">
        <v>2826</v>
      </c>
      <c r="B507" s="41" t="s">
        <v>2366</v>
      </c>
      <c r="C507" s="8" t="s">
        <v>2355</v>
      </c>
      <c r="D507" s="8" t="s">
        <v>1697</v>
      </c>
      <c r="E507" s="8" t="s">
        <v>2827</v>
      </c>
      <c r="F507" s="8" t="s">
        <v>2828</v>
      </c>
      <c r="G507" s="42" t="e">
        <f aca="false">INDEX(participants!$I:$I, MATCH(B507, participants!$A:$A, 0), 1)</f>
        <v>#N/A</v>
      </c>
      <c r="H507" s="42" t="str">
        <f aca="false">INDEX(libraries!$A:$A, MATCH(A507, libraries!$B:$B, 0), 1)</f>
        <v>lib0609</v>
      </c>
      <c r="I507" s="21" t="s">
        <v>526</v>
      </c>
      <c r="J507" s="44" t="e">
        <f aca="false">INDEX(#REF!, MATCH(B507, participants!$A:$A, 0), 1)</f>
        <v>#N/A</v>
      </c>
    </row>
    <row r="508" customFormat="false" ht="13.8" hidden="false" customHeight="false" outlineLevel="0" collapsed="false">
      <c r="A508" s="37" t="s">
        <v>2829</v>
      </c>
      <c r="B508" s="41" t="s">
        <v>2625</v>
      </c>
      <c r="C508" s="8" t="s">
        <v>2830</v>
      </c>
      <c r="D508" s="8" t="s">
        <v>1697</v>
      </c>
      <c r="E508" s="8" t="s">
        <v>2635</v>
      </c>
      <c r="F508" s="8" t="s">
        <v>2831</v>
      </c>
      <c r="G508" s="42" t="e">
        <f aca="false">INDEX(participants!$I:$I, MATCH(B508, participants!$A:$A, 0), 1)</f>
        <v>#N/A</v>
      </c>
      <c r="H508" s="42" t="str">
        <f aca="false">INDEX(libraries!$A:$A, MATCH(A508, libraries!$B:$B, 0), 1)</f>
        <v>lib0610</v>
      </c>
      <c r="J508" s="44" t="e">
        <f aca="false">INDEX(#REF!, MATCH(B508, participants!$A:$A, 0), 1)</f>
        <v>#N/A</v>
      </c>
    </row>
    <row r="509" customFormat="false" ht="13.8" hidden="false" customHeight="false" outlineLevel="0" collapsed="false">
      <c r="A509" s="37" t="s">
        <v>2832</v>
      </c>
      <c r="B509" s="41" t="s">
        <v>2311</v>
      </c>
      <c r="C509" s="8" t="s">
        <v>2242</v>
      </c>
      <c r="D509" s="8" t="s">
        <v>1697</v>
      </c>
      <c r="E509" s="8" t="s">
        <v>2833</v>
      </c>
      <c r="F509" s="8" t="s">
        <v>2834</v>
      </c>
      <c r="G509" s="42" t="e">
        <f aca="false">INDEX(participants!$I:$I, MATCH(B509, participants!$A:$A, 0), 1)</f>
        <v>#N/A</v>
      </c>
      <c r="H509" s="42" t="str">
        <f aca="false">INDEX(libraries!$A:$A, MATCH(A509, libraries!$B:$B, 0), 1)</f>
        <v>lib0611</v>
      </c>
      <c r="J509" s="44" t="e">
        <f aca="false">INDEX(#REF!, MATCH(B509, participants!$A:$A, 0), 1)</f>
        <v>#N/A</v>
      </c>
    </row>
    <row r="510" customFormat="false" ht="13.8" hidden="false" customHeight="false" outlineLevel="0" collapsed="false">
      <c r="A510" s="37" t="s">
        <v>2835</v>
      </c>
      <c r="B510" s="41" t="s">
        <v>2679</v>
      </c>
      <c r="C510" s="8" t="s">
        <v>2836</v>
      </c>
      <c r="D510" s="8" t="s">
        <v>1697</v>
      </c>
      <c r="E510" s="8" t="s">
        <v>2681</v>
      </c>
      <c r="F510" s="8" t="s">
        <v>2837</v>
      </c>
      <c r="G510" s="42" t="e">
        <f aca="false">INDEX(participants!$I:$I, MATCH(B510, participants!$A:$A, 0), 1)</f>
        <v>#N/A</v>
      </c>
      <c r="H510" s="42" t="str">
        <f aca="false">INDEX(libraries!$A:$A, MATCH(A510, libraries!$B:$B, 0), 1)</f>
        <v>lib0612</v>
      </c>
      <c r="J510" s="44" t="e">
        <f aca="false">INDEX(#REF!, MATCH(B510, participants!$A:$A, 0), 1)</f>
        <v>#N/A</v>
      </c>
    </row>
    <row r="511" customFormat="false" ht="13.8" hidden="false" customHeight="false" outlineLevel="0" collapsed="false">
      <c r="A511" s="37" t="s">
        <v>2838</v>
      </c>
      <c r="B511" s="41" t="s">
        <v>2320</v>
      </c>
      <c r="C511" s="8" t="s">
        <v>2839</v>
      </c>
      <c r="D511" s="8" t="s">
        <v>1697</v>
      </c>
      <c r="E511" s="8" t="s">
        <v>2840</v>
      </c>
      <c r="F511" s="8" t="s">
        <v>2841</v>
      </c>
      <c r="G511" s="42" t="e">
        <f aca="false">INDEX(participants!$I:$I, MATCH(B511, participants!$A:$A, 0), 1)</f>
        <v>#N/A</v>
      </c>
      <c r="H511" s="42" t="str">
        <f aca="false">INDEX(libraries!$A:$A, MATCH(A511, libraries!$B:$B, 0), 1)</f>
        <v>lib0613</v>
      </c>
      <c r="J511" s="44" t="e">
        <f aca="false">INDEX(#REF!, MATCH(B511, participants!$A:$A, 0), 1)</f>
        <v>#N/A</v>
      </c>
    </row>
    <row r="512" customFormat="false" ht="13.8" hidden="false" customHeight="false" outlineLevel="0" collapsed="false">
      <c r="A512" s="37" t="s">
        <v>2842</v>
      </c>
      <c r="B512" s="41" t="s">
        <v>2320</v>
      </c>
      <c r="C512" s="8" t="s">
        <v>2581</v>
      </c>
      <c r="D512" s="8" t="s">
        <v>1697</v>
      </c>
      <c r="E512" s="8" t="s">
        <v>2843</v>
      </c>
      <c r="F512" s="8" t="s">
        <v>2844</v>
      </c>
      <c r="G512" s="42" t="e">
        <f aca="false">INDEX(participants!$I:$I, MATCH(B512, participants!$A:$A, 0), 1)</f>
        <v>#N/A</v>
      </c>
      <c r="H512" s="42" t="str">
        <f aca="false">INDEX(libraries!$A:$A, MATCH(A512, libraries!$B:$B, 0), 1)</f>
        <v>lib0614</v>
      </c>
      <c r="J512" s="44" t="e">
        <f aca="false">INDEX(#REF!, MATCH(B512, participants!$A:$A, 0), 1)</f>
        <v>#N/A</v>
      </c>
    </row>
    <row r="513" customFormat="false" ht="13.8" hidden="false" customHeight="false" outlineLevel="0" collapsed="false">
      <c r="A513" s="37" t="s">
        <v>2845</v>
      </c>
      <c r="B513" s="41" t="s">
        <v>2589</v>
      </c>
      <c r="C513" s="8" t="s">
        <v>2781</v>
      </c>
      <c r="D513" s="8" t="s">
        <v>1697</v>
      </c>
      <c r="E513" s="8" t="s">
        <v>2846</v>
      </c>
      <c r="F513" s="8" t="s">
        <v>2847</v>
      </c>
      <c r="G513" s="42" t="e">
        <f aca="false">INDEX(participants!$I:$I, MATCH(B513, participants!$A:$A, 0), 1)</f>
        <v>#N/A</v>
      </c>
      <c r="H513" s="42" t="str">
        <f aca="false">INDEX(libraries!$A:$A, MATCH(A513, libraries!$B:$B, 0), 1)</f>
        <v>lib0615</v>
      </c>
      <c r="J513" s="44" t="e">
        <f aca="false">INDEX(#REF!, MATCH(B513, participants!$A:$A, 0), 1)</f>
        <v>#N/A</v>
      </c>
    </row>
    <row r="514" customFormat="false" ht="13.8" hidden="false" customHeight="false" outlineLevel="0" collapsed="false">
      <c r="A514" s="37" t="s">
        <v>2848</v>
      </c>
      <c r="B514" s="41" t="s">
        <v>2348</v>
      </c>
      <c r="C514" s="8" t="s">
        <v>2849</v>
      </c>
      <c r="D514" s="8" t="s">
        <v>1697</v>
      </c>
      <c r="E514" s="8" t="s">
        <v>2850</v>
      </c>
      <c r="F514" s="8" t="s">
        <v>2851</v>
      </c>
      <c r="G514" s="42" t="e">
        <f aca="false">INDEX(participants!$I:$I, MATCH(B514, participants!$A:$A, 0), 1)</f>
        <v>#N/A</v>
      </c>
      <c r="H514" s="42" t="str">
        <f aca="false">INDEX(libraries!$A:$A, MATCH(A514, libraries!$B:$B, 0), 1)</f>
        <v>lib0616</v>
      </c>
      <c r="J514" s="44" t="e">
        <f aca="false">INDEX(#REF!, MATCH(B514, participants!$A:$A, 0), 1)</f>
        <v>#N/A</v>
      </c>
    </row>
    <row r="515" customFormat="false" ht="13.8" hidden="false" customHeight="false" outlineLevel="0" collapsed="false">
      <c r="A515" s="37" t="s">
        <v>2852</v>
      </c>
      <c r="B515" s="41" t="s">
        <v>2330</v>
      </c>
      <c r="C515" s="8" t="n">
        <v>44361</v>
      </c>
      <c r="D515" s="8" t="s">
        <v>1697</v>
      </c>
      <c r="E515" s="8" t="s">
        <v>2853</v>
      </c>
      <c r="F515" s="8" t="s">
        <v>2854</v>
      </c>
      <c r="G515" s="42" t="e">
        <f aca="false">INDEX(participants!$I:$I, MATCH(B515, participants!$A:$A, 0), 1)</f>
        <v>#N/A</v>
      </c>
      <c r="H515" s="42" t="str">
        <f aca="false">INDEX(libraries!$A:$A, MATCH(A515, libraries!$B:$B, 0), 1)</f>
        <v>lib0617</v>
      </c>
      <c r="J515" s="44" t="e">
        <f aca="false">INDEX(#REF!, MATCH(B515, participants!$A:$A, 0), 1)</f>
        <v>#N/A</v>
      </c>
    </row>
    <row r="516" customFormat="false" ht="13.8" hidden="false" customHeight="false" outlineLevel="0" collapsed="false">
      <c r="A516" s="37" t="s">
        <v>2855</v>
      </c>
      <c r="B516" s="41" t="s">
        <v>2330</v>
      </c>
      <c r="C516" s="8" t="n">
        <v>45062</v>
      </c>
      <c r="D516" s="8" t="s">
        <v>1697</v>
      </c>
      <c r="E516" s="8" t="s">
        <v>2856</v>
      </c>
      <c r="F516" s="8" t="s">
        <v>2857</v>
      </c>
      <c r="G516" s="42" t="e">
        <f aca="false">INDEX(participants!$I:$I, MATCH(B516, participants!$A:$A, 0), 1)</f>
        <v>#N/A</v>
      </c>
      <c r="H516" s="42" t="str">
        <f aca="false">INDEX(libraries!$A:$A, MATCH(A516, libraries!$B:$B, 0), 1)</f>
        <v>lib0618</v>
      </c>
      <c r="J516" s="44" t="e">
        <f aca="false">INDEX(#REF!, MATCH(B516, participants!$A:$A, 0), 1)</f>
        <v>#N/A</v>
      </c>
    </row>
    <row r="517" customFormat="false" ht="13.8" hidden="false" customHeight="false" outlineLevel="0" collapsed="false">
      <c r="A517" s="37" t="s">
        <v>2858</v>
      </c>
      <c r="B517" s="41" t="s">
        <v>2330</v>
      </c>
      <c r="C517" s="8" t="s">
        <v>2694</v>
      </c>
      <c r="D517" s="8" t="s">
        <v>1697</v>
      </c>
      <c r="E517" s="8" t="s">
        <v>2622</v>
      </c>
      <c r="F517" s="8" t="s">
        <v>2859</v>
      </c>
      <c r="G517" s="42" t="e">
        <f aca="false">INDEX(participants!$I:$I, MATCH(B517, participants!$A:$A, 0), 1)</f>
        <v>#N/A</v>
      </c>
      <c r="H517" s="42" t="str">
        <f aca="false">INDEX(libraries!$A:$A, MATCH(A517, libraries!$B:$B, 0), 1)</f>
        <v>lib0619</v>
      </c>
      <c r="J517" s="44" t="e">
        <f aca="false">INDEX(#REF!, MATCH(B517, participants!$A:$A, 0), 1)</f>
        <v>#N/A</v>
      </c>
    </row>
    <row r="518" customFormat="false" ht="13.8" hidden="false" customHeight="false" outlineLevel="0" collapsed="false">
      <c r="A518" s="37" t="s">
        <v>2860</v>
      </c>
      <c r="B518" s="41" t="s">
        <v>2348</v>
      </c>
      <c r="C518" s="8" t="s">
        <v>2861</v>
      </c>
      <c r="D518" s="8" t="s">
        <v>1697</v>
      </c>
      <c r="E518" s="8" t="s">
        <v>2862</v>
      </c>
      <c r="F518" s="8" t="s">
        <v>2863</v>
      </c>
      <c r="G518" s="42" t="e">
        <f aca="false">INDEX(participants!$I:$I, MATCH(B518, participants!$A:$A, 0), 1)</f>
        <v>#N/A</v>
      </c>
      <c r="H518" s="42" t="str">
        <f aca="false">INDEX(libraries!$A:$A, MATCH(A518, libraries!$B:$B, 0), 1)</f>
        <v>lib0620</v>
      </c>
      <c r="J518" s="44" t="e">
        <f aca="false">INDEX(#REF!, MATCH(B518, participants!$A:$A, 0), 1)</f>
        <v>#N/A</v>
      </c>
    </row>
    <row r="519" customFormat="false" ht="13.8" hidden="false" customHeight="false" outlineLevel="0" collapsed="false">
      <c r="A519" s="37" t="s">
        <v>2864</v>
      </c>
      <c r="B519" s="41" t="s">
        <v>2599</v>
      </c>
      <c r="C519" s="8" t="s">
        <v>2714</v>
      </c>
      <c r="D519" s="8" t="s">
        <v>1697</v>
      </c>
      <c r="E519" s="8" t="s">
        <v>2865</v>
      </c>
      <c r="F519" s="8" t="s">
        <v>2866</v>
      </c>
      <c r="G519" s="42" t="e">
        <f aca="false">INDEX(participants!$I:$I, MATCH(B519, participants!$A:$A, 0), 1)</f>
        <v>#N/A</v>
      </c>
      <c r="H519" s="42" t="str">
        <f aca="false">INDEX(libraries!$A:$A, MATCH(A519, libraries!$B:$B, 0), 1)</f>
        <v>lib0621</v>
      </c>
      <c r="J519" s="44" t="e">
        <f aca="false">INDEX(#REF!, MATCH(B519, participants!$A:$A, 0), 1)</f>
        <v>#N/A</v>
      </c>
    </row>
    <row r="520" customFormat="false" ht="13.8" hidden="false" customHeight="false" outlineLevel="0" collapsed="false">
      <c r="A520" s="37" t="s">
        <v>2867</v>
      </c>
      <c r="B520" s="41" t="s">
        <v>424</v>
      </c>
      <c r="C520" s="8" t="s">
        <v>2839</v>
      </c>
      <c r="D520" s="8" t="s">
        <v>1697</v>
      </c>
      <c r="E520" s="8" t="s">
        <v>2868</v>
      </c>
      <c r="F520" s="8" t="s">
        <v>2869</v>
      </c>
      <c r="G520" s="42" t="e">
        <f aca="false">INDEX(participants!$I:$I, MATCH(B520, participants!$A:$A, 0), 1)</f>
        <v>#N/A</v>
      </c>
      <c r="H520" s="42" t="str">
        <f aca="false">INDEX(libraries!$A:$A, MATCH(A520, libraries!$B:$B, 0), 1)</f>
        <v>lib0622</v>
      </c>
      <c r="J520" s="44" t="e">
        <f aca="false">INDEX(#REF!, MATCH(B520, participants!$A:$A, 0), 1)</f>
        <v>#N/A</v>
      </c>
    </row>
    <row r="521" customFormat="false" ht="13.8" hidden="false" customHeight="false" outlineLevel="0" collapsed="false">
      <c r="A521" s="37" t="s">
        <v>2870</v>
      </c>
      <c r="B521" s="41" t="s">
        <v>429</v>
      </c>
      <c r="C521" s="8" t="s">
        <v>2839</v>
      </c>
      <c r="D521" s="8" t="s">
        <v>1697</v>
      </c>
      <c r="E521" s="8" t="s">
        <v>2868</v>
      </c>
      <c r="F521" s="8" t="s">
        <v>2871</v>
      </c>
      <c r="G521" s="42" t="e">
        <f aca="false">INDEX(participants!$I:$I, MATCH(B521, participants!$A:$A, 0), 1)</f>
        <v>#N/A</v>
      </c>
      <c r="H521" s="42" t="str">
        <f aca="false">INDEX(libraries!$A:$A, MATCH(A521, libraries!$B:$B, 0), 1)</f>
        <v>lib0623</v>
      </c>
      <c r="J521" s="44" t="e">
        <f aca="false">INDEX(#REF!, MATCH(B521, participants!$A:$A, 0), 1)</f>
        <v>#N/A</v>
      </c>
    </row>
    <row r="522" customFormat="false" ht="13.8" hidden="false" customHeight="false" outlineLevel="0" collapsed="false">
      <c r="A522" s="37" t="s">
        <v>2872</v>
      </c>
      <c r="B522" s="41" t="s">
        <v>432</v>
      </c>
      <c r="C522" s="8" t="s">
        <v>2839</v>
      </c>
      <c r="D522" s="8" t="s">
        <v>1697</v>
      </c>
      <c r="E522" s="8" t="s">
        <v>2868</v>
      </c>
      <c r="F522" s="8" t="s">
        <v>2873</v>
      </c>
      <c r="G522" s="42" t="e">
        <f aca="false">INDEX(participants!$I:$I, MATCH(B522, participants!$A:$A, 0), 1)</f>
        <v>#N/A</v>
      </c>
      <c r="H522" s="42" t="str">
        <f aca="false">INDEX(libraries!$A:$A, MATCH(A522, libraries!$B:$B, 0), 1)</f>
        <v>lib0624</v>
      </c>
      <c r="J522" s="44" t="e">
        <f aca="false">INDEX(#REF!, MATCH(B522, participants!$A:$A, 0), 1)</f>
        <v>#N/A</v>
      </c>
    </row>
    <row r="523" customFormat="false" ht="13.8" hidden="false" customHeight="false" outlineLevel="0" collapsed="false">
      <c r="A523" s="37" t="s">
        <v>2874</v>
      </c>
      <c r="B523" s="41" t="s">
        <v>435</v>
      </c>
      <c r="C523" s="8" t="s">
        <v>2875</v>
      </c>
      <c r="D523" s="8" t="s">
        <v>1697</v>
      </c>
      <c r="E523" s="8" t="s">
        <v>2868</v>
      </c>
      <c r="F523" s="8" t="s">
        <v>2876</v>
      </c>
      <c r="G523" s="42" t="e">
        <f aca="false">INDEX(participants!$I:$I, MATCH(B523, participants!$A:$A, 0), 1)</f>
        <v>#N/A</v>
      </c>
      <c r="H523" s="42" t="str">
        <f aca="false">INDEX(libraries!$A:$A, MATCH(A523, libraries!$B:$B, 0), 1)</f>
        <v>lib0625</v>
      </c>
      <c r="J523" s="44" t="e">
        <f aca="false">INDEX(#REF!, MATCH(B523, participants!$A:$A, 0), 1)</f>
        <v>#N/A</v>
      </c>
    </row>
    <row r="524" customFormat="false" ht="13.8" hidden="false" customHeight="false" outlineLevel="0" collapsed="false">
      <c r="A524" s="37" t="s">
        <v>2877</v>
      </c>
      <c r="B524" s="41" t="s">
        <v>438</v>
      </c>
      <c r="C524" s="8" t="s">
        <v>2875</v>
      </c>
      <c r="D524" s="8" t="s">
        <v>1697</v>
      </c>
      <c r="E524" s="8" t="s">
        <v>2868</v>
      </c>
      <c r="F524" s="8" t="s">
        <v>2878</v>
      </c>
      <c r="G524" s="42" t="e">
        <f aca="false">INDEX(participants!$I:$I, MATCH(B524, participants!$A:$A, 0), 1)</f>
        <v>#N/A</v>
      </c>
      <c r="H524" s="42" t="str">
        <f aca="false">INDEX(libraries!$A:$A, MATCH(A524, libraries!$B:$B, 0), 1)</f>
        <v>lib0626</v>
      </c>
      <c r="J524" s="44" t="e">
        <f aca="false">INDEX(#REF!, MATCH(B524, participants!$A:$A, 0), 1)</f>
        <v>#N/A</v>
      </c>
    </row>
    <row r="525" customFormat="false" ht="13.8" hidden="false" customHeight="false" outlineLevel="0" collapsed="false">
      <c r="A525" s="37" t="s">
        <v>2879</v>
      </c>
      <c r="B525" s="41" t="s">
        <v>441</v>
      </c>
      <c r="C525" s="8" t="s">
        <v>2875</v>
      </c>
      <c r="D525" s="8" t="s">
        <v>1697</v>
      </c>
      <c r="E525" s="8" t="s">
        <v>2868</v>
      </c>
      <c r="F525" s="8" t="s">
        <v>2880</v>
      </c>
      <c r="G525" s="42" t="e">
        <f aca="false">INDEX(participants!$I:$I, MATCH(B525, participants!$A:$A, 0), 1)</f>
        <v>#N/A</v>
      </c>
      <c r="H525" s="42" t="str">
        <f aca="false">INDEX(libraries!$A:$A, MATCH(A525, libraries!$B:$B, 0), 1)</f>
        <v>lib0627</v>
      </c>
      <c r="J525" s="44" t="e">
        <f aca="false">INDEX(#REF!, MATCH(B525, participants!$A:$A, 0), 1)</f>
        <v>#N/A</v>
      </c>
    </row>
    <row r="526" customFormat="false" ht="13.8" hidden="false" customHeight="false" outlineLevel="0" collapsed="false">
      <c r="A526" s="37" t="s">
        <v>2881</v>
      </c>
      <c r="B526" s="41" t="s">
        <v>444</v>
      </c>
      <c r="C526" s="8" t="s">
        <v>2882</v>
      </c>
      <c r="D526" s="8" t="s">
        <v>1697</v>
      </c>
      <c r="E526" s="8" t="s">
        <v>2883</v>
      </c>
      <c r="F526" s="8" t="s">
        <v>2884</v>
      </c>
      <c r="G526" s="42" t="e">
        <f aca="false">INDEX(participants!$I:$I, MATCH(B526, participants!$A:$A, 0), 1)</f>
        <v>#N/A</v>
      </c>
      <c r="H526" s="42" t="str">
        <f aca="false">INDEX(libraries!$A:$A, MATCH(A526, libraries!$B:$B, 0), 1)</f>
        <v>lib0628</v>
      </c>
      <c r="J526" s="44" t="e">
        <f aca="false">INDEX(#REF!, MATCH(B526, participants!$A:$A, 0), 1)</f>
        <v>#N/A</v>
      </c>
    </row>
    <row r="527" customFormat="false" ht="13.8" hidden="false" customHeight="false" outlineLevel="0" collapsed="false">
      <c r="A527" s="37" t="s">
        <v>2885</v>
      </c>
      <c r="B527" s="41" t="s">
        <v>447</v>
      </c>
      <c r="C527" s="8" t="s">
        <v>2882</v>
      </c>
      <c r="D527" s="8" t="s">
        <v>1697</v>
      </c>
      <c r="E527" s="8" t="s">
        <v>2883</v>
      </c>
      <c r="F527" s="8" t="s">
        <v>2886</v>
      </c>
      <c r="G527" s="42" t="e">
        <f aca="false">INDEX(participants!$I:$I, MATCH(B527, participants!$A:$A, 0), 1)</f>
        <v>#N/A</v>
      </c>
      <c r="H527" s="42" t="str">
        <f aca="false">INDEX(libraries!$A:$A, MATCH(A527, libraries!$B:$B, 0), 1)</f>
        <v>lib0629</v>
      </c>
      <c r="J527" s="44" t="e">
        <f aca="false">INDEX(#REF!, MATCH(B527, participants!$A:$A, 0), 1)</f>
        <v>#N/A</v>
      </c>
    </row>
    <row r="528" customFormat="false" ht="13.8" hidden="false" customHeight="false" outlineLevel="0" collapsed="false">
      <c r="A528" s="37" t="s">
        <v>2887</v>
      </c>
      <c r="B528" s="41" t="s">
        <v>450</v>
      </c>
      <c r="C528" s="8" t="s">
        <v>2882</v>
      </c>
      <c r="D528" s="8" t="s">
        <v>1697</v>
      </c>
      <c r="E528" s="8" t="s">
        <v>2883</v>
      </c>
      <c r="F528" s="8" t="s">
        <v>2888</v>
      </c>
      <c r="G528" s="42" t="e">
        <f aca="false">INDEX(participants!$I:$I, MATCH(B528, participants!$A:$A, 0), 1)</f>
        <v>#N/A</v>
      </c>
      <c r="H528" s="42" t="str">
        <f aca="false">INDEX(libraries!$A:$A, MATCH(A528, libraries!$B:$B, 0), 1)</f>
        <v>lib0630</v>
      </c>
      <c r="J528" s="44" t="e">
        <f aca="false">INDEX(#REF!, MATCH(B528, participants!$A:$A, 0), 1)</f>
        <v>#N/A</v>
      </c>
    </row>
    <row r="529" customFormat="false" ht="13.8" hidden="false" customHeight="false" outlineLevel="0" collapsed="false">
      <c r="A529" s="37" t="s">
        <v>2889</v>
      </c>
      <c r="B529" s="41" t="s">
        <v>453</v>
      </c>
      <c r="C529" s="8" t="s">
        <v>2882</v>
      </c>
      <c r="D529" s="8" t="s">
        <v>1697</v>
      </c>
      <c r="E529" s="8" t="s">
        <v>2883</v>
      </c>
      <c r="F529" s="8" t="s">
        <v>2890</v>
      </c>
      <c r="G529" s="42" t="e">
        <f aca="false">INDEX(participants!$I:$I, MATCH(B529, participants!$A:$A, 0), 1)</f>
        <v>#N/A</v>
      </c>
      <c r="H529" s="42" t="str">
        <f aca="false">INDEX(libraries!$A:$A, MATCH(A529, libraries!$B:$B, 0), 1)</f>
        <v>lib0631</v>
      </c>
      <c r="J529" s="44" t="e">
        <f aca="false">INDEX(#REF!, MATCH(B529, participants!$A:$A, 0), 1)</f>
        <v>#N/A</v>
      </c>
    </row>
    <row r="530" customFormat="false" ht="13.8" hidden="false" customHeight="false" outlineLevel="0" collapsed="false">
      <c r="A530" s="37" t="s">
        <v>2891</v>
      </c>
      <c r="B530" s="41" t="s">
        <v>456</v>
      </c>
      <c r="C530" s="8" t="s">
        <v>2882</v>
      </c>
      <c r="D530" s="8" t="s">
        <v>1697</v>
      </c>
      <c r="E530" s="8" t="s">
        <v>2883</v>
      </c>
      <c r="F530" s="8" t="s">
        <v>2892</v>
      </c>
      <c r="G530" s="42" t="e">
        <f aca="false">INDEX(participants!$I:$I, MATCH(B530, participants!$A:$A, 0), 1)</f>
        <v>#N/A</v>
      </c>
      <c r="H530" s="42" t="str">
        <f aca="false">INDEX(libraries!$A:$A, MATCH(A530, libraries!$B:$B, 0), 1)</f>
        <v>lib0632</v>
      </c>
      <c r="J530" s="44" t="e">
        <f aca="false">INDEX(#REF!, MATCH(B530, participants!$A:$A, 0), 1)</f>
        <v>#N/A</v>
      </c>
    </row>
    <row r="531" customFormat="false" ht="13.8" hidden="false" customHeight="false" outlineLevel="0" collapsed="false">
      <c r="A531" s="37" t="s">
        <v>2893</v>
      </c>
      <c r="B531" s="41" t="s">
        <v>459</v>
      </c>
      <c r="C531" s="8" t="s">
        <v>2882</v>
      </c>
      <c r="D531" s="8" t="s">
        <v>1697</v>
      </c>
      <c r="E531" s="8" t="s">
        <v>2883</v>
      </c>
      <c r="F531" s="8" t="s">
        <v>2894</v>
      </c>
      <c r="G531" s="42" t="e">
        <f aca="false">INDEX(participants!$I:$I, MATCH(B531, participants!$A:$A, 0), 1)</f>
        <v>#N/A</v>
      </c>
      <c r="H531" s="42" t="str">
        <f aca="false">INDEX(libraries!$A:$A, MATCH(A531, libraries!$B:$B, 0), 1)</f>
        <v>lib0633</v>
      </c>
      <c r="J531" s="44" t="e">
        <f aca="false">INDEX(#REF!, MATCH(B531, participants!$A:$A, 0), 1)</f>
        <v>#N/A</v>
      </c>
    </row>
    <row r="532" customFormat="false" ht="13.8" hidden="false" customHeight="false" outlineLevel="0" collapsed="false">
      <c r="A532" s="37" t="s">
        <v>2895</v>
      </c>
      <c r="B532" s="41" t="s">
        <v>444</v>
      </c>
      <c r="C532" s="8" t="s">
        <v>2896</v>
      </c>
      <c r="D532" s="8" t="s">
        <v>1697</v>
      </c>
      <c r="E532" s="8" t="s">
        <v>2883</v>
      </c>
      <c r="F532" s="8" t="s">
        <v>2897</v>
      </c>
      <c r="G532" s="42" t="e">
        <f aca="false">INDEX(participants!$I:$I, MATCH(B532, participants!$A:$A, 0), 1)</f>
        <v>#N/A</v>
      </c>
      <c r="H532" s="42" t="str">
        <f aca="false">INDEX(libraries!$A:$A, MATCH(A532, libraries!$B:$B, 0), 1)</f>
        <v>lib0634</v>
      </c>
      <c r="J532" s="44" t="e">
        <f aca="false">INDEX(#REF!, MATCH(B532, participants!$A:$A, 0), 1)</f>
        <v>#N/A</v>
      </c>
    </row>
    <row r="533" customFormat="false" ht="13.8" hidden="false" customHeight="false" outlineLevel="0" collapsed="false">
      <c r="A533" s="37" t="s">
        <v>2898</v>
      </c>
      <c r="B533" s="41" t="s">
        <v>447</v>
      </c>
      <c r="C533" s="8" t="s">
        <v>2896</v>
      </c>
      <c r="D533" s="8" t="s">
        <v>1697</v>
      </c>
      <c r="E533" s="8" t="s">
        <v>2883</v>
      </c>
      <c r="F533" s="8" t="s">
        <v>2899</v>
      </c>
      <c r="G533" s="42" t="e">
        <f aca="false">INDEX(participants!$I:$I, MATCH(B533, participants!$A:$A, 0), 1)</f>
        <v>#N/A</v>
      </c>
      <c r="H533" s="42" t="str">
        <f aca="false">INDEX(libraries!$A:$A, MATCH(A533, libraries!$B:$B, 0), 1)</f>
        <v>lib0635</v>
      </c>
      <c r="J533" s="44" t="e">
        <f aca="false">INDEX(#REF!, MATCH(B533, participants!$A:$A, 0), 1)</f>
        <v>#N/A</v>
      </c>
    </row>
    <row r="534" customFormat="false" ht="13.8" hidden="false" customHeight="false" outlineLevel="0" collapsed="false">
      <c r="A534" s="37" t="s">
        <v>2900</v>
      </c>
      <c r="B534" s="41" t="s">
        <v>450</v>
      </c>
      <c r="C534" s="8" t="s">
        <v>2896</v>
      </c>
      <c r="D534" s="8" t="s">
        <v>1697</v>
      </c>
      <c r="E534" s="8" t="s">
        <v>2883</v>
      </c>
      <c r="F534" s="8" t="s">
        <v>2901</v>
      </c>
      <c r="G534" s="42" t="e">
        <f aca="false">INDEX(participants!$I:$I, MATCH(B534, participants!$A:$A, 0), 1)</f>
        <v>#N/A</v>
      </c>
      <c r="H534" s="42" t="str">
        <f aca="false">INDEX(libraries!$A:$A, MATCH(A534, libraries!$B:$B, 0), 1)</f>
        <v>lib0636</v>
      </c>
      <c r="J534" s="44" t="e">
        <f aca="false">INDEX(#REF!, MATCH(B534, participants!$A:$A, 0), 1)</f>
        <v>#N/A</v>
      </c>
    </row>
    <row r="535" customFormat="false" ht="13.8" hidden="false" customHeight="false" outlineLevel="0" collapsed="false">
      <c r="A535" s="37" t="s">
        <v>2902</v>
      </c>
      <c r="B535" s="41" t="s">
        <v>453</v>
      </c>
      <c r="C535" s="8" t="s">
        <v>2896</v>
      </c>
      <c r="D535" s="8" t="s">
        <v>1697</v>
      </c>
      <c r="E535" s="8" t="s">
        <v>2883</v>
      </c>
      <c r="F535" s="8" t="s">
        <v>2903</v>
      </c>
      <c r="G535" s="42" t="e">
        <f aca="false">INDEX(participants!$I:$I, MATCH(B535, participants!$A:$A, 0), 1)</f>
        <v>#N/A</v>
      </c>
      <c r="H535" s="42" t="str">
        <f aca="false">INDEX(libraries!$A:$A, MATCH(A535, libraries!$B:$B, 0), 1)</f>
        <v>lib0637</v>
      </c>
      <c r="J535" s="44" t="e">
        <f aca="false">INDEX(#REF!, MATCH(B535, participants!$A:$A, 0), 1)</f>
        <v>#N/A</v>
      </c>
    </row>
    <row r="536" customFormat="false" ht="13.8" hidden="false" customHeight="false" outlineLevel="0" collapsed="false">
      <c r="A536" s="37" t="s">
        <v>2904</v>
      </c>
      <c r="B536" s="41" t="s">
        <v>456</v>
      </c>
      <c r="C536" s="8" t="s">
        <v>2896</v>
      </c>
      <c r="D536" s="8" t="s">
        <v>1697</v>
      </c>
      <c r="E536" s="8" t="s">
        <v>2883</v>
      </c>
      <c r="F536" s="8" t="s">
        <v>2905</v>
      </c>
      <c r="G536" s="42" t="e">
        <f aca="false">INDEX(participants!$I:$I, MATCH(B536, participants!$A:$A, 0), 1)</f>
        <v>#N/A</v>
      </c>
      <c r="H536" s="42" t="str">
        <f aca="false">INDEX(libraries!$A:$A, MATCH(A536, libraries!$B:$B, 0), 1)</f>
        <v>lib0638</v>
      </c>
      <c r="J536" s="44" t="e">
        <f aca="false">INDEX(#REF!, MATCH(B536, participants!$A:$A, 0), 1)</f>
        <v>#N/A</v>
      </c>
    </row>
    <row r="537" customFormat="false" ht="13.8" hidden="false" customHeight="false" outlineLevel="0" collapsed="false">
      <c r="A537" s="37" t="s">
        <v>2906</v>
      </c>
      <c r="B537" s="41" t="s">
        <v>459</v>
      </c>
      <c r="C537" s="8" t="s">
        <v>2896</v>
      </c>
      <c r="D537" s="8" t="s">
        <v>1697</v>
      </c>
      <c r="E537" s="8" t="s">
        <v>2883</v>
      </c>
      <c r="F537" s="8" t="s">
        <v>2907</v>
      </c>
      <c r="G537" s="42" t="e">
        <f aca="false">INDEX(participants!$I:$I, MATCH(B537, participants!$A:$A, 0), 1)</f>
        <v>#N/A</v>
      </c>
      <c r="H537" s="42" t="str">
        <f aca="false">INDEX(libraries!$A:$A, MATCH(A537, libraries!$B:$B, 0), 1)</f>
        <v>lib0639</v>
      </c>
      <c r="J537" s="44" t="e">
        <f aca="false">INDEX(#REF!, MATCH(B537, participants!$A:$A, 0), 1)</f>
        <v>#N/A</v>
      </c>
    </row>
    <row r="538" customFormat="false" ht="13.8" hidden="false" customHeight="false" outlineLevel="0" collapsed="false">
      <c r="A538" s="37" t="s">
        <v>2908</v>
      </c>
      <c r="B538" s="41" t="s">
        <v>2909</v>
      </c>
      <c r="C538" s="8"/>
      <c r="D538" s="8" t="s">
        <v>427</v>
      </c>
      <c r="E538" s="8"/>
      <c r="G538" s="42" t="e">
        <f aca="false">INDEX(participants!$I:$I, MATCH(B538, participants!$A:$A, 0), 1)</f>
        <v>#N/A</v>
      </c>
      <c r="H538" s="42" t="str">
        <f aca="false">INDEX(libraries!$A:$A, MATCH(A538, libraries!$B:$B, 0), 1)</f>
        <v>lib0640</v>
      </c>
      <c r="I538" s="21" t="s">
        <v>36</v>
      </c>
      <c r="J538" s="44" t="e">
        <f aca="false">INDEX(#REF!, MATCH(B538, participants!$A:$A, 0), 1)</f>
        <v>#N/A</v>
      </c>
    </row>
    <row r="539" customFormat="false" ht="13.8" hidden="false" customHeight="false" outlineLevel="0" collapsed="false">
      <c r="A539" s="37" t="s">
        <v>2910</v>
      </c>
      <c r="B539" s="41" t="s">
        <v>2911</v>
      </c>
      <c r="C539" s="8" t="s">
        <v>2912</v>
      </c>
      <c r="D539" s="8" t="s">
        <v>427</v>
      </c>
      <c r="E539" s="8"/>
      <c r="G539" s="42" t="e">
        <f aca="false">INDEX(participants!$I:$I, MATCH(B539, participants!$A:$A, 0), 1)</f>
        <v>#N/A</v>
      </c>
      <c r="H539" s="42" t="str">
        <f aca="false">INDEX(libraries!$A:$A, MATCH(A539, libraries!$B:$B, 0), 1)</f>
        <v>lib0641</v>
      </c>
      <c r="I539" s="21" t="s">
        <v>36</v>
      </c>
      <c r="J539" s="44" t="e">
        <f aca="false">INDEX(#REF!, MATCH(B539, participants!$A:$A, 0), 1)</f>
        <v>#N/A</v>
      </c>
    </row>
    <row r="540" customFormat="false" ht="13.8" hidden="false" customHeight="false" outlineLevel="0" collapsed="false">
      <c r="A540" s="37" t="s">
        <v>2913</v>
      </c>
      <c r="B540" s="41" t="s">
        <v>734</v>
      </c>
      <c r="C540" s="8" t="s">
        <v>2912</v>
      </c>
      <c r="D540" s="8" t="s">
        <v>1697</v>
      </c>
      <c r="E540" s="8"/>
      <c r="G540" s="42" t="str">
        <f aca="false">INDEX(participants!$I:$I, MATCH(B540, participants!$A:$A, 0), 1)</f>
        <v>nf510</v>
      </c>
      <c r="H540" s="42" t="str">
        <f aca="false">INDEX(libraries!$A:$A, MATCH(A540, libraries!$B:$B, 0), 1)</f>
        <v>lib0642</v>
      </c>
      <c r="I540" s="28" t="s">
        <v>526</v>
      </c>
      <c r="J540" s="44" t="e">
        <f aca="false">INDEX(#REF!, MATCH(B540, participants!$A:$A, 0), 1)</f>
        <v>#VALUE!</v>
      </c>
    </row>
    <row r="541" customFormat="false" ht="13.8" hidden="false" customHeight="false" outlineLevel="0" collapsed="false">
      <c r="A541" s="37" t="s">
        <v>2914</v>
      </c>
      <c r="B541" s="41" t="s">
        <v>2276</v>
      </c>
      <c r="C541" s="8" t="s">
        <v>2912</v>
      </c>
      <c r="D541" s="8" t="s">
        <v>1824</v>
      </c>
      <c r="E541" s="8"/>
      <c r="G541" s="42" t="e">
        <f aca="false">INDEX(participants!$I:$I, MATCH(B541, participants!$A:$A, 0), 1)</f>
        <v>#N/A</v>
      </c>
      <c r="H541" s="42" t="str">
        <f aca="false">INDEX(libraries!$A:$A, MATCH(A541, libraries!$B:$B, 0), 1)</f>
        <v>lib0643</v>
      </c>
      <c r="I541" s="28" t="s">
        <v>486</v>
      </c>
      <c r="J541" s="44" t="e">
        <f aca="false">INDEX(#REF!, MATCH(B541, participants!$A:$A, 0), 1)</f>
        <v>#N/A</v>
      </c>
    </row>
    <row r="542" customFormat="false" ht="13.8" hidden="false" customHeight="false" outlineLevel="0" collapsed="false">
      <c r="A542" s="37" t="s">
        <v>2915</v>
      </c>
      <c r="B542" s="41" t="s">
        <v>2276</v>
      </c>
      <c r="C542" s="8" t="s">
        <v>2912</v>
      </c>
      <c r="D542" s="8" t="s">
        <v>1697</v>
      </c>
      <c r="E542" s="8"/>
      <c r="G542" s="42" t="e">
        <f aca="false">INDEX(participants!$I:$I, MATCH(B542, participants!$A:$A, 0), 1)</f>
        <v>#N/A</v>
      </c>
      <c r="H542" s="42" t="str">
        <f aca="false">INDEX(libraries!$A:$A, MATCH(A542, libraries!$B:$B, 0), 1)</f>
        <v>lib0644</v>
      </c>
      <c r="I542" s="28" t="s">
        <v>486</v>
      </c>
      <c r="J542" s="44" t="e">
        <f aca="false">INDEX(#REF!, MATCH(B542, participants!$A:$A, 0), 1)</f>
        <v>#N/A</v>
      </c>
    </row>
    <row r="543" customFormat="false" ht="13.8" hidden="false" customHeight="false" outlineLevel="0" collapsed="false">
      <c r="A543" s="37" t="s">
        <v>2916</v>
      </c>
      <c r="B543" s="41" t="s">
        <v>2124</v>
      </c>
      <c r="C543" s="8" t="s">
        <v>427</v>
      </c>
      <c r="D543" s="8" t="s">
        <v>1824</v>
      </c>
      <c r="E543" s="8"/>
      <c r="G543" s="42" t="e">
        <f aca="false">INDEX(participants!$I:$I, MATCH(B543, participants!$A:$A, 0), 1)</f>
        <v>#N/A</v>
      </c>
      <c r="H543" s="42" t="str">
        <f aca="false">INDEX(libraries!$A:$A, MATCH(A543, libraries!$B:$B, 0), 1)</f>
        <v>lib0645</v>
      </c>
      <c r="I543" s="28" t="s">
        <v>486</v>
      </c>
      <c r="J543" s="44" t="e">
        <f aca="false">INDEX(#REF!, MATCH(B543, participants!$A:$A, 0), 1)</f>
        <v>#N/A</v>
      </c>
    </row>
    <row r="544" customFormat="false" ht="13.8" hidden="false" customHeight="false" outlineLevel="0" collapsed="false">
      <c r="A544" s="37" t="s">
        <v>2917</v>
      </c>
      <c r="B544" s="41" t="s">
        <v>2124</v>
      </c>
      <c r="C544" s="8" t="s">
        <v>427</v>
      </c>
      <c r="D544" s="8" t="s">
        <v>1697</v>
      </c>
      <c r="E544" s="8"/>
      <c r="G544" s="42" t="e">
        <f aca="false">INDEX(participants!$I:$I, MATCH(B544, participants!$A:$A, 0), 1)</f>
        <v>#N/A</v>
      </c>
      <c r="H544" s="42" t="str">
        <f aca="false">INDEX(libraries!$A:$A, MATCH(A544, libraries!$B:$B, 0), 1)</f>
        <v>lib0646</v>
      </c>
      <c r="I544" s="28" t="s">
        <v>486</v>
      </c>
      <c r="J544" s="44" t="e">
        <f aca="false">INDEX(#REF!, MATCH(B544, participants!$A:$A, 0), 1)</f>
        <v>#N/A</v>
      </c>
    </row>
    <row r="545" customFormat="false" ht="13.8" hidden="false" customHeight="false" outlineLevel="0" collapsed="false">
      <c r="A545" s="37" t="s">
        <v>2918</v>
      </c>
      <c r="B545" s="41" t="s">
        <v>2300</v>
      </c>
      <c r="C545" s="8" t="s">
        <v>2912</v>
      </c>
      <c r="D545" s="8" t="s">
        <v>1697</v>
      </c>
      <c r="E545" s="8"/>
      <c r="G545" s="42" t="e">
        <f aca="false">INDEX(participants!$I:$I, MATCH(B545, participants!$A:$A, 0), 1)</f>
        <v>#N/A</v>
      </c>
      <c r="H545" s="42" t="str">
        <f aca="false">INDEX(libraries!$A:$A, MATCH(A545, libraries!$B:$B, 0), 1)</f>
        <v>lib0647</v>
      </c>
      <c r="I545" s="28" t="s">
        <v>526</v>
      </c>
      <c r="J545" s="44" t="e">
        <f aca="false">INDEX(#REF!, MATCH(B545, participants!$A:$A, 0), 1)</f>
        <v>#N/A</v>
      </c>
    </row>
    <row r="546" customFormat="false" ht="13.8" hidden="false" customHeight="false" outlineLevel="0" collapsed="false">
      <c r="A546" s="37" t="s">
        <v>2919</v>
      </c>
      <c r="B546" s="45" t="s">
        <v>462</v>
      </c>
      <c r="C546" s="46" t="s">
        <v>2920</v>
      </c>
      <c r="D546" s="46" t="s">
        <v>1697</v>
      </c>
      <c r="E546" s="46" t="s">
        <v>2921</v>
      </c>
      <c r="F546" s="0" t="s">
        <v>36</v>
      </c>
      <c r="G546" s="42" t="e">
        <f aca="false">INDEX(participants!$I:$I, MATCH(B546, participants!$A:$A, 0), 1)</f>
        <v>#N/A</v>
      </c>
      <c r="H546" s="30" t="e">
        <f aca="false">INDEX(libraries!$A:$A, MATCH(A546, libraries!$B:$B, 0), 1)</f>
        <v>#N/A</v>
      </c>
      <c r="J546" s="44" t="e">
        <f aca="false">INDEX(#REF!, MATCH(B546, participants!$A:$A, 0), 1)</f>
        <v>#N/A</v>
      </c>
    </row>
    <row r="547" customFormat="false" ht="13.8" hidden="false" customHeight="false" outlineLevel="0" collapsed="false">
      <c r="A547" s="37" t="s">
        <v>2922</v>
      </c>
      <c r="B547" s="45" t="s">
        <v>465</v>
      </c>
      <c r="C547" s="46" t="s">
        <v>2920</v>
      </c>
      <c r="D547" s="46" t="s">
        <v>1697</v>
      </c>
      <c r="E547" s="46" t="s">
        <v>2923</v>
      </c>
      <c r="F547" s="0" t="s">
        <v>36</v>
      </c>
      <c r="G547" s="42" t="e">
        <f aca="false">INDEX(participants!$I:$I, MATCH(B547, participants!$A:$A, 0), 1)</f>
        <v>#N/A</v>
      </c>
      <c r="H547" s="30" t="e">
        <f aca="false">INDEX(libraries!$A:$A, MATCH(A547, libraries!$B:$B, 0), 1)</f>
        <v>#N/A</v>
      </c>
      <c r="J547" s="44" t="e">
        <f aca="false">INDEX(#REF!, MATCH(B547, participants!$A:$A, 0), 1)</f>
        <v>#N/A</v>
      </c>
    </row>
    <row r="548" customFormat="false" ht="13.8" hidden="false" customHeight="false" outlineLevel="0" collapsed="false">
      <c r="A548" s="37" t="s">
        <v>2924</v>
      </c>
      <c r="B548" s="45" t="s">
        <v>468</v>
      </c>
      <c r="C548" s="46" t="s">
        <v>2920</v>
      </c>
      <c r="D548" s="46" t="s">
        <v>1697</v>
      </c>
      <c r="E548" s="46" t="s">
        <v>2923</v>
      </c>
      <c r="F548" s="0" t="s">
        <v>36</v>
      </c>
      <c r="G548" s="42" t="e">
        <f aca="false">INDEX(participants!$I:$I, MATCH(B548, participants!$A:$A, 0), 1)</f>
        <v>#N/A</v>
      </c>
      <c r="H548" s="30" t="e">
        <f aca="false">INDEX(libraries!$A:$A, MATCH(A548, libraries!$B:$B, 0), 1)</f>
        <v>#N/A</v>
      </c>
      <c r="J548" s="44" t="e">
        <f aca="false">INDEX(#REF!, MATCH(B548, participants!$A:$A, 0), 1)</f>
        <v>#N/A</v>
      </c>
    </row>
    <row r="549" customFormat="false" ht="13.8" hidden="false" customHeight="false" outlineLevel="0" collapsed="false">
      <c r="A549" s="37" t="s">
        <v>2925</v>
      </c>
      <c r="B549" s="45" t="s">
        <v>471</v>
      </c>
      <c r="C549" s="46" t="s">
        <v>2926</v>
      </c>
      <c r="D549" s="46" t="s">
        <v>1697</v>
      </c>
      <c r="E549" s="46" t="s">
        <v>2921</v>
      </c>
      <c r="F549" s="0" t="s">
        <v>36</v>
      </c>
      <c r="G549" s="42" t="e">
        <f aca="false">INDEX(participants!$I:$I, MATCH(B549, participants!$A:$A, 0), 1)</f>
        <v>#N/A</v>
      </c>
      <c r="H549" s="30" t="e">
        <f aca="false">INDEX(libraries!$A:$A, MATCH(A549, libraries!$B:$B, 0), 1)</f>
        <v>#N/A</v>
      </c>
      <c r="J549" s="44" t="e">
        <f aca="false">INDEX(#REF!, MATCH(B549, participants!$A:$A, 0), 1)</f>
        <v>#N/A</v>
      </c>
    </row>
    <row r="550" customFormat="false" ht="13.8" hidden="false" customHeight="false" outlineLevel="0" collapsed="false">
      <c r="A550" s="37" t="s">
        <v>2927</v>
      </c>
      <c r="B550" s="45" t="s">
        <v>474</v>
      </c>
      <c r="C550" s="46" t="s">
        <v>2926</v>
      </c>
      <c r="D550" s="46" t="s">
        <v>1697</v>
      </c>
      <c r="E550" s="46" t="s">
        <v>2921</v>
      </c>
      <c r="F550" s="0" t="s">
        <v>36</v>
      </c>
      <c r="G550" s="42" t="e">
        <f aca="false">INDEX(participants!$I:$I, MATCH(B550, participants!$A:$A, 0), 1)</f>
        <v>#N/A</v>
      </c>
      <c r="H550" s="30" t="e">
        <f aca="false">INDEX(libraries!$A:$A, MATCH(A550, libraries!$B:$B, 0), 1)</f>
        <v>#N/A</v>
      </c>
      <c r="J550" s="44" t="e">
        <f aca="false">INDEX(#REF!, MATCH(B550, participants!$A:$A, 0), 1)</f>
        <v>#N/A</v>
      </c>
    </row>
    <row r="551" customFormat="false" ht="13.8" hidden="false" customHeight="false" outlineLevel="0" collapsed="false">
      <c r="A551" s="37" t="s">
        <v>2928</v>
      </c>
      <c r="B551" s="45" t="s">
        <v>477</v>
      </c>
      <c r="C551" s="46" t="s">
        <v>2926</v>
      </c>
      <c r="D551" s="46" t="s">
        <v>1697</v>
      </c>
      <c r="E551" s="46" t="s">
        <v>2921</v>
      </c>
      <c r="F551" s="0" t="s">
        <v>36</v>
      </c>
      <c r="G551" s="42" t="e">
        <f aca="false">INDEX(participants!$I:$I, MATCH(B551, participants!$A:$A, 0), 1)</f>
        <v>#N/A</v>
      </c>
      <c r="H551" s="30" t="e">
        <f aca="false">INDEX(libraries!$A:$A, MATCH(A551, libraries!$B:$B, 0), 1)</f>
        <v>#N/A</v>
      </c>
      <c r="J551" s="44" t="e">
        <f aca="false">INDEX(#REF!, MATCH(B551, participants!$A:$A, 0), 1)</f>
        <v>#N/A</v>
      </c>
    </row>
    <row r="552" customFormat="false" ht="13.8" hidden="false" customHeight="false" outlineLevel="0" collapsed="false">
      <c r="A552" s="37" t="s">
        <v>2929</v>
      </c>
      <c r="B552" s="45" t="s">
        <v>447</v>
      </c>
      <c r="C552" s="46" t="s">
        <v>2611</v>
      </c>
      <c r="D552" s="46" t="s">
        <v>1697</v>
      </c>
      <c r="E552" s="46" t="s">
        <v>2883</v>
      </c>
      <c r="G552" s="42" t="e">
        <f aca="false">INDEX(participants!$I:$I, MATCH(B552, participants!$A:$A, 0), 1)</f>
        <v>#N/A</v>
      </c>
      <c r="H552" s="30" t="e">
        <f aca="false">INDEX(libraries!$A:$A, MATCH(A552, libraries!$B:$B, 0), 1)</f>
        <v>#N/A</v>
      </c>
      <c r="J552" s="44" t="e">
        <f aca="false">INDEX(#REF!, MATCH(B552, participants!$A:$A, 0), 1)</f>
        <v>#N/A</v>
      </c>
    </row>
    <row r="553" customFormat="false" ht="13.8" hidden="false" customHeight="false" outlineLevel="0" collapsed="false">
      <c r="A553" s="37" t="s">
        <v>2930</v>
      </c>
      <c r="B553" s="45" t="s">
        <v>450</v>
      </c>
      <c r="C553" s="46" t="s">
        <v>2611</v>
      </c>
      <c r="D553" s="46" t="s">
        <v>1697</v>
      </c>
      <c r="E553" s="46" t="s">
        <v>2883</v>
      </c>
      <c r="G553" s="42" t="e">
        <f aca="false">INDEX(participants!$I:$I, MATCH(B553, participants!$A:$A, 0), 1)</f>
        <v>#N/A</v>
      </c>
      <c r="H553" s="30" t="e">
        <f aca="false">INDEX(libraries!$A:$A, MATCH(A553, libraries!$B:$B, 0), 1)</f>
        <v>#N/A</v>
      </c>
      <c r="J553" s="44" t="e">
        <f aca="false">INDEX(#REF!, MATCH(B553, participants!$A:$A, 0), 1)</f>
        <v>#N/A</v>
      </c>
    </row>
    <row r="554" customFormat="false" ht="13.8" hidden="false" customHeight="false" outlineLevel="0" collapsed="false">
      <c r="A554" s="37" t="s">
        <v>2931</v>
      </c>
      <c r="B554" s="45" t="s">
        <v>444</v>
      </c>
      <c r="C554" s="46" t="s">
        <v>2611</v>
      </c>
      <c r="D554" s="46" t="s">
        <v>1697</v>
      </c>
      <c r="E554" s="46" t="s">
        <v>2883</v>
      </c>
      <c r="G554" s="42" t="e">
        <f aca="false">INDEX(participants!$I:$I, MATCH(B554, participants!$A:$A, 0), 1)</f>
        <v>#N/A</v>
      </c>
      <c r="H554" s="30" t="e">
        <f aca="false">INDEX(libraries!$A:$A, MATCH(A554, libraries!$B:$B, 0), 1)</f>
        <v>#N/A</v>
      </c>
      <c r="J554" s="44" t="e">
        <f aca="false">INDEX(#REF!, MATCH(B554, participants!$A:$A, 0), 1)</f>
        <v>#N/A</v>
      </c>
    </row>
    <row r="555" customFormat="false" ht="13.8" hidden="false" customHeight="false" outlineLevel="0" collapsed="false">
      <c r="A555" s="37" t="s">
        <v>2932</v>
      </c>
      <c r="B555" s="45" t="s">
        <v>447</v>
      </c>
      <c r="C555" s="46" t="s">
        <v>2650</v>
      </c>
      <c r="D555" s="46" t="s">
        <v>1697</v>
      </c>
      <c r="E555" s="46" t="s">
        <v>2883</v>
      </c>
      <c r="G555" s="42" t="e">
        <f aca="false">INDEX(participants!$I:$I, MATCH(B555, participants!$A:$A, 0), 1)</f>
        <v>#N/A</v>
      </c>
      <c r="H555" s="30" t="e">
        <f aca="false">INDEX(libraries!$A:$A, MATCH(A555, libraries!$B:$B, 0), 1)</f>
        <v>#N/A</v>
      </c>
      <c r="J555" s="44" t="e">
        <f aca="false">INDEX(#REF!, MATCH(B555, participants!$A:$A, 0), 1)</f>
        <v>#N/A</v>
      </c>
    </row>
    <row r="556" customFormat="false" ht="13.8" hidden="false" customHeight="false" outlineLevel="0" collapsed="false">
      <c r="A556" s="37" t="s">
        <v>2933</v>
      </c>
      <c r="B556" s="45" t="s">
        <v>450</v>
      </c>
      <c r="C556" s="46" t="s">
        <v>2650</v>
      </c>
      <c r="D556" s="46" t="s">
        <v>1697</v>
      </c>
      <c r="E556" s="46" t="s">
        <v>2883</v>
      </c>
      <c r="G556" s="42" t="e">
        <f aca="false">INDEX(participants!$I:$I, MATCH(B556, participants!$A:$A, 0), 1)</f>
        <v>#N/A</v>
      </c>
      <c r="H556" s="30" t="e">
        <f aca="false">INDEX(libraries!$A:$A, MATCH(A556, libraries!$B:$B, 0), 1)</f>
        <v>#N/A</v>
      </c>
      <c r="J556" s="44" t="e">
        <f aca="false">INDEX(#REF!, MATCH(B556, participants!$A:$A, 0), 1)</f>
        <v>#N/A</v>
      </c>
    </row>
    <row r="557" customFormat="false" ht="13.8" hidden="false" customHeight="false" outlineLevel="0" collapsed="false">
      <c r="A557" s="37" t="s">
        <v>2934</v>
      </c>
      <c r="B557" s="45" t="s">
        <v>444</v>
      </c>
      <c r="C557" s="46" t="s">
        <v>2650</v>
      </c>
      <c r="D557" s="46" t="s">
        <v>1697</v>
      </c>
      <c r="E557" s="46" t="s">
        <v>2883</v>
      </c>
      <c r="G557" s="42" t="e">
        <f aca="false">INDEX(participants!$I:$I, MATCH(B557, participants!$A:$A, 0), 1)</f>
        <v>#N/A</v>
      </c>
      <c r="H557" s="30" t="e">
        <f aca="false">INDEX(libraries!$A:$A, MATCH(A557, libraries!$B:$B, 0), 1)</f>
        <v>#N/A</v>
      </c>
      <c r="J557" s="44" t="e">
        <f aca="false">INDEX(#REF!, MATCH(B557, participants!$A:$A, 0), 1)</f>
        <v>#N/A</v>
      </c>
    </row>
    <row r="558" customFormat="false" ht="13.8" hidden="false" customHeight="false" outlineLevel="0" collapsed="false">
      <c r="A558" s="37" t="s">
        <v>2935</v>
      </c>
      <c r="B558" s="41" t="s">
        <v>2221</v>
      </c>
      <c r="C558" s="8" t="s">
        <v>2936</v>
      </c>
      <c r="D558" s="8" t="s">
        <v>1697</v>
      </c>
      <c r="E558" s="8" t="s">
        <v>2937</v>
      </c>
      <c r="G558" s="42" t="e">
        <f aca="false">INDEX(participants!$I:$I, MATCH(B558, participants!$A:$A, 0), 1)</f>
        <v>#N/A</v>
      </c>
      <c r="H558" s="30" t="e">
        <f aca="false">INDEX(libraries!$A:$A, MATCH(A558, libraries!$B:$B, 0), 1)</f>
        <v>#N/A</v>
      </c>
      <c r="I558" s="21" t="s">
        <v>427</v>
      </c>
      <c r="J558" s="44" t="e">
        <f aca="false">INDEX(#REF!, MATCH(B558, participants!$A:$A, 0), 1)</f>
        <v>#N/A</v>
      </c>
    </row>
    <row r="559" customFormat="false" ht="13.8" hidden="false" customHeight="false" outlineLevel="0" collapsed="false">
      <c r="A559" s="37" t="s">
        <v>2938</v>
      </c>
      <c r="C559" s="0" t="s">
        <v>2939</v>
      </c>
      <c r="D559" s="0" t="s">
        <v>1697</v>
      </c>
      <c r="G559" s="30" t="e">
        <f aca="false">INDEX(participants!$I:$I, MATCH(B559, participants!$A:$A, 0), 1)</f>
        <v>#N/A</v>
      </c>
      <c r="H559" s="30" t="e">
        <f aca="false">INDEX(libraries!$A:$A, MATCH(A559, libraries!$B:$B, 0), 1)</f>
        <v>#N/A</v>
      </c>
      <c r="J559" s="44" t="e">
        <f aca="false">INDEX(#REF!, MATCH(B559, participants!$A:$A, 0), 1)</f>
        <v>#N/A</v>
      </c>
    </row>
    <row r="560" customFormat="false" ht="13.8" hidden="false" customHeight="false" outlineLevel="0" collapsed="false">
      <c r="A560" s="37" t="s">
        <v>2940</v>
      </c>
      <c r="B560" s="38" t="s">
        <v>2288</v>
      </c>
      <c r="C560" s="0" t="s">
        <v>2626</v>
      </c>
      <c r="D560" s="0" t="s">
        <v>1697</v>
      </c>
      <c r="E560" s="0" t="s">
        <v>2941</v>
      </c>
      <c r="G560" s="42" t="e">
        <f aca="false">INDEX(participants!$I:$I, MATCH(B560, participants!$A:$A, 0), 1)</f>
        <v>#N/A</v>
      </c>
      <c r="H560" s="30" t="e">
        <f aca="false">INDEX(libraries!$A:$A, MATCH(A560, libraries!$B:$B, 0), 1)</f>
        <v>#N/A</v>
      </c>
      <c r="I560" s="21" t="s">
        <v>1896</v>
      </c>
      <c r="J560" s="44" t="e">
        <f aca="false">INDEX(#REF!, MATCH(B560, participants!$A:$A, 0), 1)</f>
        <v>#N/A</v>
      </c>
    </row>
    <row r="561" customFormat="false" ht="13.8" hidden="false" customHeight="false" outlineLevel="0" collapsed="false">
      <c r="A561" s="37" t="s">
        <v>2942</v>
      </c>
      <c r="B561" s="41" t="s">
        <v>2495</v>
      </c>
      <c r="C561" s="8" t="s">
        <v>2943</v>
      </c>
      <c r="D561" s="8" t="s">
        <v>1697</v>
      </c>
      <c r="E561" s="8" t="s">
        <v>2499</v>
      </c>
      <c r="G561" s="42" t="e">
        <f aca="false">INDEX(participants!$I:$I, MATCH(B561, participants!$A:$A, 0), 1)</f>
        <v>#N/A</v>
      </c>
      <c r="H561" s="30" t="e">
        <f aca="false">INDEX(libraries!$A:$A, MATCH(A561, libraries!$B:$B, 0), 1)</f>
        <v>#N/A</v>
      </c>
      <c r="I561" s="21" t="s">
        <v>1896</v>
      </c>
      <c r="J561" s="44" t="e">
        <f aca="false">INDEX(#REF!, MATCH(B561, participants!$A:$A, 0), 1)</f>
        <v>#N/A</v>
      </c>
    </row>
    <row r="562" customFormat="false" ht="13.8" hidden="false" customHeight="false" outlineLevel="0" collapsed="false">
      <c r="A562" s="37" t="s">
        <v>2944</v>
      </c>
      <c r="B562" s="41" t="s">
        <v>2495</v>
      </c>
      <c r="C562" s="8" t="s">
        <v>2945</v>
      </c>
      <c r="D562" s="8" t="s">
        <v>1697</v>
      </c>
      <c r="E562" s="8" t="s">
        <v>2746</v>
      </c>
      <c r="G562" s="42" t="e">
        <f aca="false">INDEX(participants!$I:$I, MATCH(B562, participants!$A:$A, 0), 1)</f>
        <v>#N/A</v>
      </c>
      <c r="H562" s="30" t="e">
        <f aca="false">INDEX(libraries!$A:$A, MATCH(A562, libraries!$B:$B, 0), 1)</f>
        <v>#N/A</v>
      </c>
      <c r="I562" s="21" t="s">
        <v>1896</v>
      </c>
      <c r="J562" s="44" t="e">
        <f aca="false">INDEX(#REF!, MATCH(B562, participants!$A:$A, 0), 1)</f>
        <v>#N/A</v>
      </c>
    </row>
    <row r="563" customFormat="false" ht="13.8" hidden="false" customHeight="false" outlineLevel="0" collapsed="false">
      <c r="A563" s="37" t="s">
        <v>2946</v>
      </c>
      <c r="B563" s="41" t="s">
        <v>2495</v>
      </c>
      <c r="C563" s="8" t="s">
        <v>2619</v>
      </c>
      <c r="D563" s="8" t="s">
        <v>1697</v>
      </c>
      <c r="E563" s="8" t="s">
        <v>2746</v>
      </c>
      <c r="G563" s="42" t="e">
        <f aca="false">INDEX(participants!$I:$I, MATCH(B563, participants!$A:$A, 0), 1)</f>
        <v>#N/A</v>
      </c>
      <c r="H563" s="30" t="e">
        <f aca="false">INDEX(libraries!$A:$A, MATCH(A563, libraries!$B:$B, 0), 1)</f>
        <v>#N/A</v>
      </c>
      <c r="I563" s="21" t="s">
        <v>1896</v>
      </c>
      <c r="J563" s="44" t="e">
        <f aca="false">INDEX(#REF!, MATCH(B563, participants!$A:$A, 0), 1)</f>
        <v>#N/A</v>
      </c>
    </row>
    <row r="564" customFormat="false" ht="13.8" hidden="false" customHeight="false" outlineLevel="0" collapsed="false">
      <c r="A564" s="37" t="s">
        <v>2947</v>
      </c>
      <c r="B564" s="41" t="s">
        <v>2221</v>
      </c>
      <c r="C564" s="8" t="s">
        <v>2529</v>
      </c>
      <c r="D564" s="8" t="s">
        <v>1697</v>
      </c>
      <c r="E564" s="8" t="s">
        <v>2948</v>
      </c>
      <c r="G564" s="42" t="e">
        <f aca="false">INDEX(participants!$I:$I, MATCH(B564, participants!$A:$A, 0), 1)</f>
        <v>#N/A</v>
      </c>
      <c r="H564" s="30" t="e">
        <f aca="false">INDEX(libraries!$A:$A, MATCH(A564, libraries!$B:$B, 0), 1)</f>
        <v>#N/A</v>
      </c>
      <c r="I564" s="21" t="s">
        <v>1896</v>
      </c>
      <c r="J564" s="44" t="e">
        <f aca="false">INDEX(#REF!, MATCH(B564, participants!$A:$A, 0), 1)</f>
        <v>#N/A</v>
      </c>
    </row>
    <row r="565" customFormat="false" ht="13.8" hidden="false" customHeight="false" outlineLevel="0" collapsed="false">
      <c r="A565" s="37" t="s">
        <v>2949</v>
      </c>
      <c r="B565" s="41" t="s">
        <v>2221</v>
      </c>
      <c r="C565" s="8" t="s">
        <v>2950</v>
      </c>
      <c r="D565" s="8" t="s">
        <v>1697</v>
      </c>
      <c r="E565" s="8" t="s">
        <v>2746</v>
      </c>
      <c r="G565" s="42" t="e">
        <f aca="false">INDEX(participants!$I:$I, MATCH(B565, participants!$A:$A, 0), 1)</f>
        <v>#N/A</v>
      </c>
      <c r="H565" s="30" t="e">
        <f aca="false">INDEX(libraries!$A:$A, MATCH(A565, libraries!$B:$B, 0), 1)</f>
        <v>#N/A</v>
      </c>
      <c r="I565" s="21" t="s">
        <v>1896</v>
      </c>
      <c r="J565" s="44" t="e">
        <f aca="false">INDEX(#REF!, MATCH(B565, participants!$A:$A, 0), 1)</f>
        <v>#N/A</v>
      </c>
    </row>
    <row r="566" customFormat="false" ht="13.8" hidden="false" customHeight="false" outlineLevel="0" collapsed="false">
      <c r="A566" s="37" t="s">
        <v>2951</v>
      </c>
      <c r="B566" s="41" t="s">
        <v>2221</v>
      </c>
      <c r="C566" s="8" t="s">
        <v>2861</v>
      </c>
      <c r="D566" s="8" t="s">
        <v>1697</v>
      </c>
      <c r="E566" s="8" t="s">
        <v>2746</v>
      </c>
      <c r="G566" s="42" t="e">
        <f aca="false">INDEX(participants!$I:$I, MATCH(B566, participants!$A:$A, 0), 1)</f>
        <v>#N/A</v>
      </c>
      <c r="H566" s="30" t="e">
        <f aca="false">INDEX(libraries!$A:$A, MATCH(A566, libraries!$B:$B, 0), 1)</f>
        <v>#N/A</v>
      </c>
      <c r="I566" s="21" t="s">
        <v>1896</v>
      </c>
      <c r="J566" s="44" t="e">
        <f aca="false">INDEX(#REF!, MATCH(B566, participants!$A:$A, 0), 1)</f>
        <v>#N/A</v>
      </c>
    </row>
    <row r="567" customFormat="false" ht="13.8" hidden="false" customHeight="false" outlineLevel="0" collapsed="false">
      <c r="A567" s="37" t="s">
        <v>2952</v>
      </c>
      <c r="B567" s="41" t="s">
        <v>2498</v>
      </c>
      <c r="C567" s="8" t="s">
        <v>2714</v>
      </c>
      <c r="D567" s="8" t="s">
        <v>1697</v>
      </c>
      <c r="E567" s="8" t="s">
        <v>2850</v>
      </c>
      <c r="G567" s="42" t="e">
        <f aca="false">INDEX(participants!$I:$I, MATCH(B567, participants!$A:$A, 0), 1)</f>
        <v>#N/A</v>
      </c>
      <c r="H567" s="30" t="e">
        <f aca="false">INDEX(libraries!$A:$A, MATCH(A567, libraries!$B:$B, 0), 1)</f>
        <v>#N/A</v>
      </c>
      <c r="I567" s="16" t="s">
        <v>1896</v>
      </c>
      <c r="J567" s="44" t="e">
        <f aca="false">INDEX(#REF!, MATCH(B567, participants!$A:$A, 0), 1)</f>
        <v>#N/A</v>
      </c>
    </row>
    <row r="568" customFormat="false" ht="13.8" hidden="false" customHeight="false" outlineLevel="0" collapsed="false">
      <c r="A568" s="37" t="s">
        <v>2953</v>
      </c>
      <c r="B568" s="41" t="s">
        <v>2498</v>
      </c>
      <c r="C568" s="8" t="s">
        <v>2577</v>
      </c>
      <c r="D568" s="8" t="s">
        <v>1697</v>
      </c>
      <c r="E568" s="8" t="s">
        <v>2850</v>
      </c>
      <c r="G568" s="42" t="e">
        <f aca="false">INDEX(participants!$I:$I, MATCH(B568, participants!$A:$A, 0), 1)</f>
        <v>#N/A</v>
      </c>
      <c r="H568" s="30" t="e">
        <f aca="false">INDEX(libraries!$A:$A, MATCH(A568, libraries!$B:$B, 0), 1)</f>
        <v>#N/A</v>
      </c>
      <c r="I568" s="16" t="s">
        <v>1896</v>
      </c>
      <c r="J568" s="44" t="e">
        <f aca="false">INDEX(#REF!, MATCH(B568, participants!$A:$A, 0), 1)</f>
        <v>#N/A</v>
      </c>
    </row>
    <row r="569" customFormat="false" ht="13.8" hidden="false" customHeight="false" outlineLevel="0" collapsed="false">
      <c r="A569" s="37" t="s">
        <v>2954</v>
      </c>
      <c r="B569" s="41" t="s">
        <v>2498</v>
      </c>
      <c r="C569" s="8" t="s">
        <v>2955</v>
      </c>
      <c r="D569" s="8" t="s">
        <v>1697</v>
      </c>
      <c r="E569" s="8" t="s">
        <v>2956</v>
      </c>
      <c r="G569" s="42" t="e">
        <f aca="false">INDEX(participants!$I:$I, MATCH(B569, participants!$A:$A, 0), 1)</f>
        <v>#N/A</v>
      </c>
      <c r="H569" s="30" t="e">
        <f aca="false">INDEX(libraries!$A:$A, MATCH(A569, libraries!$B:$B, 0), 1)</f>
        <v>#N/A</v>
      </c>
      <c r="I569" s="16" t="s">
        <v>1896</v>
      </c>
      <c r="J569" s="44" t="e">
        <f aca="false">INDEX(#REF!, MATCH(B569, participants!$A:$A, 0), 1)</f>
        <v>#N/A</v>
      </c>
    </row>
    <row r="570" customFormat="false" ht="13.8" hidden="false" customHeight="false" outlineLevel="0" collapsed="false">
      <c r="A570" s="37" t="s">
        <v>2957</v>
      </c>
      <c r="B570" s="41" t="s">
        <v>2503</v>
      </c>
      <c r="C570" s="8" t="s">
        <v>2958</v>
      </c>
      <c r="D570" s="8" t="s">
        <v>1697</v>
      </c>
      <c r="E570" s="8" t="s">
        <v>2746</v>
      </c>
      <c r="G570" s="42" t="e">
        <f aca="false">INDEX(participants!$I:$I, MATCH(B570, participants!$A:$A, 0), 1)</f>
        <v>#N/A</v>
      </c>
      <c r="H570" s="30" t="e">
        <f aca="false">INDEX(libraries!$A:$A, MATCH(A570, libraries!$B:$B, 0), 1)</f>
        <v>#N/A</v>
      </c>
      <c r="I570" s="21" t="s">
        <v>1896</v>
      </c>
      <c r="J570" s="44" t="e">
        <f aca="false">INDEX(#REF!, MATCH(B570, participants!$A:$A, 0), 1)</f>
        <v>#N/A</v>
      </c>
    </row>
    <row r="571" customFormat="false" ht="13.8" hidden="false" customHeight="false" outlineLevel="0" collapsed="false">
      <c r="A571" s="37" t="s">
        <v>2959</v>
      </c>
      <c r="B571" s="41" t="s">
        <v>2960</v>
      </c>
      <c r="C571" s="8" t="s">
        <v>2961</v>
      </c>
      <c r="D571" s="8" t="s">
        <v>1697</v>
      </c>
      <c r="E571" s="8" t="s">
        <v>2499</v>
      </c>
      <c r="F571" s="33"/>
      <c r="G571" s="42" t="e">
        <f aca="false">INDEX(participants!$I:$I, MATCH(B571, participants!$A:$A, 0), 1)</f>
        <v>#N/A</v>
      </c>
      <c r="H571" s="30" t="e">
        <f aca="false">INDEX(libraries!$A:$A, MATCH(A571, libraries!$B:$B, 0), 1)</f>
        <v>#N/A</v>
      </c>
      <c r="I571" s="16"/>
      <c r="J571" s="44" t="e">
        <f aca="false">INDEX(#REF!, MATCH(B571, participants!$A:$A, 0), 1)</f>
        <v>#N/A</v>
      </c>
    </row>
    <row r="572" customFormat="false" ht="13.8" hidden="false" customHeight="false" outlineLevel="0" collapsed="false">
      <c r="A572" s="37" t="s">
        <v>2962</v>
      </c>
      <c r="B572" s="41" t="s">
        <v>2960</v>
      </c>
      <c r="C572" s="8" t="s">
        <v>2963</v>
      </c>
      <c r="D572" s="8" t="s">
        <v>1697</v>
      </c>
      <c r="E572" s="8" t="s">
        <v>2746</v>
      </c>
      <c r="F572" s="33"/>
      <c r="G572" s="42" t="e">
        <f aca="false">INDEX(participants!$I:$I, MATCH(B572, participants!$A:$A, 0), 1)</f>
        <v>#N/A</v>
      </c>
      <c r="H572" s="30" t="e">
        <f aca="false">INDEX(libraries!$A:$A, MATCH(A572, libraries!$B:$B, 0), 1)</f>
        <v>#N/A</v>
      </c>
      <c r="I572" s="16"/>
      <c r="J572" s="44" t="e">
        <f aca="false">INDEX(#REF!, MATCH(B572, participants!$A:$A, 0), 1)</f>
        <v>#N/A</v>
      </c>
    </row>
    <row r="573" customFormat="false" ht="13.8" hidden="false" customHeight="false" outlineLevel="0" collapsed="false">
      <c r="A573" s="37" t="s">
        <v>2964</v>
      </c>
      <c r="B573" s="41" t="s">
        <v>2960</v>
      </c>
      <c r="C573" s="8" t="s">
        <v>2965</v>
      </c>
      <c r="D573" s="8" t="s">
        <v>1697</v>
      </c>
      <c r="E573" s="8" t="s">
        <v>2746</v>
      </c>
      <c r="F573" s="33"/>
      <c r="G573" s="42" t="e">
        <f aca="false">INDEX(participants!$I:$I, MATCH(B573, participants!$A:$A, 0), 1)</f>
        <v>#N/A</v>
      </c>
      <c r="H573" s="30" t="e">
        <f aca="false">INDEX(libraries!$A:$A, MATCH(A573, libraries!$B:$B, 0), 1)</f>
        <v>#N/A</v>
      </c>
      <c r="I573" s="16"/>
      <c r="J573" s="44" t="e">
        <f aca="false">INDEX(#REF!, MATCH(B573, participants!$A:$A, 0), 1)</f>
        <v>#N/A</v>
      </c>
    </row>
    <row r="574" customFormat="false" ht="13.8" hidden="false" customHeight="false" outlineLevel="0" collapsed="false">
      <c r="A574" s="37" t="s">
        <v>2966</v>
      </c>
      <c r="B574" s="41" t="s">
        <v>2967</v>
      </c>
      <c r="C574" s="8" t="s">
        <v>2714</v>
      </c>
      <c r="D574" s="8" t="s">
        <v>1697</v>
      </c>
      <c r="E574" s="8" t="s">
        <v>2668</v>
      </c>
      <c r="G574" s="42" t="e">
        <f aca="false">INDEX(participants!$I:$I, MATCH(B574, participants!$A:$A, 0), 1)</f>
        <v>#N/A</v>
      </c>
      <c r="H574" s="30" t="e">
        <f aca="false">INDEX(libraries!$A:$A, MATCH(A574, libraries!$B:$B, 0), 1)</f>
        <v>#N/A</v>
      </c>
      <c r="I574" s="28" t="s">
        <v>1896</v>
      </c>
      <c r="J574" s="44" t="e">
        <f aca="false">INDEX(#REF!, MATCH(B574, participants!$A:$A, 0), 1)</f>
        <v>#N/A</v>
      </c>
    </row>
    <row r="575" customFormat="false" ht="13.8" hidden="false" customHeight="false" outlineLevel="0" collapsed="false">
      <c r="A575" s="37" t="s">
        <v>2968</v>
      </c>
      <c r="B575" s="41" t="s">
        <v>2967</v>
      </c>
      <c r="C575" s="8" t="s">
        <v>2969</v>
      </c>
      <c r="D575" s="8" t="s">
        <v>1697</v>
      </c>
      <c r="E575" s="8" t="s">
        <v>2746</v>
      </c>
      <c r="G575" s="42" t="e">
        <f aca="false">INDEX(participants!$I:$I, MATCH(B575, participants!$A:$A, 0), 1)</f>
        <v>#N/A</v>
      </c>
      <c r="H575" s="30" t="e">
        <f aca="false">INDEX(libraries!$A:$A, MATCH(A575, libraries!$B:$B, 0), 1)</f>
        <v>#N/A</v>
      </c>
      <c r="I575" s="28" t="s">
        <v>1896</v>
      </c>
      <c r="J575" s="44" t="e">
        <f aca="false">INDEX(#REF!, MATCH(B575, participants!$A:$A, 0), 1)</f>
        <v>#N/A</v>
      </c>
    </row>
    <row r="576" customFormat="false" ht="13.8" hidden="false" customHeight="false" outlineLevel="0" collapsed="false">
      <c r="A576" s="37" t="s">
        <v>2970</v>
      </c>
      <c r="B576" s="41" t="s">
        <v>2967</v>
      </c>
      <c r="C576" s="8" t="s">
        <v>2714</v>
      </c>
      <c r="D576" s="8" t="s">
        <v>1697</v>
      </c>
      <c r="E576" s="8" t="s">
        <v>2668</v>
      </c>
      <c r="G576" s="42" t="e">
        <f aca="false">INDEX(participants!$I:$I, MATCH(B576, participants!$A:$A, 0), 1)</f>
        <v>#N/A</v>
      </c>
      <c r="H576" s="30" t="e">
        <f aca="false">INDEX(libraries!$A:$A, MATCH(A576, libraries!$B:$B, 0), 1)</f>
        <v>#N/A</v>
      </c>
      <c r="I576" s="28" t="s">
        <v>1896</v>
      </c>
      <c r="J576" s="44" t="e">
        <f aca="false">INDEX(#REF!, MATCH(B576, participants!$A:$A, 0), 1)</f>
        <v>#N/A</v>
      </c>
    </row>
    <row r="577" customFormat="false" ht="13.8" hidden="false" customHeight="false" outlineLevel="0" collapsed="false">
      <c r="A577" s="37" t="s">
        <v>2971</v>
      </c>
      <c r="B577" s="41" t="s">
        <v>2967</v>
      </c>
      <c r="C577" s="8" t="s">
        <v>2969</v>
      </c>
      <c r="D577" s="8" t="s">
        <v>1697</v>
      </c>
      <c r="E577" s="8" t="s">
        <v>2668</v>
      </c>
      <c r="G577" s="42" t="e">
        <f aca="false">INDEX(participants!$I:$I, MATCH(B577, participants!$A:$A, 0), 1)</f>
        <v>#N/A</v>
      </c>
      <c r="H577" s="30" t="e">
        <f aca="false">INDEX(libraries!$A:$A, MATCH(A577, libraries!$B:$B, 0), 1)</f>
        <v>#N/A</v>
      </c>
      <c r="I577" s="28" t="s">
        <v>1896</v>
      </c>
      <c r="J577" s="44" t="e">
        <f aca="false">INDEX(#REF!, MATCH(B577, participants!$A:$A, 0), 1)</f>
        <v>#N/A</v>
      </c>
    </row>
    <row r="578" customFormat="false" ht="13.8" hidden="false" customHeight="false" outlineLevel="0" collapsed="false">
      <c r="A578" s="37" t="s">
        <v>2972</v>
      </c>
      <c r="B578" s="41" t="s">
        <v>2507</v>
      </c>
      <c r="C578" s="8" t="s">
        <v>2973</v>
      </c>
      <c r="D578" s="8" t="s">
        <v>1697</v>
      </c>
      <c r="E578" s="8" t="s">
        <v>2668</v>
      </c>
      <c r="G578" s="42" t="e">
        <f aca="false">INDEX(participants!$I:$I, MATCH(B578, participants!$A:$A, 0), 1)</f>
        <v>#N/A</v>
      </c>
      <c r="H578" s="30" t="e">
        <f aca="false">INDEX(libraries!$A:$A, MATCH(A578, libraries!$B:$B, 0), 1)</f>
        <v>#N/A</v>
      </c>
      <c r="I578" s="16" t="s">
        <v>1896</v>
      </c>
      <c r="J578" s="44" t="e">
        <f aca="false">INDEX(#REF!, MATCH(B578, participants!$A:$A, 0), 1)</f>
        <v>#N/A</v>
      </c>
    </row>
    <row r="579" customFormat="false" ht="13.8" hidden="false" customHeight="false" outlineLevel="0" collapsed="false">
      <c r="A579" s="37" t="s">
        <v>2974</v>
      </c>
      <c r="B579" s="41" t="s">
        <v>2507</v>
      </c>
      <c r="C579" s="8" t="s">
        <v>2975</v>
      </c>
      <c r="D579" s="8" t="s">
        <v>1697</v>
      </c>
      <c r="E579" s="8" t="s">
        <v>2668</v>
      </c>
      <c r="G579" s="42" t="e">
        <f aca="false">INDEX(participants!$I:$I, MATCH(B579, participants!$A:$A, 0), 1)</f>
        <v>#N/A</v>
      </c>
      <c r="H579" s="30" t="e">
        <f aca="false">INDEX(libraries!$A:$A, MATCH(A579, libraries!$B:$B, 0), 1)</f>
        <v>#N/A</v>
      </c>
      <c r="I579" s="16" t="s">
        <v>1896</v>
      </c>
      <c r="J579" s="44" t="e">
        <f aca="false">INDEX(#REF!, MATCH(B579, participants!$A:$A, 0), 1)</f>
        <v>#N/A</v>
      </c>
    </row>
    <row r="580" customFormat="false" ht="13.8" hidden="false" customHeight="false" outlineLevel="0" collapsed="false">
      <c r="A580" s="37" t="s">
        <v>2976</v>
      </c>
      <c r="B580" s="41" t="s">
        <v>2366</v>
      </c>
      <c r="C580" s="8" t="n">
        <v>45447</v>
      </c>
      <c r="D580" s="8" t="s">
        <v>1697</v>
      </c>
      <c r="E580" s="8" t="s">
        <v>2977</v>
      </c>
      <c r="G580" s="42" t="e">
        <f aca="false">INDEX(participants!$I:$I, MATCH(B580, participants!$A:$A, 0), 1)</f>
        <v>#N/A</v>
      </c>
      <c r="H580" s="30" t="e">
        <f aca="false">INDEX(libraries!$A:$A, MATCH(A580, libraries!$B:$B, 0), 1)</f>
        <v>#N/A</v>
      </c>
      <c r="J580" s="44" t="e">
        <f aca="false">INDEX(#REF!, MATCH(B580, participants!$A:$A, 0), 1)</f>
        <v>#N/A</v>
      </c>
    </row>
    <row r="581" customFormat="false" ht="13.8" hidden="false" customHeight="false" outlineLevel="0" collapsed="false">
      <c r="A581" s="37" t="s">
        <v>2978</v>
      </c>
      <c r="B581" s="41" t="s">
        <v>2366</v>
      </c>
      <c r="C581" s="8" t="n">
        <v>45349</v>
      </c>
      <c r="D581" s="8" t="s">
        <v>1697</v>
      </c>
      <c r="E581" s="8" t="s">
        <v>2977</v>
      </c>
      <c r="G581" s="42" t="e">
        <f aca="false">INDEX(participants!$I:$I, MATCH(B581, participants!$A:$A, 0), 1)</f>
        <v>#N/A</v>
      </c>
      <c r="H581" s="30" t="e">
        <f aca="false">INDEX(libraries!$A:$A, MATCH(A581, libraries!$B:$B, 0), 1)</f>
        <v>#N/A</v>
      </c>
      <c r="J581" s="44" t="e">
        <f aca="false">INDEX(#REF!, MATCH(B581, participants!$A:$A, 0), 1)</f>
        <v>#N/A</v>
      </c>
    </row>
    <row r="582" customFormat="false" ht="13.8" hidden="false" customHeight="false" outlineLevel="0" collapsed="false">
      <c r="A582" s="37" t="s">
        <v>2979</v>
      </c>
      <c r="B582" s="41" t="s">
        <v>2528</v>
      </c>
      <c r="C582" s="8" t="n">
        <v>44880</v>
      </c>
      <c r="D582" s="8" t="s">
        <v>1697</v>
      </c>
      <c r="E582" s="8" t="s">
        <v>2980</v>
      </c>
      <c r="G582" s="42" t="e">
        <f aca="false">INDEX(participants!$I:$I, MATCH(B582, participants!$A:$A, 0), 1)</f>
        <v>#N/A</v>
      </c>
      <c r="H582" s="30" t="e">
        <f aca="false">INDEX(libraries!$A:$A, MATCH(A582, libraries!$B:$B, 0), 1)</f>
        <v>#N/A</v>
      </c>
      <c r="J582" s="44" t="e">
        <f aca="false">INDEX(#REF!, MATCH(B582, participants!$A:$A, 0), 1)</f>
        <v>#N/A</v>
      </c>
    </row>
    <row r="583" customFormat="false" ht="13.8" hidden="false" customHeight="false" outlineLevel="0" collapsed="false">
      <c r="A583" s="37" t="s">
        <v>2981</v>
      </c>
      <c r="B583" s="41" t="s">
        <v>2528</v>
      </c>
      <c r="C583" s="8" t="n">
        <v>45482</v>
      </c>
      <c r="D583" s="8" t="s">
        <v>1697</v>
      </c>
      <c r="E583" s="8" t="s">
        <v>2982</v>
      </c>
      <c r="G583" s="42" t="e">
        <f aca="false">INDEX(participants!$I:$I, MATCH(B583, participants!$A:$A, 0), 1)</f>
        <v>#N/A</v>
      </c>
      <c r="H583" s="30" t="e">
        <f aca="false">INDEX(libraries!$A:$A, MATCH(A583, libraries!$B:$B, 0), 1)</f>
        <v>#N/A</v>
      </c>
      <c r="J583" s="44" t="e">
        <f aca="false">INDEX(#REF!, MATCH(B583, participants!$A:$A, 0), 1)</f>
        <v>#N/A</v>
      </c>
    </row>
    <row r="584" customFormat="false" ht="13.8" hidden="false" customHeight="false" outlineLevel="0" collapsed="false">
      <c r="A584" s="37" t="s">
        <v>2983</v>
      </c>
      <c r="B584" s="41" t="s">
        <v>2528</v>
      </c>
      <c r="C584" s="8" t="n">
        <v>45671</v>
      </c>
      <c r="D584" s="8" t="s">
        <v>1697</v>
      </c>
      <c r="E584" s="8"/>
      <c r="G584" s="42" t="e">
        <f aca="false">INDEX(participants!$I:$I, MATCH(B584, participants!$A:$A, 0), 1)</f>
        <v>#N/A</v>
      </c>
      <c r="H584" s="30" t="e">
        <f aca="false">INDEX(libraries!$A:$A, MATCH(A584, libraries!$B:$B, 0), 1)</f>
        <v>#N/A</v>
      </c>
      <c r="J584" s="44" t="e">
        <f aca="false">INDEX(#REF!, MATCH(B584, participants!$A:$A, 0), 1)</f>
        <v>#N/A</v>
      </c>
    </row>
    <row r="585" customFormat="false" ht="13.8" hidden="false" customHeight="false" outlineLevel="0" collapsed="false">
      <c r="A585" s="37" t="s">
        <v>2984</v>
      </c>
      <c r="B585" s="41" t="s">
        <v>2334</v>
      </c>
      <c r="C585" s="8" t="n">
        <v>44397</v>
      </c>
      <c r="D585" s="8" t="s">
        <v>1697</v>
      </c>
      <c r="E585" s="8" t="s">
        <v>2985</v>
      </c>
      <c r="G585" s="42" t="e">
        <f aca="false">INDEX(participants!$I:$I, MATCH(B585, participants!$A:$A, 0), 1)</f>
        <v>#N/A</v>
      </c>
      <c r="H585" s="30" t="e">
        <f aca="false">INDEX(libraries!$A:$A, MATCH(A585, libraries!$B:$B, 0), 1)</f>
        <v>#N/A</v>
      </c>
      <c r="J585" s="44" t="e">
        <f aca="false">INDEX(#REF!, MATCH(B585, participants!$A:$A, 0), 1)</f>
        <v>#N/A</v>
      </c>
    </row>
    <row r="586" customFormat="false" ht="13.8" hidden="false" customHeight="false" outlineLevel="0" collapsed="false">
      <c r="A586" s="37" t="s">
        <v>2986</v>
      </c>
      <c r="B586" s="41" t="s">
        <v>2334</v>
      </c>
      <c r="C586" s="8" t="n">
        <v>44488</v>
      </c>
      <c r="D586" s="8" t="s">
        <v>1697</v>
      </c>
      <c r="E586" s="8" t="s">
        <v>2987</v>
      </c>
      <c r="G586" s="42" t="e">
        <f aca="false">INDEX(participants!$I:$I, MATCH(B586, participants!$A:$A, 0), 1)</f>
        <v>#N/A</v>
      </c>
      <c r="H586" s="30" t="e">
        <f aca="false">INDEX(libraries!$A:$A, MATCH(A586, libraries!$B:$B, 0), 1)</f>
        <v>#N/A</v>
      </c>
      <c r="J586" s="44" t="e">
        <f aca="false">INDEX(#REF!, MATCH(B586, participants!$A:$A, 0), 1)</f>
        <v>#N/A</v>
      </c>
    </row>
    <row r="587" customFormat="false" ht="13.8" hidden="false" customHeight="false" outlineLevel="0" collapsed="false">
      <c r="A587" s="37" t="s">
        <v>2988</v>
      </c>
      <c r="B587" s="41" t="s">
        <v>2334</v>
      </c>
      <c r="C587" s="8" t="n">
        <v>44649</v>
      </c>
      <c r="D587" s="8" t="s">
        <v>1697</v>
      </c>
      <c r="E587" s="8" t="s">
        <v>2989</v>
      </c>
      <c r="G587" s="42" t="e">
        <f aca="false">INDEX(participants!$I:$I, MATCH(B587, participants!$A:$A, 0), 1)</f>
        <v>#N/A</v>
      </c>
      <c r="H587" s="30" t="e">
        <f aca="false">INDEX(libraries!$A:$A, MATCH(A587, libraries!$B:$B, 0), 1)</f>
        <v>#N/A</v>
      </c>
      <c r="J587" s="44" t="e">
        <f aca="false">INDEX(#REF!, MATCH(B587, participants!$A:$A, 0), 1)</f>
        <v>#N/A</v>
      </c>
    </row>
    <row r="588" customFormat="false" ht="13.8" hidden="false" customHeight="false" outlineLevel="0" collapsed="false">
      <c r="A588" s="37" t="s">
        <v>2990</v>
      </c>
      <c r="B588" s="41" t="s">
        <v>2334</v>
      </c>
      <c r="C588" s="8" t="n">
        <v>44740</v>
      </c>
      <c r="D588" s="8" t="s">
        <v>1697</v>
      </c>
      <c r="E588" s="8" t="s">
        <v>2989</v>
      </c>
      <c r="G588" s="42" t="e">
        <f aca="false">INDEX(participants!$I:$I, MATCH(B588, participants!$A:$A, 0), 1)</f>
        <v>#N/A</v>
      </c>
      <c r="H588" s="30" t="e">
        <f aca="false">INDEX(libraries!$A:$A, MATCH(A588, libraries!$B:$B, 0), 1)</f>
        <v>#N/A</v>
      </c>
      <c r="J588" s="44" t="e">
        <f aca="false">INDEX(#REF!, MATCH(B588, participants!$A:$A, 0), 1)</f>
        <v>#N/A</v>
      </c>
    </row>
    <row r="589" customFormat="false" ht="13.8" hidden="false" customHeight="false" outlineLevel="0" collapsed="false">
      <c r="A589" s="37" t="s">
        <v>2991</v>
      </c>
      <c r="B589" s="41" t="s">
        <v>2334</v>
      </c>
      <c r="C589" s="8" t="n">
        <v>44922</v>
      </c>
      <c r="D589" s="8" t="s">
        <v>1697</v>
      </c>
      <c r="E589" s="8" t="s">
        <v>2850</v>
      </c>
      <c r="G589" s="42" t="e">
        <f aca="false">INDEX(participants!$I:$I, MATCH(B589, participants!$A:$A, 0), 1)</f>
        <v>#N/A</v>
      </c>
      <c r="H589" s="30" t="e">
        <f aca="false">INDEX(libraries!$A:$A, MATCH(A589, libraries!$B:$B, 0), 1)</f>
        <v>#N/A</v>
      </c>
      <c r="J589" s="44" t="e">
        <f aca="false">INDEX(#REF!, MATCH(B589, participants!$A:$A, 0), 1)</f>
        <v>#N/A</v>
      </c>
    </row>
    <row r="590" customFormat="false" ht="13.8" hidden="false" customHeight="false" outlineLevel="0" collapsed="false">
      <c r="A590" s="37" t="s">
        <v>2992</v>
      </c>
      <c r="B590" s="41" t="s">
        <v>2334</v>
      </c>
      <c r="C590" s="8" t="n">
        <v>45013</v>
      </c>
      <c r="D590" s="8" t="s">
        <v>1697</v>
      </c>
      <c r="E590" s="8" t="s">
        <v>2850</v>
      </c>
      <c r="G590" s="42" t="e">
        <f aca="false">INDEX(participants!$I:$I, MATCH(B590, participants!$A:$A, 0), 1)</f>
        <v>#N/A</v>
      </c>
      <c r="H590" s="30" t="e">
        <f aca="false">INDEX(libraries!$A:$A, MATCH(A590, libraries!$B:$B, 0), 1)</f>
        <v>#N/A</v>
      </c>
      <c r="J590" s="44" t="e">
        <f aca="false">INDEX(#REF!, MATCH(B590, participants!$A:$A, 0), 1)</f>
        <v>#N/A</v>
      </c>
    </row>
    <row r="591" customFormat="false" ht="13.8" hidden="false" customHeight="false" outlineLevel="0" collapsed="false">
      <c r="A591" s="37" t="s">
        <v>2993</v>
      </c>
      <c r="B591" s="41" t="s">
        <v>2288</v>
      </c>
      <c r="C591" s="8" t="n">
        <v>45244</v>
      </c>
      <c r="D591" s="8" t="s">
        <v>1697</v>
      </c>
      <c r="E591" s="8" t="s">
        <v>2668</v>
      </c>
      <c r="G591" s="42" t="e">
        <f aca="false">INDEX(participants!$I:$I, MATCH(B591, participants!$A:$A, 0), 1)</f>
        <v>#N/A</v>
      </c>
      <c r="H591" s="30" t="e">
        <f aca="false">INDEX(libraries!$A:$A, MATCH(A591, libraries!$B:$B, 0), 1)</f>
        <v>#N/A</v>
      </c>
      <c r="J591" s="44" t="e">
        <f aca="false">INDEX(#REF!, MATCH(B591, participants!$A:$A, 0), 1)</f>
        <v>#N/A</v>
      </c>
    </row>
    <row r="592" customFormat="false" ht="13.8" hidden="false" customHeight="false" outlineLevel="0" collapsed="false">
      <c r="A592" s="37" t="s">
        <v>2994</v>
      </c>
      <c r="B592" s="38" t="s">
        <v>2995</v>
      </c>
      <c r="C592" s="0" t="n">
        <v>44859</v>
      </c>
      <c r="D592" s="0" t="s">
        <v>1697</v>
      </c>
      <c r="G592" s="42" t="e">
        <f aca="false">INDEX(participants!$I:$I, MATCH(B592, participants!$A:$A, 0), 1)</f>
        <v>#N/A</v>
      </c>
      <c r="H592" s="30" t="e">
        <f aca="false">INDEX(libraries!$A:$A, MATCH(A592, libraries!$B:$B, 0), 1)</f>
        <v>#N/A</v>
      </c>
      <c r="J592" s="44" t="e">
        <f aca="false">INDEX(#REF!, MATCH(B592, participants!$A:$A, 0), 1)</f>
        <v>#N/A</v>
      </c>
    </row>
    <row r="593" customFormat="false" ht="13.8" hidden="false" customHeight="false" outlineLevel="0" collapsed="false">
      <c r="A593" s="37" t="s">
        <v>2996</v>
      </c>
      <c r="B593" s="41" t="s">
        <v>2543</v>
      </c>
      <c r="C593" s="8" t="n">
        <v>44936</v>
      </c>
      <c r="D593" s="8" t="s">
        <v>1697</v>
      </c>
      <c r="E593" s="8" t="s">
        <v>2850</v>
      </c>
      <c r="G593" s="42" t="e">
        <f aca="false">INDEX(participants!$I:$I, MATCH(B593, participants!$A:$A, 0), 1)</f>
        <v>#N/A</v>
      </c>
      <c r="H593" s="30" t="e">
        <f aca="false">INDEX(libraries!$A:$A, MATCH(A593, libraries!$B:$B, 0), 1)</f>
        <v>#N/A</v>
      </c>
      <c r="J593" s="44" t="e">
        <f aca="false">INDEX(#REF!, MATCH(B593, participants!$A:$A, 0), 1)</f>
        <v>#N/A</v>
      </c>
    </row>
    <row r="594" customFormat="false" ht="13.8" hidden="false" customHeight="false" outlineLevel="0" collapsed="false">
      <c r="A594" s="37" t="s">
        <v>2997</v>
      </c>
      <c r="B594" s="41" t="s">
        <v>2320</v>
      </c>
      <c r="C594" s="8" t="n">
        <v>44999</v>
      </c>
      <c r="D594" s="8" t="s">
        <v>1697</v>
      </c>
      <c r="E594" s="8" t="s">
        <v>2998</v>
      </c>
      <c r="G594" s="42" t="e">
        <f aca="false">INDEX(participants!$I:$I, MATCH(B594, participants!$A:$A, 0), 1)</f>
        <v>#N/A</v>
      </c>
      <c r="H594" s="30" t="e">
        <f aca="false">INDEX(libraries!$A:$A, MATCH(A594, libraries!$B:$B, 0), 1)</f>
        <v>#N/A</v>
      </c>
      <c r="J594" s="44" t="e">
        <f aca="false">INDEX(#REF!, MATCH(B594, participants!$A:$A, 0), 1)</f>
        <v>#N/A</v>
      </c>
    </row>
    <row r="595" customFormat="false" ht="13.8" hidden="false" customHeight="false" outlineLevel="0" collapsed="false">
      <c r="A595" s="37" t="s">
        <v>2999</v>
      </c>
      <c r="B595" s="41" t="s">
        <v>2320</v>
      </c>
      <c r="C595" s="8" t="n">
        <v>44908</v>
      </c>
      <c r="D595" s="8" t="s">
        <v>1697</v>
      </c>
      <c r="E595" s="8" t="s">
        <v>3000</v>
      </c>
      <c r="G595" s="42" t="e">
        <f aca="false">INDEX(participants!$I:$I, MATCH(B595, participants!$A:$A, 0), 1)</f>
        <v>#N/A</v>
      </c>
      <c r="H595" s="30" t="e">
        <f aca="false">INDEX(libraries!$A:$A, MATCH(A595, libraries!$B:$B, 0), 1)</f>
        <v>#N/A</v>
      </c>
      <c r="J595" s="44" t="e">
        <f aca="false">INDEX(#REF!, MATCH(B595, participants!$A:$A, 0), 1)</f>
        <v>#N/A</v>
      </c>
    </row>
    <row r="596" customFormat="false" ht="13.8" hidden="false" customHeight="false" outlineLevel="0" collapsed="false">
      <c r="A596" s="37" t="s">
        <v>3001</v>
      </c>
      <c r="B596" s="38" t="s">
        <v>3002</v>
      </c>
      <c r="C596" s="0" t="n">
        <v>45363</v>
      </c>
      <c r="D596" s="0" t="s">
        <v>1697</v>
      </c>
      <c r="E596" s="0" t="s">
        <v>3003</v>
      </c>
      <c r="G596" s="42" t="e">
        <f aca="false">INDEX(participants!$I:$I, MATCH(B596, participants!$A:$A, 0), 1)</f>
        <v>#N/A</v>
      </c>
      <c r="H596" s="30" t="e">
        <f aca="false">INDEX(libraries!$A:$A, MATCH(A596, libraries!$B:$B, 0), 1)</f>
        <v>#N/A</v>
      </c>
      <c r="I596" s="21" t="s">
        <v>1896</v>
      </c>
      <c r="J596" s="44" t="e">
        <f aca="false">INDEX(#REF!, MATCH(B596, participants!$A:$A, 0), 1)</f>
        <v>#N/A</v>
      </c>
    </row>
    <row r="597" customFormat="false" ht="13.8" hidden="false" customHeight="false" outlineLevel="0" collapsed="false">
      <c r="A597" s="37" t="s">
        <v>3004</v>
      </c>
      <c r="B597" s="38" t="s">
        <v>3002</v>
      </c>
      <c r="C597" s="0" t="n">
        <v>45405</v>
      </c>
      <c r="D597" s="0" t="s">
        <v>1697</v>
      </c>
      <c r="E597" s="0" t="s">
        <v>3005</v>
      </c>
      <c r="G597" s="42" t="e">
        <f aca="false">INDEX(participants!$I:$I, MATCH(B597, participants!$A:$A, 0), 1)</f>
        <v>#N/A</v>
      </c>
      <c r="H597" s="30" t="e">
        <f aca="false">INDEX(libraries!$A:$A, MATCH(A597, libraries!$B:$B, 0), 1)</f>
        <v>#N/A</v>
      </c>
      <c r="J597" s="44" t="e">
        <f aca="false">INDEX(#REF!, MATCH(B597, participants!$A:$A, 0), 1)</f>
        <v>#N/A</v>
      </c>
    </row>
    <row r="598" customFormat="false" ht="13.8" hidden="false" customHeight="false" outlineLevel="0" collapsed="false">
      <c r="A598" s="37" t="s">
        <v>3006</v>
      </c>
      <c r="B598" s="41" t="s">
        <v>2606</v>
      </c>
      <c r="C598" s="8" t="n">
        <v>45370</v>
      </c>
      <c r="D598" s="8" t="s">
        <v>1697</v>
      </c>
      <c r="E598" s="8" t="s">
        <v>3007</v>
      </c>
      <c r="G598" s="42" t="e">
        <f aca="false">INDEX(participants!$I:$I, MATCH(B598, participants!$A:$A, 0), 1)</f>
        <v>#N/A</v>
      </c>
      <c r="H598" s="30" t="e">
        <f aca="false">INDEX(libraries!$A:$A, MATCH(A598, libraries!$B:$B, 0), 1)</f>
        <v>#N/A</v>
      </c>
      <c r="J598" s="44" t="e">
        <f aca="false">INDEX(#REF!, MATCH(B598, participants!$A:$A, 0), 1)</f>
        <v>#N/A</v>
      </c>
    </row>
    <row r="599" customFormat="false" ht="13.8" hidden="false" customHeight="false" outlineLevel="0" collapsed="false">
      <c r="A599" s="37" t="s">
        <v>3008</v>
      </c>
      <c r="B599" s="41" t="s">
        <v>2320</v>
      </c>
      <c r="C599" s="8" t="n">
        <v>45405</v>
      </c>
      <c r="D599" s="8" t="s">
        <v>1697</v>
      </c>
      <c r="E599" s="8" t="s">
        <v>3009</v>
      </c>
      <c r="G599" s="42" t="e">
        <f aca="false">INDEX(participants!$I:$I, MATCH(B599, participants!$A:$A, 0), 1)</f>
        <v>#N/A</v>
      </c>
      <c r="H599" s="42" t="str">
        <f aca="false">INDEX(libraries!$A:$A, MATCH(A599, libraries!$B:$B, 0), 1)</f>
        <v>lib0648</v>
      </c>
      <c r="J599" s="44" t="e">
        <f aca="false">INDEX(#REF!, MATCH(B599, participants!$A:$A, 0), 1)</f>
        <v>#N/A</v>
      </c>
    </row>
    <row r="600" customFormat="false" ht="13.8" hidden="false" customHeight="false" outlineLevel="0" collapsed="false">
      <c r="A600" s="37" t="s">
        <v>3010</v>
      </c>
      <c r="H600" s="42" t="str">
        <f aca="false">INDEX(libraries!$A:$A, MATCH(A600, libraries!$B:$B, 0), 1)</f>
        <v>lib0649</v>
      </c>
    </row>
    <row r="601" customFormat="false" ht="13.8" hidden="false" customHeight="false" outlineLevel="0" collapsed="false">
      <c r="A601" s="37" t="s">
        <v>3011</v>
      </c>
      <c r="H601" s="42" t="str">
        <f aca="false">INDEX(libraries!$A:$A, MATCH(A601, libraries!$B:$B, 0), 1)</f>
        <v>lib0650</v>
      </c>
    </row>
    <row r="602" customFormat="false" ht="13.8" hidden="false" customHeight="false" outlineLevel="0" collapsed="false">
      <c r="A602" s="37" t="s">
        <v>3012</v>
      </c>
      <c r="H602" s="42" t="str">
        <f aca="false">INDEX(libraries!$A:$A, MATCH(A602, libraries!$B:$B, 0), 1)</f>
        <v>lib0651</v>
      </c>
    </row>
    <row r="603" customFormat="false" ht="13.8" hidden="false" customHeight="false" outlineLevel="0" collapsed="false">
      <c r="A603" s="37" t="s">
        <v>3013</v>
      </c>
      <c r="H603" s="42" t="str">
        <f aca="false">INDEX(libraries!$A:$A, MATCH(A603, libraries!$B:$B, 0), 1)</f>
        <v>lib0652</v>
      </c>
    </row>
    <row r="604" customFormat="false" ht="13.8" hidden="false" customHeight="false" outlineLevel="0" collapsed="false">
      <c r="A604" s="37" t="s">
        <v>3014</v>
      </c>
      <c r="H604" s="42" t="str">
        <f aca="false">INDEX(libraries!$A:$A, MATCH(A604, libraries!$B:$B, 0), 1)</f>
        <v>lib0653</v>
      </c>
    </row>
    <row r="605" customFormat="false" ht="13.8" hidden="false" customHeight="false" outlineLevel="0" collapsed="false">
      <c r="A605" s="37" t="s">
        <v>3015</v>
      </c>
      <c r="H605" s="42" t="str">
        <f aca="false">INDEX(libraries!$A:$A, MATCH(A605, libraries!$B:$B, 0), 1)</f>
        <v>lib0654</v>
      </c>
    </row>
    <row r="606" customFormat="false" ht="13.8" hidden="false" customHeight="false" outlineLevel="0" collapsed="false">
      <c r="A606" s="37" t="s">
        <v>3016</v>
      </c>
      <c r="H606" s="42" t="str">
        <f aca="false">INDEX(libraries!$A:$A, MATCH(A606, libraries!$B:$B, 0), 1)</f>
        <v>lib0655</v>
      </c>
    </row>
    <row r="607" customFormat="false" ht="13.8" hidden="false" customHeight="false" outlineLevel="0" collapsed="false">
      <c r="A607" s="37" t="s">
        <v>3017</v>
      </c>
      <c r="H607" s="42" t="str">
        <f aca="false">INDEX(libraries!$A:$A, MATCH(A607, libraries!$B:$B, 0), 1)</f>
        <v>lib0656</v>
      </c>
    </row>
    <row r="608" customFormat="false" ht="13.8" hidden="false" customHeight="false" outlineLevel="0" collapsed="false">
      <c r="A608" s="37" t="s">
        <v>3018</v>
      </c>
      <c r="H608" s="42" t="str">
        <f aca="false">INDEX(libraries!$A:$A, MATCH(A608, libraries!$B:$B, 0), 1)</f>
        <v>lib0657</v>
      </c>
    </row>
    <row r="609" customFormat="false" ht="13.8" hidden="false" customHeight="false" outlineLevel="0" collapsed="false">
      <c r="A609" s="37" t="s">
        <v>3019</v>
      </c>
      <c r="H609" s="42" t="str">
        <f aca="false">INDEX(libraries!$A:$A, MATCH(A609, libraries!$B:$B, 0), 1)</f>
        <v>lib0658</v>
      </c>
    </row>
    <row r="610" customFormat="false" ht="13.8" hidden="false" customHeight="false" outlineLevel="0" collapsed="false">
      <c r="A610" s="37" t="s">
        <v>3020</v>
      </c>
      <c r="H610" s="42" t="str">
        <f aca="false">INDEX(libraries!$A:$A, MATCH(A610, libraries!$B:$B, 0), 1)</f>
        <v>lib0659</v>
      </c>
    </row>
    <row r="611" customFormat="false" ht="13.8" hidden="false" customHeight="false" outlineLevel="0" collapsed="false">
      <c r="A611" s="37" t="s">
        <v>3021</v>
      </c>
      <c r="H611" s="42" t="str">
        <f aca="false">INDEX(libraries!$A:$A, MATCH(A611, libraries!$B:$B, 0), 1)</f>
        <v>lib0660</v>
      </c>
    </row>
    <row r="612" customFormat="false" ht="13.8" hidden="false" customHeight="false" outlineLevel="0" collapsed="false">
      <c r="A612" s="37" t="s">
        <v>3022</v>
      </c>
      <c r="H612" s="42" t="str">
        <f aca="false">INDEX(libraries!$A:$A, MATCH(A612, libraries!$B:$B, 0), 1)</f>
        <v>lib0661</v>
      </c>
    </row>
    <row r="613" customFormat="false" ht="13.8" hidden="false" customHeight="false" outlineLevel="0" collapsed="false">
      <c r="A613" s="37" t="s">
        <v>3023</v>
      </c>
      <c r="H613" s="42" t="str">
        <f aca="false">INDEX(libraries!$A:$A, MATCH(A613, libraries!$B:$B, 0), 1)</f>
        <v>lib0662</v>
      </c>
    </row>
    <row r="614" customFormat="false" ht="13.8" hidden="false" customHeight="false" outlineLevel="0" collapsed="false">
      <c r="A614" s="37" t="s">
        <v>3024</v>
      </c>
      <c r="H614" s="42" t="str">
        <f aca="false">INDEX(libraries!$A:$A, MATCH(A614, libraries!$B:$B, 0), 1)</f>
        <v>lib0663</v>
      </c>
    </row>
    <row r="615" customFormat="false" ht="13.8" hidden="false" customHeight="false" outlineLevel="0" collapsed="false">
      <c r="A615" s="37" t="s">
        <v>3025</v>
      </c>
      <c r="H615" s="42" t="str">
        <f aca="false">INDEX(libraries!$A:$A, MATCH(A615, libraries!$B:$B, 0), 1)</f>
        <v>lib0664</v>
      </c>
    </row>
    <row r="616" customFormat="false" ht="13.8" hidden="false" customHeight="false" outlineLevel="0" collapsed="false">
      <c r="A616" s="37" t="s">
        <v>3026</v>
      </c>
      <c r="H616" s="42" t="str">
        <f aca="false">INDEX(libraries!$A:$A, MATCH(A616, libraries!$B:$B, 0), 1)</f>
        <v>lib0665</v>
      </c>
    </row>
    <row r="617" customFormat="false" ht="13.8" hidden="false" customHeight="false" outlineLevel="0" collapsed="false">
      <c r="A617" s="37" t="s">
        <v>3027</v>
      </c>
      <c r="H617" s="42" t="str">
        <f aca="false">INDEX(libraries!$A:$A, MATCH(A617, libraries!$B:$B, 0), 1)</f>
        <v>lib0666</v>
      </c>
    </row>
    <row r="618" customFormat="false" ht="13.8" hidden="false" customHeight="false" outlineLevel="0" collapsed="false">
      <c r="A618" s="37" t="s">
        <v>3028</v>
      </c>
      <c r="H618" s="42" t="str">
        <f aca="false">INDEX(libraries!$A:$A, MATCH(A618, libraries!$B:$B, 0), 1)</f>
        <v>lib0667</v>
      </c>
    </row>
    <row r="619" customFormat="false" ht="13.8" hidden="false" customHeight="false" outlineLevel="0" collapsed="false">
      <c r="A619" s="37" t="s">
        <v>3029</v>
      </c>
      <c r="H619" s="42" t="str">
        <f aca="false">INDEX(libraries!$A:$A, MATCH(A619, libraries!$B:$B, 0), 1)</f>
        <v>lib0668</v>
      </c>
    </row>
    <row r="620" customFormat="false" ht="13.8" hidden="false" customHeight="false" outlineLevel="0" collapsed="false">
      <c r="A620" s="37" t="s">
        <v>3030</v>
      </c>
      <c r="H620" s="42" t="str">
        <f aca="false">INDEX(libraries!$A:$A, MATCH(A620, libraries!$B:$B, 0), 1)</f>
        <v>lib0669</v>
      </c>
    </row>
    <row r="621" customFormat="false" ht="13.8" hidden="false" customHeight="false" outlineLevel="0" collapsed="false">
      <c r="A621" s="37" t="s">
        <v>3031</v>
      </c>
      <c r="H621" s="42" t="str">
        <f aca="false">INDEX(libraries!$A:$A, MATCH(A621, libraries!$B:$B, 0), 1)</f>
        <v>lib0670</v>
      </c>
    </row>
    <row r="622" customFormat="false" ht="13.8" hidden="false" customHeight="false" outlineLevel="0" collapsed="false">
      <c r="A622" s="37" t="s">
        <v>3032</v>
      </c>
      <c r="H622" s="42" t="str">
        <f aca="false">INDEX(libraries!$A:$A, MATCH(A622, libraries!$B:$B, 0), 1)</f>
        <v>lib0671</v>
      </c>
    </row>
    <row r="623" customFormat="false" ht="13.8" hidden="false" customHeight="false" outlineLevel="0" collapsed="false">
      <c r="A623" s="37" t="s">
        <v>3033</v>
      </c>
      <c r="H623" s="42" t="str">
        <f aca="false">INDEX(libraries!$A:$A, MATCH(A623, libraries!$B:$B, 0), 1)</f>
        <v>lib0672</v>
      </c>
    </row>
    <row r="624" customFormat="false" ht="13.8" hidden="false" customHeight="false" outlineLevel="0" collapsed="false">
      <c r="A624" s="37" t="s">
        <v>3034</v>
      </c>
      <c r="H624" s="42" t="str">
        <f aca="false">INDEX(libraries!$A:$A, MATCH(A624, libraries!$B:$B, 0), 1)</f>
        <v>lib0673</v>
      </c>
    </row>
    <row r="625" customFormat="false" ht="13.8" hidden="false" customHeight="false" outlineLevel="0" collapsed="false">
      <c r="A625" s="37" t="s">
        <v>3035</v>
      </c>
      <c r="H625" s="42" t="str">
        <f aca="false">INDEX(libraries!$A:$A, MATCH(A625, libraries!$B:$B, 0), 1)</f>
        <v>lib0674</v>
      </c>
    </row>
    <row r="626" customFormat="false" ht="13.8" hidden="false" customHeight="false" outlineLevel="0" collapsed="false">
      <c r="A626" s="37" t="s">
        <v>3036</v>
      </c>
      <c r="H626" s="42" t="str">
        <f aca="false">INDEX(libraries!$A:$A, MATCH(A626, libraries!$B:$B, 0), 1)</f>
        <v>lib0675</v>
      </c>
    </row>
    <row r="627" customFormat="false" ht="13.8" hidden="false" customHeight="false" outlineLevel="0" collapsed="false">
      <c r="A627" s="37" t="s">
        <v>3037</v>
      </c>
      <c r="H627" s="42" t="str">
        <f aca="false">INDEX(libraries!$A:$A, MATCH(A627, libraries!$B:$B, 0), 1)</f>
        <v>lib0676</v>
      </c>
    </row>
    <row r="628" customFormat="false" ht="13.8" hidden="false" customHeight="false" outlineLevel="0" collapsed="false">
      <c r="A628" s="37" t="s">
        <v>3038</v>
      </c>
      <c r="H628" s="42" t="str">
        <f aca="false">INDEX(libraries!$A:$A, MATCH(A628, libraries!$B:$B, 0), 1)</f>
        <v>lib0677</v>
      </c>
    </row>
    <row r="629" customFormat="false" ht="13.8" hidden="false" customHeight="false" outlineLevel="0" collapsed="false">
      <c r="A629" s="37" t="s">
        <v>3039</v>
      </c>
      <c r="H629" s="42" t="str">
        <f aca="false">INDEX(libraries!$A:$A, MATCH(A629, libraries!$B:$B, 0), 1)</f>
        <v>lib0678</v>
      </c>
    </row>
    <row r="630" customFormat="false" ht="13.8" hidden="false" customHeight="false" outlineLevel="0" collapsed="false">
      <c r="A630" s="37" t="s">
        <v>3040</v>
      </c>
      <c r="H630" s="42" t="str">
        <f aca="false">INDEX(libraries!$A:$A, MATCH(A630, libraries!$B:$B, 0), 1)</f>
        <v>lib0679</v>
      </c>
    </row>
    <row r="631" customFormat="false" ht="13.8" hidden="false" customHeight="false" outlineLevel="0" collapsed="false">
      <c r="A631" s="37" t="s">
        <v>3041</v>
      </c>
      <c r="H631" s="42" t="str">
        <f aca="false">INDEX(libraries!$A:$A, MATCH(A631, libraries!$B:$B, 0), 1)</f>
        <v>lib0680</v>
      </c>
    </row>
    <row r="632" customFormat="false" ht="13.8" hidden="false" customHeight="false" outlineLevel="0" collapsed="false">
      <c r="A632" s="37" t="s">
        <v>3042</v>
      </c>
      <c r="H632" s="42" t="str">
        <f aca="false">INDEX(libraries!$A:$A, MATCH(A632, libraries!$B:$B, 0), 1)</f>
        <v>lib0681</v>
      </c>
    </row>
    <row r="633" customFormat="false" ht="13.8" hidden="false" customHeight="false" outlineLevel="0" collapsed="false">
      <c r="A633" s="37" t="s">
        <v>3043</v>
      </c>
      <c r="H633" s="42" t="str">
        <f aca="false">INDEX(libraries!$A:$A, MATCH(A633, libraries!$B:$B, 0), 1)</f>
        <v>lib0682</v>
      </c>
    </row>
    <row r="634" customFormat="false" ht="13.8" hidden="false" customHeight="false" outlineLevel="0" collapsed="false">
      <c r="A634" s="37" t="s">
        <v>3044</v>
      </c>
      <c r="H634" s="42" t="str">
        <f aca="false">INDEX(libraries!$A:$A, MATCH(A634, libraries!$B:$B, 0), 1)</f>
        <v>lib0683</v>
      </c>
    </row>
    <row r="635" customFormat="false" ht="13.8" hidden="false" customHeight="false" outlineLevel="0" collapsed="false">
      <c r="A635" s="37" t="s">
        <v>3045</v>
      </c>
      <c r="H635" s="42" t="str">
        <f aca="false">INDEX(libraries!$A:$A, MATCH(A635, libraries!$B:$B, 0), 1)</f>
        <v>lib0684</v>
      </c>
    </row>
    <row r="636" customFormat="false" ht="13.8" hidden="false" customHeight="false" outlineLevel="0" collapsed="false">
      <c r="A636" s="37" t="s">
        <v>3046</v>
      </c>
      <c r="H636" s="42" t="str">
        <f aca="false">INDEX(libraries!$A:$A, MATCH(A636, libraries!$B:$B, 0), 1)</f>
        <v>lib0685</v>
      </c>
    </row>
    <row r="637" customFormat="false" ht="13.8" hidden="false" customHeight="false" outlineLevel="0" collapsed="false">
      <c r="A637" s="37" t="s">
        <v>3047</v>
      </c>
      <c r="H637" s="42" t="str">
        <f aca="false">INDEX(libraries!$A:$A, MATCH(A637, libraries!$B:$B, 0), 1)</f>
        <v>lib0686</v>
      </c>
    </row>
    <row r="638" customFormat="false" ht="13.8" hidden="false" customHeight="false" outlineLevel="0" collapsed="false">
      <c r="A638" s="37" t="s">
        <v>3048</v>
      </c>
      <c r="H638" s="42" t="str">
        <f aca="false">INDEX(libraries!$A:$A, MATCH(A638, libraries!$B:$B, 0), 1)</f>
        <v>lib0687</v>
      </c>
    </row>
    <row r="639" customFormat="false" ht="13.8" hidden="false" customHeight="false" outlineLevel="0" collapsed="false">
      <c r="A639" s="37" t="s">
        <v>3049</v>
      </c>
      <c r="H639" s="42" t="str">
        <f aca="false">INDEX(libraries!$A:$A, MATCH(A639, libraries!$B:$B, 0), 1)</f>
        <v>lib0688</v>
      </c>
    </row>
    <row r="640" customFormat="false" ht="13.8" hidden="false" customHeight="false" outlineLevel="0" collapsed="false">
      <c r="A640" s="37" t="s">
        <v>3050</v>
      </c>
      <c r="H640" s="42" t="str">
        <f aca="false">INDEX(libraries!$A:$A, MATCH(A640, libraries!$B:$B, 0), 1)</f>
        <v>lib0689</v>
      </c>
    </row>
    <row r="641" customFormat="false" ht="13.8" hidden="false" customHeight="false" outlineLevel="0" collapsed="false">
      <c r="A641" s="37" t="s">
        <v>3051</v>
      </c>
      <c r="H641" s="42" t="str">
        <f aca="false">INDEX(libraries!$A:$A, MATCH(A641, libraries!$B:$B, 0), 1)</f>
        <v>lib0690</v>
      </c>
    </row>
    <row r="642" customFormat="false" ht="13.8" hidden="false" customHeight="false" outlineLevel="0" collapsed="false">
      <c r="A642" s="37" t="s">
        <v>3052</v>
      </c>
      <c r="H642" s="42" t="str">
        <f aca="false">INDEX(libraries!$A:$A, MATCH(A642, libraries!$B:$B, 0), 1)</f>
        <v>lib0691</v>
      </c>
    </row>
    <row r="643" customFormat="false" ht="13.8" hidden="false" customHeight="false" outlineLevel="0" collapsed="false">
      <c r="A643" s="37" t="s">
        <v>3053</v>
      </c>
      <c r="H643" s="42" t="str">
        <f aca="false">INDEX(libraries!$A:$A, MATCH(A643, libraries!$B:$B, 0), 1)</f>
        <v>lib0692</v>
      </c>
    </row>
    <row r="644" customFormat="false" ht="13.8" hidden="false" customHeight="false" outlineLevel="0" collapsed="false">
      <c r="A644" s="37" t="s">
        <v>3054</v>
      </c>
      <c r="H644" s="42" t="str">
        <f aca="false">INDEX(libraries!$A:$A, MATCH(A644, libraries!$B:$B, 0), 1)</f>
        <v>lib0693</v>
      </c>
    </row>
    <row r="645" customFormat="false" ht="13.8" hidden="false" customHeight="false" outlineLevel="0" collapsed="false">
      <c r="A645" s="37" t="s">
        <v>3055</v>
      </c>
      <c r="H645" s="42" t="str">
        <f aca="false">INDEX(libraries!$A:$A, MATCH(A645, libraries!$B:$B, 0), 1)</f>
        <v>lib0694</v>
      </c>
    </row>
    <row r="646" customFormat="false" ht="13.8" hidden="false" customHeight="false" outlineLevel="0" collapsed="false">
      <c r="A646" s="37" t="s">
        <v>3056</v>
      </c>
      <c r="H646" s="42" t="str">
        <f aca="false">INDEX(libraries!$A:$A, MATCH(A646, libraries!$B:$B, 0), 1)</f>
        <v>lib0695</v>
      </c>
    </row>
    <row r="647" customFormat="false" ht="13.8" hidden="false" customHeight="false" outlineLevel="0" collapsed="false">
      <c r="A647" s="37" t="s">
        <v>3057</v>
      </c>
      <c r="H647" s="42" t="str">
        <f aca="false">INDEX(libraries!$A:$A, MATCH(A647, libraries!$B:$B, 0), 1)</f>
        <v>lib0696</v>
      </c>
    </row>
    <row r="648" customFormat="false" ht="13.8" hidden="false" customHeight="false" outlineLevel="0" collapsed="false">
      <c r="A648" s="37" t="s">
        <v>3058</v>
      </c>
      <c r="H648" s="42" t="str">
        <f aca="false">INDEX(libraries!$A:$A, MATCH(A648, libraries!$B:$B, 0), 1)</f>
        <v>lib0697</v>
      </c>
    </row>
    <row r="649" customFormat="false" ht="13.8" hidden="false" customHeight="false" outlineLevel="0" collapsed="false">
      <c r="A649" s="37" t="s">
        <v>3059</v>
      </c>
      <c r="H649" s="42" t="str">
        <f aca="false">INDEX(libraries!$A:$A, MATCH(A649, libraries!$B:$B, 0), 1)</f>
        <v>lib0698</v>
      </c>
    </row>
    <row r="650" customFormat="false" ht="13.8" hidden="false" customHeight="false" outlineLevel="0" collapsed="false">
      <c r="A650" s="37" t="s">
        <v>3060</v>
      </c>
      <c r="H650" s="42" t="str">
        <f aca="false">INDEX(libraries!$A:$A, MATCH(A650, libraries!$B:$B, 0), 1)</f>
        <v>lib0699</v>
      </c>
    </row>
    <row r="651" customFormat="false" ht="13.8" hidden="false" customHeight="false" outlineLevel="0" collapsed="false">
      <c r="A651" s="37" t="s">
        <v>3061</v>
      </c>
      <c r="H651" s="42" t="str">
        <f aca="false">INDEX(libraries!$A:$A, MATCH(A651, libraries!$B:$B, 0), 1)</f>
        <v>lib0700</v>
      </c>
    </row>
    <row r="652" customFormat="false" ht="13.8" hidden="false" customHeight="false" outlineLevel="0" collapsed="false">
      <c r="A652" s="37" t="s">
        <v>3062</v>
      </c>
      <c r="H652" s="42" t="str">
        <f aca="false">INDEX(libraries!$A:$A, MATCH(A652, libraries!$B:$B, 0), 1)</f>
        <v>lib0701</v>
      </c>
    </row>
    <row r="653" customFormat="false" ht="13.8" hidden="false" customHeight="false" outlineLevel="0" collapsed="false">
      <c r="A653" s="37" t="s">
        <v>3063</v>
      </c>
      <c r="H653" s="42" t="str">
        <f aca="false">INDEX(libraries!$A:$A, MATCH(A653, libraries!$B:$B, 0), 1)</f>
        <v>lib0702</v>
      </c>
    </row>
    <row r="654" customFormat="false" ht="13.8" hidden="false" customHeight="false" outlineLevel="0" collapsed="false">
      <c r="A654" s="37" t="s">
        <v>3064</v>
      </c>
      <c r="H654" s="42" t="str">
        <f aca="false">INDEX(libraries!$A:$A, MATCH(A654, libraries!$B:$B, 0), 1)</f>
        <v>lib0704</v>
      </c>
    </row>
    <row r="655" customFormat="false" ht="13.8" hidden="false" customHeight="false" outlineLevel="0" collapsed="false">
      <c r="A655" s="37" t="s">
        <v>3065</v>
      </c>
      <c r="H655" s="42" t="str">
        <f aca="false">INDEX(libraries!$A:$A, MATCH(A655, libraries!$B:$B, 0), 1)</f>
        <v>lib0705</v>
      </c>
    </row>
    <row r="656" customFormat="false" ht="13.8" hidden="false" customHeight="false" outlineLevel="0" collapsed="false">
      <c r="A656" s="37" t="s">
        <v>3066</v>
      </c>
      <c r="H656" s="42" t="str">
        <f aca="false">INDEX(libraries!$A:$A, MATCH(A656, libraries!$B:$B, 0), 1)</f>
        <v>lib0706</v>
      </c>
    </row>
    <row r="657" customFormat="false" ht="13.8" hidden="false" customHeight="false" outlineLevel="0" collapsed="false">
      <c r="A657" s="37" t="s">
        <v>3067</v>
      </c>
      <c r="H657" s="42" t="str">
        <f aca="false">INDEX(libraries!$A:$A, MATCH(A657, libraries!$B:$B, 0), 1)</f>
        <v>lib0707</v>
      </c>
    </row>
    <row r="658" customFormat="false" ht="13.8" hidden="false" customHeight="false" outlineLevel="0" collapsed="false">
      <c r="A658" s="37" t="s">
        <v>3068</v>
      </c>
      <c r="H658" s="42" t="str">
        <f aca="false">INDEX(libraries!$A:$A, MATCH(A658, libraries!$B:$B, 0), 1)</f>
        <v>lib0708</v>
      </c>
    </row>
    <row r="659" customFormat="false" ht="13.8" hidden="false" customHeight="false" outlineLevel="0" collapsed="false">
      <c r="A659" s="37" t="s">
        <v>3069</v>
      </c>
      <c r="H659" s="42" t="str">
        <f aca="false">INDEX(libraries!$A:$A, MATCH(A659, libraries!$B:$B, 0), 1)</f>
        <v>lib0709</v>
      </c>
    </row>
    <row r="660" customFormat="false" ht="13.8" hidden="false" customHeight="false" outlineLevel="0" collapsed="false">
      <c r="A660" s="37" t="s">
        <v>3070</v>
      </c>
      <c r="H660" s="42" t="str">
        <f aca="false">INDEX(libraries!$A:$A, MATCH(A660, libraries!$B:$B, 0), 1)</f>
        <v>lib0710</v>
      </c>
    </row>
    <row r="661" customFormat="false" ht="13.8" hidden="false" customHeight="false" outlineLevel="0" collapsed="false">
      <c r="A661" s="37" t="s">
        <v>3071</v>
      </c>
      <c r="H661" s="42" t="str">
        <f aca="false">INDEX(libraries!$A:$A, MATCH(A661, libraries!$B:$B, 0), 1)</f>
        <v>lib0711</v>
      </c>
    </row>
    <row r="662" customFormat="false" ht="13.8" hidden="false" customHeight="false" outlineLevel="0" collapsed="false">
      <c r="A662" s="37" t="s">
        <v>3072</v>
      </c>
      <c r="B662" s="38" t="s">
        <v>3073</v>
      </c>
      <c r="H662" s="42" t="str">
        <f aca="false">INDEX(libraries!$A:$A, MATCH(A662, libraries!$B:$B, 0), 1)</f>
        <v>lib0712</v>
      </c>
    </row>
    <row r="663" customFormat="false" ht="13.8" hidden="false" customHeight="false" outlineLevel="0" collapsed="false">
      <c r="A663" s="37" t="s">
        <v>3074</v>
      </c>
      <c r="B663" s="38" t="s">
        <v>3075</v>
      </c>
      <c r="H663" s="42" t="str">
        <f aca="false">INDEX(libraries!$A:$A, MATCH(A663, libraries!$B:$B, 0), 1)</f>
        <v>lib0713</v>
      </c>
    </row>
    <row r="664" customFormat="false" ht="13.8" hidden="false" customHeight="false" outlineLevel="0" collapsed="false">
      <c r="A664" s="37" t="s">
        <v>3076</v>
      </c>
      <c r="B664" s="38" t="s">
        <v>3077</v>
      </c>
      <c r="H664" s="42" t="str">
        <f aca="false">INDEX(libraries!$A:$A, MATCH(A664, libraries!$B:$B, 0), 1)</f>
        <v>lib0714</v>
      </c>
    </row>
    <row r="665" customFormat="false" ht="13.8" hidden="false" customHeight="false" outlineLevel="0" collapsed="false">
      <c r="A665" s="37" t="s">
        <v>3078</v>
      </c>
      <c r="B665" s="38" t="s">
        <v>3079</v>
      </c>
      <c r="H665" s="42" t="str">
        <f aca="false">INDEX(libraries!$A:$A, MATCH(A665, libraries!$B:$B, 0), 1)</f>
        <v>lib0715</v>
      </c>
    </row>
    <row r="666" customFormat="false" ht="13.8" hidden="false" customHeight="false" outlineLevel="0" collapsed="false">
      <c r="A666" s="37" t="s">
        <v>3080</v>
      </c>
      <c r="B666" s="38" t="s">
        <v>3081</v>
      </c>
      <c r="H666" s="42" t="str">
        <f aca="false">INDEX(libraries!$A:$A, MATCH(A666, libraries!$B:$B, 0), 1)</f>
        <v>lib0716</v>
      </c>
    </row>
    <row r="667" customFormat="false" ht="13.8" hidden="false" customHeight="false" outlineLevel="0" collapsed="false">
      <c r="A667" s="37" t="s">
        <v>3082</v>
      </c>
      <c r="B667" s="38" t="s">
        <v>3083</v>
      </c>
      <c r="H667" s="42" t="str">
        <f aca="false">INDEX(libraries!$A:$A, MATCH(A667, libraries!$B:$B, 0), 1)</f>
        <v>lib0717</v>
      </c>
    </row>
    <row r="668" customFormat="false" ht="13.8" hidden="false" customHeight="false" outlineLevel="0" collapsed="false">
      <c r="A668" s="37" t="s">
        <v>3084</v>
      </c>
      <c r="B668" s="38" t="s">
        <v>3085</v>
      </c>
      <c r="H668" s="42" t="str">
        <f aca="false">INDEX(libraries!$A:$A, MATCH(A668, libraries!$B:$B, 0), 1)</f>
        <v>lib0718</v>
      </c>
    </row>
    <row r="669" customFormat="false" ht="13.8" hidden="false" customHeight="false" outlineLevel="0" collapsed="false">
      <c r="A669" s="37" t="s">
        <v>3086</v>
      </c>
      <c r="B669" s="38" t="s">
        <v>3087</v>
      </c>
      <c r="H669" s="42" t="str">
        <f aca="false">INDEX(libraries!$A:$A, MATCH(A669, libraries!$B:$B, 0), 1)</f>
        <v>lib0719</v>
      </c>
    </row>
    <row r="670" customFormat="false" ht="13.8" hidden="false" customHeight="false" outlineLevel="0" collapsed="false">
      <c r="A670" s="37" t="s">
        <v>3088</v>
      </c>
      <c r="B670" s="38" t="s">
        <v>3089</v>
      </c>
      <c r="H670" s="42" t="str">
        <f aca="false">INDEX(libraries!$A:$A, MATCH(A670, libraries!$B:$B, 0), 1)</f>
        <v>lib0720</v>
      </c>
    </row>
    <row r="671" customFormat="false" ht="13.8" hidden="false" customHeight="false" outlineLevel="0" collapsed="false">
      <c r="A671" s="37" t="s">
        <v>3090</v>
      </c>
      <c r="B671" s="38" t="s">
        <v>3091</v>
      </c>
      <c r="H671" s="42" t="str">
        <f aca="false">INDEX(libraries!$A:$A, MATCH(A671, libraries!$B:$B, 0), 1)</f>
        <v>lib0721</v>
      </c>
    </row>
    <row r="672" customFormat="false" ht="13.8" hidden="false" customHeight="false" outlineLevel="0" collapsed="false">
      <c r="A672" s="37" t="s">
        <v>3092</v>
      </c>
      <c r="B672" s="38" t="s">
        <v>3093</v>
      </c>
      <c r="H672" s="42" t="str">
        <f aca="false">INDEX(libraries!$A:$A, MATCH(A672, libraries!$B:$B, 0), 1)</f>
        <v>lib0722</v>
      </c>
    </row>
    <row r="673" customFormat="false" ht="13.8" hidden="false" customHeight="false" outlineLevel="0" collapsed="false">
      <c r="A673" s="37" t="s">
        <v>3094</v>
      </c>
      <c r="B673" s="38" t="s">
        <v>3095</v>
      </c>
      <c r="H673" s="42" t="str">
        <f aca="false">INDEX(libraries!$A:$A, MATCH(A673, libraries!$B:$B, 0), 1)</f>
        <v>lib0723</v>
      </c>
    </row>
    <row r="674" customFormat="false" ht="13.8" hidden="false" customHeight="false" outlineLevel="0" collapsed="false">
      <c r="A674" s="37" t="s">
        <v>3096</v>
      </c>
      <c r="B674" s="38" t="s">
        <v>3097</v>
      </c>
      <c r="H674" s="42" t="str">
        <f aca="false">INDEX(libraries!$A:$A, MATCH(A674, libraries!$B:$B, 0), 1)</f>
        <v>lib0724</v>
      </c>
    </row>
    <row r="675" customFormat="false" ht="13.8" hidden="false" customHeight="false" outlineLevel="0" collapsed="false">
      <c r="A675" s="37" t="s">
        <v>3098</v>
      </c>
      <c r="B675" s="38" t="s">
        <v>3099</v>
      </c>
      <c r="H675" s="42" t="str">
        <f aca="false">INDEX(libraries!$A:$A, MATCH(A675, libraries!$B:$B, 0), 1)</f>
        <v>lib0725</v>
      </c>
    </row>
    <row r="676" customFormat="false" ht="13.8" hidden="false" customHeight="false" outlineLevel="0" collapsed="false">
      <c r="A676" s="37" t="s">
        <v>3100</v>
      </c>
      <c r="B676" s="38" t="s">
        <v>3101</v>
      </c>
      <c r="H676" s="42" t="str">
        <f aca="false">INDEX(libraries!$A:$A, MATCH(A676, libraries!$B:$B, 0), 1)</f>
        <v>lib0726</v>
      </c>
    </row>
  </sheetData>
  <autoFilter ref="A1:K66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11.60546875" defaultRowHeight="13.8" zeroHeight="false" outlineLevelRow="0" outlineLevelCol="0"/>
  <cols>
    <col collapsed="false" customWidth="true" hidden="false" outlineLevel="0" max="1" min="1" style="25" width="11.52"/>
    <col collapsed="false" customWidth="true" hidden="false" outlineLevel="0" max="6" min="4" style="0" width="27.63"/>
  </cols>
  <sheetData>
    <row r="1" customFormat="false" ht="13.8" hidden="false" customHeight="false" outlineLevel="0" collapsed="false">
      <c r="A1" s="25" t="s">
        <v>3102</v>
      </c>
      <c r="B1" s="0" t="s">
        <v>3103</v>
      </c>
      <c r="C1" s="0" t="s">
        <v>3104</v>
      </c>
      <c r="D1" s="0" t="s">
        <v>3105</v>
      </c>
      <c r="E1" s="0" t="s">
        <v>3106</v>
      </c>
      <c r="F1" s="0" t="s">
        <v>415</v>
      </c>
    </row>
    <row r="2" customFormat="false" ht="13.8" hidden="false" customHeight="false" outlineLevel="0" collapsed="false">
      <c r="A2" s="25" t="s">
        <v>3107</v>
      </c>
      <c r="B2" s="0" t="s">
        <v>3108</v>
      </c>
      <c r="C2" s="0" t="s">
        <v>509</v>
      </c>
      <c r="F2" s="0" t="s">
        <v>3109</v>
      </c>
    </row>
    <row r="3" customFormat="false" ht="13.8" hidden="false" customHeight="false" outlineLevel="0" collapsed="false">
      <c r="A3" s="25" t="s">
        <v>3110</v>
      </c>
      <c r="B3" s="0" t="s">
        <v>3111</v>
      </c>
      <c r="C3" s="0" t="s">
        <v>1447</v>
      </c>
      <c r="F3" s="0" t="s">
        <v>3112</v>
      </c>
    </row>
    <row r="4" customFormat="false" ht="13.8" hidden="false" customHeight="false" outlineLevel="0" collapsed="false">
      <c r="A4" s="25" t="s">
        <v>3113</v>
      </c>
      <c r="B4" s="0" t="s">
        <v>3114</v>
      </c>
      <c r="C4" s="0" t="s">
        <v>509</v>
      </c>
      <c r="F4" s="0" t="s">
        <v>36</v>
      </c>
    </row>
    <row r="5" customFormat="false" ht="13.8" hidden="false" customHeight="false" outlineLevel="0" collapsed="false">
      <c r="A5" s="25" t="s">
        <v>3115</v>
      </c>
      <c r="B5" s="0" t="s">
        <v>3116</v>
      </c>
      <c r="C5" s="0" t="s">
        <v>427</v>
      </c>
      <c r="F5" s="0" t="s">
        <v>3117</v>
      </c>
    </row>
    <row r="6" customFormat="false" ht="13.8" hidden="false" customHeight="false" outlineLevel="0" collapsed="false">
      <c r="A6" s="25" t="s">
        <v>3118</v>
      </c>
      <c r="B6" s="0" t="s">
        <v>3119</v>
      </c>
      <c r="C6" s="0" t="s">
        <v>509</v>
      </c>
      <c r="F6" s="0" t="s">
        <v>3120</v>
      </c>
    </row>
    <row r="7" customFormat="false" ht="13.8" hidden="false" customHeight="false" outlineLevel="0" collapsed="false">
      <c r="A7" s="25" t="s">
        <v>3121</v>
      </c>
      <c r="B7" s="0" t="s">
        <v>3122</v>
      </c>
      <c r="C7" s="0" t="s">
        <v>427</v>
      </c>
      <c r="F7" s="0" t="s">
        <v>36</v>
      </c>
    </row>
    <row r="8" customFormat="false" ht="13.8" hidden="false" customHeight="false" outlineLevel="0" collapsed="false">
      <c r="A8" s="25" t="s">
        <v>3123</v>
      </c>
      <c r="B8" s="0" t="s">
        <v>3124</v>
      </c>
      <c r="C8" s="0" t="s">
        <v>509</v>
      </c>
      <c r="F8" s="0" t="s">
        <v>36</v>
      </c>
    </row>
    <row r="9" customFormat="false" ht="13.8" hidden="false" customHeight="false" outlineLevel="0" collapsed="false">
      <c r="A9" s="25" t="s">
        <v>3125</v>
      </c>
      <c r="B9" s="0" t="s">
        <v>3126</v>
      </c>
      <c r="C9" s="0" t="s">
        <v>509</v>
      </c>
      <c r="F9" s="0" t="s">
        <v>36</v>
      </c>
    </row>
    <row r="10" customFormat="false" ht="13.8" hidden="false" customHeight="false" outlineLevel="0" collapsed="false">
      <c r="A10" s="25" t="s">
        <v>3127</v>
      </c>
      <c r="B10" s="0" t="s">
        <v>3128</v>
      </c>
      <c r="C10" s="0" t="s">
        <v>1447</v>
      </c>
      <c r="F10" s="0" t="s">
        <v>427</v>
      </c>
    </row>
  </sheetData>
  <hyperlinks>
    <hyperlink ref="F2" r:id="rId1" location="inbox/FMfcgzQbfTwrrQKxgwqbPZfrnLrhhnfn" display="jeszyman gmail"/>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703"/>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pane xSplit="0" ySplit="1" topLeftCell="A2" activePane="bottomLeft" state="frozen"/>
      <selection pane="topLeft" activeCell="F1" activeCellId="0" sqref="F1"/>
      <selection pane="bottomLeft" activeCell="M7" activeCellId="0" sqref="M7"/>
    </sheetView>
  </sheetViews>
  <sheetFormatPr defaultColWidth="11.640625" defaultRowHeight="13.8" zeroHeight="false" outlineLevelRow="0" outlineLevelCol="0"/>
  <cols>
    <col collapsed="false" customWidth="false" hidden="false" outlineLevel="0" max="1" min="1" style="25" width="11.57"/>
    <col collapsed="false" customWidth="true" hidden="false" outlineLevel="0" max="2" min="2" style="38" width="11.26"/>
    <col collapsed="false" customWidth="true" hidden="false" outlineLevel="0" max="3" min="3" style="0" width="34.32"/>
    <col collapsed="false" customWidth="true" hidden="false" outlineLevel="0" max="4" min="4" style="0" width="14.72"/>
    <col collapsed="false" customWidth="true" hidden="false" outlineLevel="0" max="5" min="5" style="0" width="17.64"/>
    <col collapsed="false" customWidth="true" hidden="false" outlineLevel="0" max="6" min="6" style="0" width="10.84"/>
    <col collapsed="false" customWidth="true" hidden="false" outlineLevel="0" max="7" min="7" style="0" width="13.35"/>
    <col collapsed="false" customWidth="true" hidden="false" outlineLevel="0" max="8" min="8" style="0" width="9.86"/>
    <col collapsed="false" customWidth="true" hidden="false" outlineLevel="0" max="9" min="9" style="0" width="11.52"/>
    <col collapsed="false" customWidth="true" hidden="false" outlineLevel="0" max="12" min="10" style="0" width="9.86"/>
    <col collapsed="false" customWidth="true" hidden="false" outlineLevel="0" max="13" min="13" style="39" width="34.32"/>
    <col collapsed="false" customWidth="true" hidden="false" outlineLevel="0" max="14" min="14" style="44" width="8.33"/>
    <col collapsed="false" customWidth="true" hidden="false" outlineLevel="0" max="15" min="15" style="44" width="13.6"/>
    <col collapsed="false" customWidth="true" hidden="false" outlineLevel="0" max="16" min="16" style="39" width="9.51"/>
    <col collapsed="false" customWidth="true" hidden="false" outlineLevel="0" max="17" min="17" style="47" width="14.77"/>
    <col collapsed="false" customWidth="true" hidden="false" outlineLevel="0" max="18" min="18" style="39" width="12.57"/>
    <col collapsed="false" customWidth="false" hidden="false" outlineLevel="0" max="19" min="19" style="39" width="11.57"/>
    <col collapsed="false" customWidth="true" hidden="false" outlineLevel="0" max="21" min="21" style="0" width="11.38"/>
  </cols>
  <sheetData>
    <row r="1" customFormat="false" ht="13.8" hidden="false" customHeight="false" outlineLevel="0" collapsed="false">
      <c r="A1" s="48" t="s">
        <v>274</v>
      </c>
      <c r="B1" s="41" t="s">
        <v>1692</v>
      </c>
      <c r="C1" s="8" t="s">
        <v>3129</v>
      </c>
      <c r="D1" s="8" t="s">
        <v>3130</v>
      </c>
      <c r="E1" s="8" t="s">
        <v>3131</v>
      </c>
      <c r="F1" s="8" t="s">
        <v>3132</v>
      </c>
      <c r="G1" s="8" t="s">
        <v>3133</v>
      </c>
      <c r="H1" s="8" t="s">
        <v>3134</v>
      </c>
      <c r="I1" s="8" t="s">
        <v>3135</v>
      </c>
      <c r="J1" s="8" t="s">
        <v>3136</v>
      </c>
      <c r="K1" s="8" t="s">
        <v>3137</v>
      </c>
      <c r="L1" s="8" t="s">
        <v>415</v>
      </c>
      <c r="M1" s="43" t="s">
        <v>3138</v>
      </c>
      <c r="N1" s="44" t="str">
        <f aca="false">INDEX(fastqs!$C:$C, MATCH(A1, fastqs!$B:$B, 0), 1)</f>
        <v>run_id</v>
      </c>
      <c r="O1" s="43" t="s">
        <v>416</v>
      </c>
      <c r="P1" s="43" t="s">
        <v>44</v>
      </c>
      <c r="Q1" s="47" t="s">
        <v>1693</v>
      </c>
      <c r="R1" s="49" t="str">
        <f aca="false">INDEX(samples!$C:$C, MATCH(B1, samples!$A:$A, 0), 1)</f>
        <v>collection_date</v>
      </c>
      <c r="S1" s="50" t="str">
        <f aca="false">INDEX(samples!$D:$D,MATCH(B1, samples!$A:$A,0),1)</f>
        <v>sample_type</v>
      </c>
      <c r="T1" s="33" t="s">
        <v>3139</v>
      </c>
      <c r="U1" s="8"/>
      <c r="V1" s="33" t="s">
        <v>3140</v>
      </c>
      <c r="W1" s="8" t="s">
        <v>3141</v>
      </c>
      <c r="X1" s="8" t="s">
        <v>264</v>
      </c>
      <c r="Y1" s="8" t="s">
        <v>3142</v>
      </c>
      <c r="Z1" s="8" t="s">
        <v>3143</v>
      </c>
      <c r="AA1" s="8" t="s">
        <v>3144</v>
      </c>
      <c r="AB1" s="8" t="s">
        <v>3145</v>
      </c>
    </row>
    <row r="2" customFormat="false" ht="13.8" hidden="false" customHeight="false" outlineLevel="0" collapsed="false">
      <c r="A2" s="48" t="s">
        <v>3146</v>
      </c>
      <c r="B2" s="41" t="s">
        <v>1797</v>
      </c>
      <c r="C2" s="0" t="s">
        <v>3147</v>
      </c>
      <c r="D2" s="0" t="s">
        <v>3148</v>
      </c>
      <c r="H2" s="0" t="s">
        <v>3149</v>
      </c>
      <c r="I2" s="0" t="s">
        <v>3150</v>
      </c>
      <c r="J2" s="0" t="s">
        <v>427</v>
      </c>
      <c r="K2" s="0" t="n">
        <v>10</v>
      </c>
      <c r="M2" s="44" t="str">
        <f aca="false">INDEX(fastqs!$A:$A, MATCH(A2, fastqs!$B:$B, 0), 1)</f>
        <v>32_JS0047CD112018_R1.fastq.gz</v>
      </c>
      <c r="N2" s="44" t="str">
        <f aca="false">INDEX(fastqs!$C:$C, MATCH(A2, fastqs!$B:$B, 0), 1)</f>
        <v>GET</v>
      </c>
      <c r="O2" s="44" t="str">
        <f aca="false">INDEX(samples!$B:$B, MATCH(B2, samples!$A:$A, 0), 1)</f>
        <v>par0029</v>
      </c>
      <c r="P2" s="44" t="str">
        <f aca="false">INDEX(participants!$I:$I, MATCH(O2, participants!$A:$A, 0), 1)</f>
        <v>js0047</v>
      </c>
      <c r="Q2" s="44" t="n">
        <f aca="false">INDEX(samples!$F:$F, MATCH(B2, samples!$A:$A, 0), 1)</f>
        <v>0</v>
      </c>
      <c r="R2" s="49" t="str">
        <f aca="false">INDEX(samples!$C:$C, MATCH(B2, samples!$A:$A, 0), 1)</f>
        <v>2018-11-20</v>
      </c>
      <c r="S2" s="50" t="str">
        <f aca="false">INDEX(samples!$D:$D,MATCH(B2, samples!$A:$A,0),1)</f>
        <v>blood</v>
      </c>
      <c r="T2" s="51" t="s">
        <v>427</v>
      </c>
      <c r="V2" s="33" t="s">
        <v>427</v>
      </c>
      <c r="X2" s="8"/>
      <c r="Y2" s="8" t="s">
        <v>3150</v>
      </c>
      <c r="Z2" s="8" t="s">
        <v>1002</v>
      </c>
      <c r="AA2" s="8" t="s">
        <v>1002</v>
      </c>
      <c r="AB2" s="8" t="s">
        <v>1002</v>
      </c>
    </row>
    <row r="3" customFormat="false" ht="13.8" hidden="false" customHeight="false" outlineLevel="0" collapsed="false">
      <c r="A3" s="48" t="s">
        <v>3151</v>
      </c>
      <c r="B3" s="41" t="s">
        <v>1812</v>
      </c>
      <c r="C3" s="0" t="s">
        <v>3147</v>
      </c>
      <c r="D3" s="0" t="s">
        <v>3148</v>
      </c>
      <c r="H3" s="0" t="s">
        <v>3149</v>
      </c>
      <c r="I3" s="0" t="s">
        <v>3150</v>
      </c>
      <c r="J3" s="0" t="s">
        <v>427</v>
      </c>
      <c r="K3" s="0" t="s">
        <v>427</v>
      </c>
      <c r="M3" s="44" t="str">
        <f aca="false">INDEX(fastqs!$A:$A, MATCH(A3, fastqs!$B:$B, 0), 1)</f>
        <v>41_JS0051CD052118_R1.fastq.gz</v>
      </c>
      <c r="N3" s="44" t="str">
        <f aca="false">INDEX(fastqs!$C:$C, MATCH(A3, fastqs!$B:$B, 0), 1)</f>
        <v>GET</v>
      </c>
      <c r="O3" s="44" t="str">
        <f aca="false">INDEX(samples!$B:$B, MATCH(B3, samples!$A:$A, 0), 1)</f>
        <v>par0033</v>
      </c>
      <c r="P3" s="44" t="str">
        <f aca="false">INDEX(participants!$I:$I, MATCH(O3, participants!$A:$A, 0), 1)</f>
        <v>js0051</v>
      </c>
      <c r="Q3" s="44" t="n">
        <f aca="false">INDEX(samples!$F:$F, MATCH(B3, samples!$A:$A, 0), 1)</f>
        <v>0</v>
      </c>
      <c r="R3" s="49" t="str">
        <f aca="false">INDEX(samples!$C:$C, MATCH(B3, samples!$A:$A, 0), 1)</f>
        <v>2018-05-21</v>
      </c>
      <c r="S3" s="50" t="str">
        <f aca="false">INDEX(samples!$D:$D,MATCH(B3, samples!$A:$A,0),1)</f>
        <v>blood</v>
      </c>
      <c r="T3" s="51" t="s">
        <v>427</v>
      </c>
      <c r="V3" s="33" t="s">
        <v>427</v>
      </c>
      <c r="X3" s="8"/>
      <c r="Y3" s="8" t="s">
        <v>3150</v>
      </c>
      <c r="Z3" s="8" t="s">
        <v>1002</v>
      </c>
      <c r="AA3" s="8" t="s">
        <v>1002</v>
      </c>
      <c r="AB3" s="8" t="s">
        <v>1002</v>
      </c>
    </row>
    <row r="4" customFormat="false" ht="13.8" hidden="false" customHeight="false" outlineLevel="0" collapsed="false">
      <c r="A4" s="48" t="s">
        <v>3152</v>
      </c>
      <c r="B4" s="41" t="s">
        <v>1777</v>
      </c>
      <c r="C4" s="0" t="s">
        <v>3147</v>
      </c>
      <c r="D4" s="0" t="s">
        <v>3148</v>
      </c>
      <c r="H4" s="0" t="s">
        <v>3149</v>
      </c>
      <c r="I4" s="0" t="s">
        <v>3150</v>
      </c>
      <c r="J4" s="0" t="s">
        <v>427</v>
      </c>
      <c r="K4" s="0" t="s">
        <v>427</v>
      </c>
      <c r="M4" s="44" t="str">
        <f aca="false">INDEX(fastqs!$A:$A, MATCH(A4, fastqs!$B:$B, 0), 1)</f>
        <v>20_JS0039CD022818_R1.fastq.gz</v>
      </c>
      <c r="N4" s="44" t="str">
        <f aca="false">INDEX(fastqs!$C:$C, MATCH(A4, fastqs!$B:$B, 0), 1)</f>
        <v>GET</v>
      </c>
      <c r="O4" s="44" t="str">
        <f aca="false">INDEX(samples!$B:$B, MATCH(B4, samples!$A:$A, 0), 1)</f>
        <v>par0022</v>
      </c>
      <c r="P4" s="44" t="str">
        <f aca="false">INDEX(participants!$I:$I, MATCH(O4, participants!$A:$A, 0), 1)</f>
        <v>js0039</v>
      </c>
      <c r="Q4" s="44" t="n">
        <f aca="false">INDEX(samples!$F:$F, MATCH(B4, samples!$A:$A, 0), 1)</f>
        <v>0</v>
      </c>
      <c r="R4" s="49" t="str">
        <f aca="false">INDEX(samples!$C:$C, MATCH(B4, samples!$A:$A, 0), 1)</f>
        <v>2018-02-28</v>
      </c>
      <c r="S4" s="50" t="str">
        <f aca="false">INDEX(samples!$D:$D,MATCH(B4, samples!$A:$A,0),1)</f>
        <v>blood</v>
      </c>
      <c r="T4" s="51" t="s">
        <v>427</v>
      </c>
      <c r="V4" s="33" t="s">
        <v>427</v>
      </c>
      <c r="X4" s="8"/>
      <c r="Y4" s="8" t="s">
        <v>3150</v>
      </c>
      <c r="Z4" s="8" t="s">
        <v>1002</v>
      </c>
      <c r="AA4" s="8" t="s">
        <v>1002</v>
      </c>
      <c r="AB4" s="8" t="s">
        <v>1002</v>
      </c>
    </row>
    <row r="5" customFormat="false" ht="13.8" hidden="false" customHeight="false" outlineLevel="0" collapsed="false">
      <c r="A5" s="48" t="s">
        <v>3153</v>
      </c>
      <c r="B5" s="41" t="s">
        <v>1853</v>
      </c>
      <c r="C5" s="0" t="s">
        <v>3147</v>
      </c>
      <c r="D5" s="0" t="s">
        <v>3148</v>
      </c>
      <c r="H5" s="0" t="s">
        <v>3149</v>
      </c>
      <c r="I5" s="0" t="s">
        <v>3150</v>
      </c>
      <c r="J5" s="0" t="s">
        <v>427</v>
      </c>
      <c r="K5" s="0" t="s">
        <v>427</v>
      </c>
      <c r="M5" s="44" t="str">
        <f aca="false">INDEX(fastqs!$A:$A, MATCH(A5, fastqs!$B:$B, 0), 1)</f>
        <v>63_JS0071CD031518_R1.fastq.gz</v>
      </c>
      <c r="N5" s="44" t="str">
        <f aca="false">INDEX(fastqs!$C:$C, MATCH(A5, fastqs!$B:$B, 0), 1)</f>
        <v>GET</v>
      </c>
      <c r="O5" s="44" t="str">
        <f aca="false">INDEX(samples!$B:$B, MATCH(B5, samples!$A:$A, 0), 1)</f>
        <v>par0049</v>
      </c>
      <c r="P5" s="44" t="str">
        <f aca="false">INDEX(participants!$I:$I, MATCH(O5, participants!$A:$A, 0), 1)</f>
        <v>js0071</v>
      </c>
      <c r="Q5" s="44" t="n">
        <f aca="false">INDEX(samples!$F:$F, MATCH(B5, samples!$A:$A, 0), 1)</f>
        <v>0</v>
      </c>
      <c r="R5" s="49" t="str">
        <f aca="false">INDEX(samples!$C:$C, MATCH(B5, samples!$A:$A, 0), 1)</f>
        <v>2018-03-15</v>
      </c>
      <c r="S5" s="50" t="str">
        <f aca="false">INDEX(samples!$D:$D,MATCH(B5, samples!$A:$A,0),1)</f>
        <v>blood</v>
      </c>
      <c r="T5" s="51" t="s">
        <v>427</v>
      </c>
      <c r="V5" s="33" t="s">
        <v>427</v>
      </c>
      <c r="X5" s="8"/>
      <c r="Y5" s="8" t="s">
        <v>3150</v>
      </c>
      <c r="Z5" s="8" t="s">
        <v>1002</v>
      </c>
      <c r="AA5" s="8" t="s">
        <v>1002</v>
      </c>
      <c r="AB5" s="8" t="s">
        <v>1002</v>
      </c>
    </row>
    <row r="6" customFormat="false" ht="13.8" hidden="false" customHeight="false" outlineLevel="0" collapsed="false">
      <c r="A6" s="48" t="s">
        <v>3154</v>
      </c>
      <c r="B6" s="41" t="s">
        <v>1833</v>
      </c>
      <c r="C6" s="0" t="s">
        <v>3147</v>
      </c>
      <c r="D6" s="0" t="s">
        <v>3148</v>
      </c>
      <c r="H6" s="0" t="s">
        <v>3149</v>
      </c>
      <c r="I6" s="0" t="s">
        <v>3150</v>
      </c>
      <c r="J6" s="0" t="s">
        <v>427</v>
      </c>
      <c r="K6" s="0" t="s">
        <v>427</v>
      </c>
      <c r="M6" s="44" t="str">
        <f aca="false">INDEX(fastqs!$A:$A, MATCH(A6, fastqs!$B:$B, 0), 1)</f>
        <v>51_JS0059CD052118_R1.fastq.gz</v>
      </c>
      <c r="N6" s="44" t="str">
        <f aca="false">INDEX(fastqs!$C:$C, MATCH(A6, fastqs!$B:$B, 0), 1)</f>
        <v>GET</v>
      </c>
      <c r="O6" s="44" t="str">
        <f aca="false">INDEX(samples!$B:$B, MATCH(B6, samples!$A:$A, 0), 1)</f>
        <v>par0040</v>
      </c>
      <c r="P6" s="44" t="str">
        <f aca="false">INDEX(participants!$I:$I, MATCH(O6, participants!$A:$A, 0), 1)</f>
        <v>js0059</v>
      </c>
      <c r="Q6" s="44" t="n">
        <f aca="false">INDEX(samples!$F:$F, MATCH(B6, samples!$A:$A, 0), 1)</f>
        <v>0</v>
      </c>
      <c r="R6" s="49" t="str">
        <f aca="false">INDEX(samples!$C:$C, MATCH(B6, samples!$A:$A, 0), 1)</f>
        <v>2018-05-21</v>
      </c>
      <c r="S6" s="50" t="str">
        <f aca="false">INDEX(samples!$D:$D,MATCH(B6, samples!$A:$A,0),1)</f>
        <v>blood</v>
      </c>
      <c r="T6" s="51" t="s">
        <v>427</v>
      </c>
      <c r="V6" s="33" t="s">
        <v>427</v>
      </c>
      <c r="X6" s="8"/>
      <c r="Y6" s="8" t="s">
        <v>3150</v>
      </c>
      <c r="Z6" s="8" t="s">
        <v>1002</v>
      </c>
      <c r="AA6" s="8" t="s">
        <v>1002</v>
      </c>
      <c r="AB6" s="8" t="s">
        <v>1002</v>
      </c>
    </row>
    <row r="7" customFormat="false" ht="13.8" hidden="false" customHeight="false" outlineLevel="0" collapsed="false">
      <c r="A7" s="48" t="s">
        <v>3155</v>
      </c>
      <c r="B7" s="41" t="s">
        <v>1818</v>
      </c>
      <c r="C7" s="0" t="s">
        <v>3147</v>
      </c>
      <c r="D7" s="0" t="s">
        <v>3148</v>
      </c>
      <c r="H7" s="0" t="s">
        <v>3149</v>
      </c>
      <c r="I7" s="0" t="s">
        <v>3150</v>
      </c>
      <c r="J7" s="0" t="s">
        <v>427</v>
      </c>
      <c r="K7" s="0" t="s">
        <v>427</v>
      </c>
      <c r="M7" s="44" t="str">
        <f aca="false">INDEX(fastqs!$A:$A, MATCH(A7, fastqs!$B:$B, 0), 1)</f>
        <v>44_JS0054CD050117_R1.fastq.gz</v>
      </c>
      <c r="N7" s="44" t="str">
        <f aca="false">INDEX(fastqs!$C:$C, MATCH(A7, fastqs!$B:$B, 0), 1)</f>
        <v>GET</v>
      </c>
      <c r="O7" s="44" t="str">
        <f aca="false">INDEX(samples!$B:$B, MATCH(B7, samples!$A:$A, 0), 1)</f>
        <v>par0035</v>
      </c>
      <c r="P7" s="44" t="str">
        <f aca="false">INDEX(participants!$I:$I, MATCH(O7, participants!$A:$A, 0), 1)</f>
        <v>js0054</v>
      </c>
      <c r="Q7" s="44" t="n">
        <f aca="false">INDEX(samples!$F:$F, MATCH(B7, samples!$A:$A, 0), 1)</f>
        <v>0</v>
      </c>
      <c r="R7" s="49" t="str">
        <f aca="false">INDEX(samples!$C:$C, MATCH(B7, samples!$A:$A, 0), 1)</f>
        <v>2017-05-01</v>
      </c>
      <c r="S7" s="50" t="str">
        <f aca="false">INDEX(samples!$D:$D,MATCH(B7, samples!$A:$A,0),1)</f>
        <v>blood</v>
      </c>
      <c r="T7" s="51" t="s">
        <v>427</v>
      </c>
      <c r="V7" s="33" t="s">
        <v>427</v>
      </c>
      <c r="X7" s="8"/>
      <c r="Y7" s="8" t="s">
        <v>1002</v>
      </c>
      <c r="Z7" s="8" t="s">
        <v>1002</v>
      </c>
      <c r="AA7" s="8" t="s">
        <v>1002</v>
      </c>
      <c r="AB7" s="8" t="s">
        <v>1002</v>
      </c>
    </row>
    <row r="8" customFormat="false" ht="13.8" hidden="false" customHeight="false" outlineLevel="0" collapsed="false">
      <c r="A8" s="48" t="s">
        <v>3156</v>
      </c>
      <c r="B8" s="41" t="s">
        <v>1846</v>
      </c>
      <c r="C8" s="0" t="s">
        <v>3147</v>
      </c>
      <c r="D8" s="0" t="s">
        <v>3148</v>
      </c>
      <c r="H8" s="0" t="s">
        <v>3149</v>
      </c>
      <c r="I8" s="0" t="s">
        <v>3150</v>
      </c>
      <c r="J8" s="0" t="s">
        <v>427</v>
      </c>
      <c r="K8" s="0" t="s">
        <v>427</v>
      </c>
      <c r="M8" s="44" t="str">
        <f aca="false">INDEX(fastqs!$A:$A, MATCH(A8, fastqs!$B:$B, 0), 1)</f>
        <v>58_JS0066CD111518_R1.fastq.gz</v>
      </c>
      <c r="N8" s="44" t="str">
        <f aca="false">INDEX(fastqs!$C:$C, MATCH(A8, fastqs!$B:$B, 0), 1)</f>
        <v>GET</v>
      </c>
      <c r="O8" s="44" t="str">
        <f aca="false">INDEX(samples!$B:$B, MATCH(B8, samples!$A:$A, 0), 1)</f>
        <v>par0044</v>
      </c>
      <c r="P8" s="44" t="str">
        <f aca="false">INDEX(participants!$I:$I, MATCH(O8, participants!$A:$A, 0), 1)</f>
        <v>js0066</v>
      </c>
      <c r="Q8" s="44" t="n">
        <f aca="false">INDEX(samples!$F:$F, MATCH(B8, samples!$A:$A, 0), 1)</f>
        <v>0</v>
      </c>
      <c r="R8" s="49" t="str">
        <f aca="false">INDEX(samples!$C:$C, MATCH(B8, samples!$A:$A, 0), 1)</f>
        <v>2018-11-15</v>
      </c>
      <c r="S8" s="50" t="str">
        <f aca="false">INDEX(samples!$D:$D,MATCH(B8, samples!$A:$A,0),1)</f>
        <v>blood</v>
      </c>
      <c r="T8" s="51" t="s">
        <v>427</v>
      </c>
      <c r="V8" s="33" t="s">
        <v>427</v>
      </c>
      <c r="X8" s="8"/>
      <c r="Y8" s="8" t="s">
        <v>3150</v>
      </c>
      <c r="Z8" s="8" t="s">
        <v>1002</v>
      </c>
      <c r="AA8" s="8" t="s">
        <v>1002</v>
      </c>
      <c r="AB8" s="8" t="s">
        <v>1002</v>
      </c>
    </row>
    <row r="9" customFormat="false" ht="13.8" hidden="false" customHeight="false" outlineLevel="0" collapsed="false">
      <c r="A9" s="48" t="s">
        <v>3157</v>
      </c>
      <c r="B9" s="41" t="s">
        <v>1783</v>
      </c>
      <c r="C9" s="0" t="s">
        <v>3147</v>
      </c>
      <c r="D9" s="0" t="s">
        <v>3148</v>
      </c>
      <c r="H9" s="0" t="s">
        <v>3149</v>
      </c>
      <c r="I9" s="0" t="s">
        <v>3150</v>
      </c>
      <c r="J9" s="0" t="s">
        <v>427</v>
      </c>
      <c r="K9" s="0" t="s">
        <v>427</v>
      </c>
      <c r="M9" s="44" t="str">
        <f aca="false">INDEX(fastqs!$A:$A, MATCH(A9, fastqs!$B:$B, 0), 1)</f>
        <v>24_JS0040CD070218_R1.fastq.gz</v>
      </c>
      <c r="N9" s="44" t="str">
        <f aca="false">INDEX(fastqs!$C:$C, MATCH(A9, fastqs!$B:$B, 0), 1)</f>
        <v>GET</v>
      </c>
      <c r="O9" s="44" t="str">
        <f aca="false">INDEX(samples!$B:$B, MATCH(B9, samples!$A:$A, 0), 1)</f>
        <v>par0023</v>
      </c>
      <c r="P9" s="44" t="str">
        <f aca="false">INDEX(participants!$I:$I, MATCH(O9, participants!$A:$A, 0), 1)</f>
        <v>js0040</v>
      </c>
      <c r="Q9" s="44" t="n">
        <f aca="false">INDEX(samples!$F:$F, MATCH(B9, samples!$A:$A, 0), 1)</f>
        <v>0</v>
      </c>
      <c r="R9" s="49" t="str">
        <f aca="false">INDEX(samples!$C:$C, MATCH(B9, samples!$A:$A, 0), 1)</f>
        <v>2018-07-02</v>
      </c>
      <c r="S9" s="50" t="str">
        <f aca="false">INDEX(samples!$D:$D,MATCH(B9, samples!$A:$A,0),1)</f>
        <v>blood</v>
      </c>
      <c r="T9" s="51" t="s">
        <v>427</v>
      </c>
      <c r="V9" s="33" t="s">
        <v>427</v>
      </c>
      <c r="X9" s="8"/>
      <c r="Y9" s="8" t="s">
        <v>3150</v>
      </c>
      <c r="Z9" s="8" t="s">
        <v>1002</v>
      </c>
      <c r="AA9" s="8" t="s">
        <v>1002</v>
      </c>
      <c r="AB9" s="8" t="s">
        <v>1002</v>
      </c>
    </row>
    <row r="10" customFormat="false" ht="13.8" hidden="false" customHeight="false" outlineLevel="0" collapsed="false">
      <c r="A10" s="48" t="s">
        <v>3158</v>
      </c>
      <c r="B10" s="41" t="s">
        <v>2010</v>
      </c>
      <c r="C10" s="0" t="s">
        <v>3147</v>
      </c>
      <c r="D10" s="0" t="s">
        <v>3148</v>
      </c>
      <c r="H10" s="0" t="s">
        <v>3149</v>
      </c>
      <c r="I10" s="0" t="s">
        <v>3150</v>
      </c>
      <c r="J10" s="0" t="s">
        <v>427</v>
      </c>
      <c r="K10" s="0" t="s">
        <v>427</v>
      </c>
      <c r="M10" s="44" t="str">
        <f aca="false">INDEX(fastqs!$A:$A, MATCH(A10, fastqs!$B:$B, 0), 1)</f>
        <v>38_JS0050CD050718_R1.fastq.gz</v>
      </c>
      <c r="N10" s="44" t="str">
        <f aca="false">INDEX(fastqs!$C:$C, MATCH(A10, fastqs!$B:$B, 0), 1)</f>
        <v>GET</v>
      </c>
      <c r="O10" s="44" t="str">
        <f aca="false">INDEX(samples!$B:$B, MATCH(B10, samples!$A:$A, 0), 1)</f>
        <v>par0032</v>
      </c>
      <c r="P10" s="44" t="str">
        <f aca="false">INDEX(participants!$I:$I, MATCH(O10, participants!$A:$A, 0), 1)</f>
        <v>js0050</v>
      </c>
      <c r="Q10" s="44" t="n">
        <f aca="false">INDEX(samples!$F:$F, MATCH(B10, samples!$A:$A, 0), 1)</f>
        <v>0</v>
      </c>
      <c r="R10" s="49" t="str">
        <f aca="false">INDEX(samples!$C:$C, MATCH(B10, samples!$A:$A, 0), 1)</f>
        <v>2018-05-07</v>
      </c>
      <c r="S10" s="50" t="str">
        <f aca="false">INDEX(samples!$D:$D,MATCH(B10, samples!$A:$A,0),1)</f>
        <v>blood</v>
      </c>
      <c r="T10" s="51" t="s">
        <v>427</v>
      </c>
      <c r="V10" s="33" t="s">
        <v>427</v>
      </c>
      <c r="X10" s="8"/>
      <c r="Y10" s="8" t="s">
        <v>3150</v>
      </c>
      <c r="Z10" s="8" t="s">
        <v>1002</v>
      </c>
      <c r="AA10" s="8" t="s">
        <v>1002</v>
      </c>
      <c r="AB10" s="8" t="s">
        <v>1002</v>
      </c>
    </row>
    <row r="11" customFormat="false" ht="13.8" hidden="false" customHeight="false" outlineLevel="0" collapsed="false">
      <c r="A11" s="48" t="s">
        <v>3159</v>
      </c>
      <c r="B11" s="41" t="s">
        <v>1775</v>
      </c>
      <c r="C11" s="0" t="s">
        <v>3147</v>
      </c>
      <c r="D11" s="0" t="s">
        <v>3148</v>
      </c>
      <c r="H11" s="0" t="s">
        <v>3149</v>
      </c>
      <c r="I11" s="0" t="s">
        <v>3150</v>
      </c>
      <c r="J11" s="0" t="s">
        <v>427</v>
      </c>
      <c r="K11" s="0" t="s">
        <v>427</v>
      </c>
      <c r="M11" s="44" t="str">
        <f aca="false">INDEX(fastqs!$A:$A, MATCH(A11, fastqs!$B:$B, 0), 1)</f>
        <v>19_JS0037CD062518_R1.fastq.gz</v>
      </c>
      <c r="N11" s="44" t="str">
        <f aca="false">INDEX(fastqs!$C:$C, MATCH(A11, fastqs!$B:$B, 0), 1)</f>
        <v>GET</v>
      </c>
      <c r="O11" s="44" t="str">
        <f aca="false">INDEX(samples!$B:$B, MATCH(B11, samples!$A:$A, 0), 1)</f>
        <v>par0021</v>
      </c>
      <c r="P11" s="44" t="str">
        <f aca="false">INDEX(participants!$I:$I, MATCH(O11, participants!$A:$A, 0), 1)</f>
        <v>js0037</v>
      </c>
      <c r="Q11" s="44" t="n">
        <f aca="false">INDEX(samples!$F:$F, MATCH(B11, samples!$A:$A, 0), 1)</f>
        <v>0</v>
      </c>
      <c r="R11" s="49" t="str">
        <f aca="false">INDEX(samples!$C:$C, MATCH(B11, samples!$A:$A, 0), 1)</f>
        <v>2018-06-25</v>
      </c>
      <c r="S11" s="50" t="str">
        <f aca="false">INDEX(samples!$D:$D,MATCH(B11, samples!$A:$A,0),1)</f>
        <v>blood</v>
      </c>
      <c r="T11" s="51" t="s">
        <v>427</v>
      </c>
      <c r="V11" s="33" t="s">
        <v>427</v>
      </c>
      <c r="X11" s="8"/>
      <c r="Y11" s="8" t="s">
        <v>3150</v>
      </c>
      <c r="Z11" s="8" t="s">
        <v>1002</v>
      </c>
      <c r="AA11" s="8" t="s">
        <v>1002</v>
      </c>
      <c r="AB11" s="8" t="s">
        <v>1002</v>
      </c>
    </row>
    <row r="12" customFormat="false" ht="13.8" hidden="false" customHeight="false" outlineLevel="0" collapsed="false">
      <c r="A12" s="48" t="s">
        <v>3160</v>
      </c>
      <c r="B12" s="41" t="s">
        <v>1795</v>
      </c>
      <c r="C12" s="0" t="s">
        <v>3147</v>
      </c>
      <c r="D12" s="0" t="s">
        <v>3148</v>
      </c>
      <c r="H12" s="0" t="s">
        <v>3149</v>
      </c>
      <c r="I12" s="0" t="s">
        <v>3150</v>
      </c>
      <c r="J12" s="0" t="s">
        <v>427</v>
      </c>
      <c r="K12" s="0" t="s">
        <v>427</v>
      </c>
      <c r="M12" s="44" t="str">
        <f aca="false">INDEX(fastqs!$A:$A, MATCH(A12, fastqs!$B:$B, 0), 1)</f>
        <v>31_JS0046CD090618_R1.fastq.gz</v>
      </c>
      <c r="N12" s="44" t="str">
        <f aca="false">INDEX(fastqs!$C:$C, MATCH(A12, fastqs!$B:$B, 0), 1)</f>
        <v>GET</v>
      </c>
      <c r="O12" s="44" t="str">
        <f aca="false">INDEX(samples!$B:$B, MATCH(B12, samples!$A:$A, 0), 1)</f>
        <v>par0028</v>
      </c>
      <c r="P12" s="44" t="str">
        <f aca="false">INDEX(participants!$I:$I, MATCH(O12, participants!$A:$A, 0), 1)</f>
        <v>js0046</v>
      </c>
      <c r="Q12" s="44" t="n">
        <f aca="false">INDEX(samples!$F:$F, MATCH(B12, samples!$A:$A, 0), 1)</f>
        <v>0</v>
      </c>
      <c r="R12" s="49" t="str">
        <f aca="false">INDEX(samples!$C:$C, MATCH(B12, samples!$A:$A, 0), 1)</f>
        <v>2018-09-06</v>
      </c>
      <c r="S12" s="50" t="str">
        <f aca="false">INDEX(samples!$D:$D,MATCH(B12, samples!$A:$A,0),1)</f>
        <v>blood</v>
      </c>
      <c r="T12" s="51" t="s">
        <v>427</v>
      </c>
      <c r="V12" s="33" t="s">
        <v>427</v>
      </c>
      <c r="X12" s="8"/>
      <c r="Y12" s="8" t="s">
        <v>3150</v>
      </c>
      <c r="Z12" s="8" t="s">
        <v>1002</v>
      </c>
      <c r="AA12" s="8" t="s">
        <v>1002</v>
      </c>
      <c r="AB12" s="8" t="s">
        <v>1002</v>
      </c>
    </row>
    <row r="13" customFormat="false" ht="13.8" hidden="false" customHeight="false" outlineLevel="0" collapsed="false">
      <c r="A13" s="48" t="s">
        <v>3161</v>
      </c>
      <c r="B13" s="41" t="s">
        <v>1839</v>
      </c>
      <c r="C13" s="0" t="s">
        <v>3147</v>
      </c>
      <c r="D13" s="0" t="s">
        <v>3148</v>
      </c>
      <c r="H13" s="0" t="s">
        <v>3149</v>
      </c>
      <c r="I13" s="0" t="s">
        <v>3150</v>
      </c>
      <c r="J13" s="0" t="s">
        <v>427</v>
      </c>
      <c r="K13" s="0" t="s">
        <v>427</v>
      </c>
      <c r="M13" s="44" t="str">
        <f aca="false">INDEX(fastqs!$A:$A, MATCH(A13, fastqs!$B:$B, 0), 1)</f>
        <v>55_JS0062CD061918_R1.fastq.gz</v>
      </c>
      <c r="N13" s="44" t="str">
        <f aca="false">INDEX(fastqs!$C:$C, MATCH(A13, fastqs!$B:$B, 0), 1)</f>
        <v>GET</v>
      </c>
      <c r="O13" s="44" t="str">
        <f aca="false">INDEX(samples!$B:$B, MATCH(B13, samples!$A:$A, 0), 1)</f>
        <v>par0042</v>
      </c>
      <c r="P13" s="44" t="str">
        <f aca="false">INDEX(participants!$I:$I, MATCH(O13, participants!$A:$A, 0), 1)</f>
        <v>js0062</v>
      </c>
      <c r="Q13" s="44" t="n">
        <f aca="false">INDEX(samples!$F:$F, MATCH(B13, samples!$A:$A, 0), 1)</f>
        <v>0</v>
      </c>
      <c r="R13" s="49" t="str">
        <f aca="false">INDEX(samples!$C:$C, MATCH(B13, samples!$A:$A, 0), 1)</f>
        <v>2018-06-19</v>
      </c>
      <c r="S13" s="50" t="str">
        <f aca="false">INDEX(samples!$D:$D,MATCH(B13, samples!$A:$A,0),1)</f>
        <v>blood</v>
      </c>
      <c r="T13" s="51" t="s">
        <v>427</v>
      </c>
      <c r="V13" s="33" t="s">
        <v>427</v>
      </c>
      <c r="X13" s="8"/>
      <c r="Y13" s="8" t="s">
        <v>3150</v>
      </c>
      <c r="Z13" s="8" t="s">
        <v>1002</v>
      </c>
      <c r="AA13" s="8" t="s">
        <v>1002</v>
      </c>
      <c r="AB13" s="8" t="s">
        <v>1002</v>
      </c>
    </row>
    <row r="14" customFormat="false" ht="13.8" hidden="false" customHeight="false" outlineLevel="0" collapsed="false">
      <c r="A14" s="48" t="s">
        <v>3162</v>
      </c>
      <c r="B14" s="41" t="s">
        <v>1770</v>
      </c>
      <c r="C14" s="0" t="s">
        <v>3147</v>
      </c>
      <c r="D14" s="0" t="s">
        <v>3148</v>
      </c>
      <c r="H14" s="0" t="s">
        <v>3149</v>
      </c>
      <c r="I14" s="0" t="s">
        <v>3150</v>
      </c>
      <c r="J14" s="0" t="s">
        <v>427</v>
      </c>
      <c r="K14" s="0" t="n">
        <v>12</v>
      </c>
      <c r="M14" s="44" t="str">
        <f aca="false">INDEX(fastqs!$A:$A, MATCH(A14, fastqs!$B:$B, 0), 1)</f>
        <v>16_JS0033CD080618_R1.fastq.gz</v>
      </c>
      <c r="N14" s="44" t="str">
        <f aca="false">INDEX(fastqs!$C:$C, MATCH(A14, fastqs!$B:$B, 0), 1)</f>
        <v>GET</v>
      </c>
      <c r="O14" s="44" t="str">
        <f aca="false">INDEX(samples!$B:$B, MATCH(B14, samples!$A:$A, 0), 1)</f>
        <v>par0018</v>
      </c>
      <c r="P14" s="44" t="str">
        <f aca="false">INDEX(participants!$I:$I, MATCH(O14, participants!$A:$A, 0), 1)</f>
        <v>js0033</v>
      </c>
      <c r="Q14" s="44" t="n">
        <f aca="false">INDEX(samples!$F:$F, MATCH(B14, samples!$A:$A, 0), 1)</f>
        <v>0</v>
      </c>
      <c r="R14" s="49" t="str">
        <f aca="false">INDEX(samples!$C:$C, MATCH(B14, samples!$A:$A, 0), 1)</f>
        <v>2018-08-06</v>
      </c>
      <c r="S14" s="50" t="str">
        <f aca="false">INDEX(samples!$D:$D,MATCH(B14, samples!$A:$A,0),1)</f>
        <v>blood</v>
      </c>
      <c r="T14" s="51" t="s">
        <v>427</v>
      </c>
      <c r="V14" s="33" t="s">
        <v>427</v>
      </c>
      <c r="X14" s="8"/>
      <c r="Y14" s="8" t="s">
        <v>3150</v>
      </c>
      <c r="Z14" s="8" t="s">
        <v>1002</v>
      </c>
      <c r="AA14" s="8" t="s">
        <v>1002</v>
      </c>
      <c r="AB14" s="8" t="s">
        <v>1002</v>
      </c>
    </row>
    <row r="15" customFormat="false" ht="13.8" hidden="false" customHeight="false" outlineLevel="0" collapsed="false">
      <c r="A15" s="48" t="s">
        <v>3163</v>
      </c>
      <c r="B15" s="41" t="s">
        <v>1785</v>
      </c>
      <c r="C15" s="0" t="s">
        <v>3147</v>
      </c>
      <c r="D15" s="0" t="s">
        <v>3148</v>
      </c>
      <c r="H15" s="0" t="s">
        <v>3149</v>
      </c>
      <c r="I15" s="0" t="s">
        <v>3150</v>
      </c>
      <c r="J15" s="0" t="s">
        <v>427</v>
      </c>
      <c r="K15" s="0" t="s">
        <v>427</v>
      </c>
      <c r="M15" s="44" t="str">
        <f aca="false">INDEX(fastqs!$A:$A, MATCH(A15, fastqs!$B:$B, 0), 1)</f>
        <v>26_JS0042CD120717_R1.fastq.gz</v>
      </c>
      <c r="N15" s="44" t="str">
        <f aca="false">INDEX(fastqs!$C:$C, MATCH(A15, fastqs!$B:$B, 0), 1)</f>
        <v>GET</v>
      </c>
      <c r="O15" s="44" t="str">
        <f aca="false">INDEX(samples!$B:$B, MATCH(B15, samples!$A:$A, 0), 1)</f>
        <v>par0025</v>
      </c>
      <c r="P15" s="44" t="str">
        <f aca="false">INDEX(participants!$I:$I, MATCH(O15, participants!$A:$A, 0), 1)</f>
        <v>js0042</v>
      </c>
      <c r="Q15" s="44" t="n">
        <f aca="false">INDEX(samples!$F:$F, MATCH(B15, samples!$A:$A, 0), 1)</f>
        <v>0</v>
      </c>
      <c r="R15" s="49" t="str">
        <f aca="false">INDEX(samples!$C:$C, MATCH(B15, samples!$A:$A, 0), 1)</f>
        <v>2017-12-07</v>
      </c>
      <c r="S15" s="50" t="str">
        <f aca="false">INDEX(samples!$D:$D,MATCH(B15, samples!$A:$A,0),1)</f>
        <v>blood</v>
      </c>
      <c r="T15" s="51" t="s">
        <v>427</v>
      </c>
      <c r="V15" s="33" t="s">
        <v>427</v>
      </c>
      <c r="X15" s="8"/>
      <c r="Y15" s="8" t="s">
        <v>3150</v>
      </c>
      <c r="Z15" s="8" t="s">
        <v>1002</v>
      </c>
      <c r="AA15" s="8" t="s">
        <v>1002</v>
      </c>
      <c r="AB15" s="8" t="s">
        <v>1002</v>
      </c>
    </row>
    <row r="16" customFormat="false" ht="13.8" hidden="false" customHeight="false" outlineLevel="0" collapsed="false">
      <c r="A16" s="48" t="s">
        <v>3164</v>
      </c>
      <c r="B16" s="41" t="s">
        <v>1781</v>
      </c>
      <c r="C16" s="0" t="s">
        <v>3147</v>
      </c>
      <c r="D16" s="0" t="s">
        <v>3148</v>
      </c>
      <c r="H16" s="0" t="s">
        <v>3149</v>
      </c>
      <c r="I16" s="0" t="s">
        <v>3150</v>
      </c>
      <c r="J16" s="0" t="s">
        <v>427</v>
      </c>
      <c r="K16" s="0" t="s">
        <v>427</v>
      </c>
      <c r="M16" s="44" t="str">
        <f aca="false">INDEX(fastqs!$A:$A, MATCH(A16, fastqs!$B:$B, 0), 1)</f>
        <v>23_JS0039CD101618_R1.fastq.gz</v>
      </c>
      <c r="N16" s="44" t="str">
        <f aca="false">INDEX(fastqs!$C:$C, MATCH(A16, fastqs!$B:$B, 0), 1)</f>
        <v>GET</v>
      </c>
      <c r="O16" s="44" t="str">
        <f aca="false">INDEX(samples!$B:$B, MATCH(B16, samples!$A:$A, 0), 1)</f>
        <v>par0022</v>
      </c>
      <c r="P16" s="44" t="str">
        <f aca="false">INDEX(participants!$I:$I, MATCH(O16, participants!$A:$A, 0), 1)</f>
        <v>js0039</v>
      </c>
      <c r="Q16" s="44" t="n">
        <f aca="false">INDEX(samples!$F:$F, MATCH(B16, samples!$A:$A, 0), 1)</f>
        <v>0</v>
      </c>
      <c r="R16" s="49" t="str">
        <f aca="false">INDEX(samples!$C:$C, MATCH(B16, samples!$A:$A, 0), 1)</f>
        <v>2018-10-16</v>
      </c>
      <c r="S16" s="50" t="str">
        <f aca="false">INDEX(samples!$D:$D,MATCH(B16, samples!$A:$A,0),1)</f>
        <v>blood</v>
      </c>
      <c r="T16" s="51" t="s">
        <v>427</v>
      </c>
      <c r="V16" s="33" t="s">
        <v>427</v>
      </c>
      <c r="X16" s="8"/>
      <c r="Y16" s="8" t="s">
        <v>3150</v>
      </c>
      <c r="Z16" s="8" t="s">
        <v>1002</v>
      </c>
      <c r="AA16" s="8" t="s">
        <v>1002</v>
      </c>
      <c r="AB16" s="8" t="s">
        <v>1002</v>
      </c>
    </row>
    <row r="17" customFormat="false" ht="13.8" hidden="false" customHeight="false" outlineLevel="0" collapsed="false">
      <c r="A17" s="48" t="s">
        <v>3165</v>
      </c>
      <c r="B17" s="41" t="s">
        <v>1767</v>
      </c>
      <c r="C17" s="0" t="s">
        <v>3147</v>
      </c>
      <c r="D17" s="0" t="s">
        <v>3148</v>
      </c>
      <c r="H17" s="0" t="s">
        <v>3149</v>
      </c>
      <c r="I17" s="0" t="s">
        <v>3150</v>
      </c>
      <c r="J17" s="0" t="s">
        <v>427</v>
      </c>
      <c r="K17" s="0" t="n">
        <v>12</v>
      </c>
      <c r="M17" s="44" t="str">
        <f aca="false">INDEX(fastqs!$A:$A, MATCH(A17, fastqs!$B:$B, 0), 1)</f>
        <v>15_JS0032CD082918_R1.fastq.gz</v>
      </c>
      <c r="N17" s="44" t="str">
        <f aca="false">INDEX(fastqs!$C:$C, MATCH(A17, fastqs!$B:$B, 0), 1)</f>
        <v>GET</v>
      </c>
      <c r="O17" s="44" t="str">
        <f aca="false">INDEX(samples!$B:$B, MATCH(B17, samples!$A:$A, 0), 1)</f>
        <v>par0017</v>
      </c>
      <c r="P17" s="44" t="str">
        <f aca="false">INDEX(participants!$I:$I, MATCH(O17, participants!$A:$A, 0), 1)</f>
        <v>js0032</v>
      </c>
      <c r="Q17" s="44" t="n">
        <f aca="false">INDEX(samples!$F:$F, MATCH(B17, samples!$A:$A, 0), 1)</f>
        <v>0</v>
      </c>
      <c r="R17" s="49" t="str">
        <f aca="false">INDEX(samples!$C:$C, MATCH(B17, samples!$A:$A, 0), 1)</f>
        <v>2018-08-29</v>
      </c>
      <c r="S17" s="50" t="str">
        <f aca="false">INDEX(samples!$D:$D,MATCH(B17, samples!$A:$A,0),1)</f>
        <v>blood</v>
      </c>
      <c r="T17" s="51" t="s">
        <v>427</v>
      </c>
      <c r="V17" s="33" t="s">
        <v>427</v>
      </c>
      <c r="X17" s="8"/>
      <c r="Y17" s="8" t="s">
        <v>3150</v>
      </c>
      <c r="Z17" s="8" t="s">
        <v>1002</v>
      </c>
      <c r="AA17" s="8" t="s">
        <v>1002</v>
      </c>
      <c r="AB17" s="8" t="s">
        <v>1002</v>
      </c>
    </row>
    <row r="18" customFormat="false" ht="13.8" hidden="false" customHeight="false" outlineLevel="0" collapsed="false">
      <c r="A18" s="48" t="s">
        <v>3166</v>
      </c>
      <c r="B18" s="41" t="s">
        <v>1850</v>
      </c>
      <c r="C18" s="0" t="s">
        <v>3147</v>
      </c>
      <c r="D18" s="0" t="s">
        <v>3148</v>
      </c>
      <c r="H18" s="0" t="s">
        <v>3149</v>
      </c>
      <c r="I18" s="0" t="s">
        <v>3150</v>
      </c>
      <c r="J18" s="0" t="s">
        <v>427</v>
      </c>
      <c r="K18" s="0" t="s">
        <v>427</v>
      </c>
      <c r="M18" s="44" t="str">
        <f aca="false">INDEX(fastqs!$A:$A, MATCH(A18, fastqs!$B:$B, 0), 1)</f>
        <v>61_JS0069CD022618_R1.fastq.gz</v>
      </c>
      <c r="N18" s="44" t="str">
        <f aca="false">INDEX(fastqs!$C:$C, MATCH(A18, fastqs!$B:$B, 0), 1)</f>
        <v>GET</v>
      </c>
      <c r="O18" s="44" t="str">
        <f aca="false">INDEX(samples!$B:$B, MATCH(B18, samples!$A:$A, 0), 1)</f>
        <v>par0047</v>
      </c>
      <c r="P18" s="44" t="str">
        <f aca="false">INDEX(participants!$I:$I, MATCH(O18, participants!$A:$A, 0), 1)</f>
        <v>js0069</v>
      </c>
      <c r="Q18" s="44" t="n">
        <f aca="false">INDEX(samples!$F:$F, MATCH(B18, samples!$A:$A, 0), 1)</f>
        <v>0</v>
      </c>
      <c r="R18" s="49" t="str">
        <f aca="false">INDEX(samples!$C:$C, MATCH(B18, samples!$A:$A, 0), 1)</f>
        <v>2018-02-26</v>
      </c>
      <c r="S18" s="50" t="str">
        <f aca="false">INDEX(samples!$D:$D,MATCH(B18, samples!$A:$A,0),1)</f>
        <v>blood</v>
      </c>
      <c r="T18" s="51" t="s">
        <v>427</v>
      </c>
      <c r="V18" s="33" t="s">
        <v>427</v>
      </c>
      <c r="X18" s="8"/>
      <c r="Y18" s="8" t="s">
        <v>3150</v>
      </c>
      <c r="Z18" s="8" t="s">
        <v>1002</v>
      </c>
      <c r="AA18" s="8" t="s">
        <v>1002</v>
      </c>
      <c r="AB18" s="8" t="s">
        <v>1002</v>
      </c>
    </row>
    <row r="19" customFormat="false" ht="13.8" hidden="false" customHeight="false" outlineLevel="0" collapsed="false">
      <c r="A19" s="48" t="s">
        <v>3167</v>
      </c>
      <c r="B19" s="41" t="s">
        <v>1841</v>
      </c>
      <c r="C19" s="0" t="s">
        <v>3147</v>
      </c>
      <c r="D19" s="0" t="s">
        <v>3148</v>
      </c>
      <c r="H19" s="0" t="s">
        <v>3149</v>
      </c>
      <c r="I19" s="0" t="s">
        <v>3150</v>
      </c>
      <c r="J19" s="0" t="s">
        <v>427</v>
      </c>
      <c r="K19" s="0" t="s">
        <v>427</v>
      </c>
      <c r="M19" s="44" t="str">
        <f aca="false">INDEX(fastqs!$A:$A, MATCH(A19, fastqs!$B:$B, 0), 1)</f>
        <v>56_JS0063CD062118_R1.fastq.gz</v>
      </c>
      <c r="N19" s="44" t="str">
        <f aca="false">INDEX(fastqs!$C:$C, MATCH(A19, fastqs!$B:$B, 0), 1)</f>
        <v>GET</v>
      </c>
      <c r="O19" s="44" t="str">
        <f aca="false">INDEX(samples!$B:$B, MATCH(B19, samples!$A:$A, 0), 1)</f>
        <v>par0128</v>
      </c>
      <c r="P19" s="44" t="e">
        <f aca="false">INDEX(participants!$I:$I, MATCH(O19, participants!$A:$A, 0), 1)</f>
        <v>#N/A</v>
      </c>
      <c r="Q19" s="44" t="n">
        <f aca="false">INDEX(samples!$F:$F, MATCH(B19, samples!$A:$A, 0), 1)</f>
        <v>0</v>
      </c>
      <c r="R19" s="49" t="str">
        <f aca="false">INDEX(samples!$C:$C, MATCH(B19, samples!$A:$A, 0), 1)</f>
        <v>2018-06-21</v>
      </c>
      <c r="S19" s="50" t="str">
        <f aca="false">INDEX(samples!$D:$D,MATCH(B19, samples!$A:$A,0),1)</f>
        <v>blood</v>
      </c>
      <c r="T19" s="51" t="s">
        <v>427</v>
      </c>
      <c r="V19" s="33" t="s">
        <v>427</v>
      </c>
      <c r="X19" s="8"/>
      <c r="Y19" s="8" t="s">
        <v>3150</v>
      </c>
      <c r="Z19" s="8" t="s">
        <v>1002</v>
      </c>
      <c r="AA19" s="8" t="s">
        <v>1002</v>
      </c>
      <c r="AB19" s="8" t="s">
        <v>1002</v>
      </c>
    </row>
    <row r="20" customFormat="false" ht="13.8" hidden="false" customHeight="false" outlineLevel="0" collapsed="false">
      <c r="A20" s="48" t="s">
        <v>3168</v>
      </c>
      <c r="B20" s="41" t="s">
        <v>1742</v>
      </c>
      <c r="C20" s="0" t="s">
        <v>3147</v>
      </c>
      <c r="D20" s="0" t="s">
        <v>3148</v>
      </c>
      <c r="H20" s="0" t="s">
        <v>3149</v>
      </c>
      <c r="I20" s="0" t="s">
        <v>3150</v>
      </c>
      <c r="J20" s="0" t="s">
        <v>427</v>
      </c>
      <c r="K20" s="0" t="n">
        <v>12</v>
      </c>
      <c r="M20" s="44" t="str">
        <f aca="false">INDEX(fastqs!$A:$A, MATCH(A20, fastqs!$B:$B, 0), 1)</f>
        <v>2_JS0003CD072417_R1.fastq.gz</v>
      </c>
      <c r="N20" s="44" t="str">
        <f aca="false">INDEX(fastqs!$C:$C, MATCH(A20, fastqs!$B:$B, 0), 1)</f>
        <v>GET</v>
      </c>
      <c r="O20" s="44" t="str">
        <f aca="false">INDEX(samples!$B:$B, MATCH(B20, samples!$A:$A, 0), 1)</f>
        <v>par0012</v>
      </c>
      <c r="P20" s="44" t="str">
        <f aca="false">INDEX(participants!$I:$I, MATCH(O20, participants!$A:$A, 0), 1)</f>
        <v>js0003</v>
      </c>
      <c r="Q20" s="44" t="n">
        <f aca="false">INDEX(samples!$F:$F, MATCH(B20, samples!$A:$A, 0), 1)</f>
        <v>0</v>
      </c>
      <c r="R20" s="49" t="str">
        <f aca="false">INDEX(samples!$C:$C, MATCH(B20, samples!$A:$A, 0), 1)</f>
        <v>2017-07-24</v>
      </c>
      <c r="S20" s="50" t="str">
        <f aca="false">INDEX(samples!$D:$D,MATCH(B20, samples!$A:$A,0),1)</f>
        <v>blood</v>
      </c>
      <c r="T20" s="51" t="s">
        <v>427</v>
      </c>
      <c r="V20" s="33" t="s">
        <v>427</v>
      </c>
      <c r="X20" s="8"/>
      <c r="Y20" s="8" t="s">
        <v>3150</v>
      </c>
      <c r="Z20" s="8" t="s">
        <v>1002</v>
      </c>
      <c r="AA20" s="8" t="s">
        <v>1002</v>
      </c>
      <c r="AB20" s="8" t="s">
        <v>1002</v>
      </c>
    </row>
    <row r="21" customFormat="false" ht="13.8" hidden="false" customHeight="false" outlineLevel="0" collapsed="false">
      <c r="A21" s="48" t="s">
        <v>3169</v>
      </c>
      <c r="B21" s="41" t="s">
        <v>1820</v>
      </c>
      <c r="C21" s="0" t="s">
        <v>3147</v>
      </c>
      <c r="D21" s="0" t="s">
        <v>3148</v>
      </c>
      <c r="H21" s="0" t="s">
        <v>3149</v>
      </c>
      <c r="I21" s="0" t="s">
        <v>3150</v>
      </c>
      <c r="J21" s="0" t="s">
        <v>427</v>
      </c>
      <c r="K21" s="0" t="s">
        <v>427</v>
      </c>
      <c r="M21" s="44" t="str">
        <f aca="false">INDEX(fastqs!$A:$A, MATCH(A21, fastqs!$B:$B, 0), 1)</f>
        <v>45_JS0054CD020618_R1.fastq.gz</v>
      </c>
      <c r="N21" s="44" t="str">
        <f aca="false">INDEX(fastqs!$C:$C, MATCH(A21, fastqs!$B:$B, 0), 1)</f>
        <v>GET</v>
      </c>
      <c r="O21" s="44" t="str">
        <f aca="false">INDEX(samples!$B:$B, MATCH(B21, samples!$A:$A, 0), 1)</f>
        <v>par0035</v>
      </c>
      <c r="P21" s="44" t="str">
        <f aca="false">INDEX(participants!$I:$I, MATCH(O21, participants!$A:$A, 0), 1)</f>
        <v>js0054</v>
      </c>
      <c r="Q21" s="44" t="n">
        <f aca="false">INDEX(samples!$F:$F, MATCH(B21, samples!$A:$A, 0), 1)</f>
        <v>0</v>
      </c>
      <c r="R21" s="49" t="str">
        <f aca="false">INDEX(samples!$C:$C, MATCH(B21, samples!$A:$A, 0), 1)</f>
        <v>2018-02-06</v>
      </c>
      <c r="S21" s="50" t="str">
        <f aca="false">INDEX(samples!$D:$D,MATCH(B21, samples!$A:$A,0),1)</f>
        <v>blood</v>
      </c>
      <c r="T21" s="51" t="s">
        <v>427</v>
      </c>
      <c r="V21" s="33" t="s">
        <v>427</v>
      </c>
      <c r="X21" s="8"/>
      <c r="Y21" s="8" t="s">
        <v>1002</v>
      </c>
      <c r="Z21" s="8" t="s">
        <v>1002</v>
      </c>
      <c r="AA21" s="8" t="s">
        <v>1002</v>
      </c>
      <c r="AB21" s="8" t="s">
        <v>1002</v>
      </c>
    </row>
    <row r="22" customFormat="false" ht="13.8" hidden="false" customHeight="false" outlineLevel="0" collapsed="false">
      <c r="A22" s="48" t="s">
        <v>3170</v>
      </c>
      <c r="B22" s="41" t="s">
        <v>1849</v>
      </c>
      <c r="C22" s="0" t="s">
        <v>3147</v>
      </c>
      <c r="D22" s="0" t="s">
        <v>3148</v>
      </c>
      <c r="H22" s="0" t="s">
        <v>3149</v>
      </c>
      <c r="I22" s="0" t="s">
        <v>3150</v>
      </c>
      <c r="J22" s="0" t="s">
        <v>427</v>
      </c>
      <c r="K22" s="0" t="s">
        <v>427</v>
      </c>
      <c r="M22" s="44" t="str">
        <f aca="false">INDEX(fastqs!$A:$A, MATCH(A22, fastqs!$B:$B, 0), 1)</f>
        <v>60_JS0068CD030518_R1.fastq.gz</v>
      </c>
      <c r="N22" s="44" t="str">
        <f aca="false">INDEX(fastqs!$C:$C, MATCH(A22, fastqs!$B:$B, 0), 1)</f>
        <v>GET</v>
      </c>
      <c r="O22" s="44" t="str">
        <f aca="false">INDEX(samples!$B:$B, MATCH(B22, samples!$A:$A, 0), 1)</f>
        <v>par0046</v>
      </c>
      <c r="P22" s="44" t="str">
        <f aca="false">INDEX(participants!$I:$I, MATCH(O22, participants!$A:$A, 0), 1)</f>
        <v>js0068</v>
      </c>
      <c r="Q22" s="44" t="n">
        <f aca="false">INDEX(samples!$F:$F, MATCH(B22, samples!$A:$A, 0), 1)</f>
        <v>0</v>
      </c>
      <c r="R22" s="49" t="str">
        <f aca="false">INDEX(samples!$C:$C, MATCH(B22, samples!$A:$A, 0), 1)</f>
        <v>2018-03-05</v>
      </c>
      <c r="S22" s="50" t="str">
        <f aca="false">INDEX(samples!$D:$D,MATCH(B22, samples!$A:$A,0),1)</f>
        <v>blood</v>
      </c>
      <c r="T22" s="51" t="s">
        <v>427</v>
      </c>
      <c r="V22" s="33" t="s">
        <v>427</v>
      </c>
      <c r="X22" s="8"/>
      <c r="Y22" s="8" t="s">
        <v>3150</v>
      </c>
      <c r="Z22" s="8" t="s">
        <v>1002</v>
      </c>
      <c r="AA22" s="8" t="s">
        <v>1002</v>
      </c>
      <c r="AB22" s="8" t="s">
        <v>1002</v>
      </c>
    </row>
    <row r="23" customFormat="false" ht="13.8" hidden="false" customHeight="false" outlineLevel="0" collapsed="false">
      <c r="A23" s="48" t="s">
        <v>3171</v>
      </c>
      <c r="B23" s="41" t="s">
        <v>1779</v>
      </c>
      <c r="C23" s="0" t="s">
        <v>3147</v>
      </c>
      <c r="D23" s="0" t="s">
        <v>3148</v>
      </c>
      <c r="H23" s="0" t="s">
        <v>3149</v>
      </c>
      <c r="I23" s="0" t="s">
        <v>3150</v>
      </c>
      <c r="J23" s="0" t="s">
        <v>427</v>
      </c>
      <c r="K23" s="0" t="s">
        <v>427</v>
      </c>
      <c r="M23" s="44" t="str">
        <f aca="false">INDEX(fastqs!$A:$A, MATCH(A23, fastqs!$B:$B, 0), 1)</f>
        <v>22_JS0039CD062618_2_R1.fastq.gz</v>
      </c>
      <c r="N23" s="44" t="str">
        <f aca="false">INDEX(fastqs!$C:$C, MATCH(A23, fastqs!$B:$B, 0), 1)</f>
        <v>GET</v>
      </c>
      <c r="O23" s="44" t="str">
        <f aca="false">INDEX(samples!$B:$B, MATCH(B23, samples!$A:$A, 0), 1)</f>
        <v>par0022</v>
      </c>
      <c r="P23" s="44" t="str">
        <f aca="false">INDEX(participants!$I:$I, MATCH(O23, participants!$A:$A, 0), 1)</f>
        <v>js0039</v>
      </c>
      <c r="Q23" s="44" t="n">
        <f aca="false">INDEX(samples!$F:$F, MATCH(B23, samples!$A:$A, 0), 1)</f>
        <v>0</v>
      </c>
      <c r="R23" s="49" t="str">
        <f aca="false">INDEX(samples!$C:$C, MATCH(B23, samples!$A:$A, 0), 1)</f>
        <v>2018-06-26</v>
      </c>
      <c r="S23" s="50" t="str">
        <f aca="false">INDEX(samples!$D:$D,MATCH(B23, samples!$A:$A,0),1)</f>
        <v>blood</v>
      </c>
      <c r="T23" s="51" t="s">
        <v>427</v>
      </c>
      <c r="V23" s="33" t="s">
        <v>427</v>
      </c>
      <c r="X23" s="8"/>
      <c r="Y23" s="8" t="s">
        <v>3150</v>
      </c>
      <c r="Z23" s="8" t="s">
        <v>1002</v>
      </c>
      <c r="AA23" s="8" t="s">
        <v>1002</v>
      </c>
      <c r="AB23" s="8" t="s">
        <v>1002</v>
      </c>
    </row>
    <row r="24" customFormat="false" ht="13.8" hidden="false" customHeight="false" outlineLevel="0" collapsed="false">
      <c r="A24" s="48" t="s">
        <v>3172</v>
      </c>
      <c r="B24" s="41" t="s">
        <v>1826</v>
      </c>
      <c r="C24" s="0" t="s">
        <v>3147</v>
      </c>
      <c r="D24" s="0" t="s">
        <v>3148</v>
      </c>
      <c r="H24" s="0" t="s">
        <v>3149</v>
      </c>
      <c r="I24" s="0" t="s">
        <v>3150</v>
      </c>
      <c r="J24" s="0" t="s">
        <v>427</v>
      </c>
      <c r="K24" s="0" t="s">
        <v>427</v>
      </c>
      <c r="M24" s="44" t="str">
        <f aca="false">INDEX(fastqs!$A:$A, MATCH(A24, fastqs!$B:$B, 0), 1)</f>
        <v>46_JS0055CD040918_R1.fastq.gz</v>
      </c>
      <c r="N24" s="44" t="str">
        <f aca="false">INDEX(fastqs!$C:$C, MATCH(A24, fastqs!$B:$B, 0), 1)</f>
        <v>GET</v>
      </c>
      <c r="O24" s="44" t="str">
        <f aca="false">INDEX(samples!$B:$B, MATCH(B24, samples!$A:$A, 0), 1)</f>
        <v>par0036</v>
      </c>
      <c r="P24" s="44" t="str">
        <f aca="false">INDEX(participants!$I:$I, MATCH(O24, participants!$A:$A, 0), 1)</f>
        <v>js0055</v>
      </c>
      <c r="Q24" s="44" t="n">
        <f aca="false">INDEX(samples!$F:$F, MATCH(B24, samples!$A:$A, 0), 1)</f>
        <v>0</v>
      </c>
      <c r="R24" s="49" t="str">
        <f aca="false">INDEX(samples!$C:$C, MATCH(B24, samples!$A:$A, 0), 1)</f>
        <v>2018-04-09</v>
      </c>
      <c r="S24" s="50" t="str">
        <f aca="false">INDEX(samples!$D:$D,MATCH(B24, samples!$A:$A,0),1)</f>
        <v>blood</v>
      </c>
      <c r="T24" s="51" t="s">
        <v>427</v>
      </c>
      <c r="V24" s="33" t="s">
        <v>427</v>
      </c>
      <c r="X24" s="8"/>
      <c r="Y24" s="8" t="s">
        <v>3150</v>
      </c>
      <c r="Z24" s="8" t="s">
        <v>1002</v>
      </c>
      <c r="AA24" s="8" t="s">
        <v>1002</v>
      </c>
      <c r="AB24" s="8" t="s">
        <v>1002</v>
      </c>
    </row>
    <row r="25" customFormat="false" ht="13.8" hidden="false" customHeight="false" outlineLevel="0" collapsed="false">
      <c r="A25" s="48" t="s">
        <v>3173</v>
      </c>
      <c r="B25" s="41" t="s">
        <v>1806</v>
      </c>
      <c r="C25" s="0" t="s">
        <v>3147</v>
      </c>
      <c r="D25" s="0" t="s">
        <v>3148</v>
      </c>
      <c r="H25" s="0" t="s">
        <v>3149</v>
      </c>
      <c r="I25" s="0" t="s">
        <v>3150</v>
      </c>
      <c r="J25" s="0" t="s">
        <v>427</v>
      </c>
      <c r="K25" s="0" t="s">
        <v>427</v>
      </c>
      <c r="M25" s="44" t="str">
        <f aca="false">INDEX(fastqs!$A:$A, MATCH(A25, fastqs!$B:$B, 0), 1)</f>
        <v>37_JS0050CD112717_R1.fastq.gz</v>
      </c>
      <c r="N25" s="44" t="str">
        <f aca="false">INDEX(fastqs!$C:$C, MATCH(A25, fastqs!$B:$B, 0), 1)</f>
        <v>GET</v>
      </c>
      <c r="O25" s="44" t="str">
        <f aca="false">INDEX(samples!$B:$B, MATCH(B25, samples!$A:$A, 0), 1)</f>
        <v>par0032</v>
      </c>
      <c r="P25" s="44" t="str">
        <f aca="false">INDEX(participants!$I:$I, MATCH(O25, participants!$A:$A, 0), 1)</f>
        <v>js0050</v>
      </c>
      <c r="Q25" s="44" t="n">
        <f aca="false">INDEX(samples!$F:$F, MATCH(B25, samples!$A:$A, 0), 1)</f>
        <v>0</v>
      </c>
      <c r="R25" s="49" t="str">
        <f aca="false">INDEX(samples!$C:$C, MATCH(B25, samples!$A:$A, 0), 1)</f>
        <v>2017-11-27</v>
      </c>
      <c r="S25" s="50" t="str">
        <f aca="false">INDEX(samples!$D:$D,MATCH(B25, samples!$A:$A,0),1)</f>
        <v>blood</v>
      </c>
      <c r="T25" s="51" t="s">
        <v>427</v>
      </c>
      <c r="V25" s="33" t="s">
        <v>427</v>
      </c>
      <c r="X25" s="8"/>
      <c r="Y25" s="8" t="s">
        <v>3150</v>
      </c>
      <c r="Z25" s="8" t="s">
        <v>1002</v>
      </c>
      <c r="AA25" s="8" t="s">
        <v>1002</v>
      </c>
      <c r="AB25" s="8" t="s">
        <v>1002</v>
      </c>
    </row>
    <row r="26" customFormat="false" ht="13.8" hidden="false" customHeight="false" outlineLevel="0" collapsed="false">
      <c r="A26" s="48" t="s">
        <v>3174</v>
      </c>
      <c r="B26" s="41" t="s">
        <v>1799</v>
      </c>
      <c r="C26" s="0" t="s">
        <v>3147</v>
      </c>
      <c r="D26" s="0" t="s">
        <v>3148</v>
      </c>
      <c r="H26" s="0" t="s">
        <v>3149</v>
      </c>
      <c r="I26" s="0" t="s">
        <v>3150</v>
      </c>
      <c r="J26" s="0" t="s">
        <v>427</v>
      </c>
      <c r="K26" s="0" t="s">
        <v>427</v>
      </c>
      <c r="M26" s="44" t="str">
        <f aca="false">INDEX(fastqs!$A:$A, MATCH(A26, fastqs!$B:$B, 0), 1)</f>
        <v>33_JS0048CD041717_R1.fastq.gz</v>
      </c>
      <c r="N26" s="44" t="str">
        <f aca="false">INDEX(fastqs!$C:$C, MATCH(A26, fastqs!$B:$B, 0), 1)</f>
        <v>GET</v>
      </c>
      <c r="O26" s="44" t="str">
        <f aca="false">INDEX(samples!$B:$B, MATCH(B26, samples!$A:$A, 0), 1)</f>
        <v>par0030</v>
      </c>
      <c r="P26" s="44" t="str">
        <f aca="false">INDEX(participants!$I:$I, MATCH(O26, participants!$A:$A, 0), 1)</f>
        <v>js0048</v>
      </c>
      <c r="Q26" s="44" t="n">
        <f aca="false">INDEX(samples!$F:$F, MATCH(B26, samples!$A:$A, 0), 1)</f>
        <v>0</v>
      </c>
      <c r="R26" s="49" t="str">
        <f aca="false">INDEX(samples!$C:$C, MATCH(B26, samples!$A:$A, 0), 1)</f>
        <v>2017-04-17</v>
      </c>
      <c r="S26" s="50" t="str">
        <f aca="false">INDEX(samples!$D:$D,MATCH(B26, samples!$A:$A,0),1)</f>
        <v>blood</v>
      </c>
      <c r="T26" s="51" t="s">
        <v>427</v>
      </c>
      <c r="V26" s="33" t="s">
        <v>427</v>
      </c>
      <c r="X26" s="8"/>
      <c r="Y26" s="8" t="s">
        <v>3150</v>
      </c>
      <c r="Z26" s="8" t="s">
        <v>1002</v>
      </c>
      <c r="AA26" s="8" t="s">
        <v>1002</v>
      </c>
      <c r="AB26" s="8" t="s">
        <v>1002</v>
      </c>
    </row>
    <row r="27" customFormat="false" ht="13.8" hidden="false" customHeight="false" outlineLevel="0" collapsed="false">
      <c r="A27" s="48" t="s">
        <v>3175</v>
      </c>
      <c r="B27" s="41" t="s">
        <v>1808</v>
      </c>
      <c r="C27" s="0" t="s">
        <v>3147</v>
      </c>
      <c r="D27" s="0" t="s">
        <v>3148</v>
      </c>
      <c r="H27" s="0" t="s">
        <v>3149</v>
      </c>
      <c r="I27" s="0" t="s">
        <v>3150</v>
      </c>
      <c r="J27" s="0" t="s">
        <v>427</v>
      </c>
      <c r="K27" s="0" t="s">
        <v>427</v>
      </c>
      <c r="M27" s="44" t="str">
        <f aca="false">INDEX(fastqs!$A:$A, MATCH(A27, fastqs!$B:$B, 0), 1)</f>
        <v>39_JS0050CD101518_R1.fastq.gz</v>
      </c>
      <c r="N27" s="44" t="str">
        <f aca="false">INDEX(fastqs!$C:$C, MATCH(A27, fastqs!$B:$B, 0), 1)</f>
        <v>GET</v>
      </c>
      <c r="O27" s="44" t="str">
        <f aca="false">INDEX(samples!$B:$B, MATCH(B27, samples!$A:$A, 0), 1)</f>
        <v>par0032</v>
      </c>
      <c r="P27" s="44" t="str">
        <f aca="false">INDEX(participants!$I:$I, MATCH(O27, participants!$A:$A, 0), 1)</f>
        <v>js0050</v>
      </c>
      <c r="Q27" s="44" t="n">
        <f aca="false">INDEX(samples!$F:$F, MATCH(B27, samples!$A:$A, 0), 1)</f>
        <v>0</v>
      </c>
      <c r="R27" s="49" t="str">
        <f aca="false">INDEX(samples!$C:$C, MATCH(B27, samples!$A:$A, 0), 1)</f>
        <v>2018-10-15</v>
      </c>
      <c r="S27" s="50" t="str">
        <f aca="false">INDEX(samples!$D:$D,MATCH(B27, samples!$A:$A,0),1)</f>
        <v>blood</v>
      </c>
      <c r="T27" s="51" t="s">
        <v>427</v>
      </c>
      <c r="V27" s="33" t="s">
        <v>427</v>
      </c>
      <c r="X27" s="8"/>
      <c r="Y27" s="8" t="s">
        <v>3150</v>
      </c>
      <c r="Z27" s="8" t="s">
        <v>1002</v>
      </c>
      <c r="AA27" s="8" t="s">
        <v>1002</v>
      </c>
      <c r="AB27" s="8" t="s">
        <v>1002</v>
      </c>
    </row>
    <row r="28" customFormat="false" ht="13.8" hidden="false" customHeight="false" outlineLevel="0" collapsed="false">
      <c r="A28" s="48" t="s">
        <v>3176</v>
      </c>
      <c r="B28" s="41" t="s">
        <v>1753</v>
      </c>
      <c r="C28" s="0" t="s">
        <v>3147</v>
      </c>
      <c r="D28" s="0" t="s">
        <v>3148</v>
      </c>
      <c r="H28" s="0" t="s">
        <v>3149</v>
      </c>
      <c r="I28" s="0" t="s">
        <v>3150</v>
      </c>
      <c r="J28" s="0" t="s">
        <v>427</v>
      </c>
      <c r="K28" s="0" t="n">
        <v>12</v>
      </c>
      <c r="M28" s="44" t="str">
        <f aca="false">INDEX(fastqs!$A:$A, MATCH(A28, fastqs!$B:$B, 0), 1)</f>
        <v>7_JS0022CD050118_R1.fastq.gz</v>
      </c>
      <c r="N28" s="44" t="str">
        <f aca="false">INDEX(fastqs!$C:$C, MATCH(A28, fastqs!$B:$B, 0), 1)</f>
        <v>GET</v>
      </c>
      <c r="O28" s="44" t="str">
        <f aca="false">INDEX(samples!$B:$B, MATCH(B28, samples!$A:$A, 0), 1)</f>
        <v>par0015</v>
      </c>
      <c r="P28" s="44" t="str">
        <f aca="false">INDEX(participants!$I:$I, MATCH(O28, participants!$A:$A, 0), 1)</f>
        <v>js0022</v>
      </c>
      <c r="Q28" s="44" t="n">
        <f aca="false">INDEX(samples!$F:$F, MATCH(B28, samples!$A:$A, 0), 1)</f>
        <v>0</v>
      </c>
      <c r="R28" s="49" t="str">
        <f aca="false">INDEX(samples!$C:$C, MATCH(B28, samples!$A:$A, 0), 1)</f>
        <v>2018-05-01</v>
      </c>
      <c r="S28" s="50" t="str">
        <f aca="false">INDEX(samples!$D:$D,MATCH(B28, samples!$A:$A,0),1)</f>
        <v>blood</v>
      </c>
      <c r="T28" s="51" t="s">
        <v>427</v>
      </c>
      <c r="V28" s="33" t="s">
        <v>427</v>
      </c>
      <c r="X28" s="8"/>
      <c r="Y28" s="8" t="s">
        <v>3150</v>
      </c>
      <c r="Z28" s="8" t="s">
        <v>1002</v>
      </c>
      <c r="AA28" s="8" t="s">
        <v>1002</v>
      </c>
      <c r="AB28" s="8" t="s">
        <v>1002</v>
      </c>
    </row>
    <row r="29" customFormat="false" ht="13.8" hidden="false" customHeight="false" outlineLevel="0" collapsed="false">
      <c r="A29" s="48" t="s">
        <v>3177</v>
      </c>
      <c r="B29" s="41" t="s">
        <v>1831</v>
      </c>
      <c r="C29" s="0" t="s">
        <v>3147</v>
      </c>
      <c r="D29" s="0" t="s">
        <v>3148</v>
      </c>
      <c r="H29" s="0" t="s">
        <v>3149</v>
      </c>
      <c r="I29" s="0" t="s">
        <v>3150</v>
      </c>
      <c r="J29" s="0" t="s">
        <v>427</v>
      </c>
      <c r="K29" s="0" t="s">
        <v>427</v>
      </c>
      <c r="M29" s="44" t="str">
        <f aca="false">INDEX(fastqs!$A:$A, MATCH(A29, fastqs!$B:$B, 0), 1)</f>
        <v>49_JS0057CD052118_R1.fastq.gz</v>
      </c>
      <c r="N29" s="44" t="str">
        <f aca="false">INDEX(fastqs!$C:$C, MATCH(A29, fastqs!$B:$B, 0), 1)</f>
        <v>GET</v>
      </c>
      <c r="O29" s="44" t="str">
        <f aca="false">INDEX(samples!$B:$B, MATCH(B29, samples!$A:$A, 0), 1)</f>
        <v>par0038</v>
      </c>
      <c r="P29" s="44" t="str">
        <f aca="false">INDEX(participants!$I:$I, MATCH(O29, participants!$A:$A, 0), 1)</f>
        <v>js0057</v>
      </c>
      <c r="Q29" s="44" t="n">
        <f aca="false">INDEX(samples!$F:$F, MATCH(B29, samples!$A:$A, 0), 1)</f>
        <v>0</v>
      </c>
      <c r="R29" s="49" t="str">
        <f aca="false">INDEX(samples!$C:$C, MATCH(B29, samples!$A:$A, 0), 1)</f>
        <v>2018-05-21</v>
      </c>
      <c r="S29" s="50" t="str">
        <f aca="false">INDEX(samples!$D:$D,MATCH(B29, samples!$A:$A,0),1)</f>
        <v>blood</v>
      </c>
      <c r="T29" s="51" t="s">
        <v>427</v>
      </c>
      <c r="V29" s="33" t="s">
        <v>427</v>
      </c>
      <c r="X29" s="8"/>
      <c r="Y29" s="8" t="s">
        <v>3150</v>
      </c>
      <c r="Z29" s="8" t="s">
        <v>1002</v>
      </c>
      <c r="AA29" s="8" t="s">
        <v>1002</v>
      </c>
      <c r="AB29" s="8" t="s">
        <v>1002</v>
      </c>
    </row>
    <row r="30" customFormat="false" ht="13.8" hidden="false" customHeight="false" outlineLevel="0" collapsed="false">
      <c r="A30" s="48" t="s">
        <v>3178</v>
      </c>
      <c r="B30" s="41" t="s">
        <v>1787</v>
      </c>
      <c r="C30" s="0" t="s">
        <v>3147</v>
      </c>
      <c r="D30" s="0" t="s">
        <v>3148</v>
      </c>
      <c r="H30" s="0" t="s">
        <v>3149</v>
      </c>
      <c r="I30" s="0" t="s">
        <v>3150</v>
      </c>
      <c r="J30" s="0" t="s">
        <v>427</v>
      </c>
      <c r="K30" s="0" t="s">
        <v>427</v>
      </c>
      <c r="M30" s="44" t="str">
        <f aca="false">INDEX(fastqs!$A:$A, MATCH(A30, fastqs!$B:$B, 0), 1)</f>
        <v>27_JS0042CD053018_R1.fastq.gz</v>
      </c>
      <c r="N30" s="44" t="str">
        <f aca="false">INDEX(fastqs!$C:$C, MATCH(A30, fastqs!$B:$B, 0), 1)</f>
        <v>GET</v>
      </c>
      <c r="O30" s="44" t="str">
        <f aca="false">INDEX(samples!$B:$B, MATCH(B30, samples!$A:$A, 0), 1)</f>
        <v>par0025</v>
      </c>
      <c r="P30" s="44" t="str">
        <f aca="false">INDEX(participants!$I:$I, MATCH(O30, participants!$A:$A, 0), 1)</f>
        <v>js0042</v>
      </c>
      <c r="Q30" s="44" t="n">
        <f aca="false">INDEX(samples!$F:$F, MATCH(B30, samples!$A:$A, 0), 1)</f>
        <v>0</v>
      </c>
      <c r="R30" s="49" t="str">
        <f aca="false">INDEX(samples!$C:$C, MATCH(B30, samples!$A:$A, 0), 1)</f>
        <v>2018-05-30</v>
      </c>
      <c r="S30" s="50" t="str">
        <f aca="false">INDEX(samples!$D:$D,MATCH(B30, samples!$A:$A,0),1)</f>
        <v>blood</v>
      </c>
      <c r="T30" s="51" t="s">
        <v>427</v>
      </c>
      <c r="V30" s="33" t="s">
        <v>427</v>
      </c>
      <c r="X30" s="8"/>
      <c r="Y30" s="8" t="s">
        <v>3150</v>
      </c>
      <c r="Z30" s="8" t="s">
        <v>1002</v>
      </c>
      <c r="AA30" s="8" t="s">
        <v>1002</v>
      </c>
      <c r="AB30" s="8" t="s">
        <v>1002</v>
      </c>
    </row>
    <row r="31" customFormat="false" ht="13.8" hidden="false" customHeight="false" outlineLevel="0" collapsed="false">
      <c r="A31" s="48" t="s">
        <v>3179</v>
      </c>
      <c r="B31" s="41" t="s">
        <v>1814</v>
      </c>
      <c r="C31" s="0" t="s">
        <v>3147</v>
      </c>
      <c r="D31" s="0" t="s">
        <v>3148</v>
      </c>
      <c r="H31" s="0" t="s">
        <v>3149</v>
      </c>
      <c r="I31" s="0" t="s">
        <v>3150</v>
      </c>
      <c r="J31" s="0" t="s">
        <v>427</v>
      </c>
      <c r="K31" s="0" t="s">
        <v>427</v>
      </c>
      <c r="M31" s="44" t="str">
        <f aca="false">INDEX(fastqs!$A:$A, MATCH(A31, fastqs!$B:$B, 0), 1)</f>
        <v>42_JS0052CD072417_R1.fastq.gz</v>
      </c>
      <c r="N31" s="44" t="str">
        <f aca="false">INDEX(fastqs!$C:$C, MATCH(A31, fastqs!$B:$B, 0), 1)</f>
        <v>GET</v>
      </c>
      <c r="O31" s="44" t="str">
        <f aca="false">INDEX(samples!$B:$B, MATCH(B31, samples!$A:$A, 0), 1)</f>
        <v>par0034</v>
      </c>
      <c r="P31" s="44" t="str">
        <f aca="false">INDEX(participants!$I:$I, MATCH(O31, participants!$A:$A, 0), 1)</f>
        <v>js0052</v>
      </c>
      <c r="Q31" s="44" t="n">
        <f aca="false">INDEX(samples!$F:$F, MATCH(B31, samples!$A:$A, 0), 1)</f>
        <v>0</v>
      </c>
      <c r="R31" s="49" t="str">
        <f aca="false">INDEX(samples!$C:$C, MATCH(B31, samples!$A:$A, 0), 1)</f>
        <v>2017-07-24</v>
      </c>
      <c r="S31" s="50" t="str">
        <f aca="false">INDEX(samples!$D:$D,MATCH(B31, samples!$A:$A,0),1)</f>
        <v>blood</v>
      </c>
      <c r="T31" s="51" t="s">
        <v>427</v>
      </c>
      <c r="V31" s="33" t="s">
        <v>427</v>
      </c>
      <c r="X31" s="8"/>
      <c r="Y31" s="8" t="s">
        <v>3150</v>
      </c>
      <c r="Z31" s="8" t="s">
        <v>1002</v>
      </c>
      <c r="AA31" s="8" t="s">
        <v>1002</v>
      </c>
      <c r="AB31" s="8" t="s">
        <v>1002</v>
      </c>
    </row>
    <row r="32" customFormat="false" ht="13.8" hidden="false" customHeight="false" outlineLevel="0" collapsed="false">
      <c r="A32" s="48" t="s">
        <v>3180</v>
      </c>
      <c r="B32" s="41" t="s">
        <v>1805</v>
      </c>
      <c r="C32" s="0" t="s">
        <v>3147</v>
      </c>
      <c r="D32" s="0" t="s">
        <v>3148</v>
      </c>
      <c r="H32" s="0" t="s">
        <v>3149</v>
      </c>
      <c r="I32" s="0" t="s">
        <v>3150</v>
      </c>
      <c r="J32" s="0" t="s">
        <v>427</v>
      </c>
      <c r="K32" s="0" t="s">
        <v>427</v>
      </c>
      <c r="M32" s="44" t="str">
        <f aca="false">INDEX(fastqs!$A:$A, MATCH(A32, fastqs!$B:$B, 0), 1)</f>
        <v>36_JS0050CD051517_R1.fastq.gz</v>
      </c>
      <c r="N32" s="44" t="str">
        <f aca="false">INDEX(fastqs!$C:$C, MATCH(A32, fastqs!$B:$B, 0), 1)</f>
        <v>GET</v>
      </c>
      <c r="O32" s="44" t="str">
        <f aca="false">INDEX(samples!$B:$B, MATCH(B32, samples!$A:$A, 0), 1)</f>
        <v>par0032</v>
      </c>
      <c r="P32" s="44" t="str">
        <f aca="false">INDEX(participants!$I:$I, MATCH(O32, participants!$A:$A, 0), 1)</f>
        <v>js0050</v>
      </c>
      <c r="Q32" s="44" t="n">
        <f aca="false">INDEX(samples!$F:$F, MATCH(B32, samples!$A:$A, 0), 1)</f>
        <v>0</v>
      </c>
      <c r="R32" s="49" t="str">
        <f aca="false">INDEX(samples!$C:$C, MATCH(B32, samples!$A:$A, 0), 1)</f>
        <v>2017-05-15</v>
      </c>
      <c r="S32" s="50" t="str">
        <f aca="false">INDEX(samples!$D:$D,MATCH(B32, samples!$A:$A,0),1)</f>
        <v>blood</v>
      </c>
      <c r="T32" s="51" t="s">
        <v>427</v>
      </c>
      <c r="V32" s="33" t="s">
        <v>427</v>
      </c>
      <c r="X32" s="8"/>
      <c r="Y32" s="8" t="s">
        <v>3150</v>
      </c>
      <c r="Z32" s="8" t="s">
        <v>1002</v>
      </c>
      <c r="AA32" s="8" t="s">
        <v>1002</v>
      </c>
      <c r="AB32" s="8" t="s">
        <v>1002</v>
      </c>
    </row>
    <row r="33" customFormat="false" ht="13.8" hidden="false" customHeight="false" outlineLevel="0" collapsed="false">
      <c r="A33" s="48" t="s">
        <v>3181</v>
      </c>
      <c r="B33" s="41" t="s">
        <v>1832</v>
      </c>
      <c r="C33" s="0" t="s">
        <v>3147</v>
      </c>
      <c r="D33" s="0" t="s">
        <v>3148</v>
      </c>
      <c r="H33" s="0" t="s">
        <v>3149</v>
      </c>
      <c r="I33" s="0" t="s">
        <v>3150</v>
      </c>
      <c r="J33" s="0" t="s">
        <v>427</v>
      </c>
      <c r="K33" s="0" t="s">
        <v>427</v>
      </c>
      <c r="M33" s="44" t="str">
        <f aca="false">INDEX(fastqs!$A:$A, MATCH(A33, fastqs!$B:$B, 0), 1)</f>
        <v>50_JS0058CD052418_R1.fastq.gz</v>
      </c>
      <c r="N33" s="44" t="str">
        <f aca="false">INDEX(fastqs!$C:$C, MATCH(A33, fastqs!$B:$B, 0), 1)</f>
        <v>GET</v>
      </c>
      <c r="O33" s="44" t="str">
        <f aca="false">INDEX(samples!$B:$B, MATCH(B33, samples!$A:$A, 0), 1)</f>
        <v>par0039</v>
      </c>
      <c r="P33" s="44" t="str">
        <f aca="false">INDEX(participants!$I:$I, MATCH(O33, participants!$A:$A, 0), 1)</f>
        <v>js0058</v>
      </c>
      <c r="Q33" s="44" t="n">
        <f aca="false">INDEX(samples!$F:$F, MATCH(B33, samples!$A:$A, 0), 1)</f>
        <v>0</v>
      </c>
      <c r="R33" s="49" t="str">
        <f aca="false">INDEX(samples!$C:$C, MATCH(B33, samples!$A:$A, 0), 1)</f>
        <v>2018-05-24</v>
      </c>
      <c r="S33" s="50" t="str">
        <f aca="false">INDEX(samples!$D:$D,MATCH(B33, samples!$A:$A,0),1)</f>
        <v>blood</v>
      </c>
      <c r="T33" s="51" t="s">
        <v>427</v>
      </c>
      <c r="V33" s="33" t="s">
        <v>427</v>
      </c>
      <c r="X33" s="8"/>
      <c r="Y33" s="8" t="s">
        <v>3150</v>
      </c>
      <c r="Z33" s="8" t="s">
        <v>1002</v>
      </c>
      <c r="AA33" s="8" t="s">
        <v>1002</v>
      </c>
      <c r="AB33" s="8" t="s">
        <v>1002</v>
      </c>
    </row>
    <row r="34" customFormat="false" ht="13.8" hidden="false" customHeight="false" outlineLevel="0" collapsed="false">
      <c r="A34" s="48" t="s">
        <v>3182</v>
      </c>
      <c r="B34" s="41" t="s">
        <v>1834</v>
      </c>
      <c r="C34" s="0" t="s">
        <v>3147</v>
      </c>
      <c r="D34" s="0" t="s">
        <v>3148</v>
      </c>
      <c r="H34" s="0" t="s">
        <v>3149</v>
      </c>
      <c r="I34" s="0" t="s">
        <v>3150</v>
      </c>
      <c r="J34" s="0" t="s">
        <v>427</v>
      </c>
      <c r="K34" s="0" t="s">
        <v>427</v>
      </c>
      <c r="M34" s="44" t="str">
        <f aca="false">INDEX(fastqs!$A:$A, MATCH(A34, fastqs!$B:$B, 0), 1)</f>
        <v>52_JS0060CD101218_R1.fastq.gz</v>
      </c>
      <c r="N34" s="44" t="str">
        <f aca="false">INDEX(fastqs!$C:$C, MATCH(A34, fastqs!$B:$B, 0), 1)</f>
        <v>GET</v>
      </c>
      <c r="O34" s="44" t="str">
        <f aca="false">INDEX(samples!$B:$B, MATCH(B34, samples!$A:$A, 0), 1)</f>
        <v>par0127</v>
      </c>
      <c r="P34" s="44" t="e">
        <f aca="false">INDEX(participants!$I:$I, MATCH(O34, participants!$A:$A, 0), 1)</f>
        <v>#N/A</v>
      </c>
      <c r="Q34" s="44" t="n">
        <f aca="false">INDEX(samples!$F:$F, MATCH(B34, samples!$A:$A, 0), 1)</f>
        <v>0</v>
      </c>
      <c r="R34" s="49" t="str">
        <f aca="false">INDEX(samples!$C:$C, MATCH(B34, samples!$A:$A, 0), 1)</f>
        <v>2018-10-12</v>
      </c>
      <c r="S34" s="50" t="str">
        <f aca="false">INDEX(samples!$D:$D,MATCH(B34, samples!$A:$A,0),1)</f>
        <v>blood</v>
      </c>
      <c r="T34" s="51" t="s">
        <v>427</v>
      </c>
      <c r="V34" s="33" t="s">
        <v>427</v>
      </c>
      <c r="X34" s="8"/>
      <c r="Y34" s="8" t="s">
        <v>3150</v>
      </c>
      <c r="Z34" s="8" t="s">
        <v>1002</v>
      </c>
      <c r="AA34" s="8" t="s">
        <v>1002</v>
      </c>
      <c r="AB34" s="8" t="s">
        <v>1002</v>
      </c>
    </row>
    <row r="35" customFormat="false" ht="13.8" hidden="false" customHeight="false" outlineLevel="0" collapsed="false">
      <c r="A35" s="48" t="s">
        <v>3183</v>
      </c>
      <c r="B35" s="41" t="s">
        <v>1789</v>
      </c>
      <c r="C35" s="0" t="s">
        <v>3147</v>
      </c>
      <c r="D35" s="0" t="s">
        <v>3148</v>
      </c>
      <c r="H35" s="0" t="s">
        <v>3149</v>
      </c>
      <c r="I35" s="0" t="s">
        <v>3150</v>
      </c>
      <c r="J35" s="0" t="s">
        <v>427</v>
      </c>
      <c r="K35" s="0" t="s">
        <v>427</v>
      </c>
      <c r="M35" s="44" t="str">
        <f aca="false">INDEX(fastqs!$A:$A, MATCH(A35, fastqs!$B:$B, 0), 1)</f>
        <v>28_JS0043CD052418_R1.fastq.gz</v>
      </c>
      <c r="N35" s="44" t="str">
        <f aca="false">INDEX(fastqs!$C:$C, MATCH(A35, fastqs!$B:$B, 0), 1)</f>
        <v>GET</v>
      </c>
      <c r="O35" s="44" t="str">
        <f aca="false">INDEX(samples!$B:$B, MATCH(B35, samples!$A:$A, 0), 1)</f>
        <v>par0026</v>
      </c>
      <c r="P35" s="44" t="str">
        <f aca="false">INDEX(participants!$I:$I, MATCH(O35, participants!$A:$A, 0), 1)</f>
        <v>js0043</v>
      </c>
      <c r="Q35" s="44" t="n">
        <f aca="false">INDEX(samples!$F:$F, MATCH(B35, samples!$A:$A, 0), 1)</f>
        <v>0</v>
      </c>
      <c r="R35" s="49" t="str">
        <f aca="false">INDEX(samples!$C:$C, MATCH(B35, samples!$A:$A, 0), 1)</f>
        <v>2018-05-24</v>
      </c>
      <c r="S35" s="50" t="str">
        <f aca="false">INDEX(samples!$D:$D,MATCH(B35, samples!$A:$A,0),1)</f>
        <v>blood</v>
      </c>
      <c r="T35" s="51" t="s">
        <v>427</v>
      </c>
      <c r="V35" s="33" t="s">
        <v>427</v>
      </c>
      <c r="X35" s="8"/>
      <c r="Y35" s="8" t="s">
        <v>3150</v>
      </c>
      <c r="Z35" s="8" t="s">
        <v>1002</v>
      </c>
      <c r="AA35" s="8" t="s">
        <v>1002</v>
      </c>
      <c r="AB35" s="8" t="s">
        <v>1002</v>
      </c>
    </row>
    <row r="36" customFormat="false" ht="13.8" hidden="false" customHeight="false" outlineLevel="0" collapsed="false">
      <c r="A36" s="48" t="s">
        <v>3184</v>
      </c>
      <c r="B36" s="41" t="s">
        <v>1829</v>
      </c>
      <c r="C36" s="0" t="s">
        <v>3147</v>
      </c>
      <c r="D36" s="0" t="s">
        <v>3148</v>
      </c>
      <c r="H36" s="0" t="s">
        <v>3149</v>
      </c>
      <c r="I36" s="0" t="s">
        <v>3150</v>
      </c>
      <c r="J36" s="0" t="s">
        <v>427</v>
      </c>
      <c r="K36" s="0" t="s">
        <v>427</v>
      </c>
      <c r="M36" s="44" t="str">
        <f aca="false">INDEX(fastqs!$A:$A, MATCH(A36, fastqs!$B:$B, 0), 1)</f>
        <v>48_JS0056CD032818_R1.fastq.gz</v>
      </c>
      <c r="N36" s="44" t="str">
        <f aca="false">INDEX(fastqs!$C:$C, MATCH(A36, fastqs!$B:$B, 0), 1)</f>
        <v>GET</v>
      </c>
      <c r="O36" s="44" t="str">
        <f aca="false">INDEX(samples!$B:$B, MATCH(B36, samples!$A:$A, 0), 1)</f>
        <v>par0037</v>
      </c>
      <c r="P36" s="44" t="str">
        <f aca="false">INDEX(participants!$I:$I, MATCH(O36, participants!$A:$A, 0), 1)</f>
        <v>js0056</v>
      </c>
      <c r="Q36" s="44" t="n">
        <f aca="false">INDEX(samples!$F:$F, MATCH(B36, samples!$A:$A, 0), 1)</f>
        <v>0</v>
      </c>
      <c r="R36" s="49" t="str">
        <f aca="false">INDEX(samples!$C:$C, MATCH(B36, samples!$A:$A, 0), 1)</f>
        <v>2018-03-28</v>
      </c>
      <c r="S36" s="50" t="str">
        <f aca="false">INDEX(samples!$D:$D,MATCH(B36, samples!$A:$A,0),1)</f>
        <v>blood</v>
      </c>
      <c r="T36" s="51" t="s">
        <v>427</v>
      </c>
      <c r="V36" s="33" t="s">
        <v>427</v>
      </c>
      <c r="X36" s="8"/>
      <c r="Y36" s="8" t="s">
        <v>3150</v>
      </c>
      <c r="Z36" s="8" t="s">
        <v>1002</v>
      </c>
      <c r="AA36" s="8" t="s">
        <v>1002</v>
      </c>
      <c r="AB36" s="8" t="s">
        <v>1002</v>
      </c>
    </row>
    <row r="37" customFormat="false" ht="13.8" hidden="false" customHeight="false" outlineLevel="0" collapsed="false">
      <c r="A37" s="48" t="s">
        <v>3185</v>
      </c>
      <c r="B37" s="41" t="s">
        <v>1744</v>
      </c>
      <c r="C37" s="0" t="s">
        <v>3147</v>
      </c>
      <c r="D37" s="0" t="s">
        <v>3148</v>
      </c>
      <c r="H37" s="0" t="s">
        <v>3149</v>
      </c>
      <c r="I37" s="0" t="s">
        <v>3150</v>
      </c>
      <c r="J37" s="0" t="s">
        <v>427</v>
      </c>
      <c r="K37" s="0" t="n">
        <v>12</v>
      </c>
      <c r="M37" s="44" t="str">
        <f aca="false">INDEX(fastqs!$A:$A, MATCH(A37, fastqs!$B:$B, 0), 1)</f>
        <v>3_JS0003CD070218_R1.fastq.gz</v>
      </c>
      <c r="N37" s="44" t="str">
        <f aca="false">INDEX(fastqs!$C:$C, MATCH(A37, fastqs!$B:$B, 0), 1)</f>
        <v>GET</v>
      </c>
      <c r="O37" s="44" t="str">
        <f aca="false">INDEX(samples!$B:$B, MATCH(B37, samples!$A:$A, 0), 1)</f>
        <v>par0012</v>
      </c>
      <c r="P37" s="44" t="str">
        <f aca="false">INDEX(participants!$I:$I, MATCH(O37, participants!$A:$A, 0), 1)</f>
        <v>js0003</v>
      </c>
      <c r="Q37" s="44" t="n">
        <f aca="false">INDEX(samples!$F:$F, MATCH(B37, samples!$A:$A, 0), 1)</f>
        <v>0</v>
      </c>
      <c r="R37" s="49" t="str">
        <f aca="false">INDEX(samples!$C:$C, MATCH(B37, samples!$A:$A, 0), 1)</f>
        <v>2018-07-02</v>
      </c>
      <c r="S37" s="50" t="str">
        <f aca="false">INDEX(samples!$D:$D,MATCH(B37, samples!$A:$A,0),1)</f>
        <v>blood</v>
      </c>
      <c r="T37" s="51" t="s">
        <v>427</v>
      </c>
      <c r="V37" s="33" t="s">
        <v>427</v>
      </c>
      <c r="X37" s="8"/>
      <c r="Y37" s="8" t="s">
        <v>3150</v>
      </c>
      <c r="Z37" s="8" t="s">
        <v>1002</v>
      </c>
      <c r="AA37" s="8" t="s">
        <v>1002</v>
      </c>
      <c r="AB37" s="8" t="s">
        <v>1002</v>
      </c>
    </row>
    <row r="38" customFormat="false" ht="13.8" hidden="false" customHeight="false" outlineLevel="0" collapsed="false">
      <c r="A38" s="48" t="s">
        <v>3186</v>
      </c>
      <c r="B38" s="41" t="s">
        <v>1852</v>
      </c>
      <c r="C38" s="0" t="s">
        <v>3147</v>
      </c>
      <c r="D38" s="0" t="s">
        <v>3148</v>
      </c>
      <c r="H38" s="0" t="s">
        <v>3149</v>
      </c>
      <c r="I38" s="0" t="s">
        <v>3150</v>
      </c>
      <c r="J38" s="0" t="s">
        <v>427</v>
      </c>
      <c r="K38" s="0" t="s">
        <v>427</v>
      </c>
      <c r="M38" s="44" t="str">
        <f aca="false">INDEX(fastqs!$A:$A, MATCH(A38, fastqs!$B:$B, 0), 1)</f>
        <v>62_JS0070CD030518_R1.fastq.gz</v>
      </c>
      <c r="N38" s="44" t="str">
        <f aca="false">INDEX(fastqs!$C:$C, MATCH(A38, fastqs!$B:$B, 0), 1)</f>
        <v>GET</v>
      </c>
      <c r="O38" s="44" t="str">
        <f aca="false">INDEX(samples!$B:$B, MATCH(B38, samples!$A:$A, 0), 1)</f>
        <v>par0048</v>
      </c>
      <c r="P38" s="44" t="str">
        <f aca="false">INDEX(participants!$I:$I, MATCH(O38, participants!$A:$A, 0), 1)</f>
        <v>js0070</v>
      </c>
      <c r="Q38" s="44" t="n">
        <f aca="false">INDEX(samples!$F:$F, MATCH(B38, samples!$A:$A, 0), 1)</f>
        <v>0</v>
      </c>
      <c r="R38" s="49" t="str">
        <f aca="false">INDEX(samples!$C:$C, MATCH(B38, samples!$A:$A, 0), 1)</f>
        <v>2018-03-05</v>
      </c>
      <c r="S38" s="50" t="str">
        <f aca="false">INDEX(samples!$D:$D,MATCH(B38, samples!$A:$A,0),1)</f>
        <v>blood</v>
      </c>
      <c r="T38" s="51" t="s">
        <v>427</v>
      </c>
      <c r="V38" s="33" t="s">
        <v>427</v>
      </c>
      <c r="X38" s="8"/>
      <c r="Y38" s="8" t="s">
        <v>3150</v>
      </c>
      <c r="Z38" s="8" t="s">
        <v>1002</v>
      </c>
      <c r="AA38" s="8" t="s">
        <v>1002</v>
      </c>
      <c r="AB38" s="8" t="s">
        <v>1002</v>
      </c>
    </row>
    <row r="39" customFormat="false" ht="13.8" hidden="false" customHeight="false" outlineLevel="0" collapsed="false">
      <c r="A39" s="48" t="s">
        <v>3187</v>
      </c>
      <c r="B39" s="41" t="s">
        <v>1803</v>
      </c>
      <c r="C39" s="0" t="s">
        <v>3147</v>
      </c>
      <c r="D39" s="0" t="s">
        <v>3148</v>
      </c>
      <c r="H39" s="0" t="s">
        <v>3149</v>
      </c>
      <c r="I39" s="0" t="s">
        <v>3150</v>
      </c>
      <c r="J39" s="0" t="s">
        <v>427</v>
      </c>
      <c r="K39" s="0" t="s">
        <v>427</v>
      </c>
      <c r="M39" s="44" t="str">
        <f aca="false">INDEX(fastqs!$A:$A, MATCH(A39, fastqs!$B:$B, 0), 1)</f>
        <v>35_JS0049CD061218_R1.fastq.gz</v>
      </c>
      <c r="N39" s="44" t="str">
        <f aca="false">INDEX(fastqs!$C:$C, MATCH(A39, fastqs!$B:$B, 0), 1)</f>
        <v>GET</v>
      </c>
      <c r="O39" s="44" t="str">
        <f aca="false">INDEX(samples!$B:$B, MATCH(B39, samples!$A:$A, 0), 1)</f>
        <v>par0031</v>
      </c>
      <c r="P39" s="44" t="str">
        <f aca="false">INDEX(participants!$I:$I, MATCH(O39, participants!$A:$A, 0), 1)</f>
        <v>js0049</v>
      </c>
      <c r="Q39" s="44" t="n">
        <f aca="false">INDEX(samples!$F:$F, MATCH(B39, samples!$A:$A, 0), 1)</f>
        <v>0</v>
      </c>
      <c r="R39" s="49" t="str">
        <f aca="false">INDEX(samples!$C:$C, MATCH(B39, samples!$A:$A, 0), 1)</f>
        <v>2018-06-12</v>
      </c>
      <c r="S39" s="50" t="str">
        <f aca="false">INDEX(samples!$D:$D,MATCH(B39, samples!$A:$A,0),1)</f>
        <v>blood</v>
      </c>
      <c r="T39" s="51" t="s">
        <v>427</v>
      </c>
      <c r="V39" s="33" t="s">
        <v>427</v>
      </c>
      <c r="X39" s="8"/>
      <c r="Y39" s="8" t="s">
        <v>3150</v>
      </c>
      <c r="Z39" s="8" t="s">
        <v>1002</v>
      </c>
      <c r="AA39" s="8" t="s">
        <v>1002</v>
      </c>
      <c r="AB39" s="8" t="s">
        <v>1002</v>
      </c>
    </row>
    <row r="40" customFormat="false" ht="13.8" hidden="false" customHeight="false" outlineLevel="0" collapsed="false">
      <c r="A40" s="48" t="s">
        <v>3188</v>
      </c>
      <c r="B40" s="41" t="s">
        <v>1801</v>
      </c>
      <c r="C40" s="0" t="s">
        <v>3147</v>
      </c>
      <c r="D40" s="0" t="s">
        <v>3148</v>
      </c>
      <c r="H40" s="0" t="s">
        <v>3149</v>
      </c>
      <c r="I40" s="0" t="s">
        <v>3150</v>
      </c>
      <c r="J40" s="0" t="s">
        <v>427</v>
      </c>
      <c r="K40" s="0" t="s">
        <v>427</v>
      </c>
      <c r="M40" s="44" t="str">
        <f aca="false">INDEX(fastqs!$A:$A, MATCH(A40, fastqs!$B:$B, 0), 1)</f>
        <v>34_JS0048CD102918_R1.fastq.gz</v>
      </c>
      <c r="N40" s="44" t="str">
        <f aca="false">INDEX(fastqs!$C:$C, MATCH(A40, fastqs!$B:$B, 0), 1)</f>
        <v>GET</v>
      </c>
      <c r="O40" s="44" t="str">
        <f aca="false">INDEX(samples!$B:$B, MATCH(B40, samples!$A:$A, 0), 1)</f>
        <v>par0030</v>
      </c>
      <c r="P40" s="44" t="str">
        <f aca="false">INDEX(participants!$I:$I, MATCH(O40, participants!$A:$A, 0), 1)</f>
        <v>js0048</v>
      </c>
      <c r="Q40" s="44" t="n">
        <f aca="false">INDEX(samples!$F:$F, MATCH(B40, samples!$A:$A, 0), 1)</f>
        <v>0</v>
      </c>
      <c r="R40" s="49" t="str">
        <f aca="false">INDEX(samples!$C:$C, MATCH(B40, samples!$A:$A, 0), 1)</f>
        <v>2018-10-29</v>
      </c>
      <c r="S40" s="50" t="str">
        <f aca="false">INDEX(samples!$D:$D,MATCH(B40, samples!$A:$A,0),1)</f>
        <v>blood</v>
      </c>
      <c r="T40" s="51" t="s">
        <v>427</v>
      </c>
      <c r="V40" s="33" t="s">
        <v>427</v>
      </c>
      <c r="X40" s="8"/>
      <c r="Y40" s="8" t="s">
        <v>3150</v>
      </c>
      <c r="Z40" s="8" t="s">
        <v>1002</v>
      </c>
      <c r="AA40" s="8" t="s">
        <v>1002</v>
      </c>
      <c r="AB40" s="8" t="s">
        <v>1002</v>
      </c>
    </row>
    <row r="41" customFormat="false" ht="13.8" hidden="false" customHeight="false" outlineLevel="0" collapsed="false">
      <c r="A41" s="48" t="s">
        <v>3189</v>
      </c>
      <c r="B41" s="41" t="s">
        <v>1827</v>
      </c>
      <c r="C41" s="0" t="s">
        <v>3147</v>
      </c>
      <c r="D41" s="0" t="s">
        <v>3148</v>
      </c>
      <c r="H41" s="0" t="s">
        <v>3149</v>
      </c>
      <c r="I41" s="0" t="s">
        <v>3150</v>
      </c>
      <c r="J41" s="0" t="s">
        <v>427</v>
      </c>
      <c r="K41" s="0" t="s">
        <v>427</v>
      </c>
      <c r="M41" s="44" t="str">
        <f aca="false">INDEX(fastqs!$A:$A, MATCH(A41, fastqs!$B:$B, 0), 1)</f>
        <v>47_JS0055CD100118_R1.fastq.gz</v>
      </c>
      <c r="N41" s="44" t="str">
        <f aca="false">INDEX(fastqs!$C:$C, MATCH(A41, fastqs!$B:$B, 0), 1)</f>
        <v>GET</v>
      </c>
      <c r="O41" s="44" t="str">
        <f aca="false">INDEX(samples!$B:$B, MATCH(B41, samples!$A:$A, 0), 1)</f>
        <v>par0036</v>
      </c>
      <c r="P41" s="44" t="str">
        <f aca="false">INDEX(participants!$I:$I, MATCH(O41, participants!$A:$A, 0), 1)</f>
        <v>js0055</v>
      </c>
      <c r="Q41" s="44" t="n">
        <f aca="false">INDEX(samples!$F:$F, MATCH(B41, samples!$A:$A, 0), 1)</f>
        <v>0</v>
      </c>
      <c r="R41" s="49" t="str">
        <f aca="false">INDEX(samples!$C:$C, MATCH(B41, samples!$A:$A, 0), 1)</f>
        <v>2018-10-01</v>
      </c>
      <c r="S41" s="50" t="str">
        <f aca="false">INDEX(samples!$D:$D,MATCH(B41, samples!$A:$A,0),1)</f>
        <v>blood</v>
      </c>
      <c r="T41" s="51" t="s">
        <v>427</v>
      </c>
      <c r="V41" s="33" t="s">
        <v>427</v>
      </c>
      <c r="X41" s="8"/>
      <c r="Y41" s="8" t="s">
        <v>3150</v>
      </c>
      <c r="Z41" s="8" t="s">
        <v>1002</v>
      </c>
      <c r="AA41" s="8" t="s">
        <v>1002</v>
      </c>
      <c r="AB41" s="8" t="s">
        <v>1002</v>
      </c>
    </row>
    <row r="42" customFormat="false" ht="13.8" hidden="false" customHeight="false" outlineLevel="0" collapsed="false">
      <c r="A42" s="48" t="s">
        <v>3190</v>
      </c>
      <c r="B42" s="41" t="s">
        <v>1746</v>
      </c>
      <c r="C42" s="0" t="s">
        <v>3147</v>
      </c>
      <c r="D42" s="0" t="s">
        <v>3148</v>
      </c>
      <c r="H42" s="0" t="s">
        <v>3149</v>
      </c>
      <c r="I42" s="0" t="s">
        <v>3150</v>
      </c>
      <c r="J42" s="0" t="s">
        <v>427</v>
      </c>
      <c r="K42" s="0" t="s">
        <v>427</v>
      </c>
      <c r="M42" s="44" t="str">
        <f aca="false">INDEX(fastqs!$A:$A, MATCH(A42, fastqs!$B:$B, 0), 1)</f>
        <v>4_JS0006CD071618_R1.fastq.gz</v>
      </c>
      <c r="N42" s="44" t="str">
        <f aca="false">INDEX(fastqs!$C:$C, MATCH(A42, fastqs!$B:$B, 0), 1)</f>
        <v>GET</v>
      </c>
      <c r="O42" s="44" t="str">
        <f aca="false">INDEX(samples!$B:$B, MATCH(B42, samples!$A:$A, 0), 1)</f>
        <v>par0013</v>
      </c>
      <c r="P42" s="44" t="str">
        <f aca="false">INDEX(participants!$I:$I, MATCH(O42, participants!$A:$A, 0), 1)</f>
        <v>js0006</v>
      </c>
      <c r="Q42" s="44" t="n">
        <f aca="false">INDEX(samples!$F:$F, MATCH(B42, samples!$A:$A, 0), 1)</f>
        <v>0</v>
      </c>
      <c r="R42" s="49" t="str">
        <f aca="false">INDEX(samples!$C:$C, MATCH(B42, samples!$A:$A, 0), 1)</f>
        <v>2018-07-16</v>
      </c>
      <c r="S42" s="50" t="str">
        <f aca="false">INDEX(samples!$D:$D,MATCH(B42, samples!$A:$A,0),1)</f>
        <v>blood</v>
      </c>
      <c r="T42" s="51" t="s">
        <v>427</v>
      </c>
      <c r="V42" s="33" t="s">
        <v>427</v>
      </c>
      <c r="X42" s="8"/>
      <c r="Y42" s="8" t="s">
        <v>3150</v>
      </c>
      <c r="Z42" s="8" t="s">
        <v>1002</v>
      </c>
      <c r="AA42" s="8" t="s">
        <v>1002</v>
      </c>
      <c r="AB42" s="8" t="s">
        <v>1002</v>
      </c>
    </row>
    <row r="43" customFormat="false" ht="13.8" hidden="false" customHeight="false" outlineLevel="0" collapsed="false">
      <c r="A43" s="48" t="s">
        <v>3191</v>
      </c>
      <c r="B43" s="41" t="s">
        <v>1837</v>
      </c>
      <c r="C43" s="0" t="s">
        <v>3147</v>
      </c>
      <c r="D43" s="0" t="s">
        <v>3148</v>
      </c>
      <c r="H43" s="0" t="s">
        <v>3149</v>
      </c>
      <c r="I43" s="0" t="s">
        <v>3150</v>
      </c>
      <c r="J43" s="0" t="s">
        <v>427</v>
      </c>
      <c r="K43" s="0" t="s">
        <v>427</v>
      </c>
      <c r="M43" s="44" t="str">
        <f aca="false">INDEX(fastqs!$A:$A, MATCH(A43, fastqs!$B:$B, 0), 1)</f>
        <v>54_JS0061CD052318_R1.fastq.gz</v>
      </c>
      <c r="N43" s="44" t="str">
        <f aca="false">INDEX(fastqs!$C:$C, MATCH(A43, fastqs!$B:$B, 0), 1)</f>
        <v>GET</v>
      </c>
      <c r="O43" s="44" t="str">
        <f aca="false">INDEX(samples!$B:$B, MATCH(B43, samples!$A:$A, 0), 1)</f>
        <v>par0041</v>
      </c>
      <c r="P43" s="44" t="str">
        <f aca="false">INDEX(participants!$I:$I, MATCH(O43, participants!$A:$A, 0), 1)</f>
        <v>js0061</v>
      </c>
      <c r="Q43" s="44" t="n">
        <f aca="false">INDEX(samples!$F:$F, MATCH(B43, samples!$A:$A, 0), 1)</f>
        <v>0</v>
      </c>
      <c r="R43" s="49" t="str">
        <f aca="false">INDEX(samples!$C:$C, MATCH(B43, samples!$A:$A, 0), 1)</f>
        <v>2018-05-23</v>
      </c>
      <c r="S43" s="50" t="str">
        <f aca="false">INDEX(samples!$D:$D,MATCH(B43, samples!$A:$A,0),1)</f>
        <v>blood</v>
      </c>
      <c r="T43" s="51" t="s">
        <v>427</v>
      </c>
      <c r="V43" s="33" t="s">
        <v>427</v>
      </c>
      <c r="X43" s="8"/>
      <c r="Y43" s="8" t="s">
        <v>3150</v>
      </c>
      <c r="Z43" s="8" t="s">
        <v>1002</v>
      </c>
      <c r="AA43" s="8" t="s">
        <v>1002</v>
      </c>
      <c r="AB43" s="8" t="s">
        <v>1002</v>
      </c>
    </row>
    <row r="44" customFormat="false" ht="13.8" hidden="false" customHeight="false" outlineLevel="0" collapsed="false">
      <c r="A44" s="48" t="s">
        <v>3192</v>
      </c>
      <c r="B44" s="41" t="s">
        <v>1784</v>
      </c>
      <c r="C44" s="0" t="s">
        <v>3147</v>
      </c>
      <c r="D44" s="0" t="s">
        <v>3148</v>
      </c>
      <c r="H44" s="0" t="s">
        <v>3149</v>
      </c>
      <c r="I44" s="0" t="s">
        <v>3150</v>
      </c>
      <c r="J44" s="0" t="s">
        <v>427</v>
      </c>
      <c r="K44" s="0" t="s">
        <v>427</v>
      </c>
      <c r="M44" s="44" t="str">
        <f aca="false">INDEX(fastqs!$A:$A, MATCH(A44, fastqs!$B:$B, 0), 1)</f>
        <v>25_JS0041CD062518_R1.fastq.gz</v>
      </c>
      <c r="N44" s="44" t="str">
        <f aca="false">INDEX(fastqs!$C:$C, MATCH(A44, fastqs!$B:$B, 0), 1)</f>
        <v>GET</v>
      </c>
      <c r="O44" s="44" t="str">
        <f aca="false">INDEX(samples!$B:$B, MATCH(B44, samples!$A:$A, 0), 1)</f>
        <v>par0024</v>
      </c>
      <c r="P44" s="44" t="str">
        <f aca="false">INDEX(participants!$I:$I, MATCH(O44, participants!$A:$A, 0), 1)</f>
        <v>js0041</v>
      </c>
      <c r="Q44" s="44" t="n">
        <f aca="false">INDEX(samples!$F:$F, MATCH(B44, samples!$A:$A, 0), 1)</f>
        <v>0</v>
      </c>
      <c r="R44" s="49" t="str">
        <f aca="false">INDEX(samples!$C:$C, MATCH(B44, samples!$A:$A, 0), 1)</f>
        <v>2018-06-25</v>
      </c>
      <c r="S44" s="50" t="str">
        <f aca="false">INDEX(samples!$D:$D,MATCH(B44, samples!$A:$A,0),1)</f>
        <v>blood</v>
      </c>
      <c r="T44" s="51" t="s">
        <v>427</v>
      </c>
      <c r="V44" s="33" t="s">
        <v>427</v>
      </c>
      <c r="X44" s="8"/>
      <c r="Y44" s="8" t="s">
        <v>3150</v>
      </c>
      <c r="Z44" s="8" t="s">
        <v>1002</v>
      </c>
      <c r="AA44" s="8" t="s">
        <v>1002</v>
      </c>
      <c r="AB44" s="8" t="s">
        <v>1002</v>
      </c>
    </row>
    <row r="45" customFormat="false" ht="13.8" hidden="false" customHeight="false" outlineLevel="0" collapsed="false">
      <c r="A45" s="48" t="s">
        <v>3193</v>
      </c>
      <c r="B45" s="41" t="s">
        <v>1844</v>
      </c>
      <c r="C45" s="0" t="s">
        <v>3147</v>
      </c>
      <c r="D45" s="0" t="s">
        <v>3148</v>
      </c>
      <c r="H45" s="0" t="s">
        <v>3149</v>
      </c>
      <c r="I45" s="0" t="s">
        <v>3150</v>
      </c>
      <c r="J45" s="0" t="s">
        <v>427</v>
      </c>
      <c r="K45" s="0" t="s">
        <v>427</v>
      </c>
      <c r="M45" s="44" t="str">
        <f aca="false">INDEX(fastqs!$A:$A, MATCH(A45, fastqs!$B:$B, 0), 1)</f>
        <v>57_JS0065CD101916_R1.fastq.gz</v>
      </c>
      <c r="N45" s="44" t="str">
        <f aca="false">INDEX(fastqs!$C:$C, MATCH(A45, fastqs!$B:$B, 0), 1)</f>
        <v>GET</v>
      </c>
      <c r="O45" s="44" t="str">
        <f aca="false">INDEX(samples!$B:$B, MATCH(B45, samples!$A:$A, 0), 1)</f>
        <v>par0043</v>
      </c>
      <c r="P45" s="44" t="str">
        <f aca="false">INDEX(participants!$I:$I, MATCH(O45, participants!$A:$A, 0), 1)</f>
        <v>js0065</v>
      </c>
      <c r="Q45" s="44" t="n">
        <f aca="false">INDEX(samples!$F:$F, MATCH(B45, samples!$A:$A, 0), 1)</f>
        <v>0</v>
      </c>
      <c r="R45" s="49" t="str">
        <f aca="false">INDEX(samples!$C:$C, MATCH(B45, samples!$A:$A, 0), 1)</f>
        <v>2016-10-19</v>
      </c>
      <c r="S45" s="50" t="str">
        <f aca="false">INDEX(samples!$D:$D,MATCH(B45, samples!$A:$A,0),1)</f>
        <v>blood</v>
      </c>
      <c r="T45" s="51" t="s">
        <v>427</v>
      </c>
      <c r="V45" s="33" t="s">
        <v>427</v>
      </c>
      <c r="X45" s="8"/>
      <c r="Y45" s="8" t="s">
        <v>3150</v>
      </c>
      <c r="Z45" s="8" t="s">
        <v>1002</v>
      </c>
      <c r="AA45" s="8" t="s">
        <v>1002</v>
      </c>
      <c r="AB45" s="8" t="s">
        <v>1002</v>
      </c>
    </row>
    <row r="46" customFormat="false" ht="13.8" hidden="false" customHeight="false" outlineLevel="0" collapsed="false">
      <c r="A46" s="48" t="s">
        <v>3194</v>
      </c>
      <c r="B46" s="41" t="s">
        <v>1779</v>
      </c>
      <c r="C46" s="0" t="s">
        <v>3147</v>
      </c>
      <c r="D46" s="0" t="s">
        <v>3148</v>
      </c>
      <c r="H46" s="0" t="s">
        <v>3149</v>
      </c>
      <c r="I46" s="0" t="s">
        <v>3150</v>
      </c>
      <c r="J46" s="0" t="s">
        <v>427</v>
      </c>
      <c r="K46" s="0" t="s">
        <v>427</v>
      </c>
      <c r="M46" s="44" t="str">
        <f aca="false">INDEX(fastqs!$A:$A, MATCH(A46, fastqs!$B:$B, 0), 1)</f>
        <v>21_JS0039CD062618_R1.fastq.gz</v>
      </c>
      <c r="N46" s="44" t="str">
        <f aca="false">INDEX(fastqs!$C:$C, MATCH(A46, fastqs!$B:$B, 0), 1)</f>
        <v>GET</v>
      </c>
      <c r="O46" s="44" t="str">
        <f aca="false">INDEX(samples!$B:$B, MATCH(B46, samples!$A:$A, 0), 1)</f>
        <v>par0022</v>
      </c>
      <c r="P46" s="44" t="str">
        <f aca="false">INDEX(participants!$I:$I, MATCH(O46, participants!$A:$A, 0), 1)</f>
        <v>js0039</v>
      </c>
      <c r="Q46" s="44" t="n">
        <f aca="false">INDEX(samples!$F:$F, MATCH(B46, samples!$A:$A, 0), 1)</f>
        <v>0</v>
      </c>
      <c r="R46" s="49" t="str">
        <f aca="false">INDEX(samples!$C:$C, MATCH(B46, samples!$A:$A, 0), 1)</f>
        <v>2018-06-26</v>
      </c>
      <c r="S46" s="50" t="str">
        <f aca="false">INDEX(samples!$D:$D,MATCH(B46, samples!$A:$A,0),1)</f>
        <v>blood</v>
      </c>
      <c r="T46" s="51" t="s">
        <v>427</v>
      </c>
      <c r="V46" s="33" t="s">
        <v>427</v>
      </c>
      <c r="X46" s="8"/>
      <c r="Y46" s="8" t="s">
        <v>3150</v>
      </c>
      <c r="Z46" s="8" t="s">
        <v>1002</v>
      </c>
      <c r="AA46" s="8" t="s">
        <v>1002</v>
      </c>
      <c r="AB46" s="8" t="s">
        <v>1002</v>
      </c>
    </row>
    <row r="47" customFormat="false" ht="13.8" hidden="false" customHeight="false" outlineLevel="0" collapsed="false">
      <c r="A47" s="48" t="s">
        <v>3195</v>
      </c>
      <c r="B47" s="41" t="s">
        <v>1751</v>
      </c>
      <c r="C47" s="0" t="s">
        <v>3147</v>
      </c>
      <c r="D47" s="0" t="s">
        <v>3148</v>
      </c>
      <c r="H47" s="0" t="s">
        <v>3149</v>
      </c>
      <c r="I47" s="0" t="s">
        <v>3150</v>
      </c>
      <c r="J47" s="0" t="s">
        <v>427</v>
      </c>
      <c r="K47" s="0" t="n">
        <v>12</v>
      </c>
      <c r="M47" s="44" t="str">
        <f aca="false">INDEX(fastqs!$A:$A, MATCH(A47, fastqs!$B:$B, 0), 1)</f>
        <v>6_JS0010CD111918_R1.fastq.gz</v>
      </c>
      <c r="N47" s="44" t="str">
        <f aca="false">INDEX(fastqs!$C:$C, MATCH(A47, fastqs!$B:$B, 0), 1)</f>
        <v>GET</v>
      </c>
      <c r="O47" s="44" t="str">
        <f aca="false">INDEX(samples!$B:$B, MATCH(B47, samples!$A:$A, 0), 1)</f>
        <v>par0014</v>
      </c>
      <c r="P47" s="44" t="str">
        <f aca="false">INDEX(participants!$I:$I, MATCH(O47, participants!$A:$A, 0), 1)</f>
        <v>js0010</v>
      </c>
      <c r="Q47" s="44" t="n">
        <f aca="false">INDEX(samples!$F:$F, MATCH(B47, samples!$A:$A, 0), 1)</f>
        <v>0</v>
      </c>
      <c r="R47" s="49" t="str">
        <f aca="false">INDEX(samples!$C:$C, MATCH(B47, samples!$A:$A, 0), 1)</f>
        <v>2018-11-19</v>
      </c>
      <c r="S47" s="50" t="str">
        <f aca="false">INDEX(samples!$D:$D,MATCH(B47, samples!$A:$A,0),1)</f>
        <v>blood</v>
      </c>
      <c r="T47" s="51" t="s">
        <v>427</v>
      </c>
      <c r="V47" s="33" t="s">
        <v>427</v>
      </c>
      <c r="X47" s="8"/>
      <c r="Y47" s="8" t="s">
        <v>3150</v>
      </c>
      <c r="Z47" s="8" t="s">
        <v>1002</v>
      </c>
      <c r="AA47" s="8" t="s">
        <v>1002</v>
      </c>
      <c r="AB47" s="8" t="s">
        <v>1002</v>
      </c>
    </row>
    <row r="48" customFormat="false" ht="13.8" hidden="false" customHeight="false" outlineLevel="0" collapsed="false">
      <c r="A48" s="48" t="s">
        <v>3196</v>
      </c>
      <c r="B48" s="41" t="s">
        <v>1793</v>
      </c>
      <c r="C48" s="0" t="s">
        <v>3147</v>
      </c>
      <c r="D48" s="0" t="s">
        <v>3148</v>
      </c>
      <c r="H48" s="0" t="s">
        <v>3149</v>
      </c>
      <c r="I48" s="0" t="s">
        <v>3150</v>
      </c>
      <c r="J48" s="0" t="s">
        <v>427</v>
      </c>
      <c r="K48" s="0" t="n">
        <v>12</v>
      </c>
      <c r="M48" s="44" t="str">
        <f aca="false">INDEX(fastqs!$A:$A, MATCH(A48, fastqs!$B:$B, 0), 1)</f>
        <v>30_JS0044CD112818_R1.fastq.gz</v>
      </c>
      <c r="N48" s="44" t="str">
        <f aca="false">INDEX(fastqs!$C:$C, MATCH(A48, fastqs!$B:$B, 0), 1)</f>
        <v>GET</v>
      </c>
      <c r="O48" s="44" t="str">
        <f aca="false">INDEX(samples!$B:$B, MATCH(B48, samples!$A:$A, 0), 1)</f>
        <v>par0027</v>
      </c>
      <c r="P48" s="44" t="str">
        <f aca="false">INDEX(participants!$I:$I, MATCH(O48, participants!$A:$A, 0), 1)</f>
        <v>js0044</v>
      </c>
      <c r="Q48" s="44" t="n">
        <f aca="false">INDEX(samples!$F:$F, MATCH(B48, samples!$A:$A, 0), 1)</f>
        <v>0</v>
      </c>
      <c r="R48" s="49" t="str">
        <f aca="false">INDEX(samples!$C:$C, MATCH(B48, samples!$A:$A, 0), 1)</f>
        <v>2018-11-28</v>
      </c>
      <c r="S48" s="50" t="str">
        <f aca="false">INDEX(samples!$D:$D,MATCH(B48, samples!$A:$A,0),1)</f>
        <v>blood</v>
      </c>
      <c r="T48" s="51" t="s">
        <v>427</v>
      </c>
      <c r="V48" s="33" t="s">
        <v>427</v>
      </c>
      <c r="X48" s="8"/>
      <c r="Y48" s="8" t="s">
        <v>1002</v>
      </c>
      <c r="Z48" s="8" t="s">
        <v>1002</v>
      </c>
      <c r="AA48" s="8" t="s">
        <v>1002</v>
      </c>
      <c r="AB48" s="8" t="s">
        <v>1002</v>
      </c>
    </row>
    <row r="49" customFormat="false" ht="13.8" hidden="false" customHeight="false" outlineLevel="0" collapsed="false">
      <c r="A49" s="48" t="s">
        <v>3197</v>
      </c>
      <c r="B49" s="41" t="s">
        <v>1772</v>
      </c>
      <c r="C49" s="0" t="s">
        <v>3147</v>
      </c>
      <c r="D49" s="0" t="s">
        <v>3148</v>
      </c>
      <c r="H49" s="0" t="s">
        <v>3149</v>
      </c>
      <c r="I49" s="0" t="s">
        <v>3150</v>
      </c>
      <c r="J49" s="0" t="s">
        <v>427</v>
      </c>
      <c r="K49" s="0" t="n">
        <v>12</v>
      </c>
      <c r="M49" s="44" t="str">
        <f aca="false">INDEX(fastqs!$A:$A, MATCH(A49, fastqs!$B:$B, 0), 1)</f>
        <v>17_JS0034CD080618_R1.fastq.gz</v>
      </c>
      <c r="N49" s="44" t="str">
        <f aca="false">INDEX(fastqs!$C:$C, MATCH(A49, fastqs!$B:$B, 0), 1)</f>
        <v>GET</v>
      </c>
      <c r="O49" s="44" t="str">
        <f aca="false">INDEX(samples!$B:$B, MATCH(B49, samples!$A:$A, 0), 1)</f>
        <v>par0019</v>
      </c>
      <c r="P49" s="44" t="str">
        <f aca="false">INDEX(participants!$I:$I, MATCH(O49, participants!$A:$A, 0), 1)</f>
        <v>js0034</v>
      </c>
      <c r="Q49" s="44" t="n">
        <f aca="false">INDEX(samples!$F:$F, MATCH(B49, samples!$A:$A, 0), 1)</f>
        <v>0</v>
      </c>
      <c r="R49" s="49" t="str">
        <f aca="false">INDEX(samples!$C:$C, MATCH(B49, samples!$A:$A, 0), 1)</f>
        <v>2018-08-06</v>
      </c>
      <c r="S49" s="50" t="str">
        <f aca="false">INDEX(samples!$D:$D,MATCH(B49, samples!$A:$A,0),1)</f>
        <v>blood</v>
      </c>
      <c r="T49" s="51" t="s">
        <v>427</v>
      </c>
      <c r="V49" s="33" t="s">
        <v>427</v>
      </c>
      <c r="X49" s="8"/>
      <c r="Y49" s="8" t="s">
        <v>3150</v>
      </c>
      <c r="Z49" s="8" t="s">
        <v>1002</v>
      </c>
      <c r="AA49" s="8" t="s">
        <v>1002</v>
      </c>
      <c r="AB49" s="8" t="s">
        <v>1002</v>
      </c>
    </row>
    <row r="50" customFormat="false" ht="13.8" hidden="false" customHeight="false" outlineLevel="0" collapsed="false">
      <c r="A50" s="48" t="s">
        <v>3198</v>
      </c>
      <c r="B50" s="41" t="s">
        <v>1791</v>
      </c>
      <c r="C50" s="0" t="s">
        <v>3147</v>
      </c>
      <c r="D50" s="0" t="s">
        <v>3148</v>
      </c>
      <c r="H50" s="0" t="s">
        <v>3149</v>
      </c>
      <c r="I50" s="0" t="s">
        <v>3150</v>
      </c>
      <c r="J50" s="0" t="s">
        <v>427</v>
      </c>
      <c r="K50" s="0" t="s">
        <v>427</v>
      </c>
      <c r="M50" s="44" t="str">
        <f aca="false">INDEX(fastqs!$A:$A, MATCH(A50, fastqs!$B:$B, 0), 1)</f>
        <v>29_JS0044CD112618_R1.fastq.gz</v>
      </c>
      <c r="N50" s="44" t="str">
        <f aca="false">INDEX(fastqs!$C:$C, MATCH(A50, fastqs!$B:$B, 0), 1)</f>
        <v>GET</v>
      </c>
      <c r="O50" s="44" t="str">
        <f aca="false">INDEX(samples!$B:$B, MATCH(B50, samples!$A:$A, 0), 1)</f>
        <v>par0027</v>
      </c>
      <c r="P50" s="44" t="str">
        <f aca="false">INDEX(participants!$I:$I, MATCH(O50, participants!$A:$A, 0), 1)</f>
        <v>js0044</v>
      </c>
      <c r="Q50" s="44" t="n">
        <f aca="false">INDEX(samples!$F:$F, MATCH(B50, samples!$A:$A, 0), 1)</f>
        <v>0</v>
      </c>
      <c r="R50" s="49" t="str">
        <f aca="false">INDEX(samples!$C:$C, MATCH(B50, samples!$A:$A, 0), 1)</f>
        <v>2018-11-26</v>
      </c>
      <c r="S50" s="50" t="str">
        <f aca="false">INDEX(samples!$D:$D,MATCH(B50, samples!$A:$A,0),1)</f>
        <v>blood</v>
      </c>
      <c r="T50" s="51" t="s">
        <v>427</v>
      </c>
      <c r="V50" s="33" t="s">
        <v>427</v>
      </c>
      <c r="X50" s="8"/>
      <c r="Y50" s="8" t="s">
        <v>1002</v>
      </c>
      <c r="Z50" s="8" t="s">
        <v>1002</v>
      </c>
      <c r="AA50" s="8" t="s">
        <v>1002</v>
      </c>
      <c r="AB50" s="8" t="s">
        <v>1002</v>
      </c>
    </row>
    <row r="51" customFormat="false" ht="13.8" hidden="false" customHeight="false" outlineLevel="0" collapsed="false">
      <c r="A51" s="48" t="s">
        <v>3199</v>
      </c>
      <c r="B51" s="41" t="s">
        <v>1740</v>
      </c>
      <c r="C51" s="0" t="s">
        <v>3147</v>
      </c>
      <c r="D51" s="0" t="s">
        <v>3148</v>
      </c>
      <c r="H51" s="0" t="s">
        <v>3149</v>
      </c>
      <c r="I51" s="0" t="s">
        <v>3150</v>
      </c>
      <c r="J51" s="0" t="s">
        <v>427</v>
      </c>
      <c r="K51" s="0" t="n">
        <v>12</v>
      </c>
      <c r="M51" s="44" t="str">
        <f aca="false">INDEX(fastqs!$A:$A, MATCH(A51, fastqs!$B:$B, 0), 1)</f>
        <v>1_JS0003CD051517_R1.fastq.gz</v>
      </c>
      <c r="N51" s="44" t="str">
        <f aca="false">INDEX(fastqs!$C:$C, MATCH(A51, fastqs!$B:$B, 0), 1)</f>
        <v>GET</v>
      </c>
      <c r="O51" s="44" t="str">
        <f aca="false">INDEX(samples!$B:$B, MATCH(B51, samples!$A:$A, 0), 1)</f>
        <v>par0012</v>
      </c>
      <c r="P51" s="44" t="str">
        <f aca="false">INDEX(participants!$I:$I, MATCH(O51, participants!$A:$A, 0), 1)</f>
        <v>js0003</v>
      </c>
      <c r="Q51" s="44" t="n">
        <f aca="false">INDEX(samples!$F:$F, MATCH(B51, samples!$A:$A, 0), 1)</f>
        <v>0</v>
      </c>
      <c r="R51" s="49" t="str">
        <f aca="false">INDEX(samples!$C:$C, MATCH(B51, samples!$A:$A, 0), 1)</f>
        <v>2017-05-15</v>
      </c>
      <c r="S51" s="50" t="str">
        <f aca="false">INDEX(samples!$D:$D,MATCH(B51, samples!$A:$A,0),1)</f>
        <v>blood</v>
      </c>
      <c r="T51" s="51" t="s">
        <v>427</v>
      </c>
      <c r="V51" s="33" t="s">
        <v>427</v>
      </c>
      <c r="X51" s="8"/>
      <c r="Y51" s="8" t="s">
        <v>3150</v>
      </c>
      <c r="Z51" s="8" t="s">
        <v>1002</v>
      </c>
      <c r="AA51" s="8" t="s">
        <v>1002</v>
      </c>
      <c r="AB51" s="8" t="s">
        <v>1002</v>
      </c>
    </row>
    <row r="52" customFormat="false" ht="13.8" hidden="false" customHeight="false" outlineLevel="0" collapsed="false">
      <c r="A52" s="48" t="s">
        <v>3200</v>
      </c>
      <c r="B52" s="41" t="s">
        <v>1766</v>
      </c>
      <c r="C52" s="0" t="s">
        <v>3147</v>
      </c>
      <c r="D52" s="0" t="s">
        <v>3148</v>
      </c>
      <c r="H52" s="0" t="s">
        <v>3201</v>
      </c>
      <c r="I52" s="0" t="s">
        <v>3150</v>
      </c>
      <c r="J52" s="0" t="s">
        <v>427</v>
      </c>
      <c r="K52" s="0" t="n">
        <v>12</v>
      </c>
      <c r="M52" s="44" t="str">
        <f aca="false">INDEX(fastqs!$A:$A, MATCH(A52, fastqs!$B:$B, 0), 1)</f>
        <v>13_JS0028CD111918_R1.fastq.gz</v>
      </c>
      <c r="N52" s="44" t="str">
        <f aca="false">INDEX(fastqs!$C:$C, MATCH(A52, fastqs!$B:$B, 0), 1)</f>
        <v>GET</v>
      </c>
      <c r="O52" s="44" t="str">
        <f aca="false">INDEX(samples!$B:$B, MATCH(B52, samples!$A:$A, 0), 1)</f>
        <v>par0016</v>
      </c>
      <c r="P52" s="44" t="str">
        <f aca="false">INDEX(participants!$I:$I, MATCH(O52, participants!$A:$A, 0), 1)</f>
        <v>js0028</v>
      </c>
      <c r="Q52" s="44" t="n">
        <f aca="false">INDEX(samples!$F:$F, MATCH(B52, samples!$A:$A, 0), 1)</f>
        <v>0</v>
      </c>
      <c r="R52" s="49" t="str">
        <f aca="false">INDEX(samples!$C:$C, MATCH(B52, samples!$A:$A, 0), 1)</f>
        <v>2018-11-19</v>
      </c>
      <c r="S52" s="50" t="str">
        <f aca="false">INDEX(samples!$D:$D,MATCH(B52, samples!$A:$A,0),1)</f>
        <v>blood</v>
      </c>
      <c r="T52" s="51" t="s">
        <v>427</v>
      </c>
      <c r="V52" s="33" t="s">
        <v>427</v>
      </c>
      <c r="X52" s="8"/>
      <c r="Y52" s="8" t="s">
        <v>1002</v>
      </c>
      <c r="Z52" s="8" t="s">
        <v>1002</v>
      </c>
      <c r="AA52" s="8" t="s">
        <v>1002</v>
      </c>
      <c r="AB52" s="8" t="s">
        <v>1002</v>
      </c>
    </row>
    <row r="53" customFormat="false" ht="13.8" hidden="false" customHeight="false" outlineLevel="0" collapsed="false">
      <c r="A53" s="48" t="s">
        <v>3202</v>
      </c>
      <c r="B53" s="41" t="s">
        <v>1773</v>
      </c>
      <c r="C53" s="0" t="s">
        <v>3147</v>
      </c>
      <c r="D53" s="0" t="s">
        <v>3148</v>
      </c>
      <c r="H53" s="0" t="s">
        <v>3149</v>
      </c>
      <c r="I53" s="0" t="s">
        <v>3150</v>
      </c>
      <c r="J53" s="0" t="s">
        <v>427</v>
      </c>
      <c r="K53" s="0" t="s">
        <v>427</v>
      </c>
      <c r="M53" s="44" t="str">
        <f aca="false">INDEX(fastqs!$A:$A, MATCH(A53, fastqs!$B:$B, 0), 1)</f>
        <v>18_JS0036CD062718_R1.fastq.gz</v>
      </c>
      <c r="N53" s="44" t="str">
        <f aca="false">INDEX(fastqs!$C:$C, MATCH(A53, fastqs!$B:$B, 0), 1)</f>
        <v>GET</v>
      </c>
      <c r="O53" s="44" t="str">
        <f aca="false">INDEX(samples!$B:$B, MATCH(B53, samples!$A:$A, 0), 1)</f>
        <v>par0020</v>
      </c>
      <c r="P53" s="44" t="str">
        <f aca="false">INDEX(participants!$I:$I, MATCH(O53, participants!$A:$A, 0), 1)</f>
        <v>js0036</v>
      </c>
      <c r="Q53" s="44" t="n">
        <f aca="false">INDEX(samples!$F:$F, MATCH(B53, samples!$A:$A, 0), 1)</f>
        <v>0</v>
      </c>
      <c r="R53" s="49" t="str">
        <f aca="false">INDEX(samples!$C:$C, MATCH(B53, samples!$A:$A, 0), 1)</f>
        <v>2018-06-27</v>
      </c>
      <c r="S53" s="50" t="str">
        <f aca="false">INDEX(samples!$D:$D,MATCH(B53, samples!$A:$A,0),1)</f>
        <v>blood</v>
      </c>
      <c r="T53" s="51" t="s">
        <v>427</v>
      </c>
      <c r="V53" s="33" t="s">
        <v>427</v>
      </c>
      <c r="X53" s="8"/>
      <c r="Y53" s="8" t="s">
        <v>3150</v>
      </c>
      <c r="Z53" s="8" t="s">
        <v>1002</v>
      </c>
      <c r="AA53" s="8" t="s">
        <v>1002</v>
      </c>
      <c r="AB53" s="8" t="s">
        <v>1002</v>
      </c>
    </row>
    <row r="54" customFormat="false" ht="13.8" hidden="false" customHeight="false" outlineLevel="0" collapsed="false">
      <c r="A54" s="48" t="s">
        <v>3203</v>
      </c>
      <c r="B54" s="41" t="s">
        <v>1810</v>
      </c>
      <c r="C54" s="0" t="s">
        <v>3147</v>
      </c>
      <c r="D54" s="0" t="s">
        <v>3148</v>
      </c>
      <c r="H54" s="0" t="s">
        <v>3149</v>
      </c>
      <c r="I54" s="0" t="s">
        <v>3150</v>
      </c>
      <c r="J54" s="0" t="s">
        <v>427</v>
      </c>
      <c r="K54" s="0" t="n">
        <v>12</v>
      </c>
      <c r="M54" s="44" t="str">
        <f aca="false">INDEX(fastqs!$A:$A, MATCH(A54, fastqs!$B:$B, 0), 1)</f>
        <v>40_JS0051CD011618_R1.fastq.gz</v>
      </c>
      <c r="N54" s="44" t="str">
        <f aca="false">INDEX(fastqs!$C:$C, MATCH(A54, fastqs!$B:$B, 0), 1)</f>
        <v>GET</v>
      </c>
      <c r="O54" s="44" t="str">
        <f aca="false">INDEX(samples!$B:$B, MATCH(B54, samples!$A:$A, 0), 1)</f>
        <v>par0033</v>
      </c>
      <c r="P54" s="44" t="str">
        <f aca="false">INDEX(participants!$I:$I, MATCH(O54, participants!$A:$A, 0), 1)</f>
        <v>js0051</v>
      </c>
      <c r="Q54" s="44" t="n">
        <f aca="false">INDEX(samples!$F:$F, MATCH(B54, samples!$A:$A, 0), 1)</f>
        <v>0</v>
      </c>
      <c r="R54" s="49" t="str">
        <f aca="false">INDEX(samples!$C:$C, MATCH(B54, samples!$A:$A, 0), 1)</f>
        <v>2018-01-16</v>
      </c>
      <c r="S54" s="50" t="str">
        <f aca="false">INDEX(samples!$D:$D,MATCH(B54, samples!$A:$A,0),1)</f>
        <v>blood</v>
      </c>
      <c r="T54" s="51" t="s">
        <v>427</v>
      </c>
      <c r="V54" s="33" t="s">
        <v>427</v>
      </c>
      <c r="X54" s="8"/>
      <c r="Y54" s="8" t="s">
        <v>3150</v>
      </c>
      <c r="Z54" s="8" t="s">
        <v>1002</v>
      </c>
      <c r="AA54" s="8" t="s">
        <v>1002</v>
      </c>
      <c r="AB54" s="8" t="s">
        <v>1002</v>
      </c>
    </row>
    <row r="55" customFormat="false" ht="13.8" hidden="false" customHeight="false" outlineLevel="0" collapsed="false">
      <c r="A55" s="48" t="s">
        <v>3204</v>
      </c>
      <c r="B55" s="41" t="s">
        <v>1848</v>
      </c>
      <c r="C55" s="0" t="s">
        <v>3147</v>
      </c>
      <c r="D55" s="0" t="s">
        <v>3148</v>
      </c>
      <c r="H55" s="0" t="s">
        <v>3149</v>
      </c>
      <c r="I55" s="0" t="s">
        <v>3150</v>
      </c>
      <c r="J55" s="0" t="s">
        <v>427</v>
      </c>
      <c r="K55" s="0" t="s">
        <v>427</v>
      </c>
      <c r="M55" s="44" t="str">
        <f aca="false">INDEX(fastqs!$A:$A, MATCH(A55, fastqs!$B:$B, 0), 1)</f>
        <v>59_JS0067CD111918_R1.fastq.gz</v>
      </c>
      <c r="N55" s="44" t="str">
        <f aca="false">INDEX(fastqs!$C:$C, MATCH(A55, fastqs!$B:$B, 0), 1)</f>
        <v>GET</v>
      </c>
      <c r="O55" s="44" t="str">
        <f aca="false">INDEX(samples!$B:$B, MATCH(B55, samples!$A:$A, 0), 1)</f>
        <v>par0045</v>
      </c>
      <c r="P55" s="44" t="str">
        <f aca="false">INDEX(participants!$I:$I, MATCH(O55, participants!$A:$A, 0), 1)</f>
        <v>js0067</v>
      </c>
      <c r="Q55" s="44" t="n">
        <f aca="false">INDEX(samples!$F:$F, MATCH(B55, samples!$A:$A, 0), 1)</f>
        <v>0</v>
      </c>
      <c r="R55" s="49" t="str">
        <f aca="false">INDEX(samples!$C:$C, MATCH(B55, samples!$A:$A, 0), 1)</f>
        <v>2018-11-19</v>
      </c>
      <c r="S55" s="50" t="str">
        <f aca="false">INDEX(samples!$D:$D,MATCH(B55, samples!$A:$A,0),1)</f>
        <v>blood</v>
      </c>
      <c r="T55" s="51" t="s">
        <v>427</v>
      </c>
      <c r="V55" s="33" t="s">
        <v>427</v>
      </c>
      <c r="X55" s="8"/>
      <c r="Y55" s="8" t="s">
        <v>3150</v>
      </c>
      <c r="Z55" s="8" t="s">
        <v>1002</v>
      </c>
      <c r="AA55" s="8" t="s">
        <v>1002</v>
      </c>
      <c r="AB55" s="8" t="s">
        <v>1002</v>
      </c>
    </row>
    <row r="56" customFormat="false" ht="13.8" hidden="false" customHeight="false" outlineLevel="0" collapsed="false">
      <c r="A56" s="48" t="s">
        <v>3205</v>
      </c>
      <c r="B56" s="41" t="s">
        <v>1755</v>
      </c>
      <c r="C56" s="0" t="s">
        <v>3147</v>
      </c>
      <c r="D56" s="0" t="s">
        <v>3148</v>
      </c>
      <c r="H56" s="0" t="s">
        <v>3149</v>
      </c>
      <c r="I56" s="0" t="s">
        <v>3150</v>
      </c>
      <c r="J56" s="0" t="s">
        <v>427</v>
      </c>
      <c r="K56" s="0" t="n">
        <v>12</v>
      </c>
      <c r="M56" s="44" t="str">
        <f aca="false">INDEX(fastqs!$A:$A, MATCH(A56, fastqs!$B:$B, 0), 1)</f>
        <v>8_JS0025CD062917_R1.fastq.gz</v>
      </c>
      <c r="N56" s="44" t="str">
        <f aca="false">INDEX(fastqs!$C:$C, MATCH(A56, fastqs!$B:$B, 0), 1)</f>
        <v>GET</v>
      </c>
      <c r="O56" s="44" t="str">
        <f aca="false">INDEX(samples!$B:$B, MATCH(B56, samples!$A:$A, 0), 1)</f>
        <v>par0125</v>
      </c>
      <c r="P56" s="44" t="e">
        <f aca="false">INDEX(participants!$I:$I, MATCH(O56, participants!$A:$A, 0), 1)</f>
        <v>#N/A</v>
      </c>
      <c r="Q56" s="44" t="n">
        <f aca="false">INDEX(samples!$F:$F, MATCH(B56, samples!$A:$A, 0), 1)</f>
        <v>0</v>
      </c>
      <c r="R56" s="49" t="str">
        <f aca="false">INDEX(samples!$C:$C, MATCH(B56, samples!$A:$A, 0), 1)</f>
        <v>2017-06-29</v>
      </c>
      <c r="S56" s="50" t="str">
        <f aca="false">INDEX(samples!$D:$D,MATCH(B56, samples!$A:$A,0),1)</f>
        <v>blood</v>
      </c>
      <c r="T56" s="51" t="s">
        <v>427</v>
      </c>
      <c r="V56" s="33" t="s">
        <v>427</v>
      </c>
      <c r="X56" s="8"/>
      <c r="Y56" s="8" t="s">
        <v>1002</v>
      </c>
      <c r="Z56" s="8" t="s">
        <v>1002</v>
      </c>
      <c r="AA56" s="8" t="s">
        <v>1002</v>
      </c>
      <c r="AB56" s="8" t="s">
        <v>1002</v>
      </c>
    </row>
    <row r="57" customFormat="false" ht="13.8" hidden="false" customHeight="false" outlineLevel="0" collapsed="false">
      <c r="A57" s="48" t="s">
        <v>3206</v>
      </c>
      <c r="B57" s="41" t="s">
        <v>1762</v>
      </c>
      <c r="C57" s="0" t="s">
        <v>3147</v>
      </c>
      <c r="D57" s="0" t="s">
        <v>3148</v>
      </c>
      <c r="H57" s="0" t="s">
        <v>3149</v>
      </c>
      <c r="I57" s="0" t="s">
        <v>3150</v>
      </c>
      <c r="J57" s="0" t="s">
        <v>427</v>
      </c>
      <c r="K57" s="0" t="n">
        <v>12</v>
      </c>
      <c r="M57" s="44" t="str">
        <f aca="false">INDEX(fastqs!$A:$A, MATCH(A57, fastqs!$B:$B, 0), 1)</f>
        <v>11_JS0027CD050418_R1.fastq.gz</v>
      </c>
      <c r="N57" s="44" t="str">
        <f aca="false">INDEX(fastqs!$C:$C, MATCH(A57, fastqs!$B:$B, 0), 1)</f>
        <v>GET</v>
      </c>
      <c r="O57" s="44" t="str">
        <f aca="false">INDEX(samples!$B:$B, MATCH(B57, samples!$A:$A, 0), 1)</f>
        <v>par0124</v>
      </c>
      <c r="P57" s="44" t="e">
        <f aca="false">INDEX(participants!$I:$I, MATCH(O57, participants!$A:$A, 0), 1)</f>
        <v>#N/A</v>
      </c>
      <c r="Q57" s="44" t="n">
        <f aca="false">INDEX(samples!$F:$F, MATCH(B57, samples!$A:$A, 0), 1)</f>
        <v>0</v>
      </c>
      <c r="R57" s="49" t="str">
        <f aca="false">INDEX(samples!$C:$C, MATCH(B57, samples!$A:$A, 0), 1)</f>
        <v>2018-05-04</v>
      </c>
      <c r="S57" s="50" t="str">
        <f aca="false">INDEX(samples!$D:$D,MATCH(B57, samples!$A:$A,0),1)</f>
        <v>blood</v>
      </c>
      <c r="T57" s="51" t="s">
        <v>427</v>
      </c>
      <c r="V57" s="33" t="s">
        <v>427</v>
      </c>
      <c r="X57" s="8"/>
      <c r="Y57" s="8" t="s">
        <v>1002</v>
      </c>
      <c r="Z57" s="8" t="s">
        <v>1002</v>
      </c>
      <c r="AA57" s="8" t="s">
        <v>1002</v>
      </c>
      <c r="AB57" s="8" t="s">
        <v>1002</v>
      </c>
    </row>
    <row r="58" customFormat="false" ht="13.8" hidden="false" customHeight="false" outlineLevel="0" collapsed="false">
      <c r="A58" s="48" t="s">
        <v>3207</v>
      </c>
      <c r="B58" s="41" t="s">
        <v>1764</v>
      </c>
      <c r="C58" s="0" t="s">
        <v>3147</v>
      </c>
      <c r="D58" s="0" t="s">
        <v>3148</v>
      </c>
      <c r="H58" s="0" t="s">
        <v>3149</v>
      </c>
      <c r="I58" s="0" t="s">
        <v>3150</v>
      </c>
      <c r="J58" s="0" t="s">
        <v>427</v>
      </c>
      <c r="K58" s="0" t="n">
        <v>12</v>
      </c>
      <c r="M58" s="44" t="str">
        <f aca="false">INDEX(fastqs!$A:$A, MATCH(A58, fastqs!$B:$B, 0), 1)</f>
        <v>12_JS0027CD073018_R1.fastq.gz</v>
      </c>
      <c r="N58" s="44" t="str">
        <f aca="false">INDEX(fastqs!$C:$C, MATCH(A58, fastqs!$B:$B, 0), 1)</f>
        <v>GET</v>
      </c>
      <c r="O58" s="44" t="str">
        <f aca="false">INDEX(samples!$B:$B, MATCH(B58, samples!$A:$A, 0), 1)</f>
        <v>par0124</v>
      </c>
      <c r="P58" s="44" t="e">
        <f aca="false">INDEX(participants!$I:$I, MATCH(O58, participants!$A:$A, 0), 1)</f>
        <v>#N/A</v>
      </c>
      <c r="Q58" s="44" t="n">
        <f aca="false">INDEX(samples!$F:$F, MATCH(B58, samples!$A:$A, 0), 1)</f>
        <v>0</v>
      </c>
      <c r="R58" s="49" t="str">
        <f aca="false">INDEX(samples!$C:$C, MATCH(B58, samples!$A:$A, 0), 1)</f>
        <v>2018-07-30</v>
      </c>
      <c r="S58" s="50" t="str">
        <f aca="false">INDEX(samples!$D:$D,MATCH(B58, samples!$A:$A,0),1)</f>
        <v>blood</v>
      </c>
      <c r="T58" s="51" t="s">
        <v>427</v>
      </c>
      <c r="V58" s="33" t="s">
        <v>427</v>
      </c>
      <c r="X58" s="8"/>
      <c r="Y58" s="8" t="s">
        <v>1002</v>
      </c>
      <c r="Z58" s="8" t="s">
        <v>1002</v>
      </c>
      <c r="AA58" s="8" t="s">
        <v>1002</v>
      </c>
      <c r="AB58" s="8" t="s">
        <v>1002</v>
      </c>
    </row>
    <row r="59" customFormat="false" ht="13.8" hidden="false" customHeight="false" outlineLevel="0" collapsed="false">
      <c r="A59" s="48" t="s">
        <v>3208</v>
      </c>
      <c r="B59" s="41" t="s">
        <v>1760</v>
      </c>
      <c r="C59" s="0" t="s">
        <v>3147</v>
      </c>
      <c r="D59" s="0" t="s">
        <v>3148</v>
      </c>
      <c r="H59" s="0" t="s">
        <v>3149</v>
      </c>
      <c r="I59" s="0" t="s">
        <v>3150</v>
      </c>
      <c r="J59" s="0" t="s">
        <v>427</v>
      </c>
      <c r="K59" s="0" t="n">
        <v>12</v>
      </c>
      <c r="M59" s="44" t="str">
        <f aca="false">INDEX(fastqs!$A:$A, MATCH(A59, fastqs!$B:$B, 0), 1)</f>
        <v>10_JS0027CD040918_R1.fastq.gz</v>
      </c>
      <c r="N59" s="44" t="str">
        <f aca="false">INDEX(fastqs!$C:$C, MATCH(A59, fastqs!$B:$B, 0), 1)</f>
        <v>GET</v>
      </c>
      <c r="O59" s="44" t="str">
        <f aca="false">INDEX(samples!$B:$B, MATCH(B59, samples!$A:$A, 0), 1)</f>
        <v>par0124</v>
      </c>
      <c r="P59" s="44" t="e">
        <f aca="false">INDEX(participants!$I:$I, MATCH(O59, participants!$A:$A, 0), 1)</f>
        <v>#N/A</v>
      </c>
      <c r="Q59" s="44" t="n">
        <f aca="false">INDEX(samples!$F:$F, MATCH(B59, samples!$A:$A, 0), 1)</f>
        <v>0</v>
      </c>
      <c r="R59" s="49" t="str">
        <f aca="false">INDEX(samples!$C:$C, MATCH(B59, samples!$A:$A, 0), 1)</f>
        <v>2018-04-09</v>
      </c>
      <c r="S59" s="50" t="str">
        <f aca="false">INDEX(samples!$D:$D,MATCH(B59, samples!$A:$A,0),1)</f>
        <v>blood</v>
      </c>
      <c r="T59" s="51" t="s">
        <v>427</v>
      </c>
      <c r="V59" s="33" t="s">
        <v>427</v>
      </c>
      <c r="X59" s="8"/>
      <c r="Y59" s="8" t="s">
        <v>1002</v>
      </c>
      <c r="Z59" s="8" t="s">
        <v>1002</v>
      </c>
      <c r="AA59" s="8" t="s">
        <v>1002</v>
      </c>
      <c r="AB59" s="8" t="s">
        <v>1002</v>
      </c>
    </row>
    <row r="60" customFormat="false" ht="13.8" hidden="false" customHeight="false" outlineLevel="0" collapsed="false">
      <c r="A60" s="48" t="s">
        <v>3209</v>
      </c>
      <c r="B60" s="41" t="s">
        <v>1988</v>
      </c>
      <c r="C60" s="0" t="s">
        <v>1824</v>
      </c>
      <c r="D60" s="0" t="s">
        <v>3148</v>
      </c>
      <c r="H60" s="0" t="s">
        <v>3149</v>
      </c>
      <c r="I60" s="0" t="s">
        <v>3150</v>
      </c>
      <c r="J60" s="0" t="s">
        <v>427</v>
      </c>
      <c r="K60" s="0" t="s">
        <v>427</v>
      </c>
      <c r="M60" s="44" t="str">
        <f aca="false">INDEX(fastqs!$A:$A, MATCH(A60, fastqs!$B:$B, 0), 1)</f>
        <v>40_2_072_R1.fastq.gz</v>
      </c>
      <c r="N60" s="44" t="str">
        <f aca="false">INDEX(fastqs!$C:$C, MATCH(A60, fastqs!$B:$B, 0), 1)</f>
        <v>GET</v>
      </c>
      <c r="O60" s="44" t="str">
        <f aca="false">INDEX(samples!$B:$B, MATCH(B60, samples!$A:$A, 0), 1)</f>
        <v>par0007</v>
      </c>
      <c r="P60" s="44" t="str">
        <f aca="false">INDEX(participants!$I:$I, MATCH(O60, participants!$A:$A, 0), 1)</f>
        <v>2072j</v>
      </c>
      <c r="Q60" s="44" t="n">
        <f aca="false">INDEX(samples!$F:$F, MATCH(B60, samples!$A:$A, 0), 1)</f>
        <v>0</v>
      </c>
      <c r="R60" s="49" t="str">
        <f aca="false">INDEX(samples!$C:$C, MATCH(B60, samples!$A:$A, 0), 1)</f>
        <v>UNK</v>
      </c>
      <c r="S60" s="50" t="str">
        <f aca="false">INDEX(samples!$D:$D,MATCH(B60, samples!$A:$A,0),1)</f>
        <v>tumor</v>
      </c>
      <c r="T60" s="51" t="s">
        <v>36</v>
      </c>
      <c r="V60" s="33" t="s">
        <v>427</v>
      </c>
      <c r="X60" s="8"/>
      <c r="Y60" s="8" t="s">
        <v>3150</v>
      </c>
      <c r="Z60" s="8" t="s">
        <v>1002</v>
      </c>
      <c r="AA60" s="8" t="s">
        <v>1002</v>
      </c>
      <c r="AB60" s="8" t="s">
        <v>1002</v>
      </c>
    </row>
    <row r="61" customFormat="false" ht="13.8" hidden="false" customHeight="false" outlineLevel="0" collapsed="false">
      <c r="A61" s="48" t="s">
        <v>3210</v>
      </c>
      <c r="B61" s="41" t="s">
        <v>2015</v>
      </c>
      <c r="C61" s="0" t="s">
        <v>3147</v>
      </c>
      <c r="D61" s="0" t="s">
        <v>3148</v>
      </c>
      <c r="H61" s="0" t="s">
        <v>3149</v>
      </c>
      <c r="I61" s="0" t="s">
        <v>3150</v>
      </c>
      <c r="J61" s="0" t="s">
        <v>427</v>
      </c>
      <c r="K61" s="0" t="s">
        <v>427</v>
      </c>
      <c r="M61" s="44" t="str">
        <f aca="false">INDEX(fastqs!$A:$A, MATCH(A61, fastqs!$B:$B, 0), 1)</f>
        <v>3_3NC75F_R1.fastq.gz</v>
      </c>
      <c r="N61" s="44" t="str">
        <f aca="false">INDEX(fastqs!$C:$C, MATCH(A61, fastqs!$B:$B, 0), 1)</f>
        <v>GET</v>
      </c>
      <c r="O61" s="44" t="str">
        <f aca="false">INDEX(samples!$B:$B, MATCH(B61, samples!$A:$A, 0), 1)</f>
        <v>par0137</v>
      </c>
      <c r="P61" s="44" t="e">
        <f aca="false">INDEX(participants!$I:$I, MATCH(O61, participants!$A:$A, 0), 1)</f>
        <v>#N/A</v>
      </c>
      <c r="Q61" s="44" t="n">
        <f aca="false">INDEX(samples!$F:$F, MATCH(B61, samples!$A:$A, 0), 1)</f>
        <v>0</v>
      </c>
      <c r="R61" s="49" t="str">
        <f aca="false">INDEX(samples!$C:$C, MATCH(B61, samples!$A:$A, 0), 1)</f>
        <v>UNK</v>
      </c>
      <c r="S61" s="50" t="str">
        <f aca="false">INDEX(samples!$D:$D,MATCH(B61, samples!$A:$A,0),1)</f>
        <v>blood</v>
      </c>
      <c r="T61" s="51" t="s">
        <v>427</v>
      </c>
      <c r="V61" s="33" t="s">
        <v>427</v>
      </c>
      <c r="X61" s="8"/>
      <c r="Y61" s="8" t="s">
        <v>3150</v>
      </c>
      <c r="Z61" s="8" t="s">
        <v>1002</v>
      </c>
      <c r="AA61" s="8" t="s">
        <v>1002</v>
      </c>
      <c r="AB61" s="8" t="s">
        <v>1002</v>
      </c>
    </row>
    <row r="62" customFormat="false" ht="13.8" hidden="false" customHeight="false" outlineLevel="0" collapsed="false">
      <c r="A62" s="48" t="s">
        <v>3211</v>
      </c>
      <c r="B62" s="41" t="s">
        <v>1706</v>
      </c>
      <c r="C62" s="0" t="s">
        <v>3147</v>
      </c>
      <c r="D62" s="0" t="s">
        <v>3148</v>
      </c>
      <c r="H62" s="0" t="s">
        <v>3149</v>
      </c>
      <c r="I62" s="0" t="s">
        <v>3150</v>
      </c>
      <c r="J62" s="0" t="s">
        <v>427</v>
      </c>
      <c r="K62" s="0" t="s">
        <v>427</v>
      </c>
      <c r="M62" s="44" t="str">
        <f aca="false">INDEX(fastqs!$A:$A, MATCH(A62, fastqs!$B:$B, 0), 1)</f>
        <v>15_15NC59F_R1.fastq.gz</v>
      </c>
      <c r="N62" s="44" t="str">
        <f aca="false">INDEX(fastqs!$C:$C, MATCH(A62, fastqs!$B:$B, 0), 1)</f>
        <v>GET</v>
      </c>
      <c r="O62" s="44" t="str">
        <f aca="false">INDEX(samples!$B:$B, MATCH(B62, samples!$A:$A, 0), 1)</f>
        <v>par0115</v>
      </c>
      <c r="P62" s="44" t="e">
        <f aca="false">INDEX(participants!$I:$I, MATCH(O62, participants!$A:$A, 0), 1)</f>
        <v>#N/A</v>
      </c>
      <c r="Q62" s="44" t="n">
        <f aca="false">INDEX(samples!$F:$F, MATCH(B62, samples!$A:$A, 0), 1)</f>
        <v>0</v>
      </c>
      <c r="R62" s="49" t="str">
        <f aca="false">INDEX(samples!$C:$C, MATCH(B62, samples!$A:$A, 0), 1)</f>
        <v>UNK</v>
      </c>
      <c r="S62" s="50" t="str">
        <f aca="false">INDEX(samples!$D:$D,MATCH(B62, samples!$A:$A,0),1)</f>
        <v>blood</v>
      </c>
      <c r="T62" s="51" t="s">
        <v>427</v>
      </c>
      <c r="V62" s="33" t="s">
        <v>427</v>
      </c>
      <c r="X62" s="8"/>
      <c r="Y62" s="8" t="s">
        <v>3150</v>
      </c>
      <c r="Z62" s="8" t="s">
        <v>1002</v>
      </c>
      <c r="AA62" s="8" t="s">
        <v>1002</v>
      </c>
      <c r="AB62" s="8" t="s">
        <v>1002</v>
      </c>
    </row>
    <row r="63" customFormat="false" ht="13.8" hidden="false" customHeight="false" outlineLevel="0" collapsed="false">
      <c r="A63" s="48" t="s">
        <v>3212</v>
      </c>
      <c r="B63" s="41" t="s">
        <v>1986</v>
      </c>
      <c r="C63" s="0" t="s">
        <v>1824</v>
      </c>
      <c r="D63" s="0" t="s">
        <v>3148</v>
      </c>
      <c r="H63" s="0" t="s">
        <v>3149</v>
      </c>
      <c r="I63" s="0" t="s">
        <v>3150</v>
      </c>
      <c r="J63" s="0" t="s">
        <v>427</v>
      </c>
      <c r="K63" s="0" t="s">
        <v>427</v>
      </c>
      <c r="M63" s="44" t="str">
        <f aca="false">INDEX(fastqs!$A:$A, MATCH(A63, fastqs!$B:$B, 0), 1)</f>
        <v>17_2_031_R1.fastq.gz</v>
      </c>
      <c r="N63" s="44" t="str">
        <f aca="false">INDEX(fastqs!$C:$C, MATCH(A63, fastqs!$B:$B, 0), 1)</f>
        <v>GET</v>
      </c>
      <c r="O63" s="44" t="str">
        <f aca="false">INDEX(samples!$B:$B, MATCH(B63, samples!$A:$A, 0), 1)</f>
        <v>par0002</v>
      </c>
      <c r="P63" s="44" t="str">
        <f aca="false">INDEX(participants!$I:$I, MATCH(O63, participants!$A:$A, 0), 1)</f>
        <v>2031j</v>
      </c>
      <c r="Q63" s="44" t="n">
        <f aca="false">INDEX(samples!$F:$F, MATCH(B63, samples!$A:$A, 0), 1)</f>
        <v>0</v>
      </c>
      <c r="R63" s="49" t="str">
        <f aca="false">INDEX(samples!$C:$C, MATCH(B63, samples!$A:$A, 0), 1)</f>
        <v>UNK</v>
      </c>
      <c r="S63" s="50" t="str">
        <f aca="false">INDEX(samples!$D:$D,MATCH(B63, samples!$A:$A,0),1)</f>
        <v>tumor</v>
      </c>
      <c r="T63" s="51" t="s">
        <v>36</v>
      </c>
      <c r="V63" s="33" t="s">
        <v>427</v>
      </c>
      <c r="X63" s="8"/>
      <c r="Y63" s="8" t="s">
        <v>3150</v>
      </c>
      <c r="Z63" s="8" t="s">
        <v>1002</v>
      </c>
      <c r="AA63" s="8" t="s">
        <v>1002</v>
      </c>
      <c r="AB63" s="8" t="s">
        <v>1002</v>
      </c>
    </row>
    <row r="64" customFormat="false" ht="13.8" hidden="false" customHeight="false" outlineLevel="0" collapsed="false">
      <c r="A64" s="48" t="s">
        <v>3213</v>
      </c>
      <c r="B64" s="41" t="s">
        <v>1987</v>
      </c>
      <c r="C64" s="0" t="s">
        <v>1824</v>
      </c>
      <c r="D64" s="0" t="s">
        <v>3148</v>
      </c>
      <c r="H64" s="0" t="s">
        <v>3149</v>
      </c>
      <c r="I64" s="0" t="s">
        <v>3150</v>
      </c>
      <c r="J64" s="0" t="s">
        <v>427</v>
      </c>
      <c r="K64" s="0" t="s">
        <v>427</v>
      </c>
      <c r="M64" s="44" t="str">
        <f aca="false">INDEX(fastqs!$A:$A, MATCH(A64, fastqs!$B:$B, 0), 1)</f>
        <v>18_2_055_R1.fastq.gz</v>
      </c>
      <c r="N64" s="44" t="str">
        <f aca="false">INDEX(fastqs!$C:$C, MATCH(A64, fastqs!$B:$B, 0), 1)</f>
        <v>GET</v>
      </c>
      <c r="O64" s="44" t="str">
        <f aca="false">INDEX(samples!$B:$B, MATCH(B64, samples!$A:$A, 0), 1)</f>
        <v>par0003</v>
      </c>
      <c r="P64" s="44" t="str">
        <f aca="false">INDEX(participants!$I:$I, MATCH(O64, participants!$A:$A, 0), 1)</f>
        <v>2055j</v>
      </c>
      <c r="Q64" s="44" t="n">
        <f aca="false">INDEX(samples!$F:$F, MATCH(B64, samples!$A:$A, 0), 1)</f>
        <v>0</v>
      </c>
      <c r="R64" s="49" t="str">
        <f aca="false">INDEX(samples!$C:$C, MATCH(B64, samples!$A:$A, 0), 1)</f>
        <v>UNK</v>
      </c>
      <c r="S64" s="50" t="str">
        <f aca="false">INDEX(samples!$D:$D,MATCH(B64, samples!$A:$A,0),1)</f>
        <v>tumor</v>
      </c>
      <c r="T64" s="51" t="s">
        <v>36</v>
      </c>
      <c r="V64" s="33" t="s">
        <v>427</v>
      </c>
      <c r="X64" s="8"/>
      <c r="Y64" s="8" t="s">
        <v>3150</v>
      </c>
      <c r="Z64" s="8" t="s">
        <v>1002</v>
      </c>
      <c r="AA64" s="8" t="s">
        <v>1002</v>
      </c>
      <c r="AB64" s="8" t="s">
        <v>1002</v>
      </c>
    </row>
    <row r="65" customFormat="false" ht="13.8" hidden="false" customHeight="false" outlineLevel="0" collapsed="false">
      <c r="A65" s="48" t="s">
        <v>3214</v>
      </c>
      <c r="B65" s="41" t="s">
        <v>2023</v>
      </c>
      <c r="C65" s="0" t="s">
        <v>3215</v>
      </c>
      <c r="D65" s="0" t="s">
        <v>3148</v>
      </c>
      <c r="H65" s="0" t="s">
        <v>3149</v>
      </c>
      <c r="I65" s="0" t="s">
        <v>3150</v>
      </c>
      <c r="J65" s="0" t="s">
        <v>427</v>
      </c>
      <c r="K65" s="0" t="s">
        <v>427</v>
      </c>
      <c r="M65" s="44" t="str">
        <f aca="false">INDEX(fastqs!$A:$A, MATCH(A65, fastqs!$B:$B, 0), 1)</f>
        <v>32_g2_015_R1.fastq.gz</v>
      </c>
      <c r="N65" s="44" t="str">
        <f aca="false">INDEX(fastqs!$C:$C, MATCH(A65, fastqs!$B:$B, 0), 1)</f>
        <v>GET</v>
      </c>
      <c r="O65" s="44" t="str">
        <f aca="false">INDEX(samples!$B:$B, MATCH(B65, samples!$A:$A, 0), 1)</f>
        <v>par0006</v>
      </c>
      <c r="P65" s="44" t="str">
        <f aca="false">INDEX(participants!$I:$I, MATCH(O65, participants!$A:$A, 0), 1)</f>
        <v>2015j</v>
      </c>
      <c r="Q65" s="44" t="n">
        <f aca="false">INDEX(samples!$F:$F, MATCH(B65, samples!$A:$A, 0), 1)</f>
        <v>0</v>
      </c>
      <c r="R65" s="49" t="str">
        <f aca="false">INDEX(samples!$C:$C, MATCH(B65, samples!$A:$A, 0), 1)</f>
        <v>UNK</v>
      </c>
      <c r="S65" s="50" t="str">
        <f aca="false">INDEX(samples!$D:$D,MATCH(B65, samples!$A:$A,0),1)</f>
        <v>blood</v>
      </c>
      <c r="T65" s="51" t="s">
        <v>36</v>
      </c>
      <c r="V65" s="33" t="s">
        <v>427</v>
      </c>
      <c r="X65" s="8"/>
      <c r="Y65" s="8" t="s">
        <v>3150</v>
      </c>
      <c r="Z65" s="8" t="s">
        <v>1002</v>
      </c>
      <c r="AA65" s="8" t="s">
        <v>1002</v>
      </c>
      <c r="AB65" s="8" t="s">
        <v>1002</v>
      </c>
    </row>
    <row r="66" customFormat="false" ht="13.8" hidden="false" customHeight="false" outlineLevel="0" collapsed="false">
      <c r="A66" s="48" t="s">
        <v>3216</v>
      </c>
      <c r="B66" s="41" t="s">
        <v>1698</v>
      </c>
      <c r="C66" s="0" t="s">
        <v>3147</v>
      </c>
      <c r="D66" s="0" t="s">
        <v>3148</v>
      </c>
      <c r="H66" s="0" t="s">
        <v>3149</v>
      </c>
      <c r="I66" s="0" t="s">
        <v>3150</v>
      </c>
      <c r="J66" s="0" t="s">
        <v>427</v>
      </c>
      <c r="K66" s="0" t="s">
        <v>427</v>
      </c>
      <c r="M66" s="44" t="str">
        <f aca="false">INDEX(fastqs!$A:$A, MATCH(A66, fastqs!$B:$B, 0), 1)</f>
        <v>11_11NC61M_R1.fastq.gz</v>
      </c>
      <c r="N66" s="44" t="str">
        <f aca="false">INDEX(fastqs!$C:$C, MATCH(A66, fastqs!$B:$B, 0), 1)</f>
        <v>GET</v>
      </c>
      <c r="O66" s="44" t="str">
        <f aca="false">INDEX(samples!$B:$B, MATCH(B66, samples!$A:$A, 0), 1)</f>
        <v>par0111</v>
      </c>
      <c r="P66" s="44" t="e">
        <f aca="false">INDEX(participants!$I:$I, MATCH(O66, participants!$A:$A, 0), 1)</f>
        <v>#N/A</v>
      </c>
      <c r="Q66" s="44" t="n">
        <f aca="false">INDEX(samples!$F:$F, MATCH(B66, samples!$A:$A, 0), 1)</f>
        <v>0</v>
      </c>
      <c r="R66" s="49" t="str">
        <f aca="false">INDEX(samples!$C:$C, MATCH(B66, samples!$A:$A, 0), 1)</f>
        <v>UNK</v>
      </c>
      <c r="S66" s="50" t="str">
        <f aca="false">INDEX(samples!$D:$D,MATCH(B66, samples!$A:$A,0),1)</f>
        <v>blood</v>
      </c>
      <c r="T66" s="51" t="s">
        <v>427</v>
      </c>
      <c r="V66" s="33" t="s">
        <v>427</v>
      </c>
      <c r="X66" s="8"/>
      <c r="Y66" s="8" t="s">
        <v>3150</v>
      </c>
      <c r="Z66" s="8" t="s">
        <v>1002</v>
      </c>
      <c r="AA66" s="8" t="s">
        <v>1002</v>
      </c>
      <c r="AB66" s="8" t="s">
        <v>1002</v>
      </c>
    </row>
    <row r="67" customFormat="false" ht="13.8" hidden="false" customHeight="false" outlineLevel="0" collapsed="false">
      <c r="A67" s="48" t="s">
        <v>3217</v>
      </c>
      <c r="B67" s="41" t="s">
        <v>2028</v>
      </c>
      <c r="C67" s="0" t="s">
        <v>3215</v>
      </c>
      <c r="D67" s="0" t="s">
        <v>3148</v>
      </c>
      <c r="H67" s="0" t="s">
        <v>3149</v>
      </c>
      <c r="I67" s="0" t="s">
        <v>3150</v>
      </c>
      <c r="J67" s="0" t="s">
        <v>427</v>
      </c>
      <c r="K67" s="0" t="s">
        <v>427</v>
      </c>
      <c r="M67" s="44" t="str">
        <f aca="false">INDEX(fastqs!$A:$A, MATCH(A67, fastqs!$B:$B, 0), 1)</f>
        <v>23_g5NC25M_R1.fastq.gz</v>
      </c>
      <c r="N67" s="44" t="str">
        <f aca="false">INDEX(fastqs!$C:$C, MATCH(A67, fastqs!$B:$B, 0), 1)</f>
        <v>GET</v>
      </c>
      <c r="O67" s="44" t="str">
        <f aca="false">INDEX(samples!$B:$B, MATCH(B67, samples!$A:$A, 0), 1)</f>
        <v>par0119</v>
      </c>
      <c r="P67" s="44" t="e">
        <f aca="false">INDEX(participants!$I:$I, MATCH(O67, participants!$A:$A, 0), 1)</f>
        <v>#N/A</v>
      </c>
      <c r="Q67" s="44" t="n">
        <f aca="false">INDEX(samples!$F:$F, MATCH(B67, samples!$A:$A, 0), 1)</f>
        <v>0</v>
      </c>
      <c r="R67" s="49" t="str">
        <f aca="false">INDEX(samples!$C:$C, MATCH(B67, samples!$A:$A, 0), 1)</f>
        <v>UNK</v>
      </c>
      <c r="S67" s="50" t="str">
        <f aca="false">INDEX(samples!$D:$D,MATCH(B67, samples!$A:$A,0),1)</f>
        <v>blood</v>
      </c>
      <c r="T67" s="51" t="s">
        <v>36</v>
      </c>
      <c r="V67" s="33" t="s">
        <v>427</v>
      </c>
      <c r="X67" s="8"/>
      <c r="Y67" s="8" t="s">
        <v>3150</v>
      </c>
      <c r="Z67" s="8" t="s">
        <v>1002</v>
      </c>
      <c r="AA67" s="8" t="s">
        <v>1002</v>
      </c>
      <c r="AB67" s="8" t="s">
        <v>1002</v>
      </c>
    </row>
    <row r="68" customFormat="false" ht="13.8" hidden="false" customHeight="false" outlineLevel="0" collapsed="false">
      <c r="A68" s="48" t="s">
        <v>3218</v>
      </c>
      <c r="B68" s="41" t="s">
        <v>1700</v>
      </c>
      <c r="C68" s="0" t="s">
        <v>3147</v>
      </c>
      <c r="D68" s="0" t="s">
        <v>3148</v>
      </c>
      <c r="H68" s="0" t="s">
        <v>3149</v>
      </c>
      <c r="I68" s="0" t="s">
        <v>3150</v>
      </c>
      <c r="J68" s="0" t="s">
        <v>427</v>
      </c>
      <c r="K68" s="0" t="s">
        <v>427</v>
      </c>
      <c r="M68" s="44" t="str">
        <f aca="false">INDEX(fastqs!$A:$A, MATCH(A68, fastqs!$B:$B, 0), 1)</f>
        <v>12_12NC30F_R1.fastq.gz</v>
      </c>
      <c r="N68" s="44" t="str">
        <f aca="false">INDEX(fastqs!$C:$C, MATCH(A68, fastqs!$B:$B, 0), 1)</f>
        <v>GET</v>
      </c>
      <c r="O68" s="44" t="str">
        <f aca="false">INDEX(samples!$B:$B, MATCH(B68, samples!$A:$A, 0), 1)</f>
        <v>par0112</v>
      </c>
      <c r="P68" s="44" t="e">
        <f aca="false">INDEX(participants!$I:$I, MATCH(O68, participants!$A:$A, 0), 1)</f>
        <v>#N/A</v>
      </c>
      <c r="Q68" s="44" t="n">
        <f aca="false">INDEX(samples!$F:$F, MATCH(B68, samples!$A:$A, 0), 1)</f>
        <v>0</v>
      </c>
      <c r="R68" s="49" t="str">
        <f aca="false">INDEX(samples!$C:$C, MATCH(B68, samples!$A:$A, 0), 1)</f>
        <v>UNK</v>
      </c>
      <c r="S68" s="50" t="str">
        <f aca="false">INDEX(samples!$D:$D,MATCH(B68, samples!$A:$A,0),1)</f>
        <v>blood</v>
      </c>
      <c r="T68" s="51" t="s">
        <v>427</v>
      </c>
      <c r="V68" s="33" t="s">
        <v>427</v>
      </c>
      <c r="X68" s="8"/>
      <c r="Y68" s="8" t="s">
        <v>3150</v>
      </c>
      <c r="Z68" s="8" t="s">
        <v>1002</v>
      </c>
      <c r="AA68" s="8" t="s">
        <v>1002</v>
      </c>
      <c r="AB68" s="8" t="s">
        <v>1002</v>
      </c>
    </row>
    <row r="69" customFormat="false" ht="13.8" hidden="false" customHeight="false" outlineLevel="0" collapsed="false">
      <c r="A69" s="48" t="s">
        <v>3219</v>
      </c>
      <c r="B69" s="41" t="s">
        <v>2022</v>
      </c>
      <c r="C69" s="0" t="s">
        <v>3215</v>
      </c>
      <c r="D69" s="0" t="s">
        <v>3148</v>
      </c>
      <c r="H69" s="0" t="s">
        <v>3149</v>
      </c>
      <c r="I69" s="0" t="s">
        <v>3150</v>
      </c>
      <c r="J69" s="0" t="s">
        <v>427</v>
      </c>
      <c r="K69" s="0" t="s">
        <v>427</v>
      </c>
      <c r="M69" s="44" t="str">
        <f aca="false">INDEX(fastqs!$A:$A, MATCH(A69, fastqs!$B:$B, 0), 1)</f>
        <v>42_g15NC59F_R1.fastq.gz</v>
      </c>
      <c r="N69" s="44" t="str">
        <f aca="false">INDEX(fastqs!$C:$C, MATCH(A69, fastqs!$B:$B, 0), 1)</f>
        <v>GET</v>
      </c>
      <c r="O69" s="44" t="str">
        <f aca="false">INDEX(samples!$B:$B, MATCH(B69, samples!$A:$A, 0), 1)</f>
        <v>par0115</v>
      </c>
      <c r="P69" s="44" t="e">
        <f aca="false">INDEX(participants!$I:$I, MATCH(O69, participants!$A:$A, 0), 1)</f>
        <v>#N/A</v>
      </c>
      <c r="Q69" s="44" t="n">
        <f aca="false">INDEX(samples!$F:$F, MATCH(B69, samples!$A:$A, 0), 1)</f>
        <v>0</v>
      </c>
      <c r="R69" s="49" t="str">
        <f aca="false">INDEX(samples!$C:$C, MATCH(B69, samples!$A:$A, 0), 1)</f>
        <v>UNK</v>
      </c>
      <c r="S69" s="50" t="str">
        <f aca="false">INDEX(samples!$D:$D,MATCH(B69, samples!$A:$A,0),1)</f>
        <v>blood</v>
      </c>
      <c r="T69" s="51" t="s">
        <v>36</v>
      </c>
      <c r="V69" s="33" t="s">
        <v>427</v>
      </c>
      <c r="X69" s="8"/>
      <c r="Y69" s="8" t="s">
        <v>3150</v>
      </c>
      <c r="Z69" s="8" t="s">
        <v>1002</v>
      </c>
      <c r="AA69" s="8" t="s">
        <v>1002</v>
      </c>
      <c r="AB69" s="8" t="s">
        <v>1002</v>
      </c>
    </row>
    <row r="70" customFormat="false" ht="13.8" hidden="false" customHeight="false" outlineLevel="0" collapsed="false">
      <c r="A70" s="48" t="s">
        <v>3220</v>
      </c>
      <c r="B70" s="41" t="s">
        <v>2013</v>
      </c>
      <c r="C70" s="0" t="s">
        <v>3215</v>
      </c>
      <c r="D70" s="0" t="s">
        <v>3148</v>
      </c>
      <c r="H70" s="0" t="s">
        <v>3149</v>
      </c>
      <c r="I70" s="0" t="s">
        <v>3150</v>
      </c>
      <c r="J70" s="0" t="s">
        <v>427</v>
      </c>
      <c r="K70" s="0" t="s">
        <v>427</v>
      </c>
      <c r="M70" s="44" t="str">
        <f aca="false">INDEX(fastqs!$A:$A, MATCH(A70, fastqs!$B:$B, 0), 1)</f>
        <v>36_g2_072_R1.fastq.gz</v>
      </c>
      <c r="N70" s="44" t="str">
        <f aca="false">INDEX(fastqs!$C:$C, MATCH(A70, fastqs!$B:$B, 0), 1)</f>
        <v>GET</v>
      </c>
      <c r="O70" s="44" t="str">
        <f aca="false">INDEX(samples!$B:$B, MATCH(B70, samples!$A:$A, 0), 1)</f>
        <v>par0007</v>
      </c>
      <c r="P70" s="44" t="str">
        <f aca="false">INDEX(participants!$I:$I, MATCH(O70, participants!$A:$A, 0), 1)</f>
        <v>2072j</v>
      </c>
      <c r="Q70" s="44" t="n">
        <f aca="false">INDEX(samples!$F:$F, MATCH(B70, samples!$A:$A, 0), 1)</f>
        <v>0</v>
      </c>
      <c r="R70" s="49" t="str">
        <f aca="false">INDEX(samples!$C:$C, MATCH(B70, samples!$A:$A, 0), 1)</f>
        <v>UNK</v>
      </c>
      <c r="S70" s="50" t="str">
        <f aca="false">INDEX(samples!$D:$D,MATCH(B70, samples!$A:$A,0),1)</f>
        <v>blood</v>
      </c>
      <c r="T70" s="51" t="s">
        <v>36</v>
      </c>
      <c r="V70" s="33" t="s">
        <v>427</v>
      </c>
      <c r="X70" s="8"/>
      <c r="Y70" s="8" t="s">
        <v>3150</v>
      </c>
      <c r="Z70" s="8" t="s">
        <v>1002</v>
      </c>
      <c r="AA70" s="8" t="s">
        <v>1002</v>
      </c>
      <c r="AB70" s="8" t="s">
        <v>1002</v>
      </c>
    </row>
    <row r="71" customFormat="false" ht="13.8" hidden="false" customHeight="false" outlineLevel="0" collapsed="false">
      <c r="A71" s="48" t="s">
        <v>3221</v>
      </c>
      <c r="B71" s="41" t="s">
        <v>1769</v>
      </c>
      <c r="C71" s="0" t="s">
        <v>3215</v>
      </c>
      <c r="D71" s="0" t="s">
        <v>3148</v>
      </c>
      <c r="H71" s="0" t="s">
        <v>3149</v>
      </c>
      <c r="I71" s="0" t="s">
        <v>3150</v>
      </c>
      <c r="J71" s="0" t="s">
        <v>427</v>
      </c>
      <c r="K71" s="0" t="s">
        <v>427</v>
      </c>
      <c r="M71" s="44" t="str">
        <f aca="false">INDEX(fastqs!$A:$A, MATCH(A71, fastqs!$B:$B, 0), 1)</f>
        <v>44_NCI_031_T1_gDNA_R1.fastq.gz</v>
      </c>
      <c r="N71" s="44" t="str">
        <f aca="false">INDEX(fastqs!$C:$C, MATCH(A71, fastqs!$B:$B, 0), 1)</f>
        <v>GET</v>
      </c>
      <c r="O71" s="44" t="str">
        <f aca="false">INDEX(samples!$B:$B, MATCH(B71, samples!$A:$A, 0), 1)</f>
        <v>par0017</v>
      </c>
      <c r="P71" s="44" t="str">
        <f aca="false">INDEX(participants!$I:$I, MATCH(O71, participants!$A:$A, 0), 1)</f>
        <v>js0032</v>
      </c>
      <c r="Q71" s="44" t="n">
        <f aca="false">INDEX(samples!$F:$F, MATCH(B71, samples!$A:$A, 0), 1)</f>
        <v>0</v>
      </c>
      <c r="R71" s="49" t="str">
        <f aca="false">INDEX(samples!$C:$C, MATCH(B71, samples!$A:$A, 0), 1)</f>
        <v>GET</v>
      </c>
      <c r="S71" s="50" t="str">
        <f aca="false">INDEX(samples!$D:$D,MATCH(B71, samples!$A:$A,0),1)</f>
        <v>blood</v>
      </c>
      <c r="T71" s="51" t="s">
        <v>36</v>
      </c>
      <c r="V71" s="33" t="s">
        <v>427</v>
      </c>
      <c r="X71" s="8"/>
      <c r="Y71" s="8" t="s">
        <v>3150</v>
      </c>
      <c r="Z71" s="8" t="s">
        <v>1002</v>
      </c>
      <c r="AA71" s="8" t="s">
        <v>1002</v>
      </c>
      <c r="AB71" s="8" t="s">
        <v>1002</v>
      </c>
    </row>
    <row r="72" customFormat="false" ht="13.8" hidden="false" customHeight="false" outlineLevel="0" collapsed="false">
      <c r="A72" s="48" t="s">
        <v>3222</v>
      </c>
      <c r="B72" s="41" t="s">
        <v>2030</v>
      </c>
      <c r="C72" s="0" t="s">
        <v>3215</v>
      </c>
      <c r="D72" s="0" t="s">
        <v>3148</v>
      </c>
      <c r="H72" s="0" t="s">
        <v>3149</v>
      </c>
      <c r="I72" s="0" t="s">
        <v>3150</v>
      </c>
      <c r="J72" s="0" t="s">
        <v>427</v>
      </c>
      <c r="K72" s="0" t="s">
        <v>427</v>
      </c>
      <c r="M72" s="44" t="str">
        <f aca="false">INDEX(fastqs!$A:$A, MATCH(A72, fastqs!$B:$B, 0), 1)</f>
        <v>25_g7NC33M_R1.fastq.gz</v>
      </c>
      <c r="N72" s="44" t="str">
        <f aca="false">INDEX(fastqs!$C:$C, MATCH(A72, fastqs!$B:$B, 0), 1)</f>
        <v>GET</v>
      </c>
      <c r="O72" s="44" t="str">
        <f aca="false">INDEX(samples!$B:$B, MATCH(B72, samples!$A:$A, 0), 1)</f>
        <v>par0121</v>
      </c>
      <c r="P72" s="44" t="e">
        <f aca="false">INDEX(participants!$I:$I, MATCH(O72, participants!$A:$A, 0), 1)</f>
        <v>#N/A</v>
      </c>
      <c r="Q72" s="44" t="n">
        <f aca="false">INDEX(samples!$F:$F, MATCH(B72, samples!$A:$A, 0), 1)</f>
        <v>0</v>
      </c>
      <c r="R72" s="49" t="str">
        <f aca="false">INDEX(samples!$C:$C, MATCH(B72, samples!$A:$A, 0), 1)</f>
        <v>UNK</v>
      </c>
      <c r="S72" s="50" t="str">
        <f aca="false">INDEX(samples!$D:$D,MATCH(B72, samples!$A:$A,0),1)</f>
        <v>blood</v>
      </c>
      <c r="T72" s="51" t="s">
        <v>36</v>
      </c>
      <c r="V72" s="33" t="s">
        <v>427</v>
      </c>
      <c r="X72" s="8"/>
      <c r="Y72" s="8" t="s">
        <v>3150</v>
      </c>
      <c r="Z72" s="8" t="s">
        <v>1002</v>
      </c>
      <c r="AA72" s="8" t="s">
        <v>1002</v>
      </c>
      <c r="AB72" s="8" t="s">
        <v>1002</v>
      </c>
    </row>
    <row r="73" customFormat="false" ht="13.8" hidden="false" customHeight="false" outlineLevel="0" collapsed="false">
      <c r="A73" s="48" t="s">
        <v>3223</v>
      </c>
      <c r="B73" s="41" t="s">
        <v>1717</v>
      </c>
      <c r="C73" s="0" t="s">
        <v>3147</v>
      </c>
      <c r="D73" s="0" t="s">
        <v>3148</v>
      </c>
      <c r="H73" s="0" t="s">
        <v>3149</v>
      </c>
      <c r="I73" s="0" t="s">
        <v>3150</v>
      </c>
      <c r="J73" s="0" t="s">
        <v>427</v>
      </c>
      <c r="K73" s="0" t="s">
        <v>427</v>
      </c>
      <c r="M73" s="44" t="str">
        <f aca="false">INDEX(fastqs!$A:$A, MATCH(A73, fastqs!$B:$B, 0), 1)</f>
        <v>2_2NC59F_R1.fastq.gz</v>
      </c>
      <c r="N73" s="44" t="str">
        <f aca="false">INDEX(fastqs!$C:$C, MATCH(A73, fastqs!$B:$B, 0), 1)</f>
        <v>GET</v>
      </c>
      <c r="O73" s="44" t="str">
        <f aca="false">INDEX(samples!$B:$B, MATCH(B73, samples!$A:$A, 0), 1)</f>
        <v>par0117</v>
      </c>
      <c r="P73" s="44" t="e">
        <f aca="false">INDEX(participants!$I:$I, MATCH(O73, participants!$A:$A, 0), 1)</f>
        <v>#N/A</v>
      </c>
      <c r="Q73" s="44" t="n">
        <f aca="false">INDEX(samples!$F:$F, MATCH(B73, samples!$A:$A, 0), 1)</f>
        <v>0</v>
      </c>
      <c r="R73" s="49" t="str">
        <f aca="false">INDEX(samples!$C:$C, MATCH(B73, samples!$A:$A, 0), 1)</f>
        <v>UNK</v>
      </c>
      <c r="S73" s="50" t="str">
        <f aca="false">INDEX(samples!$D:$D,MATCH(B73, samples!$A:$A,0),1)</f>
        <v>blood</v>
      </c>
      <c r="T73" s="51" t="s">
        <v>427</v>
      </c>
      <c r="V73" s="33" t="s">
        <v>427</v>
      </c>
      <c r="X73" s="8"/>
      <c r="Y73" s="8" t="s">
        <v>3150</v>
      </c>
      <c r="Z73" s="8" t="s">
        <v>1002</v>
      </c>
      <c r="AA73" s="8" t="s">
        <v>1002</v>
      </c>
      <c r="AB73" s="8" t="s">
        <v>1002</v>
      </c>
    </row>
    <row r="74" customFormat="false" ht="13.8" hidden="false" customHeight="false" outlineLevel="0" collapsed="false">
      <c r="A74" s="48" t="s">
        <v>3224</v>
      </c>
      <c r="B74" s="41" t="s">
        <v>1860</v>
      </c>
      <c r="C74" s="0" t="s">
        <v>1824</v>
      </c>
      <c r="D74" s="0" t="s">
        <v>3148</v>
      </c>
      <c r="H74" s="0" t="s">
        <v>3149</v>
      </c>
      <c r="I74" s="0" t="s">
        <v>3150</v>
      </c>
      <c r="J74" s="0" t="s">
        <v>427</v>
      </c>
      <c r="K74" s="0" t="s">
        <v>427</v>
      </c>
      <c r="M74" s="44" t="str">
        <f aca="false">INDEX(fastqs!$A:$A, MATCH(A74, fastqs!$B:$B, 0), 1)</f>
        <v>43_IsLe_Tumor_DNA_R1.fastq.gz</v>
      </c>
      <c r="N74" s="44" t="str">
        <f aca="false">INDEX(fastqs!$C:$C, MATCH(A74, fastqs!$B:$B, 0), 1)</f>
        <v>GET</v>
      </c>
      <c r="O74" s="44" t="str">
        <f aca="false">INDEX(samples!$B:$B, MATCH(B74, samples!$A:$A, 0), 1)</f>
        <v>par0129</v>
      </c>
      <c r="P74" s="44" t="e">
        <f aca="false">INDEX(participants!$I:$I, MATCH(O74, participants!$A:$A, 0), 1)</f>
        <v>#N/A</v>
      </c>
      <c r="Q74" s="44" t="n">
        <f aca="false">INDEX(samples!$F:$F, MATCH(B74, samples!$A:$A, 0), 1)</f>
        <v>0</v>
      </c>
      <c r="R74" s="49" t="str">
        <f aca="false">INDEX(samples!$C:$C, MATCH(B74, samples!$A:$A, 0), 1)</f>
        <v>2019-02-25</v>
      </c>
      <c r="S74" s="50" t="str">
        <f aca="false">INDEX(samples!$D:$D,MATCH(B74, samples!$A:$A,0),1)</f>
        <v>tumor</v>
      </c>
      <c r="T74" s="51" t="s">
        <v>36</v>
      </c>
      <c r="V74" s="33" t="s">
        <v>427</v>
      </c>
      <c r="X74" s="8"/>
      <c r="Y74" s="8" t="s">
        <v>3150</v>
      </c>
      <c r="Z74" s="8" t="s">
        <v>1002</v>
      </c>
      <c r="AA74" s="8" t="s">
        <v>1002</v>
      </c>
      <c r="AB74" s="8" t="s">
        <v>1002</v>
      </c>
    </row>
    <row r="75" customFormat="false" ht="13.8" hidden="false" customHeight="false" outlineLevel="0" collapsed="false">
      <c r="A75" s="48" t="s">
        <v>3225</v>
      </c>
      <c r="B75" s="41" t="s">
        <v>2012</v>
      </c>
      <c r="C75" s="0" t="s">
        <v>3215</v>
      </c>
      <c r="D75" s="0" t="s">
        <v>3148</v>
      </c>
      <c r="H75" s="0" t="s">
        <v>3149</v>
      </c>
      <c r="I75" s="0" t="s">
        <v>3150</v>
      </c>
      <c r="J75" s="0" t="s">
        <v>427</v>
      </c>
      <c r="K75" s="0" t="s">
        <v>427</v>
      </c>
      <c r="M75" s="44" t="str">
        <f aca="false">INDEX(fastqs!$A:$A, MATCH(A75, fastqs!$B:$B, 0), 1)</f>
        <v>38_g2_084_R1.fastq.gz</v>
      </c>
      <c r="N75" s="44" t="str">
        <f aca="false">INDEX(fastqs!$C:$C, MATCH(A75, fastqs!$B:$B, 0), 1)</f>
        <v>GET</v>
      </c>
      <c r="O75" s="44" t="str">
        <f aca="false">INDEX(samples!$B:$B, MATCH(B75, samples!$A:$A, 0), 1)</f>
        <v>par0004</v>
      </c>
      <c r="P75" s="44" t="str">
        <f aca="false">INDEX(participants!$I:$I, MATCH(O75, participants!$A:$A, 0), 1)</f>
        <v>2084j</v>
      </c>
      <c r="Q75" s="44" t="n">
        <f aca="false">INDEX(samples!$F:$F, MATCH(B75, samples!$A:$A, 0), 1)</f>
        <v>0</v>
      </c>
      <c r="R75" s="49" t="str">
        <f aca="false">INDEX(samples!$C:$C, MATCH(B75, samples!$A:$A, 0), 1)</f>
        <v>UNK</v>
      </c>
      <c r="S75" s="50" t="str">
        <f aca="false">INDEX(samples!$D:$D,MATCH(B75, samples!$A:$A,0),1)</f>
        <v>blood</v>
      </c>
      <c r="T75" s="51" t="s">
        <v>36</v>
      </c>
      <c r="V75" s="33" t="s">
        <v>427</v>
      </c>
      <c r="X75" s="8"/>
      <c r="Y75" s="8" t="s">
        <v>3150</v>
      </c>
      <c r="Z75" s="8" t="s">
        <v>1002</v>
      </c>
      <c r="AA75" s="8" t="s">
        <v>1002</v>
      </c>
      <c r="AB75" s="8" t="s">
        <v>1002</v>
      </c>
    </row>
    <row r="76" customFormat="false" ht="13.8" hidden="false" customHeight="false" outlineLevel="0" collapsed="false">
      <c r="A76" s="48" t="s">
        <v>3226</v>
      </c>
      <c r="B76" s="41" t="s">
        <v>2014</v>
      </c>
      <c r="C76" s="0" t="s">
        <v>1824</v>
      </c>
      <c r="D76" s="0" t="s">
        <v>3148</v>
      </c>
      <c r="H76" s="0" t="s">
        <v>3149</v>
      </c>
      <c r="I76" s="0" t="s">
        <v>3150</v>
      </c>
      <c r="J76" s="0" t="s">
        <v>427</v>
      </c>
      <c r="K76" s="0" t="s">
        <v>427</v>
      </c>
      <c r="M76" s="44" t="str">
        <f aca="false">INDEX(fastqs!$A:$A, MATCH(A76, fastqs!$B:$B, 0), 1)</f>
        <v>19_2_084_R1.fastq.gz</v>
      </c>
      <c r="N76" s="44" t="str">
        <f aca="false">INDEX(fastqs!$C:$C, MATCH(A76, fastqs!$B:$B, 0), 1)</f>
        <v>GET</v>
      </c>
      <c r="O76" s="44" t="str">
        <f aca="false">INDEX(samples!$B:$B, MATCH(B76, samples!$A:$A, 0), 1)</f>
        <v>par0004</v>
      </c>
      <c r="P76" s="44" t="str">
        <f aca="false">INDEX(participants!$I:$I, MATCH(O76, participants!$A:$A, 0), 1)</f>
        <v>2084j</v>
      </c>
      <c r="Q76" s="44" t="n">
        <f aca="false">INDEX(samples!$F:$F, MATCH(B76, samples!$A:$A, 0), 1)</f>
        <v>0</v>
      </c>
      <c r="R76" s="49" t="str">
        <f aca="false">INDEX(samples!$C:$C, MATCH(B76, samples!$A:$A, 0), 1)</f>
        <v>UNK</v>
      </c>
      <c r="S76" s="50" t="str">
        <f aca="false">INDEX(samples!$D:$D,MATCH(B76, samples!$A:$A,0),1)</f>
        <v>tumor</v>
      </c>
      <c r="T76" s="51" t="s">
        <v>36</v>
      </c>
      <c r="V76" s="33" t="s">
        <v>427</v>
      </c>
      <c r="X76" s="8"/>
      <c r="Y76" s="8" t="s">
        <v>3150</v>
      </c>
      <c r="Z76" s="8" t="s">
        <v>1002</v>
      </c>
      <c r="AA76" s="8" t="s">
        <v>1002</v>
      </c>
      <c r="AB76" s="8" t="s">
        <v>1002</v>
      </c>
    </row>
    <row r="77" customFormat="false" ht="13.8" hidden="false" customHeight="false" outlineLevel="0" collapsed="false">
      <c r="A77" s="48" t="s">
        <v>3227</v>
      </c>
      <c r="B77" s="41" t="s">
        <v>1725</v>
      </c>
      <c r="C77" s="0" t="s">
        <v>3147</v>
      </c>
      <c r="D77" s="0" t="s">
        <v>3148</v>
      </c>
      <c r="H77" s="0" t="s">
        <v>3149</v>
      </c>
      <c r="I77" s="0" t="s">
        <v>3150</v>
      </c>
      <c r="J77" s="0" t="s">
        <v>427</v>
      </c>
      <c r="K77" s="0" t="s">
        <v>427</v>
      </c>
      <c r="M77" s="44" t="str">
        <f aca="false">INDEX(fastqs!$A:$A, MATCH(A77, fastqs!$B:$B, 0), 1)</f>
        <v>6_6NC23F_R1.fastq.gz</v>
      </c>
      <c r="N77" s="44" t="str">
        <f aca="false">INDEX(fastqs!$C:$C, MATCH(A77, fastqs!$B:$B, 0), 1)</f>
        <v>GET</v>
      </c>
      <c r="O77" s="44" t="str">
        <f aca="false">INDEX(samples!$B:$B, MATCH(B77, samples!$A:$A, 0), 1)</f>
        <v>par0120</v>
      </c>
      <c r="P77" s="44" t="e">
        <f aca="false">INDEX(participants!$I:$I, MATCH(O77, participants!$A:$A, 0), 1)</f>
        <v>#N/A</v>
      </c>
      <c r="Q77" s="44" t="n">
        <f aca="false">INDEX(samples!$F:$F, MATCH(B77, samples!$A:$A, 0), 1)</f>
        <v>0</v>
      </c>
      <c r="R77" s="49" t="str">
        <f aca="false">INDEX(samples!$C:$C, MATCH(B77, samples!$A:$A, 0), 1)</f>
        <v>UNK</v>
      </c>
      <c r="S77" s="50" t="str">
        <f aca="false">INDEX(samples!$D:$D,MATCH(B77, samples!$A:$A,0),1)</f>
        <v>blood</v>
      </c>
      <c r="T77" s="51" t="s">
        <v>427</v>
      </c>
      <c r="V77" s="33" t="s">
        <v>427</v>
      </c>
      <c r="X77" s="8"/>
      <c r="Y77" s="8" t="s">
        <v>3150</v>
      </c>
      <c r="Z77" s="8" t="s">
        <v>1002</v>
      </c>
      <c r="AA77" s="8" t="s">
        <v>1002</v>
      </c>
      <c r="AB77" s="8" t="s">
        <v>1002</v>
      </c>
    </row>
    <row r="78" customFormat="false" ht="13.8" hidden="false" customHeight="false" outlineLevel="0" collapsed="false">
      <c r="A78" s="48" t="s">
        <v>3228</v>
      </c>
      <c r="B78" s="41" t="s">
        <v>2032</v>
      </c>
      <c r="C78" s="0" t="s">
        <v>3215</v>
      </c>
      <c r="D78" s="0" t="s">
        <v>3148</v>
      </c>
      <c r="H78" s="0" t="s">
        <v>3149</v>
      </c>
      <c r="I78" s="0" t="s">
        <v>3150</v>
      </c>
      <c r="J78" s="0" t="s">
        <v>427</v>
      </c>
      <c r="K78" s="0" t="s">
        <v>427</v>
      </c>
      <c r="M78" s="44" t="str">
        <f aca="false">INDEX(fastqs!$A:$A, MATCH(A78, fastqs!$B:$B, 0), 1)</f>
        <v>27_g9NC48M_R1.fastq.gz</v>
      </c>
      <c r="N78" s="44" t="str">
        <f aca="false">INDEX(fastqs!$C:$C, MATCH(A78, fastqs!$B:$B, 0), 1)</f>
        <v>GET</v>
      </c>
      <c r="O78" s="44" t="str">
        <f aca="false">INDEX(samples!$B:$B, MATCH(B78, samples!$A:$A, 0), 1)</f>
        <v>par0123</v>
      </c>
      <c r="P78" s="44" t="e">
        <f aca="false">INDEX(participants!$I:$I, MATCH(O78, participants!$A:$A, 0), 1)</f>
        <v>#N/A</v>
      </c>
      <c r="Q78" s="44" t="n">
        <f aca="false">INDEX(samples!$F:$F, MATCH(B78, samples!$A:$A, 0), 1)</f>
        <v>0</v>
      </c>
      <c r="R78" s="49" t="str">
        <f aca="false">INDEX(samples!$C:$C, MATCH(B78, samples!$A:$A, 0), 1)</f>
        <v>UNK</v>
      </c>
      <c r="S78" s="50" t="str">
        <f aca="false">INDEX(samples!$D:$D,MATCH(B78, samples!$A:$A,0),1)</f>
        <v>blood</v>
      </c>
      <c r="T78" s="51" t="s">
        <v>36</v>
      </c>
      <c r="V78" s="33" t="s">
        <v>427</v>
      </c>
      <c r="X78" s="8"/>
      <c r="Y78" s="8" t="s">
        <v>3150</v>
      </c>
      <c r="Z78" s="8" t="s">
        <v>1002</v>
      </c>
      <c r="AA78" s="8" t="s">
        <v>1002</v>
      </c>
      <c r="AB78" s="8" t="s">
        <v>1002</v>
      </c>
    </row>
    <row r="79" customFormat="false" ht="13.8" hidden="false" customHeight="false" outlineLevel="0" collapsed="false">
      <c r="A79" s="48" t="s">
        <v>3229</v>
      </c>
      <c r="B79" s="41" t="s">
        <v>2033</v>
      </c>
      <c r="C79" s="0" t="s">
        <v>3215</v>
      </c>
      <c r="D79" s="0" t="s">
        <v>3148</v>
      </c>
      <c r="H79" s="0" t="s">
        <v>3149</v>
      </c>
      <c r="I79" s="0" t="s">
        <v>3150</v>
      </c>
      <c r="J79" s="0" t="s">
        <v>427</v>
      </c>
      <c r="K79" s="0" t="s">
        <v>427</v>
      </c>
      <c r="M79" s="44" t="str">
        <f aca="false">INDEX(fastqs!$A:$A, MATCH(A79, fastqs!$B:$B, 0), 1)</f>
        <v>37_g2_082_R1.fastq.gz</v>
      </c>
      <c r="N79" s="44" t="str">
        <f aca="false">INDEX(fastqs!$C:$C, MATCH(A79, fastqs!$B:$B, 0), 1)</f>
        <v>GET</v>
      </c>
      <c r="O79" s="44" t="str">
        <f aca="false">INDEX(samples!$B:$B, MATCH(B79, samples!$A:$A, 0), 1)</f>
        <v>par0005</v>
      </c>
      <c r="P79" s="44" t="str">
        <f aca="false">INDEX(participants!$I:$I, MATCH(O79, participants!$A:$A, 0), 1)</f>
        <v>2082j</v>
      </c>
      <c r="Q79" s="44" t="n">
        <f aca="false">INDEX(samples!$F:$F, MATCH(B79, samples!$A:$A, 0), 1)</f>
        <v>0</v>
      </c>
      <c r="R79" s="49" t="str">
        <f aca="false">INDEX(samples!$C:$C, MATCH(B79, samples!$A:$A, 0), 1)</f>
        <v>UNK</v>
      </c>
      <c r="S79" s="50" t="str">
        <f aca="false">INDEX(samples!$D:$D,MATCH(B79, samples!$A:$A,0),1)</f>
        <v>blood</v>
      </c>
      <c r="T79" s="51" t="s">
        <v>36</v>
      </c>
      <c r="V79" s="33" t="s">
        <v>427</v>
      </c>
      <c r="X79" s="8"/>
      <c r="Y79" s="8" t="s">
        <v>3150</v>
      </c>
      <c r="Z79" s="8" t="s">
        <v>1002</v>
      </c>
      <c r="AA79" s="8" t="s">
        <v>1002</v>
      </c>
      <c r="AB79" s="8" t="s">
        <v>1002</v>
      </c>
    </row>
    <row r="80" customFormat="false" ht="13.8" hidden="false" customHeight="false" outlineLevel="0" collapsed="false">
      <c r="A80" s="48" t="s">
        <v>3230</v>
      </c>
      <c r="B80" s="41" t="s">
        <v>2019</v>
      </c>
      <c r="C80" s="0" t="s">
        <v>3215</v>
      </c>
      <c r="D80" s="0" t="s">
        <v>3148</v>
      </c>
      <c r="H80" s="0" t="s">
        <v>3149</v>
      </c>
      <c r="I80" s="0" t="s">
        <v>3150</v>
      </c>
      <c r="J80" s="0" t="s">
        <v>427</v>
      </c>
      <c r="K80" s="0" t="s">
        <v>427</v>
      </c>
      <c r="M80" s="44" t="str">
        <f aca="false">INDEX(fastqs!$A:$A, MATCH(A80, fastqs!$B:$B, 0), 1)</f>
        <v>28_g10NC60M_R1.fastq.gz</v>
      </c>
      <c r="N80" s="44" t="str">
        <f aca="false">INDEX(fastqs!$C:$C, MATCH(A80, fastqs!$B:$B, 0), 1)</f>
        <v>GET</v>
      </c>
      <c r="O80" s="44" t="str">
        <f aca="false">INDEX(samples!$B:$B, MATCH(B80, samples!$A:$A, 0), 1)</f>
        <v>par0110</v>
      </c>
      <c r="P80" s="44" t="e">
        <f aca="false">INDEX(participants!$I:$I, MATCH(O80, participants!$A:$A, 0), 1)</f>
        <v>#N/A</v>
      </c>
      <c r="Q80" s="44" t="n">
        <f aca="false">INDEX(samples!$F:$F, MATCH(B80, samples!$A:$A, 0), 1)</f>
        <v>0</v>
      </c>
      <c r="R80" s="49" t="str">
        <f aca="false">INDEX(samples!$C:$C, MATCH(B80, samples!$A:$A, 0), 1)</f>
        <v>UNK</v>
      </c>
      <c r="S80" s="50" t="str">
        <f aca="false">INDEX(samples!$D:$D,MATCH(B80, samples!$A:$A,0),1)</f>
        <v>blood</v>
      </c>
      <c r="T80" s="51" t="s">
        <v>36</v>
      </c>
      <c r="V80" s="33" t="s">
        <v>427</v>
      </c>
      <c r="X80" s="8"/>
      <c r="Y80" s="8" t="s">
        <v>3150</v>
      </c>
      <c r="Z80" s="8" t="s">
        <v>1002</v>
      </c>
      <c r="AA80" s="8" t="s">
        <v>1002</v>
      </c>
      <c r="AB80" s="8" t="s">
        <v>1002</v>
      </c>
    </row>
    <row r="81" customFormat="false" ht="13.8" hidden="false" customHeight="false" outlineLevel="0" collapsed="false">
      <c r="A81" s="48" t="s">
        <v>3231</v>
      </c>
      <c r="B81" s="41" t="s">
        <v>1702</v>
      </c>
      <c r="C81" s="0" t="s">
        <v>3147</v>
      </c>
      <c r="D81" s="0" t="s">
        <v>3148</v>
      </c>
      <c r="H81" s="0" t="s">
        <v>3149</v>
      </c>
      <c r="I81" s="0" t="s">
        <v>3150</v>
      </c>
      <c r="J81" s="0" t="s">
        <v>427</v>
      </c>
      <c r="K81" s="0" t="s">
        <v>427</v>
      </c>
      <c r="M81" s="44" t="str">
        <f aca="false">INDEX(fastqs!$A:$A, MATCH(A81, fastqs!$B:$B, 0), 1)</f>
        <v>13_13NC25F_R1.fastq.gz</v>
      </c>
      <c r="N81" s="44" t="str">
        <f aca="false">INDEX(fastqs!$C:$C, MATCH(A81, fastqs!$B:$B, 0), 1)</f>
        <v>GET</v>
      </c>
      <c r="O81" s="44" t="str">
        <f aca="false">INDEX(samples!$B:$B, MATCH(B81, samples!$A:$A, 0), 1)</f>
        <v>par0113</v>
      </c>
      <c r="P81" s="44" t="e">
        <f aca="false">INDEX(participants!$I:$I, MATCH(O81, participants!$A:$A, 0), 1)</f>
        <v>#N/A</v>
      </c>
      <c r="Q81" s="44" t="n">
        <f aca="false">INDEX(samples!$F:$F, MATCH(B81, samples!$A:$A, 0), 1)</f>
        <v>0</v>
      </c>
      <c r="R81" s="49" t="str">
        <f aca="false">INDEX(samples!$C:$C, MATCH(B81, samples!$A:$A, 0), 1)</f>
        <v>UNK</v>
      </c>
      <c r="S81" s="50" t="str">
        <f aca="false">INDEX(samples!$D:$D,MATCH(B81, samples!$A:$A,0),1)</f>
        <v>blood</v>
      </c>
      <c r="T81" s="51" t="s">
        <v>427</v>
      </c>
      <c r="V81" s="33" t="s">
        <v>427</v>
      </c>
      <c r="X81" s="8"/>
      <c r="Y81" s="8" t="s">
        <v>3150</v>
      </c>
      <c r="Z81" s="8" t="s">
        <v>1002</v>
      </c>
      <c r="AA81" s="8" t="s">
        <v>1002</v>
      </c>
      <c r="AB81" s="8" t="s">
        <v>1002</v>
      </c>
    </row>
    <row r="82" customFormat="false" ht="13.8" hidden="false" customHeight="false" outlineLevel="0" collapsed="false">
      <c r="A82" s="48" t="s">
        <v>3232</v>
      </c>
      <c r="B82" s="41" t="s">
        <v>2027</v>
      </c>
      <c r="C82" s="0" t="s">
        <v>3215</v>
      </c>
      <c r="D82" s="0" t="s">
        <v>3148</v>
      </c>
      <c r="H82" s="0" t="s">
        <v>3149</v>
      </c>
      <c r="I82" s="0" t="s">
        <v>3150</v>
      </c>
      <c r="J82" s="0" t="s">
        <v>427</v>
      </c>
      <c r="K82" s="0" t="s">
        <v>427</v>
      </c>
      <c r="M82" s="44" t="str">
        <f aca="false">INDEX(fastqs!$A:$A, MATCH(A82, fastqs!$B:$B, 0), 1)</f>
        <v>35_g2_055_R1.fastq.gz</v>
      </c>
      <c r="N82" s="44" t="str">
        <f aca="false">INDEX(fastqs!$C:$C, MATCH(A82, fastqs!$B:$B, 0), 1)</f>
        <v>GET</v>
      </c>
      <c r="O82" s="44" t="str">
        <f aca="false">INDEX(samples!$B:$B, MATCH(B82, samples!$A:$A, 0), 1)</f>
        <v>par0003</v>
      </c>
      <c r="P82" s="44" t="str">
        <f aca="false">INDEX(participants!$I:$I, MATCH(O82, participants!$A:$A, 0), 1)</f>
        <v>2055j</v>
      </c>
      <c r="Q82" s="44" t="n">
        <f aca="false">INDEX(samples!$F:$F, MATCH(B82, samples!$A:$A, 0), 1)</f>
        <v>0</v>
      </c>
      <c r="R82" s="49" t="str">
        <f aca="false">INDEX(samples!$C:$C, MATCH(B82, samples!$A:$A, 0), 1)</f>
        <v>UNK</v>
      </c>
      <c r="S82" s="50" t="str">
        <f aca="false">INDEX(samples!$D:$D,MATCH(B82, samples!$A:$A,0),1)</f>
        <v>blood</v>
      </c>
      <c r="T82" s="51" t="s">
        <v>36</v>
      </c>
      <c r="V82" s="33" t="s">
        <v>427</v>
      </c>
      <c r="X82" s="8"/>
      <c r="Y82" s="8" t="s">
        <v>3150</v>
      </c>
      <c r="Z82" s="8" t="s">
        <v>1002</v>
      </c>
      <c r="AA82" s="8" t="s">
        <v>1002</v>
      </c>
      <c r="AB82" s="8" t="s">
        <v>1002</v>
      </c>
    </row>
    <row r="83" customFormat="false" ht="13.8" hidden="false" customHeight="false" outlineLevel="0" collapsed="false">
      <c r="A83" s="48" t="s">
        <v>3233</v>
      </c>
      <c r="B83" s="41" t="s">
        <v>1822</v>
      </c>
      <c r="C83" s="0" t="s">
        <v>1824</v>
      </c>
      <c r="D83" s="0" t="s">
        <v>3148</v>
      </c>
      <c r="H83" s="0" t="s">
        <v>3149</v>
      </c>
      <c r="I83" s="0" t="s">
        <v>3150</v>
      </c>
      <c r="J83" s="0" t="s">
        <v>3234</v>
      </c>
      <c r="K83" s="0" t="s">
        <v>427</v>
      </c>
      <c r="M83" s="44" t="str">
        <f aca="false">INDEX(fastqs!$A:$A, MATCH(A83, fastqs!$B:$B, 0), 1)</f>
        <v>41_NCI0297Tumor1_gDNA_R1.fastq.gz</v>
      </c>
      <c r="N83" s="44" t="str">
        <f aca="false">INDEX(fastqs!$C:$C, MATCH(A83, fastqs!$B:$B, 0), 1)</f>
        <v>GET</v>
      </c>
      <c r="O83" s="44" t="str">
        <f aca="false">INDEX(samples!$B:$B, MATCH(B83, samples!$A:$A, 0), 1)</f>
        <v>par0035</v>
      </c>
      <c r="P83" s="44" t="str">
        <f aca="false">INDEX(participants!$I:$I, MATCH(O83, participants!$A:$A, 0), 1)</f>
        <v>js0054</v>
      </c>
      <c r="Q83" s="44" t="n">
        <f aca="false">INDEX(samples!$F:$F, MATCH(B83, samples!$A:$A, 0), 1)</f>
        <v>0</v>
      </c>
      <c r="R83" s="49" t="str">
        <f aca="false">INDEX(samples!$C:$C, MATCH(B83, samples!$A:$A, 0), 1)</f>
        <v>2015-09-17</v>
      </c>
      <c r="S83" s="50" t="str">
        <f aca="false">INDEX(samples!$D:$D,MATCH(B83, samples!$A:$A,0),1)</f>
        <v>tumor</v>
      </c>
      <c r="T83" s="51" t="s">
        <v>36</v>
      </c>
      <c r="V83" s="33" t="s">
        <v>427</v>
      </c>
      <c r="X83" s="8"/>
      <c r="Y83" s="8" t="s">
        <v>1002</v>
      </c>
      <c r="Z83" s="8" t="s">
        <v>1002</v>
      </c>
      <c r="AA83" s="8" t="s">
        <v>1002</v>
      </c>
      <c r="AB83" s="8" t="s">
        <v>1002</v>
      </c>
    </row>
    <row r="84" customFormat="false" ht="13.8" hidden="false" customHeight="false" outlineLevel="0" collapsed="false">
      <c r="A84" s="48" t="s">
        <v>3235</v>
      </c>
      <c r="B84" s="41" t="s">
        <v>2018</v>
      </c>
      <c r="C84" s="0" t="s">
        <v>3215</v>
      </c>
      <c r="D84" s="0" t="s">
        <v>3148</v>
      </c>
      <c r="H84" s="0" t="s">
        <v>3149</v>
      </c>
      <c r="I84" s="0" t="s">
        <v>3150</v>
      </c>
      <c r="J84" s="0" t="s">
        <v>427</v>
      </c>
      <c r="K84" s="0" t="s">
        <v>427</v>
      </c>
      <c r="M84" s="44" t="str">
        <f aca="false">INDEX(fastqs!$A:$A, MATCH(A84, fastqs!$B:$B, 0), 1)</f>
        <v>29_g11NC61M_R1.fastq.gz</v>
      </c>
      <c r="N84" s="44" t="str">
        <f aca="false">INDEX(fastqs!$C:$C, MATCH(A84, fastqs!$B:$B, 0), 1)</f>
        <v>GET</v>
      </c>
      <c r="O84" s="44" t="str">
        <f aca="false">INDEX(samples!$B:$B, MATCH(B84, samples!$A:$A, 0), 1)</f>
        <v>par0111</v>
      </c>
      <c r="P84" s="44" t="e">
        <f aca="false">INDEX(participants!$I:$I, MATCH(O84, participants!$A:$A, 0), 1)</f>
        <v>#N/A</v>
      </c>
      <c r="Q84" s="44" t="n">
        <f aca="false">INDEX(samples!$F:$F, MATCH(B84, samples!$A:$A, 0), 1)</f>
        <v>0</v>
      </c>
      <c r="R84" s="49" t="str">
        <f aca="false">INDEX(samples!$C:$C, MATCH(B84, samples!$A:$A, 0), 1)</f>
        <v>UNK</v>
      </c>
      <c r="S84" s="50" t="str">
        <f aca="false">INDEX(samples!$D:$D,MATCH(B84, samples!$A:$A,0),1)</f>
        <v>blood</v>
      </c>
      <c r="T84" s="51" t="s">
        <v>36</v>
      </c>
      <c r="V84" s="33" t="s">
        <v>427</v>
      </c>
      <c r="X84" s="8"/>
      <c r="Y84" s="8" t="s">
        <v>3150</v>
      </c>
      <c r="Z84" s="8" t="s">
        <v>1002</v>
      </c>
      <c r="AA84" s="8" t="s">
        <v>1002</v>
      </c>
      <c r="AB84" s="8" t="s">
        <v>1002</v>
      </c>
    </row>
    <row r="85" customFormat="false" ht="13.8" hidden="false" customHeight="false" outlineLevel="0" collapsed="false">
      <c r="A85" s="48" t="s">
        <v>3236</v>
      </c>
      <c r="B85" s="41" t="s">
        <v>1825</v>
      </c>
      <c r="C85" s="0" t="s">
        <v>3215</v>
      </c>
      <c r="D85" s="0" t="s">
        <v>3148</v>
      </c>
      <c r="H85" s="0" t="s">
        <v>3149</v>
      </c>
      <c r="I85" s="0" t="s">
        <v>3150</v>
      </c>
      <c r="J85" s="0" t="s">
        <v>3237</v>
      </c>
      <c r="K85" s="0" t="s">
        <v>427</v>
      </c>
      <c r="M85" s="44" t="str">
        <f aca="false">INDEX(fastqs!$A:$A, MATCH(A85, fastqs!$B:$B, 0), 1)</f>
        <v>22_gNCI029Tumor1_R1.fastq.gz</v>
      </c>
      <c r="N85" s="44" t="str">
        <f aca="false">INDEX(fastqs!$C:$C, MATCH(A85, fastqs!$B:$B, 0), 1)</f>
        <v>GET</v>
      </c>
      <c r="O85" s="44" t="str">
        <f aca="false">INDEX(samples!$B:$B, MATCH(B85, samples!$A:$A, 0), 1)</f>
        <v>par0035</v>
      </c>
      <c r="P85" s="44" t="str">
        <f aca="false">INDEX(participants!$I:$I, MATCH(O85, participants!$A:$A, 0), 1)</f>
        <v>js0054</v>
      </c>
      <c r="Q85" s="44" t="n">
        <f aca="false">INDEX(samples!$F:$F, MATCH(B85, samples!$A:$A, 0), 1)</f>
        <v>0</v>
      </c>
      <c r="R85" s="49" t="str">
        <f aca="false">INDEX(samples!$C:$C, MATCH(B85, samples!$A:$A, 0), 1)</f>
        <v>2015-09-17</v>
      </c>
      <c r="S85" s="50" t="str">
        <f aca="false">INDEX(samples!$D:$D,MATCH(B85, samples!$A:$A,0),1)</f>
        <v>blood</v>
      </c>
      <c r="T85" s="51" t="s">
        <v>36</v>
      </c>
      <c r="V85" s="33" t="s">
        <v>427</v>
      </c>
      <c r="X85" s="8"/>
      <c r="Y85" s="8" t="s">
        <v>1002</v>
      </c>
      <c r="Z85" s="8" t="s">
        <v>1002</v>
      </c>
      <c r="AA85" s="8" t="s">
        <v>1002</v>
      </c>
      <c r="AB85" s="8" t="s">
        <v>1002</v>
      </c>
    </row>
    <row r="86" customFormat="false" ht="13.8" hidden="false" customHeight="false" outlineLevel="0" collapsed="false">
      <c r="A86" s="48" t="s">
        <v>3238</v>
      </c>
      <c r="B86" s="41" t="s">
        <v>1729</v>
      </c>
      <c r="C86" s="0" t="s">
        <v>3147</v>
      </c>
      <c r="D86" s="0" t="s">
        <v>3148</v>
      </c>
      <c r="H86" s="0" t="s">
        <v>3149</v>
      </c>
      <c r="I86" s="0" t="s">
        <v>3150</v>
      </c>
      <c r="J86" s="0" t="s">
        <v>427</v>
      </c>
      <c r="K86" s="0" t="s">
        <v>427</v>
      </c>
      <c r="M86" s="44" t="str">
        <f aca="false">INDEX(fastqs!$A:$A, MATCH(A86, fastqs!$B:$B, 0), 1)</f>
        <v>7_7NC33M_R1.fastq.gz</v>
      </c>
      <c r="N86" s="44" t="str">
        <f aca="false">INDEX(fastqs!$C:$C, MATCH(A86, fastqs!$B:$B, 0), 1)</f>
        <v>GET</v>
      </c>
      <c r="O86" s="44" t="str">
        <f aca="false">INDEX(samples!$B:$B, MATCH(B86, samples!$A:$A, 0), 1)</f>
        <v>par0121</v>
      </c>
      <c r="P86" s="44" t="e">
        <f aca="false">INDEX(participants!$I:$I, MATCH(O86, participants!$A:$A, 0), 1)</f>
        <v>#N/A</v>
      </c>
      <c r="Q86" s="44" t="n">
        <f aca="false">INDEX(samples!$F:$F, MATCH(B86, samples!$A:$A, 0), 1)</f>
        <v>0</v>
      </c>
      <c r="R86" s="49" t="str">
        <f aca="false">INDEX(samples!$C:$C, MATCH(B86, samples!$A:$A, 0), 1)</f>
        <v>UNK</v>
      </c>
      <c r="S86" s="50" t="str">
        <f aca="false">INDEX(samples!$D:$D,MATCH(B86, samples!$A:$A,0),1)</f>
        <v>blood</v>
      </c>
      <c r="T86" s="51" t="s">
        <v>427</v>
      </c>
      <c r="V86" s="33" t="s">
        <v>427</v>
      </c>
      <c r="X86" s="8"/>
      <c r="Y86" s="8" t="s">
        <v>3150</v>
      </c>
      <c r="Z86" s="8" t="s">
        <v>1002</v>
      </c>
      <c r="AA86" s="8" t="s">
        <v>1002</v>
      </c>
      <c r="AB86" s="8" t="s">
        <v>1002</v>
      </c>
    </row>
    <row r="87" customFormat="false" ht="13.8" hidden="false" customHeight="false" outlineLevel="0" collapsed="false">
      <c r="A87" s="48" t="s">
        <v>3239</v>
      </c>
      <c r="B87" s="41" t="s">
        <v>1721</v>
      </c>
      <c r="C87" s="0" t="s">
        <v>3147</v>
      </c>
      <c r="D87" s="0" t="s">
        <v>3148</v>
      </c>
      <c r="H87" s="0" t="s">
        <v>3149</v>
      </c>
      <c r="I87" s="0" t="s">
        <v>3150</v>
      </c>
      <c r="J87" s="0" t="s">
        <v>427</v>
      </c>
      <c r="K87" s="0" t="s">
        <v>427</v>
      </c>
      <c r="M87" s="44" t="str">
        <f aca="false">INDEX(fastqs!$A:$A, MATCH(A87, fastqs!$B:$B, 0), 1)</f>
        <v>5_5NC25M_R1.fastq.gz</v>
      </c>
      <c r="N87" s="44" t="str">
        <f aca="false">INDEX(fastqs!$C:$C, MATCH(A87, fastqs!$B:$B, 0), 1)</f>
        <v>GET</v>
      </c>
      <c r="O87" s="44" t="str">
        <f aca="false">INDEX(samples!$B:$B, MATCH(B87, samples!$A:$A, 0), 1)</f>
        <v>par0119</v>
      </c>
      <c r="P87" s="44" t="e">
        <f aca="false">INDEX(participants!$I:$I, MATCH(O87, participants!$A:$A, 0), 1)</f>
        <v>#N/A</v>
      </c>
      <c r="Q87" s="44" t="n">
        <f aca="false">INDEX(samples!$F:$F, MATCH(B87, samples!$A:$A, 0), 1)</f>
        <v>0</v>
      </c>
      <c r="R87" s="49" t="str">
        <f aca="false">INDEX(samples!$C:$C, MATCH(B87, samples!$A:$A, 0), 1)</f>
        <v>UNK</v>
      </c>
      <c r="S87" s="50" t="str">
        <f aca="false">INDEX(samples!$D:$D,MATCH(B87, samples!$A:$A,0),1)</f>
        <v>blood</v>
      </c>
      <c r="T87" s="51" t="s">
        <v>427</v>
      </c>
      <c r="V87" s="33" t="s">
        <v>427</v>
      </c>
      <c r="X87" s="8"/>
      <c r="Y87" s="8" t="s">
        <v>3150</v>
      </c>
      <c r="Z87" s="8" t="s">
        <v>1002</v>
      </c>
      <c r="AA87" s="8" t="s">
        <v>1002</v>
      </c>
      <c r="AB87" s="8" t="s">
        <v>1002</v>
      </c>
    </row>
    <row r="88" customFormat="false" ht="13.8" hidden="false" customHeight="false" outlineLevel="0" collapsed="false">
      <c r="A88" s="48" t="s">
        <v>3240</v>
      </c>
      <c r="B88" s="41" t="s">
        <v>1985</v>
      </c>
      <c r="C88" s="0" t="s">
        <v>1824</v>
      </c>
      <c r="D88" s="0" t="s">
        <v>3148</v>
      </c>
      <c r="H88" s="0" t="s">
        <v>3149</v>
      </c>
      <c r="I88" s="0" t="s">
        <v>3150</v>
      </c>
      <c r="J88" s="0" t="s">
        <v>427</v>
      </c>
      <c r="K88" s="0" t="s">
        <v>427</v>
      </c>
      <c r="M88" s="44" t="str">
        <f aca="false">INDEX(fastqs!$A:$A, MATCH(A88, fastqs!$B:$B, 0), 1)</f>
        <v>16_2_023_R1.fastq.gz</v>
      </c>
      <c r="N88" s="44" t="str">
        <f aca="false">INDEX(fastqs!$C:$C, MATCH(A88, fastqs!$B:$B, 0), 1)</f>
        <v>GET</v>
      </c>
      <c r="O88" s="44" t="str">
        <f aca="false">INDEX(samples!$B:$B, MATCH(B88, samples!$A:$A, 0), 1)</f>
        <v>par0008</v>
      </c>
      <c r="P88" s="44" t="str">
        <f aca="false">INDEX(participants!$I:$I, MATCH(O88, participants!$A:$A, 0), 1)</f>
        <v>2023j</v>
      </c>
      <c r="Q88" s="44" t="n">
        <f aca="false">INDEX(samples!$F:$F, MATCH(B88, samples!$A:$A, 0), 1)</f>
        <v>0</v>
      </c>
      <c r="R88" s="49" t="str">
        <f aca="false">INDEX(samples!$C:$C, MATCH(B88, samples!$A:$A, 0), 1)</f>
        <v>UNK</v>
      </c>
      <c r="S88" s="50" t="str">
        <f aca="false">INDEX(samples!$D:$D,MATCH(B88, samples!$A:$A,0),1)</f>
        <v>tumor</v>
      </c>
      <c r="T88" s="51" t="s">
        <v>36</v>
      </c>
      <c r="V88" s="33" t="s">
        <v>427</v>
      </c>
      <c r="X88" s="8"/>
      <c r="Y88" s="8" t="s">
        <v>3150</v>
      </c>
      <c r="Z88" s="8" t="s">
        <v>1002</v>
      </c>
      <c r="AA88" s="8" t="s">
        <v>1002</v>
      </c>
      <c r="AB88" s="8" t="s">
        <v>1002</v>
      </c>
    </row>
    <row r="89" customFormat="false" ht="13.8" hidden="false" customHeight="false" outlineLevel="0" collapsed="false">
      <c r="A89" s="48" t="s">
        <v>3241</v>
      </c>
      <c r="B89" s="41" t="s">
        <v>1719</v>
      </c>
      <c r="C89" s="0" t="s">
        <v>3147</v>
      </c>
      <c r="D89" s="0" t="s">
        <v>3148</v>
      </c>
      <c r="H89" s="0" t="s">
        <v>3149</v>
      </c>
      <c r="I89" s="0" t="s">
        <v>3150</v>
      </c>
      <c r="J89" s="0" t="s">
        <v>427</v>
      </c>
      <c r="K89" s="0" t="s">
        <v>427</v>
      </c>
      <c r="M89" s="44" t="str">
        <f aca="false">INDEX(fastqs!$A:$A, MATCH(A89, fastqs!$B:$B, 0), 1)</f>
        <v>4_4NC58F_R1.fastq.gz</v>
      </c>
      <c r="N89" s="44" t="str">
        <f aca="false">INDEX(fastqs!$C:$C, MATCH(A89, fastqs!$B:$B, 0), 1)</f>
        <v>GET</v>
      </c>
      <c r="O89" s="44" t="str">
        <f aca="false">INDEX(samples!$B:$B, MATCH(B89, samples!$A:$A, 0), 1)</f>
        <v>par0118</v>
      </c>
      <c r="P89" s="44" t="e">
        <f aca="false">INDEX(participants!$I:$I, MATCH(O89, participants!$A:$A, 0), 1)</f>
        <v>#N/A</v>
      </c>
      <c r="Q89" s="44" t="n">
        <f aca="false">INDEX(samples!$F:$F, MATCH(B89, samples!$A:$A, 0), 1)</f>
        <v>0</v>
      </c>
      <c r="R89" s="49" t="str">
        <f aca="false">INDEX(samples!$C:$C, MATCH(B89, samples!$A:$A, 0), 1)</f>
        <v>UNK</v>
      </c>
      <c r="S89" s="50" t="str">
        <f aca="false">INDEX(samples!$D:$D,MATCH(B89, samples!$A:$A,0),1)</f>
        <v>blood</v>
      </c>
      <c r="T89" s="51" t="s">
        <v>427</v>
      </c>
      <c r="V89" s="33" t="s">
        <v>427</v>
      </c>
      <c r="X89" s="8"/>
      <c r="Y89" s="8" t="s">
        <v>3150</v>
      </c>
      <c r="Z89" s="8" t="s">
        <v>1002</v>
      </c>
      <c r="AA89" s="8" t="s">
        <v>1002</v>
      </c>
      <c r="AB89" s="8" t="s">
        <v>1002</v>
      </c>
    </row>
    <row r="90" customFormat="false" ht="13.8" hidden="false" customHeight="false" outlineLevel="0" collapsed="false">
      <c r="A90" s="48" t="s">
        <v>3242</v>
      </c>
      <c r="B90" s="41" t="s">
        <v>2026</v>
      </c>
      <c r="C90" s="0" t="s">
        <v>3215</v>
      </c>
      <c r="D90" s="0" t="s">
        <v>3148</v>
      </c>
      <c r="H90" s="0" t="s">
        <v>3149</v>
      </c>
      <c r="I90" s="0" t="s">
        <v>3150</v>
      </c>
      <c r="J90" s="0" t="s">
        <v>427</v>
      </c>
      <c r="K90" s="0" t="s">
        <v>427</v>
      </c>
      <c r="M90" s="44" t="str">
        <f aca="false">INDEX(fastqs!$A:$A, MATCH(A90, fastqs!$B:$B, 0), 1)</f>
        <v>34_g2_031_R1.fastq.gz</v>
      </c>
      <c r="N90" s="44" t="str">
        <f aca="false">INDEX(fastqs!$C:$C, MATCH(A90, fastqs!$B:$B, 0), 1)</f>
        <v>GET</v>
      </c>
      <c r="O90" s="44" t="str">
        <f aca="false">INDEX(samples!$B:$B, MATCH(B90, samples!$A:$A, 0), 1)</f>
        <v>par0002</v>
      </c>
      <c r="P90" s="44" t="str">
        <f aca="false">INDEX(participants!$I:$I, MATCH(O90, participants!$A:$A, 0), 1)</f>
        <v>2031j</v>
      </c>
      <c r="Q90" s="44" t="n">
        <f aca="false">INDEX(samples!$F:$F, MATCH(B90, samples!$A:$A, 0), 1)</f>
        <v>0</v>
      </c>
      <c r="R90" s="49" t="str">
        <f aca="false">INDEX(samples!$C:$C, MATCH(B90, samples!$A:$A, 0), 1)</f>
        <v>UNK</v>
      </c>
      <c r="S90" s="50" t="str">
        <f aca="false">INDEX(samples!$D:$D,MATCH(B90, samples!$A:$A,0),1)</f>
        <v>blood</v>
      </c>
      <c r="T90" s="51" t="s">
        <v>36</v>
      </c>
      <c r="V90" s="33" t="s">
        <v>427</v>
      </c>
      <c r="X90" s="8"/>
      <c r="Y90" s="8" t="s">
        <v>3150</v>
      </c>
      <c r="Z90" s="8" t="s">
        <v>1002</v>
      </c>
      <c r="AA90" s="8" t="s">
        <v>1002</v>
      </c>
      <c r="AB90" s="8" t="s">
        <v>1002</v>
      </c>
    </row>
    <row r="91" customFormat="false" ht="13.8" hidden="false" customHeight="false" outlineLevel="0" collapsed="false">
      <c r="A91" s="48" t="s">
        <v>3243</v>
      </c>
      <c r="B91" s="41" t="s">
        <v>1736</v>
      </c>
      <c r="C91" s="0" t="s">
        <v>3147</v>
      </c>
      <c r="D91" s="0" t="s">
        <v>3148</v>
      </c>
      <c r="H91" s="0" t="s">
        <v>3149</v>
      </c>
      <c r="I91" s="0" t="s">
        <v>3150</v>
      </c>
      <c r="J91" s="0" t="s">
        <v>427</v>
      </c>
      <c r="K91" s="0" t="s">
        <v>427</v>
      </c>
      <c r="M91" s="44" t="str">
        <f aca="false">INDEX(fastqs!$A:$A, MATCH(A91, fastqs!$B:$B, 0), 1)</f>
        <v>8_8NC32F_R1.fastq.gz</v>
      </c>
      <c r="N91" s="44" t="str">
        <f aca="false">INDEX(fastqs!$C:$C, MATCH(A91, fastqs!$B:$B, 0), 1)</f>
        <v>GET</v>
      </c>
      <c r="O91" s="44" t="str">
        <f aca="false">INDEX(samples!$B:$B, MATCH(B91, samples!$A:$A, 0), 1)</f>
        <v>par0122</v>
      </c>
      <c r="P91" s="44" t="e">
        <f aca="false">INDEX(participants!$I:$I, MATCH(O91, participants!$A:$A, 0), 1)</f>
        <v>#N/A</v>
      </c>
      <c r="Q91" s="44" t="n">
        <f aca="false">INDEX(samples!$F:$F, MATCH(B91, samples!$A:$A, 0), 1)</f>
        <v>0</v>
      </c>
      <c r="R91" s="49" t="str">
        <f aca="false">INDEX(samples!$C:$C, MATCH(B91, samples!$A:$A, 0), 1)</f>
        <v>UNK</v>
      </c>
      <c r="S91" s="50" t="str">
        <f aca="false">INDEX(samples!$D:$D,MATCH(B91, samples!$A:$A,0),1)</f>
        <v>blood</v>
      </c>
      <c r="T91" s="51" t="s">
        <v>427</v>
      </c>
      <c r="V91" s="33" t="s">
        <v>427</v>
      </c>
      <c r="X91" s="8"/>
      <c r="Y91" s="8" t="s">
        <v>3150</v>
      </c>
      <c r="Z91" s="8" t="s">
        <v>1002</v>
      </c>
      <c r="AA91" s="8" t="s">
        <v>1002</v>
      </c>
      <c r="AB91" s="8" t="s">
        <v>1002</v>
      </c>
    </row>
    <row r="92" customFormat="false" ht="13.8" hidden="false" customHeight="false" outlineLevel="0" collapsed="false">
      <c r="A92" s="48" t="s">
        <v>3244</v>
      </c>
      <c r="B92" s="41" t="s">
        <v>2024</v>
      </c>
      <c r="C92" s="0" t="s">
        <v>1824</v>
      </c>
      <c r="D92" s="0" t="s">
        <v>3148</v>
      </c>
      <c r="H92" s="0" t="s">
        <v>3149</v>
      </c>
      <c r="I92" s="0" t="s">
        <v>3150</v>
      </c>
      <c r="J92" s="0" t="s">
        <v>427</v>
      </c>
      <c r="K92" s="0" t="s">
        <v>427</v>
      </c>
      <c r="M92" s="44" t="str">
        <f aca="false">INDEX(fastqs!$A:$A, MATCH(A92, fastqs!$B:$B, 0), 1)</f>
        <v>21_JH_03006_R1.fastq.gz</v>
      </c>
      <c r="N92" s="44" t="str">
        <f aca="false">INDEX(fastqs!$C:$C, MATCH(A92, fastqs!$B:$B, 0), 1)</f>
        <v>GET</v>
      </c>
      <c r="O92" s="44" t="str">
        <f aca="false">INDEX(samples!$B:$B, MATCH(B92, samples!$A:$A, 0), 1)</f>
        <v>par0006</v>
      </c>
      <c r="P92" s="44" t="str">
        <f aca="false">INDEX(participants!$I:$I, MATCH(O92, participants!$A:$A, 0), 1)</f>
        <v>2015j</v>
      </c>
      <c r="Q92" s="44" t="n">
        <f aca="false">INDEX(samples!$F:$F, MATCH(B92, samples!$A:$A, 0), 1)</f>
        <v>0</v>
      </c>
      <c r="R92" s="49" t="str">
        <f aca="false">INDEX(samples!$C:$C, MATCH(B92, samples!$A:$A, 0), 1)</f>
        <v>UNK</v>
      </c>
      <c r="S92" s="50" t="str">
        <f aca="false">INDEX(samples!$D:$D,MATCH(B92, samples!$A:$A,0),1)</f>
        <v>tumor</v>
      </c>
      <c r="T92" s="51" t="s">
        <v>36</v>
      </c>
      <c r="V92" s="33" t="s">
        <v>427</v>
      </c>
      <c r="X92" s="8"/>
      <c r="Y92" s="8" t="s">
        <v>3150</v>
      </c>
      <c r="Z92" s="8" t="s">
        <v>1002</v>
      </c>
      <c r="AA92" s="8" t="s">
        <v>1002</v>
      </c>
      <c r="AB92" s="8" t="s">
        <v>1002</v>
      </c>
    </row>
    <row r="93" customFormat="false" ht="13.8" hidden="false" customHeight="false" outlineLevel="0" collapsed="false">
      <c r="A93" s="48" t="s">
        <v>3245</v>
      </c>
      <c r="B93" s="41" t="s">
        <v>1695</v>
      </c>
      <c r="C93" s="0" t="s">
        <v>3147</v>
      </c>
      <c r="D93" s="0" t="s">
        <v>3148</v>
      </c>
      <c r="H93" s="0" t="s">
        <v>3149</v>
      </c>
      <c r="I93" s="0" t="s">
        <v>3150</v>
      </c>
      <c r="J93" s="0" t="s">
        <v>427</v>
      </c>
      <c r="K93" s="0" t="s">
        <v>427</v>
      </c>
      <c r="M93" s="44" t="str">
        <f aca="false">INDEX(fastqs!$A:$A, MATCH(A93, fastqs!$B:$B, 0), 1)</f>
        <v>10_10NC60M_R1.fastq.gz</v>
      </c>
      <c r="N93" s="44" t="str">
        <f aca="false">INDEX(fastqs!$C:$C, MATCH(A93, fastqs!$B:$B, 0), 1)</f>
        <v>GET</v>
      </c>
      <c r="O93" s="44" t="str">
        <f aca="false">INDEX(samples!$B:$B, MATCH(B93, samples!$A:$A, 0), 1)</f>
        <v>par0110</v>
      </c>
      <c r="P93" s="44" t="e">
        <f aca="false">INDEX(participants!$I:$I, MATCH(O93, participants!$A:$A, 0), 1)</f>
        <v>#N/A</v>
      </c>
      <c r="Q93" s="44" t="n">
        <f aca="false">INDEX(samples!$F:$F, MATCH(B93, samples!$A:$A, 0), 1)</f>
        <v>0</v>
      </c>
      <c r="R93" s="49" t="str">
        <f aca="false">INDEX(samples!$C:$C, MATCH(B93, samples!$A:$A, 0), 1)</f>
        <v>UNK</v>
      </c>
      <c r="S93" s="50" t="str">
        <f aca="false">INDEX(samples!$D:$D,MATCH(B93, samples!$A:$A,0),1)</f>
        <v>blood</v>
      </c>
      <c r="T93" s="51" t="s">
        <v>427</v>
      </c>
      <c r="V93" s="33" t="s">
        <v>427</v>
      </c>
      <c r="X93" s="8"/>
      <c r="Y93" s="8" t="s">
        <v>3150</v>
      </c>
      <c r="Z93" s="8" t="s">
        <v>1002</v>
      </c>
      <c r="AA93" s="8" t="s">
        <v>1002</v>
      </c>
      <c r="AB93" s="8" t="s">
        <v>1002</v>
      </c>
    </row>
    <row r="94" customFormat="false" ht="13.8" hidden="false" customHeight="false" outlineLevel="0" collapsed="false">
      <c r="A94" s="48" t="s">
        <v>3246</v>
      </c>
      <c r="B94" s="41" t="s">
        <v>2020</v>
      </c>
      <c r="C94" s="0" t="s">
        <v>3215</v>
      </c>
      <c r="D94" s="0" t="s">
        <v>3148</v>
      </c>
      <c r="H94" s="0" t="s">
        <v>3149</v>
      </c>
      <c r="I94" s="0" t="s">
        <v>3150</v>
      </c>
      <c r="J94" s="0" t="s">
        <v>427</v>
      </c>
      <c r="K94" s="0" t="s">
        <v>427</v>
      </c>
      <c r="M94" s="44" t="str">
        <f aca="false">INDEX(fastqs!$A:$A, MATCH(A94, fastqs!$B:$B, 0), 1)</f>
        <v>30_g12NC30F_R1.fastq.gz</v>
      </c>
      <c r="N94" s="44" t="str">
        <f aca="false">INDEX(fastqs!$C:$C, MATCH(A94, fastqs!$B:$B, 0), 1)</f>
        <v>GET</v>
      </c>
      <c r="O94" s="44" t="str">
        <f aca="false">INDEX(samples!$B:$B, MATCH(B94, samples!$A:$A, 0), 1)</f>
        <v>par0112</v>
      </c>
      <c r="P94" s="44" t="e">
        <f aca="false">INDEX(participants!$I:$I, MATCH(O94, participants!$A:$A, 0), 1)</f>
        <v>#N/A</v>
      </c>
      <c r="Q94" s="44" t="n">
        <f aca="false">INDEX(samples!$F:$F, MATCH(B94, samples!$A:$A, 0), 1)</f>
        <v>0</v>
      </c>
      <c r="R94" s="49" t="str">
        <f aca="false">INDEX(samples!$C:$C, MATCH(B94, samples!$A:$A, 0), 1)</f>
        <v>UNK</v>
      </c>
      <c r="S94" s="50" t="str">
        <f aca="false">INDEX(samples!$D:$D,MATCH(B94, samples!$A:$A,0),1)</f>
        <v>blood</v>
      </c>
      <c r="T94" s="51" t="s">
        <v>36</v>
      </c>
      <c r="V94" s="33" t="s">
        <v>427</v>
      </c>
      <c r="X94" s="8"/>
      <c r="Y94" s="8" t="s">
        <v>3150</v>
      </c>
      <c r="Z94" s="8" t="s">
        <v>1002</v>
      </c>
      <c r="AA94" s="8" t="s">
        <v>1002</v>
      </c>
      <c r="AB94" s="8" t="s">
        <v>1002</v>
      </c>
    </row>
    <row r="95" customFormat="false" ht="13.8" hidden="false" customHeight="false" outlineLevel="0" collapsed="false">
      <c r="A95" s="48" t="s">
        <v>3247</v>
      </c>
      <c r="B95" s="41" t="s">
        <v>2034</v>
      </c>
      <c r="C95" s="0" t="s">
        <v>3215</v>
      </c>
      <c r="D95" s="0" t="s">
        <v>3148</v>
      </c>
      <c r="H95" s="0" t="s">
        <v>3149</v>
      </c>
      <c r="I95" s="0" t="s">
        <v>3150</v>
      </c>
      <c r="J95" s="0" t="s">
        <v>427</v>
      </c>
      <c r="K95" s="0" t="s">
        <v>427</v>
      </c>
      <c r="M95" s="44" t="str">
        <f aca="false">INDEX(fastqs!$A:$A, MATCH(A95, fastqs!$B:$B, 0), 1)</f>
        <v>24_g6NC23F_R1.fastq.gz</v>
      </c>
      <c r="N95" s="44" t="str">
        <f aca="false">INDEX(fastqs!$C:$C, MATCH(A95, fastqs!$B:$B, 0), 1)</f>
        <v>GET</v>
      </c>
      <c r="O95" s="44" t="str">
        <f aca="false">INDEX(samples!$B:$B, MATCH(B95, samples!$A:$A, 0), 1)</f>
        <v>par0120</v>
      </c>
      <c r="P95" s="44" t="e">
        <f aca="false">INDEX(participants!$I:$I, MATCH(O95, participants!$A:$A, 0), 1)</f>
        <v>#N/A</v>
      </c>
      <c r="Q95" s="44" t="n">
        <f aca="false">INDEX(samples!$F:$F, MATCH(B95, samples!$A:$A, 0), 1)</f>
        <v>0</v>
      </c>
      <c r="R95" s="49" t="str">
        <f aca="false">INDEX(samples!$C:$C, MATCH(B95, samples!$A:$A, 0), 1)</f>
        <v>UNK</v>
      </c>
      <c r="S95" s="50" t="str">
        <f aca="false">INDEX(samples!$D:$D,MATCH(B95, samples!$A:$A,0),1)</f>
        <v>blood</v>
      </c>
      <c r="T95" s="51" t="s">
        <v>36</v>
      </c>
      <c r="V95" s="33" t="s">
        <v>427</v>
      </c>
      <c r="X95" s="8"/>
      <c r="Y95" s="8" t="s">
        <v>3150</v>
      </c>
      <c r="Z95" s="8" t="s">
        <v>1002</v>
      </c>
      <c r="AA95" s="8" t="s">
        <v>1002</v>
      </c>
      <c r="AB95" s="8" t="s">
        <v>1002</v>
      </c>
    </row>
    <row r="96" customFormat="false" ht="13.8" hidden="false" customHeight="false" outlineLevel="0" collapsed="false">
      <c r="A96" s="48" t="s">
        <v>3248</v>
      </c>
      <c r="B96" s="41" t="s">
        <v>1704</v>
      </c>
      <c r="C96" s="0" t="s">
        <v>3147</v>
      </c>
      <c r="D96" s="0" t="s">
        <v>3148</v>
      </c>
      <c r="H96" s="0" t="s">
        <v>3149</v>
      </c>
      <c r="I96" s="0" t="s">
        <v>3150</v>
      </c>
      <c r="J96" s="0" t="s">
        <v>427</v>
      </c>
      <c r="K96" s="0" t="s">
        <v>427</v>
      </c>
      <c r="M96" s="44" t="str">
        <f aca="false">INDEX(fastqs!$A:$A, MATCH(A96, fastqs!$B:$B, 0), 1)</f>
        <v>14_14NC23F_R1.fastq.gz</v>
      </c>
      <c r="N96" s="44" t="str">
        <f aca="false">INDEX(fastqs!$C:$C, MATCH(A96, fastqs!$B:$B, 0), 1)</f>
        <v>GET</v>
      </c>
      <c r="O96" s="44" t="str">
        <f aca="false">INDEX(samples!$B:$B, MATCH(B96, samples!$A:$A, 0), 1)</f>
        <v>par0114</v>
      </c>
      <c r="P96" s="44" t="e">
        <f aca="false">INDEX(participants!$I:$I, MATCH(O96, participants!$A:$A, 0), 1)</f>
        <v>#N/A</v>
      </c>
      <c r="Q96" s="44" t="n">
        <f aca="false">INDEX(samples!$F:$F, MATCH(B96, samples!$A:$A, 0), 1)</f>
        <v>0</v>
      </c>
      <c r="R96" s="49" t="str">
        <f aca="false">INDEX(samples!$C:$C, MATCH(B96, samples!$A:$A, 0), 1)</f>
        <v>UNK</v>
      </c>
      <c r="S96" s="50" t="str">
        <f aca="false">INDEX(samples!$D:$D,MATCH(B96, samples!$A:$A,0),1)</f>
        <v>blood</v>
      </c>
      <c r="T96" s="51" t="s">
        <v>427</v>
      </c>
      <c r="V96" s="33" t="s">
        <v>427</v>
      </c>
      <c r="X96" s="8"/>
      <c r="Y96" s="8" t="s">
        <v>3150</v>
      </c>
      <c r="Z96" s="8" t="s">
        <v>1002</v>
      </c>
      <c r="AA96" s="8" t="s">
        <v>1002</v>
      </c>
      <c r="AB96" s="8" t="s">
        <v>1002</v>
      </c>
    </row>
    <row r="97" customFormat="false" ht="13.8" hidden="false" customHeight="false" outlineLevel="0" collapsed="false">
      <c r="A97" s="48" t="s">
        <v>3249</v>
      </c>
      <c r="B97" s="41" t="s">
        <v>1738</v>
      </c>
      <c r="C97" s="0" t="s">
        <v>3147</v>
      </c>
      <c r="D97" s="0" t="s">
        <v>3148</v>
      </c>
      <c r="H97" s="0" t="s">
        <v>3149</v>
      </c>
      <c r="I97" s="0" t="s">
        <v>3150</v>
      </c>
      <c r="J97" s="0" t="s">
        <v>427</v>
      </c>
      <c r="K97" s="0" t="s">
        <v>427</v>
      </c>
      <c r="M97" s="44" t="str">
        <f aca="false">INDEX(fastqs!$A:$A, MATCH(A97, fastqs!$B:$B, 0), 1)</f>
        <v>9_9NC48M_R1.fastq.gz</v>
      </c>
      <c r="N97" s="44" t="str">
        <f aca="false">INDEX(fastqs!$C:$C, MATCH(A97, fastqs!$B:$B, 0), 1)</f>
        <v>GET</v>
      </c>
      <c r="O97" s="44" t="str">
        <f aca="false">INDEX(samples!$B:$B, MATCH(B97, samples!$A:$A, 0), 1)</f>
        <v>par0123</v>
      </c>
      <c r="P97" s="44" t="e">
        <f aca="false">INDEX(participants!$I:$I, MATCH(O97, participants!$A:$A, 0), 1)</f>
        <v>#N/A</v>
      </c>
      <c r="Q97" s="44" t="n">
        <f aca="false">INDEX(samples!$F:$F, MATCH(B97, samples!$A:$A, 0), 1)</f>
        <v>0</v>
      </c>
      <c r="R97" s="49" t="str">
        <f aca="false">INDEX(samples!$C:$C, MATCH(B97, samples!$A:$A, 0), 1)</f>
        <v>UNK</v>
      </c>
      <c r="S97" s="50" t="str">
        <f aca="false">INDEX(samples!$D:$D,MATCH(B97, samples!$A:$A,0),1)</f>
        <v>blood</v>
      </c>
      <c r="T97" s="51" t="s">
        <v>427</v>
      </c>
      <c r="V97" s="33" t="s">
        <v>427</v>
      </c>
      <c r="X97" s="8"/>
      <c r="Y97" s="8" t="s">
        <v>3150</v>
      </c>
      <c r="Z97" s="8" t="s">
        <v>1002</v>
      </c>
      <c r="AA97" s="8" t="s">
        <v>1002</v>
      </c>
      <c r="AB97" s="8" t="s">
        <v>1002</v>
      </c>
    </row>
    <row r="98" customFormat="false" ht="13.8" hidden="false" customHeight="false" outlineLevel="0" collapsed="false">
      <c r="A98" s="48" t="s">
        <v>3250</v>
      </c>
      <c r="B98" s="41" t="s">
        <v>2025</v>
      </c>
      <c r="C98" s="0" t="s">
        <v>3215</v>
      </c>
      <c r="D98" s="0" t="s">
        <v>3148</v>
      </c>
      <c r="H98" s="0" t="s">
        <v>3149</v>
      </c>
      <c r="I98" s="0" t="s">
        <v>3150</v>
      </c>
      <c r="J98" s="0" t="s">
        <v>427</v>
      </c>
      <c r="K98" s="0" t="s">
        <v>427</v>
      </c>
      <c r="M98" s="44" t="str">
        <f aca="false">INDEX(fastqs!$A:$A, MATCH(A98, fastqs!$B:$B, 0), 1)</f>
        <v>33_g2_023_R1.fastq.gz</v>
      </c>
      <c r="N98" s="44" t="str">
        <f aca="false">INDEX(fastqs!$C:$C, MATCH(A98, fastqs!$B:$B, 0), 1)</f>
        <v>GET</v>
      </c>
      <c r="O98" s="44" t="str">
        <f aca="false">INDEX(samples!$B:$B, MATCH(B98, samples!$A:$A, 0), 1)</f>
        <v>par0008</v>
      </c>
      <c r="P98" s="44" t="str">
        <f aca="false">INDEX(participants!$I:$I, MATCH(O98, participants!$A:$A, 0), 1)</f>
        <v>2023j</v>
      </c>
      <c r="Q98" s="44" t="n">
        <f aca="false">INDEX(samples!$F:$F, MATCH(B98, samples!$A:$A, 0), 1)</f>
        <v>0</v>
      </c>
      <c r="R98" s="49" t="str">
        <f aca="false">INDEX(samples!$C:$C, MATCH(B98, samples!$A:$A, 0), 1)</f>
        <v>UNK</v>
      </c>
      <c r="S98" s="50" t="str">
        <f aca="false">INDEX(samples!$D:$D,MATCH(B98, samples!$A:$A,0),1)</f>
        <v>blood</v>
      </c>
      <c r="T98" s="51" t="s">
        <v>36</v>
      </c>
      <c r="V98" s="33" t="s">
        <v>427</v>
      </c>
      <c r="X98" s="8"/>
      <c r="Y98" s="8" t="s">
        <v>3150</v>
      </c>
      <c r="Z98" s="8" t="s">
        <v>1002</v>
      </c>
      <c r="AA98" s="8" t="s">
        <v>1002</v>
      </c>
      <c r="AB98" s="8" t="s">
        <v>1002</v>
      </c>
    </row>
    <row r="99" customFormat="false" ht="13.8" hidden="false" customHeight="false" outlineLevel="0" collapsed="false">
      <c r="A99" s="48" t="s">
        <v>3251</v>
      </c>
      <c r="B99" s="41" t="s">
        <v>1989</v>
      </c>
      <c r="C99" s="0" t="s">
        <v>1824</v>
      </c>
      <c r="D99" s="0" t="s">
        <v>3148</v>
      </c>
      <c r="H99" s="0" t="s">
        <v>3149</v>
      </c>
      <c r="I99" s="0" t="s">
        <v>3150</v>
      </c>
      <c r="J99" s="0" t="s">
        <v>427</v>
      </c>
      <c r="K99" s="0" t="s">
        <v>427</v>
      </c>
      <c r="M99" s="44" t="str">
        <f aca="false">INDEX(fastqs!$A:$A, MATCH(A99, fastqs!$B:$B, 0), 1)</f>
        <v>20_2_082_R1.fastq.gz</v>
      </c>
      <c r="N99" s="44" t="str">
        <f aca="false">INDEX(fastqs!$C:$C, MATCH(A99, fastqs!$B:$B, 0), 1)</f>
        <v>GET</v>
      </c>
      <c r="O99" s="44" t="str">
        <f aca="false">INDEX(samples!$B:$B, MATCH(B99, samples!$A:$A, 0), 1)</f>
        <v>par0005</v>
      </c>
      <c r="P99" s="44" t="str">
        <f aca="false">INDEX(participants!$I:$I, MATCH(O99, participants!$A:$A, 0), 1)</f>
        <v>2082j</v>
      </c>
      <c r="Q99" s="44" t="n">
        <f aca="false">INDEX(samples!$F:$F, MATCH(B99, samples!$A:$A, 0), 1)</f>
        <v>0</v>
      </c>
      <c r="R99" s="49" t="str">
        <f aca="false">INDEX(samples!$C:$C, MATCH(B99, samples!$A:$A, 0), 1)</f>
        <v>UNK</v>
      </c>
      <c r="S99" s="50" t="str">
        <f aca="false">INDEX(samples!$D:$D,MATCH(B99, samples!$A:$A,0),1)</f>
        <v>tumor</v>
      </c>
      <c r="T99" s="51" t="s">
        <v>36</v>
      </c>
      <c r="V99" s="33" t="s">
        <v>427</v>
      </c>
      <c r="X99" s="8"/>
      <c r="Y99" s="8" t="s">
        <v>3150</v>
      </c>
      <c r="Z99" s="8" t="s">
        <v>1002</v>
      </c>
      <c r="AA99" s="8" t="s">
        <v>1002</v>
      </c>
      <c r="AB99" s="8" t="s">
        <v>1002</v>
      </c>
    </row>
    <row r="100" customFormat="false" ht="13.8" hidden="false" customHeight="false" outlineLevel="0" collapsed="false">
      <c r="A100" s="48" t="s">
        <v>3252</v>
      </c>
      <c r="B100" s="41" t="s">
        <v>2031</v>
      </c>
      <c r="C100" s="0" t="s">
        <v>3215</v>
      </c>
      <c r="D100" s="0" t="s">
        <v>3148</v>
      </c>
      <c r="H100" s="0" t="s">
        <v>3149</v>
      </c>
      <c r="I100" s="0" t="s">
        <v>3150</v>
      </c>
      <c r="J100" s="0" t="s">
        <v>427</v>
      </c>
      <c r="K100" s="0" t="s">
        <v>427</v>
      </c>
      <c r="M100" s="44" t="str">
        <f aca="false">INDEX(fastqs!$A:$A, MATCH(A100, fastqs!$B:$B, 0), 1)</f>
        <v>26_g8NC32F_R1.fastq.gz</v>
      </c>
      <c r="N100" s="44" t="str">
        <f aca="false">INDEX(fastqs!$C:$C, MATCH(A100, fastqs!$B:$B, 0), 1)</f>
        <v>GET</v>
      </c>
      <c r="O100" s="44" t="str">
        <f aca="false">INDEX(samples!$B:$B, MATCH(B100, samples!$A:$A, 0), 1)</f>
        <v>par0122</v>
      </c>
      <c r="P100" s="44" t="e">
        <f aca="false">INDEX(participants!$I:$I, MATCH(O100, participants!$A:$A, 0), 1)</f>
        <v>#N/A</v>
      </c>
      <c r="Q100" s="44" t="n">
        <f aca="false">INDEX(samples!$F:$F, MATCH(B100, samples!$A:$A, 0), 1)</f>
        <v>0</v>
      </c>
      <c r="R100" s="49" t="str">
        <f aca="false">INDEX(samples!$C:$C, MATCH(B100, samples!$A:$A, 0), 1)</f>
        <v>UNK</v>
      </c>
      <c r="S100" s="50" t="str">
        <f aca="false">INDEX(samples!$D:$D,MATCH(B100, samples!$A:$A,0),1)</f>
        <v>blood</v>
      </c>
      <c r="T100" s="51" t="s">
        <v>36</v>
      </c>
      <c r="V100" s="33" t="s">
        <v>427</v>
      </c>
      <c r="X100" s="8"/>
      <c r="Y100" s="8" t="s">
        <v>3150</v>
      </c>
      <c r="Z100" s="8" t="s">
        <v>1002</v>
      </c>
      <c r="AA100" s="8" t="s">
        <v>1002</v>
      </c>
      <c r="AB100" s="8" t="s">
        <v>1002</v>
      </c>
    </row>
    <row r="101" customFormat="false" ht="13.8" hidden="false" customHeight="false" outlineLevel="0" collapsed="false">
      <c r="A101" s="48" t="s">
        <v>3253</v>
      </c>
      <c r="B101" s="41" t="s">
        <v>2021</v>
      </c>
      <c r="C101" s="0" t="s">
        <v>3215</v>
      </c>
      <c r="D101" s="0" t="s">
        <v>3148</v>
      </c>
      <c r="H101" s="0" t="s">
        <v>3149</v>
      </c>
      <c r="I101" s="0" t="s">
        <v>3150</v>
      </c>
      <c r="J101" s="0" t="s">
        <v>427</v>
      </c>
      <c r="K101" s="0" t="s">
        <v>427</v>
      </c>
      <c r="M101" s="44" t="str">
        <f aca="false">INDEX(fastqs!$A:$A, MATCH(A101, fastqs!$B:$B, 0), 1)</f>
        <v>31_g14NC23F_R1.fastq.gz</v>
      </c>
      <c r="N101" s="44" t="str">
        <f aca="false">INDEX(fastqs!$C:$C, MATCH(A101, fastqs!$B:$B, 0), 1)</f>
        <v>GET</v>
      </c>
      <c r="O101" s="44" t="str">
        <f aca="false">INDEX(samples!$B:$B, MATCH(B101, samples!$A:$A, 0), 1)</f>
        <v>par0114</v>
      </c>
      <c r="P101" s="44" t="e">
        <f aca="false">INDEX(participants!$I:$I, MATCH(O101, participants!$A:$A, 0), 1)</f>
        <v>#N/A</v>
      </c>
      <c r="Q101" s="44" t="n">
        <f aca="false">INDEX(samples!$F:$F, MATCH(B101, samples!$A:$A, 0), 1)</f>
        <v>0</v>
      </c>
      <c r="R101" s="49" t="str">
        <f aca="false">INDEX(samples!$C:$C, MATCH(B101, samples!$A:$A, 0), 1)</f>
        <v>UNK</v>
      </c>
      <c r="S101" s="50" t="str">
        <f aca="false">INDEX(samples!$D:$D,MATCH(B101, samples!$A:$A,0),1)</f>
        <v>blood</v>
      </c>
      <c r="T101" s="51" t="s">
        <v>36</v>
      </c>
      <c r="V101" s="33" t="s">
        <v>427</v>
      </c>
      <c r="X101" s="8"/>
      <c r="Y101" s="8" t="s">
        <v>3150</v>
      </c>
      <c r="Z101" s="8" t="s">
        <v>1002</v>
      </c>
      <c r="AA101" s="8" t="s">
        <v>1002</v>
      </c>
      <c r="AB101" s="8" t="s">
        <v>1002</v>
      </c>
    </row>
    <row r="102" customFormat="false" ht="13.8" hidden="false" customHeight="false" outlineLevel="0" collapsed="false">
      <c r="A102" s="48" t="s">
        <v>3254</v>
      </c>
      <c r="B102" s="41" t="s">
        <v>1708</v>
      </c>
      <c r="C102" s="0" t="s">
        <v>3147</v>
      </c>
      <c r="D102" s="0" t="s">
        <v>3148</v>
      </c>
      <c r="H102" s="0" t="s">
        <v>3149</v>
      </c>
      <c r="I102" s="0" t="s">
        <v>3150</v>
      </c>
      <c r="J102" s="0" t="s">
        <v>427</v>
      </c>
      <c r="K102" s="0" t="s">
        <v>427</v>
      </c>
      <c r="M102" s="44" t="str">
        <f aca="false">INDEX(fastqs!$A:$A, MATCH(A102, fastqs!$B:$B, 0), 1)</f>
        <v>1_1NC31M_R1.fastq.gz</v>
      </c>
      <c r="N102" s="44" t="str">
        <f aca="false">INDEX(fastqs!$C:$C, MATCH(A102, fastqs!$B:$B, 0), 1)</f>
        <v>GET</v>
      </c>
      <c r="O102" s="44" t="str">
        <f aca="false">INDEX(samples!$B:$B, MATCH(B102, samples!$A:$A, 0), 1)</f>
        <v>par0116</v>
      </c>
      <c r="P102" s="44" t="e">
        <f aca="false">INDEX(participants!$I:$I, MATCH(O102, participants!$A:$A, 0), 1)</f>
        <v>#N/A</v>
      </c>
      <c r="Q102" s="44" t="n">
        <f aca="false">INDEX(samples!$F:$F, MATCH(B102, samples!$A:$A, 0), 1)</f>
        <v>0</v>
      </c>
      <c r="R102" s="49" t="str">
        <f aca="false">INDEX(samples!$C:$C, MATCH(B102, samples!$A:$A, 0), 1)</f>
        <v>UNK</v>
      </c>
      <c r="S102" s="50" t="str">
        <f aca="false">INDEX(samples!$D:$D,MATCH(B102, samples!$A:$A,0),1)</f>
        <v>blood</v>
      </c>
      <c r="T102" s="51" t="s">
        <v>427</v>
      </c>
      <c r="V102" s="33" t="s">
        <v>427</v>
      </c>
      <c r="X102" s="8"/>
      <c r="Y102" s="8" t="s">
        <v>3150</v>
      </c>
      <c r="Z102" s="8" t="s">
        <v>1002</v>
      </c>
      <c r="AA102" s="8" t="s">
        <v>1002</v>
      </c>
      <c r="AB102" s="8" t="s">
        <v>1002</v>
      </c>
    </row>
    <row r="103" customFormat="false" ht="13.8" hidden="false" customHeight="false" outlineLevel="0" collapsed="false">
      <c r="A103" s="48" t="s">
        <v>3255</v>
      </c>
      <c r="B103" s="41" t="s">
        <v>1748</v>
      </c>
      <c r="C103" s="0" t="s">
        <v>3147</v>
      </c>
      <c r="D103" s="0" t="s">
        <v>3148</v>
      </c>
      <c r="H103" s="0" t="s">
        <v>3149</v>
      </c>
      <c r="I103" s="0" t="s">
        <v>3150</v>
      </c>
      <c r="J103" s="0" t="s">
        <v>427</v>
      </c>
      <c r="K103" s="0" t="n">
        <v>12</v>
      </c>
      <c r="M103" s="44" t="str">
        <f aca="false">INDEX(fastqs!$A:$A, MATCH(A103, fastqs!$B:$B, 0), 1)</f>
        <v>5_JS0007CD072618_R1.fastq.gz</v>
      </c>
      <c r="N103" s="44" t="str">
        <f aca="false">INDEX(fastqs!$C:$C, MATCH(A103, fastqs!$B:$B, 0), 1)</f>
        <v>GET</v>
      </c>
      <c r="O103" s="44" t="str">
        <f aca="false">INDEX(samples!$B:$B, MATCH(B103, samples!$A:$A, 0), 1)</f>
        <v>par0124</v>
      </c>
      <c r="P103" s="44" t="e">
        <f aca="false">INDEX(participants!$I:$I, MATCH(O103, participants!$A:$A, 0), 1)</f>
        <v>#N/A</v>
      </c>
      <c r="Q103" s="44" t="n">
        <f aca="false">INDEX(samples!$F:$F, MATCH(B103, samples!$A:$A, 0), 1)</f>
        <v>0</v>
      </c>
      <c r="R103" s="49" t="str">
        <f aca="false">INDEX(samples!$C:$C, MATCH(B103, samples!$A:$A, 0), 1)</f>
        <v>2019-07-26</v>
      </c>
      <c r="S103" s="50" t="str">
        <f aca="false">INDEX(samples!$D:$D,MATCH(B103, samples!$A:$A,0),1)</f>
        <v>blood</v>
      </c>
      <c r="T103" s="51" t="s">
        <v>427</v>
      </c>
      <c r="V103" s="33" t="s">
        <v>427</v>
      </c>
      <c r="X103" s="8"/>
      <c r="Y103" s="8" t="s">
        <v>1002</v>
      </c>
      <c r="Z103" s="8" t="s">
        <v>1002</v>
      </c>
      <c r="AA103" s="8" t="s">
        <v>1002</v>
      </c>
      <c r="AB103" s="8" t="s">
        <v>1002</v>
      </c>
    </row>
    <row r="104" customFormat="false" ht="13.8" hidden="false" customHeight="false" outlineLevel="0" collapsed="false">
      <c r="A104" s="48" t="s">
        <v>3256</v>
      </c>
      <c r="B104" s="41" t="s">
        <v>1816</v>
      </c>
      <c r="C104" s="0" t="s">
        <v>3147</v>
      </c>
      <c r="D104" s="0" t="s">
        <v>3148</v>
      </c>
      <c r="H104" s="0" t="s">
        <v>3149</v>
      </c>
      <c r="I104" s="0" t="s">
        <v>3150</v>
      </c>
      <c r="J104" s="0" t="s">
        <v>427</v>
      </c>
      <c r="K104" s="0" t="s">
        <v>427</v>
      </c>
      <c r="M104" s="44" t="str">
        <f aca="false">INDEX(fastqs!$A:$A, MATCH(A104, fastqs!$B:$B, 0), 1)</f>
        <v>43_JS0053CD111418_R1.fastq.gz</v>
      </c>
      <c r="N104" s="44" t="str">
        <f aca="false">INDEX(fastqs!$C:$C, MATCH(A104, fastqs!$B:$B, 0), 1)</f>
        <v>GET</v>
      </c>
      <c r="O104" s="44" t="str">
        <f aca="false">INDEX(samples!$B:$B, MATCH(B104, samples!$A:$A, 0), 1)</f>
        <v>par0010</v>
      </c>
      <c r="P104" s="44" t="str">
        <f aca="false">INDEX(participants!$I:$I, MATCH(O104, participants!$A:$A, 0), 1)</f>
        <v>js0053</v>
      </c>
      <c r="Q104" s="44" t="n">
        <f aca="false">INDEX(samples!$F:$F, MATCH(B104, samples!$A:$A, 0), 1)</f>
        <v>0</v>
      </c>
      <c r="R104" s="49" t="str">
        <f aca="false">INDEX(samples!$C:$C, MATCH(B104, samples!$A:$A, 0), 1)</f>
        <v>2018-11-14</v>
      </c>
      <c r="S104" s="50" t="str">
        <f aca="false">INDEX(samples!$D:$D,MATCH(B104, samples!$A:$A,0),1)</f>
        <v>blood</v>
      </c>
      <c r="T104" s="51" t="s">
        <v>427</v>
      </c>
      <c r="V104" s="33" t="s">
        <v>427</v>
      </c>
      <c r="X104" s="8"/>
      <c r="Y104" s="8" t="s">
        <v>1002</v>
      </c>
      <c r="Z104" s="8" t="s">
        <v>1002</v>
      </c>
      <c r="AA104" s="8" t="s">
        <v>1002</v>
      </c>
      <c r="AB104" s="8" t="s">
        <v>1002</v>
      </c>
    </row>
    <row r="105" customFormat="false" ht="13.8" hidden="false" customHeight="false" outlineLevel="0" collapsed="false">
      <c r="A105" s="48" t="s">
        <v>3257</v>
      </c>
      <c r="B105" s="41" t="s">
        <v>1758</v>
      </c>
      <c r="C105" s="0" t="s">
        <v>3147</v>
      </c>
      <c r="D105" s="0" t="s">
        <v>3148</v>
      </c>
      <c r="H105" s="0" t="s">
        <v>3149</v>
      </c>
      <c r="I105" s="0" t="s">
        <v>3150</v>
      </c>
      <c r="J105" s="0" t="s">
        <v>427</v>
      </c>
      <c r="K105" s="0" t="s">
        <v>427</v>
      </c>
      <c r="M105" s="44" t="str">
        <f aca="false">INDEX(fastqs!$A:$A, MATCH(A105, fastqs!$B:$B, 0), 1)</f>
        <v>9_JS0027CD030518_R1.fastq.gz</v>
      </c>
      <c r="N105" s="44" t="str">
        <f aca="false">INDEX(fastqs!$C:$C, MATCH(A105, fastqs!$B:$B, 0), 1)</f>
        <v>GET</v>
      </c>
      <c r="O105" s="44" t="str">
        <f aca="false">INDEX(samples!$B:$B, MATCH(B105, samples!$A:$A, 0), 1)</f>
        <v>par0124</v>
      </c>
      <c r="P105" s="44" t="e">
        <f aca="false">INDEX(participants!$I:$I, MATCH(O105, participants!$A:$A, 0), 1)</f>
        <v>#N/A</v>
      </c>
      <c r="Q105" s="44" t="n">
        <f aca="false">INDEX(samples!$F:$F, MATCH(B105, samples!$A:$A, 0), 1)</f>
        <v>0</v>
      </c>
      <c r="R105" s="49" t="str">
        <f aca="false">INDEX(samples!$C:$C, MATCH(B105, samples!$A:$A, 0), 1)</f>
        <v>2018-03-05</v>
      </c>
      <c r="S105" s="50" t="str">
        <f aca="false">INDEX(samples!$D:$D,MATCH(B105, samples!$A:$A,0),1)</f>
        <v>blood</v>
      </c>
      <c r="T105" s="51" t="s">
        <v>427</v>
      </c>
      <c r="V105" s="33" t="s">
        <v>427</v>
      </c>
      <c r="X105" s="8"/>
      <c r="Y105" s="8" t="s">
        <v>1002</v>
      </c>
      <c r="Z105" s="8" t="s">
        <v>1002</v>
      </c>
      <c r="AA105" s="8" t="s">
        <v>1002</v>
      </c>
      <c r="AB105" s="8" t="s">
        <v>1002</v>
      </c>
    </row>
    <row r="106" customFormat="false" ht="13.8" hidden="false" customHeight="false" outlineLevel="0" collapsed="false">
      <c r="A106" s="48" t="s">
        <v>3258</v>
      </c>
      <c r="B106" s="41" t="s">
        <v>1713</v>
      </c>
      <c r="C106" s="0" t="s">
        <v>3147</v>
      </c>
      <c r="D106" s="0" t="s">
        <v>3148</v>
      </c>
      <c r="H106" s="0" t="s">
        <v>3201</v>
      </c>
      <c r="I106" s="0" t="s">
        <v>3150</v>
      </c>
      <c r="J106" s="0" t="s">
        <v>427</v>
      </c>
      <c r="K106" s="0" t="s">
        <v>427</v>
      </c>
      <c r="M106" s="44" t="str">
        <f aca="false">INDEX(fastqs!$A:$A, MATCH(A106, fastqs!$B:$B, 0), 1)</f>
        <v>22_2_055_R1.fastq.gz</v>
      </c>
      <c r="N106" s="44" t="str">
        <f aca="false">INDEX(fastqs!$C:$C, MATCH(A106, fastqs!$B:$B, 0), 1)</f>
        <v>GET</v>
      </c>
      <c r="O106" s="44" t="str">
        <f aca="false">INDEX(samples!$B:$B, MATCH(B106, samples!$A:$A, 0), 1)</f>
        <v>par0003</v>
      </c>
      <c r="P106" s="44" t="str">
        <f aca="false">INDEX(participants!$I:$I, MATCH(O106, participants!$A:$A, 0), 1)</f>
        <v>2055j</v>
      </c>
      <c r="Q106" s="44" t="n">
        <f aca="false">INDEX(samples!$F:$F, MATCH(B106, samples!$A:$A, 0), 1)</f>
        <v>0</v>
      </c>
      <c r="R106" s="49" t="str">
        <f aca="false">INDEX(samples!$C:$C, MATCH(B106, samples!$A:$A, 0), 1)</f>
        <v>UNK</v>
      </c>
      <c r="S106" s="50" t="str">
        <f aca="false">INDEX(samples!$D:$D,MATCH(B106, samples!$A:$A,0),1)</f>
        <v>blood</v>
      </c>
      <c r="T106" s="51" t="s">
        <v>427</v>
      </c>
      <c r="V106" s="33" t="s">
        <v>427</v>
      </c>
      <c r="X106" s="8"/>
      <c r="Y106" s="8" t="s">
        <v>1002</v>
      </c>
      <c r="Z106" s="8" t="s">
        <v>1002</v>
      </c>
      <c r="AA106" s="8" t="s">
        <v>1002</v>
      </c>
      <c r="AB106" s="8" t="s">
        <v>1002</v>
      </c>
    </row>
    <row r="107" customFormat="false" ht="13.8" hidden="false" customHeight="false" outlineLevel="0" collapsed="false">
      <c r="A107" s="48" t="s">
        <v>3259</v>
      </c>
      <c r="B107" s="41" t="s">
        <v>1711</v>
      </c>
      <c r="C107" s="0" t="s">
        <v>3147</v>
      </c>
      <c r="D107" s="0" t="s">
        <v>3148</v>
      </c>
      <c r="H107" s="0" t="s">
        <v>3149</v>
      </c>
      <c r="I107" s="0" t="s">
        <v>3150</v>
      </c>
      <c r="J107" s="0" t="s">
        <v>427</v>
      </c>
      <c r="K107" s="0" t="s">
        <v>427</v>
      </c>
      <c r="M107" s="44" t="str">
        <f aca="false">INDEX(fastqs!$A:$A, MATCH(A107, fastqs!$B:$B, 0), 1)</f>
        <v>20_2_023_R1.fastq.gz</v>
      </c>
      <c r="N107" s="44" t="str">
        <f aca="false">INDEX(fastqs!$C:$C, MATCH(A107, fastqs!$B:$B, 0), 1)</f>
        <v>GET</v>
      </c>
      <c r="O107" s="44" t="str">
        <f aca="false">INDEX(samples!$B:$B, MATCH(B107, samples!$A:$A, 0), 1)</f>
        <v>par0008</v>
      </c>
      <c r="P107" s="44" t="str">
        <f aca="false">INDEX(participants!$I:$I, MATCH(O107, participants!$A:$A, 0), 1)</f>
        <v>2023j</v>
      </c>
      <c r="Q107" s="44" t="n">
        <f aca="false">INDEX(samples!$F:$F, MATCH(B107, samples!$A:$A, 0), 1)</f>
        <v>0</v>
      </c>
      <c r="R107" s="49" t="str">
        <f aca="false">INDEX(samples!$C:$C, MATCH(B107, samples!$A:$A, 0), 1)</f>
        <v>UNK</v>
      </c>
      <c r="S107" s="50" t="str">
        <f aca="false">INDEX(samples!$D:$D,MATCH(B107, samples!$A:$A,0),1)</f>
        <v>blood</v>
      </c>
      <c r="T107" s="51" t="s">
        <v>427</v>
      </c>
      <c r="V107" s="33" t="s">
        <v>427</v>
      </c>
      <c r="X107" s="8"/>
      <c r="Y107" s="8" t="s">
        <v>3150</v>
      </c>
      <c r="Z107" s="8" t="s">
        <v>1002</v>
      </c>
      <c r="AA107" s="8" t="s">
        <v>1002</v>
      </c>
      <c r="AB107" s="8" t="s">
        <v>1002</v>
      </c>
    </row>
    <row r="108" customFormat="false" ht="13.8" hidden="false" customHeight="false" outlineLevel="0" collapsed="false">
      <c r="A108" s="48" t="s">
        <v>3260</v>
      </c>
      <c r="B108" s="41" t="s">
        <v>1862</v>
      </c>
      <c r="C108" s="0" t="s">
        <v>3147</v>
      </c>
      <c r="D108" s="0" t="s">
        <v>3148</v>
      </c>
      <c r="H108" s="0" t="s">
        <v>3201</v>
      </c>
      <c r="I108" s="0" t="s">
        <v>3150</v>
      </c>
      <c r="J108" s="0" t="s">
        <v>427</v>
      </c>
      <c r="K108" s="0" t="s">
        <v>427</v>
      </c>
      <c r="M108" s="44" t="str">
        <f aca="false">INDEX(fastqs!$A:$A, MATCH(A108, fastqs!$B:$B, 0), 1)</f>
        <v>14_JS0108CD040119_R1.fastq.gz</v>
      </c>
      <c r="N108" s="44" t="str">
        <f aca="false">INDEX(fastqs!$C:$C, MATCH(A108, fastqs!$B:$B, 0), 1)</f>
        <v>GET</v>
      </c>
      <c r="O108" s="44" t="str">
        <f aca="false">INDEX(samples!$B:$B, MATCH(B108, samples!$A:$A, 0), 1)</f>
        <v>par0130</v>
      </c>
      <c r="P108" s="44" t="e">
        <f aca="false">INDEX(participants!$I:$I, MATCH(O108, participants!$A:$A, 0), 1)</f>
        <v>#N/A</v>
      </c>
      <c r="Q108" s="44" t="n">
        <f aca="false">INDEX(samples!$F:$F, MATCH(B108, samples!$A:$A, 0), 1)</f>
        <v>0</v>
      </c>
      <c r="R108" s="49" t="str">
        <f aca="false">INDEX(samples!$C:$C, MATCH(B108, samples!$A:$A, 0), 1)</f>
        <v>2019-04-01</v>
      </c>
      <c r="S108" s="50" t="str">
        <f aca="false">INDEX(samples!$D:$D,MATCH(B108, samples!$A:$A,0),1)</f>
        <v>blood</v>
      </c>
      <c r="T108" s="51" t="s">
        <v>427</v>
      </c>
      <c r="V108" s="33" t="s">
        <v>427</v>
      </c>
      <c r="X108" s="8"/>
      <c r="Y108" s="8" t="s">
        <v>1002</v>
      </c>
      <c r="Z108" s="8" t="s">
        <v>1002</v>
      </c>
      <c r="AA108" s="8" t="s">
        <v>1002</v>
      </c>
      <c r="AB108" s="8" t="s">
        <v>1002</v>
      </c>
    </row>
    <row r="109" customFormat="false" ht="13.8" hidden="false" customHeight="false" outlineLevel="0" collapsed="false">
      <c r="A109" s="48" t="s">
        <v>3261</v>
      </c>
      <c r="B109" s="41" t="s">
        <v>1715</v>
      </c>
      <c r="C109" s="0" t="s">
        <v>3147</v>
      </c>
      <c r="D109" s="0" t="s">
        <v>3148</v>
      </c>
      <c r="H109" s="0" t="s">
        <v>3201</v>
      </c>
      <c r="I109" s="0" t="s">
        <v>3150</v>
      </c>
      <c r="J109" s="0" t="s">
        <v>427</v>
      </c>
      <c r="K109" s="0" t="s">
        <v>427</v>
      </c>
      <c r="M109" s="44" t="str">
        <f aca="false">INDEX(fastqs!$A:$A, MATCH(A109, fastqs!$B:$B, 0), 1)</f>
        <v>19_2_082_R1.fastq.gz</v>
      </c>
      <c r="N109" s="44" t="str">
        <f aca="false">INDEX(fastqs!$C:$C, MATCH(A109, fastqs!$B:$B, 0), 1)</f>
        <v>GET</v>
      </c>
      <c r="O109" s="44" t="str">
        <f aca="false">INDEX(samples!$B:$B, MATCH(B109, samples!$A:$A, 0), 1)</f>
        <v>par0005</v>
      </c>
      <c r="P109" s="44" t="str">
        <f aca="false">INDEX(participants!$I:$I, MATCH(O109, participants!$A:$A, 0), 1)</f>
        <v>2082j</v>
      </c>
      <c r="Q109" s="44" t="n">
        <f aca="false">INDEX(samples!$F:$F, MATCH(B109, samples!$A:$A, 0), 1)</f>
        <v>0</v>
      </c>
      <c r="R109" s="49" t="str">
        <f aca="false">INDEX(samples!$C:$C, MATCH(B109, samples!$A:$A, 0), 1)</f>
        <v>UNK</v>
      </c>
      <c r="S109" s="50" t="str">
        <f aca="false">INDEX(samples!$D:$D,MATCH(B109, samples!$A:$A,0),1)</f>
        <v>blood</v>
      </c>
      <c r="T109" s="51" t="s">
        <v>427</v>
      </c>
      <c r="V109" s="33" t="s">
        <v>427</v>
      </c>
      <c r="X109" s="8"/>
      <c r="Y109" s="8" t="s">
        <v>1002</v>
      </c>
      <c r="Z109" s="8" t="s">
        <v>1002</v>
      </c>
      <c r="AA109" s="8" t="s">
        <v>1002</v>
      </c>
      <c r="AB109" s="8" t="s">
        <v>1002</v>
      </c>
    </row>
    <row r="110" customFormat="false" ht="13.8" hidden="false" customHeight="false" outlineLevel="0" collapsed="false">
      <c r="A110" s="48" t="s">
        <v>3262</v>
      </c>
      <c r="B110" s="41" t="s">
        <v>1815</v>
      </c>
      <c r="C110" s="0" t="s">
        <v>3147</v>
      </c>
      <c r="D110" s="0" t="s">
        <v>3148</v>
      </c>
      <c r="H110" s="0" t="s">
        <v>3149</v>
      </c>
      <c r="I110" s="0" t="s">
        <v>3150</v>
      </c>
      <c r="J110" s="0" t="s">
        <v>427</v>
      </c>
      <c r="K110" s="0" t="s">
        <v>427</v>
      </c>
      <c r="M110" s="44" t="str">
        <f aca="false">INDEX(fastqs!$A:$A, MATCH(A110, fastqs!$B:$B, 0), 1)</f>
        <v>27_JS0053CD112717_R1.fastq.gz</v>
      </c>
      <c r="N110" s="44" t="str">
        <f aca="false">INDEX(fastqs!$C:$C, MATCH(A110, fastqs!$B:$B, 0), 1)</f>
        <v>GET</v>
      </c>
      <c r="O110" s="44" t="str">
        <f aca="false">INDEX(samples!$B:$B, MATCH(B110, samples!$A:$A, 0), 1)</f>
        <v>par0010</v>
      </c>
      <c r="P110" s="44" t="str">
        <f aca="false">INDEX(participants!$I:$I, MATCH(O110, participants!$A:$A, 0), 1)</f>
        <v>js0053</v>
      </c>
      <c r="Q110" s="44" t="n">
        <f aca="false">INDEX(samples!$F:$F, MATCH(B110, samples!$A:$A, 0), 1)</f>
        <v>0</v>
      </c>
      <c r="R110" s="49" t="str">
        <f aca="false">INDEX(samples!$C:$C, MATCH(B110, samples!$A:$A, 0), 1)</f>
        <v>2017-11-27</v>
      </c>
      <c r="S110" s="50" t="str">
        <f aca="false">INDEX(samples!$D:$D,MATCH(B110, samples!$A:$A,0),1)</f>
        <v>blood</v>
      </c>
      <c r="T110" s="51" t="s">
        <v>427</v>
      </c>
      <c r="V110" s="33" t="s">
        <v>427</v>
      </c>
      <c r="X110" s="8"/>
      <c r="Y110" s="8" t="s">
        <v>3150</v>
      </c>
      <c r="Z110" s="8" t="s">
        <v>1002</v>
      </c>
      <c r="AA110" s="8" t="s">
        <v>1002</v>
      </c>
      <c r="AB110" s="8" t="s">
        <v>1002</v>
      </c>
    </row>
    <row r="111" customFormat="false" ht="13.8" hidden="false" customHeight="false" outlineLevel="0" collapsed="false">
      <c r="A111" s="48" t="s">
        <v>3263</v>
      </c>
      <c r="B111" s="41" t="s">
        <v>1855</v>
      </c>
      <c r="C111" s="0" t="s">
        <v>3147</v>
      </c>
      <c r="D111" s="0" t="s">
        <v>3148</v>
      </c>
      <c r="H111" s="0" t="s">
        <v>3149</v>
      </c>
      <c r="I111" s="0" t="s">
        <v>3150</v>
      </c>
      <c r="J111" s="0" t="s">
        <v>427</v>
      </c>
      <c r="K111" s="0" t="s">
        <v>427</v>
      </c>
      <c r="M111" s="44" t="str">
        <f aca="false">INDEX(fastqs!$A:$A, MATCH(A111, fastqs!$B:$B, 0), 1)</f>
        <v>26_JS0093CD020619_R1.fastq.gz</v>
      </c>
      <c r="N111" s="44" t="str">
        <f aca="false">INDEX(fastqs!$C:$C, MATCH(A111, fastqs!$B:$B, 0), 1)</f>
        <v>GET</v>
      </c>
      <c r="O111" s="44" t="str">
        <f aca="false">INDEX(samples!$B:$B, MATCH(B111, samples!$A:$A, 0), 1)</f>
        <v>par0129</v>
      </c>
      <c r="P111" s="44" t="e">
        <f aca="false">INDEX(participants!$I:$I, MATCH(O111, participants!$A:$A, 0), 1)</f>
        <v>#N/A</v>
      </c>
      <c r="Q111" s="44" t="n">
        <f aca="false">INDEX(samples!$F:$F, MATCH(B111, samples!$A:$A, 0), 1)</f>
        <v>0</v>
      </c>
      <c r="R111" s="49" t="str">
        <f aca="false">INDEX(samples!$C:$C, MATCH(B111, samples!$A:$A, 0), 1)</f>
        <v>2019-02-06</v>
      </c>
      <c r="S111" s="50" t="str">
        <f aca="false">INDEX(samples!$D:$D,MATCH(B111, samples!$A:$A,0),1)</f>
        <v>blood</v>
      </c>
      <c r="T111" s="51" t="s">
        <v>427</v>
      </c>
      <c r="V111" s="33" t="s">
        <v>427</v>
      </c>
      <c r="X111" s="8"/>
      <c r="Y111" s="8" t="s">
        <v>3150</v>
      </c>
      <c r="Z111" s="8" t="s">
        <v>1002</v>
      </c>
      <c r="AA111" s="8" t="s">
        <v>1002</v>
      </c>
      <c r="AB111" s="8" t="s">
        <v>1002</v>
      </c>
    </row>
    <row r="112" customFormat="false" ht="13.8" hidden="false" customHeight="false" outlineLevel="0" collapsed="false">
      <c r="A112" s="48" t="s">
        <v>3264</v>
      </c>
      <c r="B112" s="41" t="s">
        <v>1714</v>
      </c>
      <c r="C112" s="0" t="s">
        <v>3147</v>
      </c>
      <c r="D112" s="0" t="s">
        <v>3148</v>
      </c>
      <c r="H112" s="0" t="s">
        <v>3201</v>
      </c>
      <c r="I112" s="0" t="s">
        <v>3150</v>
      </c>
      <c r="J112" s="0" t="s">
        <v>427</v>
      </c>
      <c r="K112" s="0" t="s">
        <v>427</v>
      </c>
      <c r="M112" s="44" t="str">
        <f aca="false">INDEX(fastqs!$A:$A, MATCH(A112, fastqs!$B:$B, 0), 1)</f>
        <v>25_2_072_R1.fastq.gz</v>
      </c>
      <c r="N112" s="44" t="str">
        <f aca="false">INDEX(fastqs!$C:$C, MATCH(A112, fastqs!$B:$B, 0), 1)</f>
        <v>GET</v>
      </c>
      <c r="O112" s="44" t="str">
        <f aca="false">INDEX(samples!$B:$B, MATCH(B112, samples!$A:$A, 0), 1)</f>
        <v>par0007</v>
      </c>
      <c r="P112" s="44" t="str">
        <f aca="false">INDEX(participants!$I:$I, MATCH(O112, participants!$A:$A, 0), 1)</f>
        <v>2072j</v>
      </c>
      <c r="Q112" s="44" t="n">
        <f aca="false">INDEX(samples!$F:$F, MATCH(B112, samples!$A:$A, 0), 1)</f>
        <v>0</v>
      </c>
      <c r="R112" s="49" t="str">
        <f aca="false">INDEX(samples!$C:$C, MATCH(B112, samples!$A:$A, 0), 1)</f>
        <v>UNK</v>
      </c>
      <c r="S112" s="50" t="str">
        <f aca="false">INDEX(samples!$D:$D,MATCH(B112, samples!$A:$A,0),1)</f>
        <v>blood</v>
      </c>
      <c r="T112" s="51" t="s">
        <v>427</v>
      </c>
      <c r="V112" s="33" t="s">
        <v>427</v>
      </c>
      <c r="X112" s="8"/>
      <c r="Y112" s="8" t="s">
        <v>1002</v>
      </c>
      <c r="Z112" s="8" t="s">
        <v>1002</v>
      </c>
      <c r="AA112" s="8" t="s">
        <v>1002</v>
      </c>
      <c r="AB112" s="8" t="s">
        <v>1002</v>
      </c>
    </row>
    <row r="113" customFormat="false" ht="13.8" hidden="false" customHeight="false" outlineLevel="0" collapsed="false">
      <c r="A113" s="48" t="s">
        <v>3265</v>
      </c>
      <c r="B113" s="41" t="s">
        <v>1710</v>
      </c>
      <c r="C113" s="0" t="s">
        <v>3147</v>
      </c>
      <c r="D113" s="0" t="s">
        <v>3148</v>
      </c>
      <c r="H113" s="0" t="s">
        <v>3149</v>
      </c>
      <c r="I113" s="0" t="s">
        <v>3150</v>
      </c>
      <c r="J113" s="0" t="s">
        <v>427</v>
      </c>
      <c r="K113" s="0" t="s">
        <v>427</v>
      </c>
      <c r="M113" s="44" t="str">
        <f aca="false">INDEX(fastqs!$A:$A, MATCH(A113, fastqs!$B:$B, 0), 1)</f>
        <v>24_2_015_R1.fastq.gz</v>
      </c>
      <c r="N113" s="44" t="str">
        <f aca="false">INDEX(fastqs!$C:$C, MATCH(A113, fastqs!$B:$B, 0), 1)</f>
        <v>GET</v>
      </c>
      <c r="O113" s="44" t="str">
        <f aca="false">INDEX(samples!$B:$B, MATCH(B113, samples!$A:$A, 0), 1)</f>
        <v>par0006</v>
      </c>
      <c r="P113" s="44" t="str">
        <f aca="false">INDEX(participants!$I:$I, MATCH(O113, participants!$A:$A, 0), 1)</f>
        <v>2015j</v>
      </c>
      <c r="Q113" s="44" t="n">
        <f aca="false">INDEX(samples!$F:$F, MATCH(B113, samples!$A:$A, 0), 1)</f>
        <v>0</v>
      </c>
      <c r="R113" s="49" t="str">
        <f aca="false">INDEX(samples!$C:$C, MATCH(B113, samples!$A:$A, 0), 1)</f>
        <v>UNK</v>
      </c>
      <c r="S113" s="50" t="str">
        <f aca="false">INDEX(samples!$D:$D,MATCH(B113, samples!$A:$A,0),1)</f>
        <v>blood</v>
      </c>
      <c r="T113" s="51" t="s">
        <v>427</v>
      </c>
      <c r="V113" s="33" t="s">
        <v>427</v>
      </c>
      <c r="X113" s="8"/>
      <c r="Y113" s="8" t="s">
        <v>3150</v>
      </c>
      <c r="Z113" s="8" t="s">
        <v>1002</v>
      </c>
      <c r="AA113" s="8" t="s">
        <v>1002</v>
      </c>
      <c r="AB113" s="8" t="s">
        <v>1002</v>
      </c>
    </row>
    <row r="114" customFormat="false" ht="13.8" hidden="false" customHeight="false" outlineLevel="0" collapsed="false">
      <c r="A114" s="48" t="s">
        <v>3266</v>
      </c>
      <c r="B114" s="41" t="s">
        <v>1858</v>
      </c>
      <c r="C114" s="0" t="s">
        <v>3147</v>
      </c>
      <c r="D114" s="0" t="s">
        <v>3148</v>
      </c>
      <c r="H114" s="0" t="s">
        <v>3201</v>
      </c>
      <c r="I114" s="0" t="s">
        <v>3150</v>
      </c>
      <c r="J114" s="0" t="s">
        <v>427</v>
      </c>
      <c r="K114" s="0" t="s">
        <v>427</v>
      </c>
      <c r="M114" s="44" t="str">
        <f aca="false">INDEX(fastqs!$A:$A, MATCH(A114, fastqs!$B:$B, 0), 1)</f>
        <v>16_JS0093CD022719_R1.fastq.gz</v>
      </c>
      <c r="N114" s="44" t="str">
        <f aca="false">INDEX(fastqs!$C:$C, MATCH(A114, fastqs!$B:$B, 0), 1)</f>
        <v>GET</v>
      </c>
      <c r="O114" s="44" t="str">
        <f aca="false">INDEX(samples!$B:$B, MATCH(B114, samples!$A:$A, 0), 1)</f>
        <v>par0129</v>
      </c>
      <c r="P114" s="44" t="e">
        <f aca="false">INDEX(participants!$I:$I, MATCH(O114, participants!$A:$A, 0), 1)</f>
        <v>#N/A</v>
      </c>
      <c r="Q114" s="44" t="n">
        <f aca="false">INDEX(samples!$F:$F, MATCH(B114, samples!$A:$A, 0), 1)</f>
        <v>0</v>
      </c>
      <c r="R114" s="49" t="str">
        <f aca="false">INDEX(samples!$C:$C, MATCH(B114, samples!$A:$A, 0), 1)</f>
        <v>2019-02-27</v>
      </c>
      <c r="S114" s="50" t="str">
        <f aca="false">INDEX(samples!$D:$D,MATCH(B114, samples!$A:$A,0),1)</f>
        <v>blood</v>
      </c>
      <c r="T114" s="51" t="s">
        <v>427</v>
      </c>
      <c r="V114" s="33" t="s">
        <v>427</v>
      </c>
      <c r="X114" s="8"/>
      <c r="Y114" s="8" t="s">
        <v>1002</v>
      </c>
      <c r="Z114" s="8" t="s">
        <v>1002</v>
      </c>
      <c r="AA114" s="8" t="s">
        <v>1002</v>
      </c>
      <c r="AB114" s="8" t="s">
        <v>1002</v>
      </c>
    </row>
    <row r="115" customFormat="false" ht="13.8" hidden="false" customHeight="false" outlineLevel="0" collapsed="false">
      <c r="A115" s="48" t="s">
        <v>3267</v>
      </c>
      <c r="B115" s="41" t="s">
        <v>1716</v>
      </c>
      <c r="C115" s="0" t="s">
        <v>3147</v>
      </c>
      <c r="D115" s="0" t="s">
        <v>3148</v>
      </c>
      <c r="H115" s="0" t="s">
        <v>3149</v>
      </c>
      <c r="I115" s="0" t="s">
        <v>3150</v>
      </c>
      <c r="J115" s="0" t="s">
        <v>427</v>
      </c>
      <c r="K115" s="0" t="s">
        <v>427</v>
      </c>
      <c r="M115" s="44" t="str">
        <f aca="false">INDEX(fastqs!$A:$A, MATCH(A115, fastqs!$B:$B, 0), 1)</f>
        <v>23_2_084_R1.fastq.gz</v>
      </c>
      <c r="N115" s="44" t="str">
        <f aca="false">INDEX(fastqs!$C:$C, MATCH(A115, fastqs!$B:$B, 0), 1)</f>
        <v>GET</v>
      </c>
      <c r="O115" s="44" t="str">
        <f aca="false">INDEX(samples!$B:$B, MATCH(B115, samples!$A:$A, 0), 1)</f>
        <v>par0004</v>
      </c>
      <c r="P115" s="44" t="str">
        <f aca="false">INDEX(participants!$I:$I, MATCH(O115, participants!$A:$A, 0), 1)</f>
        <v>2084j</v>
      </c>
      <c r="Q115" s="44" t="n">
        <f aca="false">INDEX(samples!$F:$F, MATCH(B115, samples!$A:$A, 0), 1)</f>
        <v>0</v>
      </c>
      <c r="R115" s="49" t="str">
        <f aca="false">INDEX(samples!$C:$C, MATCH(B115, samples!$A:$A, 0), 1)</f>
        <v>UNK</v>
      </c>
      <c r="S115" s="50" t="str">
        <f aca="false">INDEX(samples!$D:$D,MATCH(B115, samples!$A:$A,0),1)</f>
        <v>blood</v>
      </c>
      <c r="T115" s="51" t="s">
        <v>427</v>
      </c>
      <c r="V115" s="33" t="s">
        <v>427</v>
      </c>
      <c r="X115" s="8"/>
      <c r="Y115" s="8" t="s">
        <v>3150</v>
      </c>
      <c r="Z115" s="8" t="s">
        <v>1002</v>
      </c>
      <c r="AA115" s="8" t="s">
        <v>1002</v>
      </c>
      <c r="AB115" s="8" t="s">
        <v>1002</v>
      </c>
    </row>
    <row r="116" customFormat="false" ht="13.8" hidden="false" customHeight="false" outlineLevel="0" collapsed="false">
      <c r="A116" s="48" t="s">
        <v>3268</v>
      </c>
      <c r="B116" s="41" t="s">
        <v>1712</v>
      </c>
      <c r="C116" s="0" t="s">
        <v>3147</v>
      </c>
      <c r="D116" s="0" t="s">
        <v>3148</v>
      </c>
      <c r="H116" s="0" t="s">
        <v>3201</v>
      </c>
      <c r="I116" s="0" t="s">
        <v>3150</v>
      </c>
      <c r="J116" s="0" t="s">
        <v>427</v>
      </c>
      <c r="K116" s="0" t="s">
        <v>427</v>
      </c>
      <c r="M116" s="44" t="str">
        <f aca="false">INDEX(fastqs!$A:$A, MATCH(A116, fastqs!$B:$B, 0), 1)</f>
        <v>21_2_031_R1.fastq.gz</v>
      </c>
      <c r="N116" s="44" t="str">
        <f aca="false">INDEX(fastqs!$C:$C, MATCH(A116, fastqs!$B:$B, 0), 1)</f>
        <v>GET</v>
      </c>
      <c r="O116" s="44" t="str">
        <f aca="false">INDEX(samples!$B:$B, MATCH(B116, samples!$A:$A, 0), 1)</f>
        <v>par0002</v>
      </c>
      <c r="P116" s="44" t="str">
        <f aca="false">INDEX(participants!$I:$I, MATCH(O116, participants!$A:$A, 0), 1)</f>
        <v>2031j</v>
      </c>
      <c r="Q116" s="44" t="n">
        <f aca="false">INDEX(samples!$F:$F, MATCH(B116, samples!$A:$A, 0), 1)</f>
        <v>0</v>
      </c>
      <c r="R116" s="49" t="str">
        <f aca="false">INDEX(samples!$C:$C, MATCH(B116, samples!$A:$A, 0), 1)</f>
        <v>UNK</v>
      </c>
      <c r="S116" s="50" t="str">
        <f aca="false">INDEX(samples!$D:$D,MATCH(B116, samples!$A:$A,0),1)</f>
        <v>blood</v>
      </c>
      <c r="T116" s="51" t="s">
        <v>427</v>
      </c>
      <c r="V116" s="33" t="s">
        <v>427</v>
      </c>
      <c r="X116" s="8"/>
      <c r="Y116" s="8" t="s">
        <v>1002</v>
      </c>
      <c r="Z116" s="8" t="s">
        <v>1002</v>
      </c>
      <c r="AA116" s="8" t="s">
        <v>1002</v>
      </c>
      <c r="AB116" s="8" t="s">
        <v>1002</v>
      </c>
    </row>
    <row r="117" customFormat="false" ht="13.8" hidden="false" customHeight="false" outlineLevel="0" collapsed="false">
      <c r="A117" s="48" t="s">
        <v>3269</v>
      </c>
      <c r="B117" s="41" t="s">
        <v>1858</v>
      </c>
      <c r="C117" s="0" t="s">
        <v>3147</v>
      </c>
      <c r="D117" s="0" t="s">
        <v>3148</v>
      </c>
      <c r="H117" s="0" t="s">
        <v>3149</v>
      </c>
      <c r="I117" s="0" t="s">
        <v>3150</v>
      </c>
      <c r="J117" s="0" t="s">
        <v>427</v>
      </c>
      <c r="K117" s="0" t="s">
        <v>427</v>
      </c>
      <c r="M117" s="44" t="str">
        <f aca="false">INDEX(fastqs!$A:$A, MATCH(A117, fastqs!$B:$B, 0), 1)</f>
        <v>18_JS0093CD022719_2_R1.fastq.gz</v>
      </c>
      <c r="N117" s="44" t="str">
        <f aca="false">INDEX(fastqs!$C:$C, MATCH(A117, fastqs!$B:$B, 0), 1)</f>
        <v>GET</v>
      </c>
      <c r="O117" s="44" t="str">
        <f aca="false">INDEX(samples!$B:$B, MATCH(B117, samples!$A:$A, 0), 1)</f>
        <v>par0129</v>
      </c>
      <c r="P117" s="44" t="e">
        <f aca="false">INDEX(participants!$I:$I, MATCH(O117, participants!$A:$A, 0), 1)</f>
        <v>#N/A</v>
      </c>
      <c r="Q117" s="44" t="n">
        <f aca="false">INDEX(samples!$F:$F, MATCH(B117, samples!$A:$A, 0), 1)</f>
        <v>0</v>
      </c>
      <c r="R117" s="49" t="str">
        <f aca="false">INDEX(samples!$C:$C, MATCH(B117, samples!$A:$A, 0), 1)</f>
        <v>2019-02-27</v>
      </c>
      <c r="S117" s="50" t="str">
        <f aca="false">INDEX(samples!$D:$D,MATCH(B117, samples!$A:$A,0),1)</f>
        <v>blood</v>
      </c>
      <c r="T117" s="51" t="s">
        <v>427</v>
      </c>
      <c r="V117" s="33" t="s">
        <v>427</v>
      </c>
      <c r="X117" s="8"/>
      <c r="Y117" s="8" t="s">
        <v>3150</v>
      </c>
      <c r="Z117" s="8" t="s">
        <v>1002</v>
      </c>
      <c r="AA117" s="8" t="s">
        <v>1002</v>
      </c>
      <c r="AB117" s="8" t="s">
        <v>1002</v>
      </c>
    </row>
    <row r="118" customFormat="false" ht="13.8" hidden="false" customHeight="false" outlineLevel="0" collapsed="false">
      <c r="A118" s="48" t="s">
        <v>3270</v>
      </c>
      <c r="B118" s="41" t="s">
        <v>1901</v>
      </c>
      <c r="C118" s="0" t="s">
        <v>3147</v>
      </c>
      <c r="D118" s="0" t="s">
        <v>3271</v>
      </c>
      <c r="H118" s="0" t="s">
        <v>3272</v>
      </c>
      <c r="I118" s="0" t="s">
        <v>1002</v>
      </c>
      <c r="J118" s="0" t="s">
        <v>427</v>
      </c>
      <c r="K118" s="0" t="s">
        <v>427</v>
      </c>
      <c r="M118" s="44" t="str">
        <f aca="false">INDEX(fastqs!$A:$A, MATCH(A118, fastqs!$B:$B, 0), 1)</f>
        <v>new_HiSeqW54_Undetermined_R6000373_L007_R1_TCCT.fastq.gz</v>
      </c>
      <c r="N118" s="44" t="str">
        <f aca="false">INDEX(fastqs!$C:$C, MATCH(A118, fastqs!$B:$B, 0), 1)</f>
        <v>GET</v>
      </c>
      <c r="O118" s="44" t="str">
        <f aca="false">INDEX(samples!$B:$B, MATCH(B118, samples!$A:$A, 0), 1)</f>
        <v>par0080</v>
      </c>
      <c r="P118" s="44" t="str">
        <f aca="false">INDEX(participants!$I:$I, MATCH(O118, participants!$A:$A, 0), 1)</f>
        <v>nf561</v>
      </c>
      <c r="Q118" s="44" t="n">
        <f aca="false">INDEX(samples!$F:$F, MATCH(B118, samples!$A:$A, 0), 1)</f>
        <v>0</v>
      </c>
      <c r="R118" s="49" t="str">
        <f aca="false">INDEX(samples!$C:$C, MATCH(B118, samples!$A:$A, 0), 1)</f>
        <v>2020-02-27</v>
      </c>
      <c r="S118" s="50" t="str">
        <f aca="false">INDEX(samples!$D:$D,MATCH(B118, samples!$A:$A,0),1)</f>
        <v>blood</v>
      </c>
      <c r="T118" s="51" t="s">
        <v>427</v>
      </c>
      <c r="V118" s="33" t="s">
        <v>427</v>
      </c>
      <c r="X118" s="8"/>
      <c r="Y118" s="8" t="s">
        <v>3150</v>
      </c>
      <c r="Z118" s="8" t="n">
        <v>0</v>
      </c>
      <c r="AA118" s="8" t="n">
        <v>0</v>
      </c>
      <c r="AB118" s="8" t="n">
        <v>0</v>
      </c>
    </row>
    <row r="119" customFormat="false" ht="13.8" hidden="false" customHeight="false" outlineLevel="0" collapsed="false">
      <c r="A119" s="48" t="s">
        <v>3273</v>
      </c>
      <c r="B119" s="41" t="s">
        <v>1732</v>
      </c>
      <c r="C119" s="0" t="s">
        <v>3147</v>
      </c>
      <c r="D119" s="0" t="s">
        <v>3271</v>
      </c>
      <c r="H119" s="0" t="s">
        <v>3272</v>
      </c>
      <c r="I119" s="0" t="s">
        <v>1002</v>
      </c>
      <c r="J119" s="0" t="s">
        <v>427</v>
      </c>
      <c r="K119" s="0" t="s">
        <v>427</v>
      </c>
      <c r="M119" s="44" t="str">
        <f aca="false">INDEX(fastqs!$A:$A, MATCH(A119, fastqs!$B:$B, 0), 1)</f>
        <v>new_HiSeqW31_Undetermined_R6000232_L005_R1_001_TGTG.fastq.gz</v>
      </c>
      <c r="N119" s="44" t="str">
        <f aca="false">INDEX(fastqs!$C:$C, MATCH(A119, fastqs!$B:$B, 0), 1)</f>
        <v>GET</v>
      </c>
      <c r="O119" s="44" t="str">
        <f aca="false">INDEX(samples!$B:$B, MATCH(B119, samples!$A:$A, 0), 1)</f>
        <v>par0070</v>
      </c>
      <c r="P119" s="44" t="n">
        <f aca="false">INDEX(participants!$I:$I, MATCH(O119, participants!$A:$A, 0), 1)</f>
        <v>85</v>
      </c>
      <c r="Q119" s="44" t="n">
        <f aca="false">INDEX(samples!$F:$F, MATCH(B119, samples!$A:$A, 0), 1)</f>
        <v>0</v>
      </c>
      <c r="R119" s="49" t="str">
        <f aca="false">INDEX(samples!$C:$C, MATCH(B119, samples!$A:$A, 0), 1)</f>
        <v>2019-07-01</v>
      </c>
      <c r="S119" s="50" t="str">
        <f aca="false">INDEX(samples!$D:$D,MATCH(B119, samples!$A:$A,0),1)</f>
        <v>blood</v>
      </c>
      <c r="T119" s="51" t="s">
        <v>427</v>
      </c>
      <c r="V119" s="33" t="s">
        <v>427</v>
      </c>
      <c r="X119" s="8"/>
      <c r="Y119" s="8" t="s">
        <v>3150</v>
      </c>
      <c r="Z119" s="8" t="n">
        <v>0</v>
      </c>
      <c r="AA119" s="8" t="n">
        <v>0</v>
      </c>
      <c r="AB119" s="8" t="n">
        <v>0</v>
      </c>
    </row>
    <row r="120" customFormat="false" ht="13.8" hidden="false" customHeight="false" outlineLevel="0" collapsed="false">
      <c r="A120" s="48" t="s">
        <v>3274</v>
      </c>
      <c r="B120" s="41" t="s">
        <v>1983</v>
      </c>
      <c r="C120" s="0" t="s">
        <v>1984</v>
      </c>
      <c r="D120" s="0" t="s">
        <v>3271</v>
      </c>
      <c r="H120" s="0" t="s">
        <v>3272</v>
      </c>
      <c r="I120" s="0" t="s">
        <v>1002</v>
      </c>
      <c r="J120" s="0" t="s">
        <v>427</v>
      </c>
      <c r="K120" s="0" t="s">
        <v>427</v>
      </c>
      <c r="M120" s="44" t="str">
        <f aca="false">INDEX(fastqs!$A:$A, MATCH(A120, fastqs!$B:$B, 0), 1)</f>
        <v>new_HiSeq11_R1_TAGC.fastq.gz</v>
      </c>
      <c r="N120" s="44" t="str">
        <f aca="false">INDEX(fastqs!$C:$C, MATCH(A120, fastqs!$B:$B, 0), 1)</f>
        <v>GET</v>
      </c>
      <c r="O120" s="44" t="str">
        <f aca="false">INDEX(samples!$B:$B, MATCH(B120, samples!$A:$A, 0), 1)</f>
        <v>par0073</v>
      </c>
      <c r="P120" s="44" t="str">
        <f aca="false">INDEX(participants!$I:$I, MATCH(O120, participants!$A:$A, 0), 1)</f>
        <v>NONE</v>
      </c>
      <c r="Q120" s="44" t="n">
        <f aca="false">INDEX(samples!$F:$F, MATCH(B120, samples!$A:$A, 0), 1)</f>
        <v>0</v>
      </c>
      <c r="R120" s="49" t="str">
        <f aca="false">INDEX(samples!$C:$C, MATCH(B120, samples!$A:$A, 0), 1)</f>
        <v>GET</v>
      </c>
      <c r="S120" s="50" t="str">
        <f aca="false">INDEX(samples!$D:$D,MATCH(B120, samples!$A:$A,0),1)</f>
        <v>celline</v>
      </c>
      <c r="T120" s="51" t="s">
        <v>427</v>
      </c>
      <c r="V120" s="33" t="s">
        <v>427</v>
      </c>
      <c r="X120" s="8"/>
      <c r="Y120" s="8" t="s">
        <v>3150</v>
      </c>
      <c r="Z120" s="8" t="n">
        <v>0</v>
      </c>
      <c r="AA120" s="8" t="n">
        <v>0</v>
      </c>
      <c r="AB120" s="8" t="n">
        <v>0</v>
      </c>
    </row>
    <row r="121" customFormat="false" ht="13.8" hidden="false" customHeight="false" outlineLevel="0" collapsed="false">
      <c r="A121" s="48" t="s">
        <v>3275</v>
      </c>
      <c r="B121" s="41" t="s">
        <v>1881</v>
      </c>
      <c r="C121" s="0" t="s">
        <v>3147</v>
      </c>
      <c r="D121" s="0" t="s">
        <v>3271</v>
      </c>
      <c r="H121" s="0" t="s">
        <v>3272</v>
      </c>
      <c r="I121" s="0" t="s">
        <v>1002</v>
      </c>
      <c r="J121" s="0" t="s">
        <v>427</v>
      </c>
      <c r="K121" s="0" t="s">
        <v>427</v>
      </c>
      <c r="M121" s="44" t="str">
        <f aca="false">INDEX(fastqs!$A:$A, MATCH(A121, fastqs!$B:$B, 0), 1)</f>
        <v>new_HiSeq42_Undetermined_R6000281_L008_R1_001_GTGT.fastq.gz</v>
      </c>
      <c r="N121" s="44" t="str">
        <f aca="false">INDEX(fastqs!$C:$C, MATCH(A121, fastqs!$B:$B, 0), 1)</f>
        <v>GET</v>
      </c>
      <c r="O121" s="44" t="str">
        <f aca="false">INDEX(samples!$B:$B, MATCH(B121, samples!$A:$A, 0), 1)</f>
        <v>par0094</v>
      </c>
      <c r="P121" s="44" t="str">
        <f aca="false">INDEX(participants!$I:$I, MATCH(O121, participants!$A:$A, 0), 1)</f>
        <v>nf539</v>
      </c>
      <c r="Q121" s="44" t="n">
        <f aca="false">INDEX(samples!$F:$F, MATCH(B121, samples!$A:$A, 0), 1)</f>
        <v>0</v>
      </c>
      <c r="R121" s="49" t="str">
        <f aca="false">INDEX(samples!$C:$C, MATCH(B121, samples!$A:$A, 0), 1)</f>
        <v>2019-08-13</v>
      </c>
      <c r="S121" s="50" t="str">
        <f aca="false">INDEX(samples!$D:$D,MATCH(B121, samples!$A:$A,0),1)</f>
        <v>blood</v>
      </c>
      <c r="T121" s="51" t="s">
        <v>427</v>
      </c>
      <c r="V121" s="33" t="s">
        <v>427</v>
      </c>
      <c r="X121" s="8"/>
      <c r="Y121" s="8" t="s">
        <v>3150</v>
      </c>
      <c r="Z121" s="8" t="n">
        <v>0</v>
      </c>
      <c r="AA121" s="8" t="n">
        <v>0</v>
      </c>
      <c r="AB121" s="8" t="n">
        <v>0</v>
      </c>
    </row>
    <row r="122" customFormat="false" ht="13.8" hidden="false" customHeight="false" outlineLevel="0" collapsed="false">
      <c r="A122" s="48" t="s">
        <v>3276</v>
      </c>
      <c r="B122" s="41" t="s">
        <v>1970</v>
      </c>
      <c r="C122" s="0" t="s">
        <v>3147</v>
      </c>
      <c r="D122" s="0" t="s">
        <v>3271</v>
      </c>
      <c r="H122" s="0" t="s">
        <v>3272</v>
      </c>
      <c r="I122" s="0" t="s">
        <v>1002</v>
      </c>
      <c r="J122" s="0" t="s">
        <v>427</v>
      </c>
      <c r="K122" s="0" t="s">
        <v>427</v>
      </c>
      <c r="M122" s="44" t="str">
        <f aca="false">INDEX(fastqs!$A:$A, MATCH(A122, fastqs!$B:$B, 0), 1)</f>
        <v>new_HiSeqW54_Undetermined_R6000373_L007_R1_GTGT.fastq.gz</v>
      </c>
      <c r="N122" s="44" t="str">
        <f aca="false">INDEX(fastqs!$C:$C, MATCH(A122, fastqs!$B:$B, 0), 1)</f>
        <v>GET</v>
      </c>
      <c r="O122" s="44" t="str">
        <f aca="false">INDEX(samples!$B:$B, MATCH(B122, samples!$A:$A, 0), 1)</f>
        <v>par0131</v>
      </c>
      <c r="P122" s="44" t="e">
        <f aca="false">INDEX(participants!$I:$I, MATCH(O122, participants!$A:$A, 0), 1)</f>
        <v>#N/A</v>
      </c>
      <c r="Q122" s="44" t="n">
        <f aca="false">INDEX(samples!$F:$F, MATCH(B122, samples!$A:$A, 0), 1)</f>
        <v>0</v>
      </c>
      <c r="R122" s="49" t="str">
        <f aca="false">INDEX(samples!$C:$C, MATCH(B122, samples!$A:$A, 0), 1)</f>
        <v>2020-01-30</v>
      </c>
      <c r="S122" s="50" t="str">
        <f aca="false">INDEX(samples!$D:$D,MATCH(B122, samples!$A:$A,0),1)</f>
        <v>blood</v>
      </c>
      <c r="T122" s="51" t="s">
        <v>427</v>
      </c>
      <c r="V122" s="33" t="s">
        <v>427</v>
      </c>
      <c r="X122" s="8"/>
      <c r="Y122" s="8" t="s">
        <v>3150</v>
      </c>
      <c r="Z122" s="8" t="n">
        <v>0</v>
      </c>
      <c r="AA122" s="8" t="n">
        <v>0</v>
      </c>
      <c r="AB122" s="8" t="n">
        <v>0</v>
      </c>
    </row>
    <row r="123" customFormat="false" ht="13.8" hidden="false" customHeight="false" outlineLevel="0" collapsed="false">
      <c r="A123" s="48" t="s">
        <v>3277</v>
      </c>
      <c r="B123" s="41" t="s">
        <v>1990</v>
      </c>
      <c r="C123" s="0" t="s">
        <v>3215</v>
      </c>
      <c r="D123" s="0" t="s">
        <v>3271</v>
      </c>
      <c r="H123" s="0" t="s">
        <v>3272</v>
      </c>
      <c r="I123" s="0" t="s">
        <v>1002</v>
      </c>
      <c r="J123" s="0" t="s">
        <v>427</v>
      </c>
      <c r="K123" s="0" t="s">
        <v>427</v>
      </c>
      <c r="M123" s="44" t="str">
        <f aca="false">INDEX(fastqs!$A:$A, MATCH(A123, fastqs!$B:$B, 0), 1)</f>
        <v>new_HiSeq-W46_Undetermined_R6000324_L006_R1_001_TAGC.fastq.gz</v>
      </c>
      <c r="N123" s="44" t="str">
        <f aca="false">INDEX(fastqs!$C:$C, MATCH(A123, fastqs!$B:$B, 0), 1)</f>
        <v>GET</v>
      </c>
      <c r="O123" s="44" t="str">
        <f aca="false">INDEX(samples!$B:$B, MATCH(B123, samples!$A:$A, 0), 1)</f>
        <v>par0094</v>
      </c>
      <c r="P123" s="44" t="str">
        <f aca="false">INDEX(participants!$I:$I, MATCH(O123, participants!$A:$A, 0), 1)</f>
        <v>nf539</v>
      </c>
      <c r="Q123" s="44" t="n">
        <f aca="false">INDEX(samples!$F:$F, MATCH(B123, samples!$A:$A, 0), 1)</f>
        <v>0</v>
      </c>
      <c r="R123" s="49" t="str">
        <f aca="false">INDEX(samples!$C:$C, MATCH(B123, samples!$A:$A, 0), 1)</f>
        <v>2019-10-01</v>
      </c>
      <c r="S123" s="50" t="str">
        <f aca="false">INDEX(samples!$D:$D,MATCH(B123, samples!$A:$A,0),1)</f>
        <v>blood</v>
      </c>
      <c r="T123" s="51" t="s">
        <v>36</v>
      </c>
      <c r="V123" s="33" t="s">
        <v>427</v>
      </c>
      <c r="X123" s="8"/>
      <c r="Y123" s="8" t="s">
        <v>3150</v>
      </c>
      <c r="Z123" s="8" t="n">
        <v>0</v>
      </c>
      <c r="AA123" s="8" t="n">
        <v>0</v>
      </c>
      <c r="AB123" s="8" t="n">
        <v>0</v>
      </c>
    </row>
    <row r="124" customFormat="false" ht="13.8" hidden="false" customHeight="false" outlineLevel="0" collapsed="false">
      <c r="A124" s="48" t="s">
        <v>3278</v>
      </c>
      <c r="B124" s="41" t="s">
        <v>1963</v>
      </c>
      <c r="C124" s="0" t="s">
        <v>3147</v>
      </c>
      <c r="D124" s="0" t="s">
        <v>3271</v>
      </c>
      <c r="H124" s="0" t="s">
        <v>3272</v>
      </c>
      <c r="I124" s="0" t="s">
        <v>1002</v>
      </c>
      <c r="J124" s="0" t="s">
        <v>427</v>
      </c>
      <c r="K124" s="0" t="s">
        <v>427</v>
      </c>
      <c r="M124" s="44" t="str">
        <f aca="false">INDEX(fastqs!$A:$A, MATCH(A124, fastqs!$B:$B, 0), 1)</f>
        <v>new_HiSeq-W47_Undetermined_R6000324_L007_R1_001_ACAC.fastq.gz</v>
      </c>
      <c r="N124" s="44" t="str">
        <f aca="false">INDEX(fastqs!$C:$C, MATCH(A124, fastqs!$B:$B, 0), 1)</f>
        <v>GET</v>
      </c>
      <c r="O124" s="44" t="str">
        <f aca="false">INDEX(samples!$B:$B, MATCH(B124, samples!$A:$A, 0), 1)</f>
        <v>par0086</v>
      </c>
      <c r="P124" s="44" t="str">
        <f aca="false">INDEX(participants!$I:$I, MATCH(O124, participants!$A:$A, 0), 1)</f>
        <v>nf594</v>
      </c>
      <c r="Q124" s="44" t="n">
        <f aca="false">INDEX(samples!$F:$F, MATCH(B124, samples!$A:$A, 0), 1)</f>
        <v>0</v>
      </c>
      <c r="R124" s="49" t="str">
        <f aca="false">INDEX(samples!$C:$C, MATCH(B124, samples!$A:$A, 0), 1)</f>
        <v>2019-12-10</v>
      </c>
      <c r="S124" s="50" t="str">
        <f aca="false">INDEX(samples!$D:$D,MATCH(B124, samples!$A:$A,0),1)</f>
        <v>blood</v>
      </c>
      <c r="T124" s="51" t="s">
        <v>427</v>
      </c>
      <c r="V124" s="33" t="s">
        <v>427</v>
      </c>
      <c r="X124" s="8"/>
      <c r="Y124" s="8" t="s">
        <v>3150</v>
      </c>
      <c r="Z124" s="8" t="n">
        <v>0</v>
      </c>
      <c r="AA124" s="8" t="n">
        <v>0</v>
      </c>
      <c r="AB124" s="8" t="n">
        <v>0</v>
      </c>
    </row>
    <row r="125" customFormat="false" ht="13.8" hidden="false" customHeight="false" outlineLevel="0" collapsed="false">
      <c r="A125" s="48" t="s">
        <v>3279</v>
      </c>
      <c r="B125" s="41" t="s">
        <v>1960</v>
      </c>
      <c r="C125" s="0" t="s">
        <v>3147</v>
      </c>
      <c r="D125" s="0" t="s">
        <v>3271</v>
      </c>
      <c r="H125" s="0" t="s">
        <v>3272</v>
      </c>
      <c r="I125" s="0" t="s">
        <v>1002</v>
      </c>
      <c r="J125" s="0" t="s">
        <v>427</v>
      </c>
      <c r="K125" s="0" t="s">
        <v>427</v>
      </c>
      <c r="M125" s="44" t="str">
        <f aca="false">INDEX(fastqs!$A:$A, MATCH(A125, fastqs!$B:$B, 0), 1)</f>
        <v>new_HiSeqW54_Undetermined_R6000373_L007_R1_CTTC.fastq.gz</v>
      </c>
      <c r="N125" s="44" t="str">
        <f aca="false">INDEX(fastqs!$C:$C, MATCH(A125, fastqs!$B:$B, 0), 1)</f>
        <v>GET</v>
      </c>
      <c r="O125" s="44" t="str">
        <f aca="false">INDEX(samples!$B:$B, MATCH(B125, samples!$A:$A, 0), 1)</f>
        <v>par0107</v>
      </c>
      <c r="P125" s="44" t="e">
        <f aca="false">INDEX(participants!$I:$I, MATCH(O125, participants!$A:$A, 0), 1)</f>
        <v>#N/A</v>
      </c>
      <c r="Q125" s="44" t="n">
        <f aca="false">INDEX(samples!$F:$F, MATCH(B125, samples!$A:$A, 0), 1)</f>
        <v>0</v>
      </c>
      <c r="R125" s="49" t="str">
        <f aca="false">INDEX(samples!$C:$C, MATCH(B125, samples!$A:$A, 0), 1)</f>
        <v>2020-02-25</v>
      </c>
      <c r="S125" s="50" t="str">
        <f aca="false">INDEX(samples!$D:$D,MATCH(B125, samples!$A:$A,0),1)</f>
        <v>blood</v>
      </c>
      <c r="T125" s="51" t="s">
        <v>427</v>
      </c>
      <c r="V125" s="33" t="s">
        <v>427</v>
      </c>
      <c r="X125" s="8"/>
      <c r="Y125" s="8" t="s">
        <v>3150</v>
      </c>
      <c r="Z125" s="8" t="n">
        <v>0</v>
      </c>
      <c r="AA125" s="8" t="n">
        <v>0</v>
      </c>
      <c r="AB125" s="8" t="n">
        <v>0</v>
      </c>
    </row>
    <row r="126" customFormat="false" ht="13.8" hidden="false" customHeight="false" outlineLevel="0" collapsed="false">
      <c r="A126" s="48" t="s">
        <v>3280</v>
      </c>
      <c r="B126" s="41" t="s">
        <v>1945</v>
      </c>
      <c r="C126" s="0" t="s">
        <v>3147</v>
      </c>
      <c r="D126" s="0" t="s">
        <v>3271</v>
      </c>
      <c r="H126" s="0" t="s">
        <v>3272</v>
      </c>
      <c r="I126" s="0" t="s">
        <v>1002</v>
      </c>
      <c r="J126" s="0" t="s">
        <v>427</v>
      </c>
      <c r="K126" s="0" t="s">
        <v>427</v>
      </c>
      <c r="M126" s="44" t="str">
        <f aca="false">INDEX(fastqs!$A:$A, MATCH(A126, fastqs!$B:$B, 0), 1)</f>
        <v>new_HiSeq-W47_Undetermined_R6000324_L007_R1_001_GCTA.fastq.gz</v>
      </c>
      <c r="N126" s="44" t="str">
        <f aca="false">INDEX(fastqs!$C:$C, MATCH(A126, fastqs!$B:$B, 0), 1)</f>
        <v>GET</v>
      </c>
      <c r="O126" s="44" t="str">
        <f aca="false">INDEX(samples!$B:$B, MATCH(B126, samples!$A:$A, 0), 1)</f>
        <v>par0085</v>
      </c>
      <c r="P126" s="44" t="str">
        <f aca="false">INDEX(participants!$I:$I, MATCH(O126, participants!$A:$A, 0), 1)</f>
        <v>nf589</v>
      </c>
      <c r="Q126" s="44" t="n">
        <f aca="false">INDEX(samples!$F:$F, MATCH(B126, samples!$A:$A, 0), 1)</f>
        <v>0</v>
      </c>
      <c r="R126" s="49" t="str">
        <f aca="false">INDEX(samples!$C:$C, MATCH(B126, samples!$A:$A, 0), 1)</f>
        <v>2019-12-26</v>
      </c>
      <c r="S126" s="50" t="str">
        <f aca="false">INDEX(samples!$D:$D,MATCH(B126, samples!$A:$A,0),1)</f>
        <v>blood</v>
      </c>
      <c r="T126" s="51" t="s">
        <v>427</v>
      </c>
      <c r="V126" s="33" t="s">
        <v>427</v>
      </c>
      <c r="X126" s="8"/>
      <c r="Y126" s="8" t="s">
        <v>3150</v>
      </c>
      <c r="Z126" s="8" t="n">
        <v>0</v>
      </c>
      <c r="AA126" s="8" t="n">
        <v>0</v>
      </c>
      <c r="AB126" s="8" t="n">
        <v>0</v>
      </c>
    </row>
    <row r="127" customFormat="false" ht="13.8" hidden="false" customHeight="false" outlineLevel="0" collapsed="false">
      <c r="A127" s="48" t="s">
        <v>3281</v>
      </c>
      <c r="B127" s="41" t="s">
        <v>1883</v>
      </c>
      <c r="C127" s="0" t="s">
        <v>3147</v>
      </c>
      <c r="D127" s="0" t="s">
        <v>3271</v>
      </c>
      <c r="H127" s="0" t="s">
        <v>3272</v>
      </c>
      <c r="I127" s="0" t="s">
        <v>1002</v>
      </c>
      <c r="J127" s="0" t="s">
        <v>427</v>
      </c>
      <c r="K127" s="0" t="s">
        <v>427</v>
      </c>
      <c r="M127" s="44" t="str">
        <f aca="false">INDEX(fastqs!$A:$A, MATCH(A127, fastqs!$B:$B, 0), 1)</f>
        <v>new_HiSeq42_Undetermined_R6000281_L008_R1_001_TAGC.fastq.gz</v>
      </c>
      <c r="N127" s="44" t="str">
        <f aca="false">INDEX(fastqs!$C:$C, MATCH(A127, fastqs!$B:$B, 0), 1)</f>
        <v>GET</v>
      </c>
      <c r="O127" s="44" t="str">
        <f aca="false">INDEX(samples!$B:$B, MATCH(B127, samples!$A:$A, 0), 1)</f>
        <v>par0094</v>
      </c>
      <c r="P127" s="44" t="str">
        <f aca="false">INDEX(participants!$I:$I, MATCH(O127, participants!$A:$A, 0), 1)</f>
        <v>nf539</v>
      </c>
      <c r="Q127" s="44" t="n">
        <f aca="false">INDEX(samples!$F:$F, MATCH(B127, samples!$A:$A, 0), 1)</f>
        <v>0</v>
      </c>
      <c r="R127" s="49" t="str">
        <f aca="false">INDEX(samples!$C:$C, MATCH(B127, samples!$A:$A, 0), 1)</f>
        <v>2019-10-01</v>
      </c>
      <c r="S127" s="50" t="str">
        <f aca="false">INDEX(samples!$D:$D,MATCH(B127, samples!$A:$A,0),1)</f>
        <v>blood</v>
      </c>
      <c r="T127" s="51" t="s">
        <v>427</v>
      </c>
      <c r="V127" s="33" t="s">
        <v>427</v>
      </c>
      <c r="X127" s="8"/>
      <c r="Y127" s="8" t="s">
        <v>3150</v>
      </c>
      <c r="Z127" s="8" t="n">
        <v>0</v>
      </c>
      <c r="AA127" s="8" t="n">
        <v>0</v>
      </c>
      <c r="AB127" s="8" t="n">
        <v>0</v>
      </c>
    </row>
    <row r="128" customFormat="false" ht="13.8" hidden="false" customHeight="false" outlineLevel="0" collapsed="false">
      <c r="A128" s="48" t="s">
        <v>3282</v>
      </c>
      <c r="B128" s="41" t="s">
        <v>1949</v>
      </c>
      <c r="C128" s="0" t="s">
        <v>3147</v>
      </c>
      <c r="D128" s="0" t="s">
        <v>3271</v>
      </c>
      <c r="H128" s="0" t="s">
        <v>3272</v>
      </c>
      <c r="I128" s="0" t="s">
        <v>1002</v>
      </c>
      <c r="J128" s="0" t="s">
        <v>427</v>
      </c>
      <c r="K128" s="0" t="s">
        <v>427</v>
      </c>
      <c r="M128" s="44" t="str">
        <f aca="false">INDEX(fastqs!$A:$A, MATCH(A128, fastqs!$B:$B, 0), 1)</f>
        <v>new_HiSeqW54_Undetermined_R6000373_L007_R1_TGTG.fastq.gz</v>
      </c>
      <c r="N128" s="44" t="str">
        <f aca="false">INDEX(fastqs!$C:$C, MATCH(A128, fastqs!$B:$B, 0), 1)</f>
        <v>GET</v>
      </c>
      <c r="O128" s="44" t="str">
        <f aca="false">INDEX(samples!$B:$B, MATCH(B128, samples!$A:$A, 0), 1)</f>
        <v>par0085</v>
      </c>
      <c r="P128" s="44" t="str">
        <f aca="false">INDEX(participants!$I:$I, MATCH(O128, participants!$A:$A, 0), 1)</f>
        <v>nf589</v>
      </c>
      <c r="Q128" s="44" t="n">
        <f aca="false">INDEX(samples!$F:$F, MATCH(B128, samples!$A:$A, 0), 1)</f>
        <v>0</v>
      </c>
      <c r="R128" s="49" t="str">
        <f aca="false">INDEX(samples!$C:$C, MATCH(B128, samples!$A:$A, 0), 1)</f>
        <v>2020-02-20</v>
      </c>
      <c r="S128" s="50" t="str">
        <f aca="false">INDEX(samples!$D:$D,MATCH(B128, samples!$A:$A,0),1)</f>
        <v>blood</v>
      </c>
      <c r="T128" s="51" t="s">
        <v>427</v>
      </c>
      <c r="V128" s="33" t="s">
        <v>427</v>
      </c>
      <c r="X128" s="8"/>
      <c r="Y128" s="8" t="s">
        <v>3150</v>
      </c>
      <c r="Z128" s="8" t="n">
        <v>0</v>
      </c>
      <c r="AA128" s="8" t="n">
        <v>0</v>
      </c>
      <c r="AB128" s="8" t="n">
        <v>0</v>
      </c>
    </row>
    <row r="129" customFormat="false" ht="13.8" hidden="false" customHeight="false" outlineLevel="0" collapsed="false">
      <c r="A129" s="48" t="s">
        <v>3283</v>
      </c>
      <c r="B129" s="41" t="s">
        <v>1871</v>
      </c>
      <c r="C129" s="0" t="s">
        <v>3147</v>
      </c>
      <c r="D129" s="0" t="s">
        <v>3271</v>
      </c>
      <c r="H129" s="0" t="s">
        <v>3272</v>
      </c>
      <c r="I129" s="0" t="s">
        <v>1002</v>
      </c>
      <c r="J129" s="0" t="s">
        <v>427</v>
      </c>
      <c r="K129" s="0" t="s">
        <v>427</v>
      </c>
      <c r="M129" s="44" t="str">
        <f aca="false">INDEX(fastqs!$A:$A, MATCH(A129, fastqs!$B:$B, 0), 1)</f>
        <v>new_HiSeqW54_Undetermined_R6000373_L007_R1_TAGC.fastq.gz</v>
      </c>
      <c r="N129" s="44" t="str">
        <f aca="false">INDEX(fastqs!$C:$C, MATCH(A129, fastqs!$B:$B, 0), 1)</f>
        <v>GET</v>
      </c>
      <c r="O129" s="44" t="str">
        <f aca="false">INDEX(samples!$B:$B, MATCH(B129, samples!$A:$A, 0), 1)</f>
        <v>par0089</v>
      </c>
      <c r="P129" s="44" t="str">
        <f aca="false">INDEX(participants!$I:$I, MATCH(O129, participants!$A:$A, 0), 1)</f>
        <v>nf509</v>
      </c>
      <c r="Q129" s="44" t="n">
        <f aca="false">INDEX(samples!$F:$F, MATCH(B129, samples!$A:$A, 0), 1)</f>
        <v>0</v>
      </c>
      <c r="R129" s="49" t="str">
        <f aca="false">INDEX(samples!$C:$C, MATCH(B129, samples!$A:$A, 0), 1)</f>
        <v>2020-02-04</v>
      </c>
      <c r="S129" s="50" t="str">
        <f aca="false">INDEX(samples!$D:$D,MATCH(B129, samples!$A:$A,0),1)</f>
        <v>blood</v>
      </c>
      <c r="T129" s="51" t="s">
        <v>427</v>
      </c>
      <c r="V129" s="33" t="s">
        <v>427</v>
      </c>
      <c r="X129" s="8"/>
      <c r="Y129" s="8" t="s">
        <v>3150</v>
      </c>
      <c r="Z129" s="8" t="n">
        <v>0</v>
      </c>
      <c r="AA129" s="8" t="n">
        <v>0</v>
      </c>
      <c r="AB129" s="8" t="n">
        <v>0</v>
      </c>
    </row>
    <row r="130" customFormat="false" ht="13.8" hidden="false" customHeight="false" outlineLevel="0" collapsed="false">
      <c r="A130" s="48" t="s">
        <v>3284</v>
      </c>
      <c r="B130" s="41" t="s">
        <v>1885</v>
      </c>
      <c r="C130" s="0" t="s">
        <v>3147</v>
      </c>
      <c r="D130" s="0" t="s">
        <v>3271</v>
      </c>
      <c r="H130" s="0" t="s">
        <v>3272</v>
      </c>
      <c r="I130" s="0" t="s">
        <v>1002</v>
      </c>
      <c r="J130" s="0" t="s">
        <v>427</v>
      </c>
      <c r="K130" s="0" t="s">
        <v>427</v>
      </c>
      <c r="M130" s="44" t="str">
        <f aca="false">INDEX(fastqs!$A:$A, MATCH(A130, fastqs!$B:$B, 0), 1)</f>
        <v>new_HiSeq28_Undetermined_R6000204_L006_R1_001_ACAC.fastq.gz</v>
      </c>
      <c r="N130" s="44" t="str">
        <f aca="false">INDEX(fastqs!$C:$C, MATCH(A130, fastqs!$B:$B, 0), 1)</f>
        <v>GET</v>
      </c>
      <c r="O130" s="44" t="str">
        <f aca="false">INDEX(samples!$B:$B, MATCH(B130, samples!$A:$A, 0), 1)</f>
        <v>par0095</v>
      </c>
      <c r="P130" s="44" t="str">
        <f aca="false">INDEX(participants!$I:$I, MATCH(O130, participants!$A:$A, 0), 1)</f>
        <v>nf544</v>
      </c>
      <c r="Q130" s="44" t="n">
        <f aca="false">INDEX(samples!$F:$F, MATCH(B130, samples!$A:$A, 0), 1)</f>
        <v>0</v>
      </c>
      <c r="R130" s="49" t="str">
        <f aca="false">INDEX(samples!$C:$C, MATCH(B130, samples!$A:$A, 0), 1)</f>
        <v>2019-07-25</v>
      </c>
      <c r="S130" s="50" t="str">
        <f aca="false">INDEX(samples!$D:$D,MATCH(B130, samples!$A:$A,0),1)</f>
        <v>blood</v>
      </c>
      <c r="T130" s="51" t="s">
        <v>427</v>
      </c>
      <c r="V130" s="33" t="s">
        <v>427</v>
      </c>
      <c r="X130" s="8"/>
      <c r="Y130" s="8" t="s">
        <v>3150</v>
      </c>
      <c r="Z130" s="8" t="n">
        <v>0</v>
      </c>
      <c r="AA130" s="8" t="n">
        <v>0</v>
      </c>
      <c r="AB130" s="8" t="n">
        <v>0</v>
      </c>
    </row>
    <row r="131" customFormat="false" ht="13.8" hidden="false" customHeight="false" outlineLevel="0" collapsed="false">
      <c r="A131" s="48" t="s">
        <v>3285</v>
      </c>
      <c r="B131" s="41" t="s">
        <v>1991</v>
      </c>
      <c r="C131" s="0" t="s">
        <v>3215</v>
      </c>
      <c r="D131" s="0" t="s">
        <v>3271</v>
      </c>
      <c r="H131" s="0" t="s">
        <v>3272</v>
      </c>
      <c r="I131" s="0" t="s">
        <v>1002</v>
      </c>
      <c r="J131" s="0" t="s">
        <v>427</v>
      </c>
      <c r="K131" s="0" t="s">
        <v>427</v>
      </c>
      <c r="M131" s="44" t="str">
        <f aca="false">INDEX(fastqs!$A:$A, MATCH(A131, fastqs!$B:$B, 0), 1)</f>
        <v>new_HiSeq-W46_Undetermined_R6000324_L006_R1_001_GCTA.fastq.gz</v>
      </c>
      <c r="N131" s="44" t="str">
        <f aca="false">INDEX(fastqs!$C:$C, MATCH(A131, fastqs!$B:$B, 0), 1)</f>
        <v>GET</v>
      </c>
      <c r="O131" s="44" t="str">
        <f aca="false">INDEX(samples!$B:$B, MATCH(B131, samples!$A:$A, 0), 1)</f>
        <v>par0095</v>
      </c>
      <c r="P131" s="44" t="str">
        <f aca="false">INDEX(participants!$I:$I, MATCH(O131, participants!$A:$A, 0), 1)</f>
        <v>nf544</v>
      </c>
      <c r="Q131" s="44" t="n">
        <f aca="false">INDEX(samples!$F:$F, MATCH(B131, samples!$A:$A, 0), 1)</f>
        <v>0</v>
      </c>
      <c r="R131" s="49" t="str">
        <f aca="false">INDEX(samples!$C:$C, MATCH(B131, samples!$A:$A, 0), 1)</f>
        <v>2019-07-25</v>
      </c>
      <c r="S131" s="50" t="str">
        <f aca="false">INDEX(samples!$D:$D,MATCH(B131, samples!$A:$A,0),1)</f>
        <v>blood</v>
      </c>
      <c r="T131" s="51" t="s">
        <v>36</v>
      </c>
      <c r="V131" s="33" t="s">
        <v>427</v>
      </c>
      <c r="X131" s="8"/>
      <c r="Y131" s="8" t="s">
        <v>3150</v>
      </c>
      <c r="Z131" s="8" t="n">
        <v>0</v>
      </c>
      <c r="AA131" s="8" t="n">
        <v>0</v>
      </c>
      <c r="AB131" s="8" t="n">
        <v>0</v>
      </c>
    </row>
    <row r="132" customFormat="false" ht="13.8" hidden="false" customHeight="false" outlineLevel="0" collapsed="false">
      <c r="A132" s="48" t="s">
        <v>3286</v>
      </c>
      <c r="B132" s="41" t="s">
        <v>2007</v>
      </c>
      <c r="C132" s="0" t="s">
        <v>3147</v>
      </c>
      <c r="D132" s="0" t="s">
        <v>3271</v>
      </c>
      <c r="H132" s="0" t="s">
        <v>3272</v>
      </c>
      <c r="I132" s="0" t="s">
        <v>1002</v>
      </c>
      <c r="J132" s="0" t="s">
        <v>427</v>
      </c>
      <c r="K132" s="0" t="s">
        <v>427</v>
      </c>
      <c r="M132" s="44" t="str">
        <f aca="false">INDEX(fastqs!$A:$A, MATCH(A132, fastqs!$B:$B, 0), 1)</f>
        <v>new_HiSeq28_Undetermined_R6000204_L006_R1_001_AGGT.fastq.gz</v>
      </c>
      <c r="N132" s="44" t="str">
        <f aca="false">INDEX(fastqs!$C:$C, MATCH(A132, fastqs!$B:$B, 0), 1)</f>
        <v>GET</v>
      </c>
      <c r="O132" s="44" t="str">
        <f aca="false">INDEX(samples!$B:$B, MATCH(B132, samples!$A:$A, 0), 1)</f>
        <v>par0097</v>
      </c>
      <c r="P132" s="44" t="str">
        <f aca="false">INDEX(participants!$I:$I, MATCH(O132, participants!$A:$A, 0), 1)</f>
        <v>nf571</v>
      </c>
      <c r="Q132" s="44" t="n">
        <f aca="false">INDEX(samples!$F:$F, MATCH(B132, samples!$A:$A, 0), 1)</f>
        <v>0</v>
      </c>
      <c r="R132" s="49" t="str">
        <f aca="false">INDEX(samples!$C:$C, MATCH(B132, samples!$A:$A, 0), 1)</f>
        <v>2019-06-13</v>
      </c>
      <c r="S132" s="50" t="str">
        <f aca="false">INDEX(samples!$D:$D,MATCH(B132, samples!$A:$A,0),1)</f>
        <v>blood</v>
      </c>
      <c r="T132" s="51" t="s">
        <v>427</v>
      </c>
      <c r="V132" s="33" t="s">
        <v>427</v>
      </c>
      <c r="X132" s="8"/>
      <c r="Y132" s="8" t="s">
        <v>3150</v>
      </c>
      <c r="Z132" s="8" t="n">
        <v>0</v>
      </c>
      <c r="AA132" s="8" t="n">
        <v>0</v>
      </c>
      <c r="AB132" s="8" t="n">
        <v>0</v>
      </c>
    </row>
    <row r="133" customFormat="false" ht="13.8" hidden="false" customHeight="false" outlineLevel="0" collapsed="false">
      <c r="A133" s="48" t="s">
        <v>3287</v>
      </c>
      <c r="B133" s="41" t="s">
        <v>1966</v>
      </c>
      <c r="C133" s="0" t="s">
        <v>3147</v>
      </c>
      <c r="D133" s="0" t="s">
        <v>3271</v>
      </c>
      <c r="H133" s="0" t="s">
        <v>3272</v>
      </c>
      <c r="I133" s="0" t="s">
        <v>1002</v>
      </c>
      <c r="J133" s="0" t="s">
        <v>427</v>
      </c>
      <c r="K133" s="0" t="s">
        <v>427</v>
      </c>
      <c r="M133" s="44" t="str">
        <f aca="false">INDEX(fastqs!$A:$A, MATCH(A133, fastqs!$B:$B, 0), 1)</f>
        <v>new_HiSeqW54_Undetermined_R6000373_L007_R1_ATCG.fastq.gz</v>
      </c>
      <c r="N133" s="44" t="str">
        <f aca="false">INDEX(fastqs!$C:$C, MATCH(A133, fastqs!$B:$B, 0), 1)</f>
        <v>GET</v>
      </c>
      <c r="O133" s="44" t="str">
        <f aca="false">INDEX(samples!$B:$B, MATCH(B133, samples!$A:$A, 0), 1)</f>
        <v>par0109</v>
      </c>
      <c r="P133" s="44" t="e">
        <f aca="false">INDEX(participants!$I:$I, MATCH(O133, participants!$A:$A, 0), 1)</f>
        <v>#N/A</v>
      </c>
      <c r="Q133" s="44" t="n">
        <f aca="false">INDEX(samples!$F:$F, MATCH(B133, samples!$A:$A, 0), 1)</f>
        <v>0</v>
      </c>
      <c r="R133" s="49" t="str">
        <f aca="false">INDEX(samples!$C:$C, MATCH(B133, samples!$A:$A, 0), 1)</f>
        <v>2020-01-21</v>
      </c>
      <c r="S133" s="50" t="str">
        <f aca="false">INDEX(samples!$D:$D,MATCH(B133, samples!$A:$A,0),1)</f>
        <v>blood</v>
      </c>
      <c r="T133" s="51" t="s">
        <v>427</v>
      </c>
      <c r="V133" s="33" t="s">
        <v>427</v>
      </c>
      <c r="X133" s="8"/>
      <c r="Y133" s="8" t="s">
        <v>3150</v>
      </c>
      <c r="Z133" s="8" t="n">
        <v>0</v>
      </c>
      <c r="AA133" s="8" t="n">
        <v>0</v>
      </c>
      <c r="AB133" s="8" t="n">
        <v>0</v>
      </c>
    </row>
    <row r="134" customFormat="false" ht="13.8" hidden="false" customHeight="false" outlineLevel="0" collapsed="false">
      <c r="A134" s="48" t="s">
        <v>3288</v>
      </c>
      <c r="B134" s="41" t="s">
        <v>1897</v>
      </c>
      <c r="C134" s="0" t="s">
        <v>1824</v>
      </c>
      <c r="D134" s="0" t="s">
        <v>3271</v>
      </c>
      <c r="H134" s="0" t="s">
        <v>3272</v>
      </c>
      <c r="I134" s="0" t="s">
        <v>1002</v>
      </c>
      <c r="J134" s="0" t="s">
        <v>427</v>
      </c>
      <c r="K134" s="0" t="s">
        <v>427</v>
      </c>
      <c r="M134" s="44" t="str">
        <f aca="false">INDEX(fastqs!$A:$A, MATCH(A134, fastqs!$B:$B, 0), 1)</f>
        <v>new_HiSeqW43_Undetermined_R6000292_L004_R1_001_GTGT.fastq.gz</v>
      </c>
      <c r="N134" s="44" t="str">
        <f aca="false">INDEX(fastqs!$C:$C, MATCH(A134, fastqs!$B:$B, 0), 1)</f>
        <v>GET</v>
      </c>
      <c r="O134" s="44" t="str">
        <f aca="false">INDEX(samples!$B:$B, MATCH(B134, samples!$A:$A, 0), 1)</f>
        <v>par0080</v>
      </c>
      <c r="P134" s="44" t="str">
        <f aca="false">INDEX(participants!$I:$I, MATCH(O134, participants!$A:$A, 0), 1)</f>
        <v>nf561</v>
      </c>
      <c r="Q134" s="44" t="n">
        <f aca="false">INDEX(samples!$F:$F, MATCH(B134, samples!$A:$A, 0), 1)</f>
        <v>0</v>
      </c>
      <c r="R134" s="49" t="str">
        <f aca="false">INDEX(samples!$C:$C, MATCH(B134, samples!$A:$A, 0), 1)</f>
        <v>2019-12-05</v>
      </c>
      <c r="S134" s="50" t="str">
        <f aca="false">INDEX(samples!$D:$D,MATCH(B134, samples!$A:$A,0),1)</f>
        <v>tumor</v>
      </c>
      <c r="T134" s="51" t="s">
        <v>36</v>
      </c>
      <c r="V134" s="33" t="s">
        <v>427</v>
      </c>
      <c r="X134" s="8"/>
      <c r="Y134" s="8" t="s">
        <v>3150</v>
      </c>
      <c r="Z134" s="8" t="n">
        <v>0</v>
      </c>
      <c r="AA134" s="8" t="n">
        <v>0</v>
      </c>
      <c r="AB134" s="8" t="n">
        <v>0</v>
      </c>
    </row>
    <row r="135" customFormat="false" ht="13.8" hidden="false" customHeight="false" outlineLevel="0" collapsed="false">
      <c r="A135" s="48" t="s">
        <v>3289</v>
      </c>
      <c r="B135" s="41" t="s">
        <v>1919</v>
      </c>
      <c r="C135" s="0" t="s">
        <v>3147</v>
      </c>
      <c r="D135" s="0" t="s">
        <v>3271</v>
      </c>
      <c r="H135" s="0" t="s">
        <v>3272</v>
      </c>
      <c r="I135" s="0" t="s">
        <v>1002</v>
      </c>
      <c r="J135" s="0" t="s">
        <v>427</v>
      </c>
      <c r="K135" s="0" t="s">
        <v>427</v>
      </c>
      <c r="M135" s="44" t="str">
        <f aca="false">INDEX(fastqs!$A:$A, MATCH(A135, fastqs!$B:$B, 0), 1)</f>
        <v>new_HiSeq28_Undetermined_R6000204_L006_R1_001_CACA.fastq.gz</v>
      </c>
      <c r="N135" s="44" t="str">
        <f aca="false">INDEX(fastqs!$C:$C, MATCH(A135, fastqs!$B:$B, 0), 1)</f>
        <v>GET</v>
      </c>
      <c r="O135" s="44" t="str">
        <f aca="false">INDEX(samples!$B:$B, MATCH(B135, samples!$A:$A, 0), 1)</f>
        <v>par0100</v>
      </c>
      <c r="P135" s="44" t="e">
        <f aca="false">INDEX(participants!$I:$I, MATCH(O135, participants!$A:$A, 0), 1)</f>
        <v>#N/A</v>
      </c>
      <c r="Q135" s="44" t="n">
        <f aca="false">INDEX(samples!$F:$F, MATCH(B135, samples!$A:$A, 0), 1)</f>
        <v>0</v>
      </c>
      <c r="R135" s="49" t="str">
        <f aca="false">INDEX(samples!$C:$C, MATCH(B135, samples!$A:$A, 0), 1)</f>
        <v>2019-07-30</v>
      </c>
      <c r="S135" s="50" t="str">
        <f aca="false">INDEX(samples!$D:$D,MATCH(B135, samples!$A:$A,0),1)</f>
        <v>blood</v>
      </c>
      <c r="T135" s="51" t="s">
        <v>427</v>
      </c>
      <c r="V135" s="33" t="s">
        <v>427</v>
      </c>
      <c r="X135" s="8"/>
      <c r="Y135" s="8" t="s">
        <v>3150</v>
      </c>
      <c r="Z135" s="8" t="n">
        <v>0</v>
      </c>
      <c r="AA135" s="8" t="n">
        <v>0</v>
      </c>
      <c r="AB135" s="8" t="n">
        <v>0</v>
      </c>
    </row>
    <row r="136" customFormat="false" ht="13.8" hidden="false" customHeight="false" outlineLevel="0" collapsed="false">
      <c r="A136" s="48" t="s">
        <v>3290</v>
      </c>
      <c r="B136" s="41" t="s">
        <v>1723</v>
      </c>
      <c r="C136" s="0" t="s">
        <v>3147</v>
      </c>
      <c r="D136" s="0" t="s">
        <v>3271</v>
      </c>
      <c r="H136" s="0" t="s">
        <v>3272</v>
      </c>
      <c r="I136" s="0" t="s">
        <v>1002</v>
      </c>
      <c r="J136" s="0" t="s">
        <v>427</v>
      </c>
      <c r="K136" s="0" t="s">
        <v>427</v>
      </c>
      <c r="M136" s="44" t="str">
        <f aca="false">INDEX(fastqs!$A:$A, MATCH(A136, fastqs!$B:$B, 0), 1)</f>
        <v>new_HiSeq11_R1_GTGT.fastq.gz</v>
      </c>
      <c r="N136" s="44" t="str">
        <f aca="false">INDEX(fastqs!$C:$C, MATCH(A136, fastqs!$B:$B, 0), 1)</f>
        <v>GET</v>
      </c>
      <c r="O136" s="44" t="str">
        <f aca="false">INDEX(samples!$B:$B, MATCH(B136, samples!$A:$A, 0), 1)</f>
        <v>par0066</v>
      </c>
      <c r="P136" s="44" t="n">
        <f aca="false">INDEX(participants!$I:$I, MATCH(O136, participants!$A:$A, 0), 1)</f>
        <v>69</v>
      </c>
      <c r="Q136" s="44" t="n">
        <f aca="false">INDEX(samples!$F:$F, MATCH(B136, samples!$A:$A, 0), 1)</f>
        <v>0</v>
      </c>
      <c r="R136" s="49" t="str">
        <f aca="false">INDEX(samples!$C:$C, MATCH(B136, samples!$A:$A, 0), 1)</f>
        <v>2018-11-21</v>
      </c>
      <c r="S136" s="50" t="str">
        <f aca="false">INDEX(samples!$D:$D,MATCH(B136, samples!$A:$A,0),1)</f>
        <v>blood</v>
      </c>
      <c r="T136" s="51" t="s">
        <v>427</v>
      </c>
      <c r="V136" s="33" t="s">
        <v>427</v>
      </c>
      <c r="X136" s="8"/>
      <c r="Y136" s="8" t="s">
        <v>3150</v>
      </c>
      <c r="Z136" s="8" t="n">
        <v>0</v>
      </c>
      <c r="AA136" s="8" t="n">
        <v>0</v>
      </c>
      <c r="AB136" s="8" t="n">
        <v>0</v>
      </c>
    </row>
    <row r="137" customFormat="false" ht="13.8" hidden="false" customHeight="false" outlineLevel="0" collapsed="false">
      <c r="A137" s="48" t="s">
        <v>3291</v>
      </c>
      <c r="B137" s="41" t="s">
        <v>1906</v>
      </c>
      <c r="C137" s="0" t="s">
        <v>3147</v>
      </c>
      <c r="D137" s="0" t="s">
        <v>3271</v>
      </c>
      <c r="H137" s="0" t="s">
        <v>3272</v>
      </c>
      <c r="I137" s="0" t="s">
        <v>1002</v>
      </c>
      <c r="J137" s="0" t="s">
        <v>427</v>
      </c>
      <c r="K137" s="0" t="s">
        <v>427</v>
      </c>
      <c r="M137" s="44" t="str">
        <f aca="false">INDEX(fastqs!$A:$A, MATCH(A137, fastqs!$B:$B, 0), 1)</f>
        <v>new_HiSeq40_Undetermined_R6000281_L006_R1_001_CACA.fastq.gz</v>
      </c>
      <c r="N137" s="44" t="str">
        <f aca="false">INDEX(fastqs!$C:$C, MATCH(A137, fastqs!$B:$B, 0), 1)</f>
        <v>GET</v>
      </c>
      <c r="O137" s="44" t="str">
        <f aca="false">INDEX(samples!$B:$B, MATCH(B137, samples!$A:$A, 0), 1)</f>
        <v>par0081</v>
      </c>
      <c r="P137" s="44" t="str">
        <f aca="false">INDEX(participants!$I:$I, MATCH(O137, participants!$A:$A, 0), 1)</f>
        <v>nf564</v>
      </c>
      <c r="Q137" s="44" t="n">
        <f aca="false">INDEX(samples!$F:$F, MATCH(B137, samples!$A:$A, 0), 1)</f>
        <v>0</v>
      </c>
      <c r="R137" s="49" t="str">
        <f aca="false">INDEX(samples!$C:$C, MATCH(B137, samples!$A:$A, 0), 1)</f>
        <v>2019-07-23</v>
      </c>
      <c r="S137" s="50" t="str">
        <f aca="false">INDEX(samples!$D:$D,MATCH(B137, samples!$A:$A,0),1)</f>
        <v>blood</v>
      </c>
      <c r="T137" s="51" t="s">
        <v>427</v>
      </c>
      <c r="V137" s="33" t="s">
        <v>427</v>
      </c>
      <c r="X137" s="8"/>
      <c r="Y137" s="8" t="s">
        <v>3150</v>
      </c>
      <c r="Z137" s="8" t="n">
        <v>0</v>
      </c>
      <c r="AA137" s="8" t="n">
        <v>0</v>
      </c>
      <c r="AB137" s="8" t="n">
        <v>0</v>
      </c>
    </row>
    <row r="138" customFormat="false" ht="13.8" hidden="false" customHeight="false" outlineLevel="0" collapsed="false">
      <c r="A138" s="48" t="s">
        <v>3292</v>
      </c>
      <c r="B138" s="41" t="s">
        <v>1916</v>
      </c>
      <c r="C138" s="0" t="s">
        <v>3147</v>
      </c>
      <c r="D138" s="0" t="s">
        <v>3271</v>
      </c>
      <c r="H138" s="0" t="s">
        <v>3272</v>
      </c>
      <c r="I138" s="0" t="s">
        <v>1002</v>
      </c>
      <c r="J138" s="0" t="s">
        <v>427</v>
      </c>
      <c r="K138" s="0" t="s">
        <v>427</v>
      </c>
      <c r="M138" s="44" t="str">
        <f aca="false">INDEX(fastqs!$A:$A, MATCH(A138, fastqs!$B:$B, 0), 1)</f>
        <v>new_HiSeq28_Undetermined_R6000204_L006_R1_001_TGTG.fastq.gz</v>
      </c>
      <c r="N138" s="44" t="str">
        <f aca="false">INDEX(fastqs!$C:$C, MATCH(A138, fastqs!$B:$B, 0), 1)</f>
        <v>GET</v>
      </c>
      <c r="O138" s="44" t="str">
        <f aca="false">INDEX(samples!$B:$B, MATCH(B138, samples!$A:$A, 0), 1)</f>
        <v>par0098</v>
      </c>
      <c r="P138" s="44" t="str">
        <f aca="false">INDEX(participants!$I:$I, MATCH(O138, participants!$A:$A, 0), 1)</f>
        <v>nf574</v>
      </c>
      <c r="Q138" s="44" t="n">
        <f aca="false">INDEX(samples!$F:$F, MATCH(B138, samples!$A:$A, 0), 1)</f>
        <v>0</v>
      </c>
      <c r="R138" s="49" t="str">
        <f aca="false">INDEX(samples!$C:$C, MATCH(B138, samples!$A:$A, 0), 1)</f>
        <v>2019-06-27</v>
      </c>
      <c r="S138" s="50" t="str">
        <f aca="false">INDEX(samples!$D:$D,MATCH(B138, samples!$A:$A,0),1)</f>
        <v>blood</v>
      </c>
      <c r="T138" s="51" t="s">
        <v>427</v>
      </c>
      <c r="V138" s="33" t="s">
        <v>427</v>
      </c>
      <c r="X138" s="8"/>
      <c r="Y138" s="8" t="s">
        <v>3150</v>
      </c>
      <c r="Z138" s="8" t="n">
        <v>0</v>
      </c>
      <c r="AA138" s="8" t="n">
        <v>0</v>
      </c>
      <c r="AB138" s="8" t="n">
        <v>0</v>
      </c>
    </row>
    <row r="139" customFormat="false" ht="13.8" hidden="false" customHeight="false" outlineLevel="0" collapsed="false">
      <c r="A139" s="48" t="s">
        <v>3293</v>
      </c>
      <c r="B139" s="41" t="s">
        <v>1873</v>
      </c>
      <c r="C139" s="0" t="s">
        <v>3147</v>
      </c>
      <c r="D139" s="0" t="s">
        <v>3271</v>
      </c>
      <c r="H139" s="0" t="s">
        <v>3272</v>
      </c>
      <c r="I139" s="0" t="s">
        <v>1002</v>
      </c>
      <c r="J139" s="0" t="s">
        <v>427</v>
      </c>
      <c r="K139" s="0" t="s">
        <v>427</v>
      </c>
      <c r="M139" s="44" t="str">
        <f aca="false">INDEX(fastqs!$A:$A, MATCH(A139, fastqs!$B:$B, 0), 1)</f>
        <v>new_HiSeqW36_Undetermined_R6000244_L008_R1_001_TAGC.fastq.gz</v>
      </c>
      <c r="N139" s="44" t="str">
        <f aca="false">INDEX(fastqs!$C:$C, MATCH(A139, fastqs!$B:$B, 0), 1)</f>
        <v>GET</v>
      </c>
      <c r="O139" s="44" t="str">
        <f aca="false">INDEX(samples!$B:$B, MATCH(B139, samples!$A:$A, 0), 1)</f>
        <v>par0090</v>
      </c>
      <c r="P139" s="44" t="str">
        <f aca="false">INDEX(participants!$I:$I, MATCH(O139, participants!$A:$A, 0), 1)</f>
        <v>nf510</v>
      </c>
      <c r="Q139" s="44" t="n">
        <f aca="false">INDEX(samples!$F:$F, MATCH(B139, samples!$A:$A, 0), 1)</f>
        <v>0</v>
      </c>
      <c r="R139" s="49" t="str">
        <f aca="false">INDEX(samples!$C:$C, MATCH(B139, samples!$A:$A, 0), 1)</f>
        <v>2019-07-17</v>
      </c>
      <c r="S139" s="50" t="str">
        <f aca="false">INDEX(samples!$D:$D,MATCH(B139, samples!$A:$A,0),1)</f>
        <v>blood</v>
      </c>
      <c r="T139" s="51" t="s">
        <v>427</v>
      </c>
      <c r="V139" s="33" t="s">
        <v>427</v>
      </c>
      <c r="X139" s="8"/>
      <c r="Y139" s="8" t="s">
        <v>3150</v>
      </c>
      <c r="Z139" s="8" t="n">
        <v>0</v>
      </c>
      <c r="AA139" s="8" t="n">
        <v>0</v>
      </c>
      <c r="AB139" s="8" t="n">
        <v>0</v>
      </c>
    </row>
    <row r="140" customFormat="false" ht="13.8" hidden="false" customHeight="false" outlineLevel="0" collapsed="false">
      <c r="A140" s="48" t="s">
        <v>3294</v>
      </c>
      <c r="B140" s="41" t="s">
        <v>1936</v>
      </c>
      <c r="C140" s="0" t="s">
        <v>3147</v>
      </c>
      <c r="D140" s="0" t="s">
        <v>3271</v>
      </c>
      <c r="H140" s="0" t="s">
        <v>3272</v>
      </c>
      <c r="I140" s="0" t="s">
        <v>1002</v>
      </c>
      <c r="J140" s="0" t="s">
        <v>427</v>
      </c>
      <c r="K140" s="0" t="s">
        <v>427</v>
      </c>
      <c r="M140" s="44" t="str">
        <f aca="false">INDEX(fastqs!$A:$A, MATCH(A140, fastqs!$B:$B, 0), 1)</f>
        <v>new_HiSeq-W48_Undetermined_R6000324_L008_R1_001_CGAT.fastq.gz</v>
      </c>
      <c r="N140" s="44" t="str">
        <f aca="false">INDEX(fastqs!$C:$C, MATCH(A140, fastqs!$B:$B, 0), 1)</f>
        <v>GET</v>
      </c>
      <c r="O140" s="44" t="str">
        <f aca="false">INDEX(samples!$B:$B, MATCH(B140, samples!$A:$A, 0), 1)</f>
        <v>par0084</v>
      </c>
      <c r="P140" s="44" t="str">
        <f aca="false">INDEX(participants!$I:$I, MATCH(O140, participants!$A:$A, 0), 1)</f>
        <v>nf585</v>
      </c>
      <c r="Q140" s="44" t="n">
        <f aca="false">INDEX(samples!$F:$F, MATCH(B140, samples!$A:$A, 0), 1)</f>
        <v>0</v>
      </c>
      <c r="R140" s="49" t="str">
        <f aca="false">INDEX(samples!$C:$C, MATCH(B140, samples!$A:$A, 0), 1)</f>
        <v>2019-12-31</v>
      </c>
      <c r="S140" s="50" t="str">
        <f aca="false">INDEX(samples!$D:$D,MATCH(B140, samples!$A:$A,0),1)</f>
        <v>blood</v>
      </c>
      <c r="T140" s="51" t="s">
        <v>427</v>
      </c>
      <c r="V140" s="33" t="s">
        <v>427</v>
      </c>
      <c r="X140" s="8"/>
      <c r="Y140" s="8" t="s">
        <v>3150</v>
      </c>
      <c r="Z140" s="8" t="n">
        <v>0</v>
      </c>
      <c r="AA140" s="8" t="n">
        <v>0</v>
      </c>
      <c r="AB140" s="8" t="n">
        <v>0</v>
      </c>
    </row>
    <row r="141" customFormat="false" ht="13.8" hidden="false" customHeight="false" outlineLevel="0" collapsed="false">
      <c r="A141" s="48" t="s">
        <v>3295</v>
      </c>
      <c r="B141" s="41" t="s">
        <v>1867</v>
      </c>
      <c r="C141" s="0" t="s">
        <v>3147</v>
      </c>
      <c r="D141" s="0" t="s">
        <v>3271</v>
      </c>
      <c r="H141" s="0" t="s">
        <v>3272</v>
      </c>
      <c r="I141" s="0" t="s">
        <v>1002</v>
      </c>
      <c r="J141" s="0" t="s">
        <v>427</v>
      </c>
      <c r="K141" s="0" t="s">
        <v>427</v>
      </c>
      <c r="M141" s="44" t="str">
        <f aca="false">INDEX(fastqs!$A:$A, MATCH(A141, fastqs!$B:$B, 0), 1)</f>
        <v>new_HiSeq28_Undetermined_R6000204_L006_R1_001_TAGC.fastq.gz</v>
      </c>
      <c r="N141" s="44" t="str">
        <f aca="false">INDEX(fastqs!$C:$C, MATCH(A141, fastqs!$B:$B, 0), 1)</f>
        <v>GET</v>
      </c>
      <c r="O141" s="44" t="str">
        <f aca="false">INDEX(samples!$B:$B, MATCH(B141, samples!$A:$A, 0), 1)</f>
        <v>par0079</v>
      </c>
      <c r="P141" s="44" t="str">
        <f aca="false">INDEX(participants!$I:$I, MATCH(O141, participants!$A:$A, 0), 1)</f>
        <v>nf487</v>
      </c>
      <c r="Q141" s="44" t="n">
        <f aca="false">INDEX(samples!$F:$F, MATCH(B141, samples!$A:$A, 0), 1)</f>
        <v>0</v>
      </c>
      <c r="R141" s="49" t="str">
        <f aca="false">INDEX(samples!$C:$C, MATCH(B141, samples!$A:$A, 0), 1)</f>
        <v>2019-05-08</v>
      </c>
      <c r="S141" s="50" t="str">
        <f aca="false">INDEX(samples!$D:$D,MATCH(B141, samples!$A:$A,0),1)</f>
        <v>blood</v>
      </c>
      <c r="T141" s="51" t="s">
        <v>427</v>
      </c>
      <c r="V141" s="33" t="s">
        <v>427</v>
      </c>
      <c r="X141" s="8"/>
      <c r="Y141" s="8" t="s">
        <v>3150</v>
      </c>
      <c r="Z141" s="8" t="n">
        <v>0</v>
      </c>
      <c r="AA141" s="8" t="n">
        <v>0</v>
      </c>
      <c r="AB141" s="8" t="n">
        <v>0</v>
      </c>
    </row>
    <row r="142" customFormat="false" ht="13.8" hidden="false" customHeight="false" outlineLevel="0" collapsed="false">
      <c r="A142" s="48" t="s">
        <v>3296</v>
      </c>
      <c r="B142" s="41" t="s">
        <v>1892</v>
      </c>
      <c r="C142" s="0" t="s">
        <v>3147</v>
      </c>
      <c r="D142" s="0" t="s">
        <v>3271</v>
      </c>
      <c r="H142" s="0" t="s">
        <v>3272</v>
      </c>
      <c r="I142" s="0" t="s">
        <v>1002</v>
      </c>
      <c r="J142" s="0" t="s">
        <v>427</v>
      </c>
      <c r="K142" s="0" t="s">
        <v>427</v>
      </c>
      <c r="M142" s="44" t="str">
        <f aca="false">INDEX(fastqs!$A:$A, MATCH(A142, fastqs!$B:$B, 0), 1)</f>
        <v>new_HiSeq41_Undetermined_R6000281_L007_R1_001_GAAG.fastq.gz</v>
      </c>
      <c r="N142" s="44" t="str">
        <f aca="false">INDEX(fastqs!$C:$C, MATCH(A142, fastqs!$B:$B, 0), 1)</f>
        <v>GET</v>
      </c>
      <c r="O142" s="44" t="str">
        <f aca="false">INDEX(samples!$B:$B, MATCH(B142, samples!$A:$A, 0), 1)</f>
        <v>par0080</v>
      </c>
      <c r="P142" s="44" t="str">
        <f aca="false">INDEX(participants!$I:$I, MATCH(O142, participants!$A:$A, 0), 1)</f>
        <v>nf561</v>
      </c>
      <c r="Q142" s="44" t="n">
        <f aca="false">INDEX(samples!$F:$F, MATCH(B142, samples!$A:$A, 0), 1)</f>
        <v>0</v>
      </c>
      <c r="R142" s="49" t="str">
        <f aca="false">INDEX(samples!$C:$C, MATCH(B142, samples!$A:$A, 0), 1)</f>
        <v>2019-09-05</v>
      </c>
      <c r="S142" s="50" t="str">
        <f aca="false">INDEX(samples!$D:$D,MATCH(B142, samples!$A:$A,0),1)</f>
        <v>blood</v>
      </c>
      <c r="T142" s="51" t="s">
        <v>427</v>
      </c>
      <c r="V142" s="33" t="s">
        <v>427</v>
      </c>
      <c r="X142" s="8"/>
      <c r="Y142" s="8" t="s">
        <v>3150</v>
      </c>
      <c r="Z142" s="8" t="n">
        <v>0</v>
      </c>
      <c r="AA142" s="8" t="n">
        <v>0</v>
      </c>
      <c r="AB142" s="8" t="n">
        <v>0</v>
      </c>
    </row>
    <row r="143" customFormat="false" ht="13.8" hidden="false" customHeight="false" outlineLevel="0" collapsed="false">
      <c r="A143" s="48" t="s">
        <v>3297</v>
      </c>
      <c r="B143" s="41" t="s">
        <v>1992</v>
      </c>
      <c r="C143" s="0" t="s">
        <v>3215</v>
      </c>
      <c r="D143" s="0" t="s">
        <v>3271</v>
      </c>
      <c r="H143" s="0" t="s">
        <v>3272</v>
      </c>
      <c r="I143" s="0" t="s">
        <v>1002</v>
      </c>
      <c r="J143" s="0" t="s">
        <v>427</v>
      </c>
      <c r="K143" s="0" t="s">
        <v>427</v>
      </c>
      <c r="M143" s="44" t="str">
        <f aca="false">INDEX(fastqs!$A:$A, MATCH(A143, fastqs!$B:$B, 0), 1)</f>
        <v>new_HiSeq-W46_Undetermined_R6000324_L006_R1_001_AGGT.fastq.gz</v>
      </c>
      <c r="N143" s="44" t="str">
        <f aca="false">INDEX(fastqs!$C:$C, MATCH(A143, fastqs!$B:$B, 0), 1)</f>
        <v>GET</v>
      </c>
      <c r="O143" s="44" t="str">
        <f aca="false">INDEX(samples!$B:$B, MATCH(B143, samples!$A:$A, 0), 1)</f>
        <v>par0085</v>
      </c>
      <c r="P143" s="44" t="str">
        <f aca="false">INDEX(participants!$I:$I, MATCH(O143, participants!$A:$A, 0), 1)</f>
        <v>nf589</v>
      </c>
      <c r="Q143" s="44" t="n">
        <f aca="false">INDEX(samples!$F:$F, MATCH(B143, samples!$A:$A, 0), 1)</f>
        <v>0</v>
      </c>
      <c r="R143" s="49" t="str">
        <f aca="false">INDEX(samples!$C:$C, MATCH(B143, samples!$A:$A, 0), 1)</f>
        <v>GET</v>
      </c>
      <c r="S143" s="50" t="str">
        <f aca="false">INDEX(samples!$D:$D,MATCH(B143, samples!$A:$A,0),1)</f>
        <v>blood</v>
      </c>
      <c r="T143" s="51" t="s">
        <v>36</v>
      </c>
      <c r="V143" s="33" t="s">
        <v>427</v>
      </c>
      <c r="X143" s="8"/>
      <c r="Y143" s="8" t="s">
        <v>3150</v>
      </c>
      <c r="Z143" s="8" t="n">
        <v>0</v>
      </c>
      <c r="AA143" s="8" t="n">
        <v>0</v>
      </c>
      <c r="AB143" s="8" t="n">
        <v>0</v>
      </c>
    </row>
    <row r="144" customFormat="false" ht="13.8" hidden="false" customHeight="false" outlineLevel="0" collapsed="false">
      <c r="A144" s="48" t="s">
        <v>3298</v>
      </c>
      <c r="B144" s="41" t="s">
        <v>1993</v>
      </c>
      <c r="C144" s="0" t="s">
        <v>3215</v>
      </c>
      <c r="D144" s="0" t="s">
        <v>3271</v>
      </c>
      <c r="H144" s="0" t="s">
        <v>3272</v>
      </c>
      <c r="I144" s="0" t="s">
        <v>1002</v>
      </c>
      <c r="J144" s="0" t="s">
        <v>427</v>
      </c>
      <c r="K144" s="0" t="s">
        <v>427</v>
      </c>
      <c r="M144" s="44" t="str">
        <f aca="false">INDEX(fastqs!$A:$A, MATCH(A144, fastqs!$B:$B, 0), 1)</f>
        <v>new_HiSeq-W46_Undetermined_R6000324_L006_R1_001_TGTG.fastq.gz</v>
      </c>
      <c r="N144" s="44" t="str">
        <f aca="false">INDEX(fastqs!$C:$C, MATCH(A144, fastqs!$B:$B, 0), 1)</f>
        <v>GET</v>
      </c>
      <c r="O144" s="44" t="str">
        <f aca="false">INDEX(samples!$B:$B, MATCH(B144, samples!$A:$A, 0), 1)</f>
        <v>par0090</v>
      </c>
      <c r="P144" s="44" t="str">
        <f aca="false">INDEX(participants!$I:$I, MATCH(O144, participants!$A:$A, 0), 1)</f>
        <v>nf510</v>
      </c>
      <c r="Q144" s="44" t="n">
        <f aca="false">INDEX(samples!$F:$F, MATCH(B144, samples!$A:$A, 0), 1)</f>
        <v>0</v>
      </c>
      <c r="R144" s="49" t="str">
        <f aca="false">INDEX(samples!$C:$C, MATCH(B144, samples!$A:$A, 0), 1)</f>
        <v>2019-07-17</v>
      </c>
      <c r="S144" s="50" t="str">
        <f aca="false">INDEX(samples!$D:$D,MATCH(B144, samples!$A:$A,0),1)</f>
        <v>blood</v>
      </c>
      <c r="T144" s="51" t="s">
        <v>36</v>
      </c>
      <c r="V144" s="33" t="s">
        <v>427</v>
      </c>
      <c r="X144" s="8"/>
      <c r="Y144" s="8" t="s">
        <v>3150</v>
      </c>
      <c r="Z144" s="8" t="n">
        <v>0</v>
      </c>
      <c r="AA144" s="8" t="n">
        <v>0</v>
      </c>
      <c r="AB144" s="8" t="n">
        <v>0</v>
      </c>
    </row>
    <row r="145" customFormat="false" ht="13.8" hidden="false" customHeight="false" outlineLevel="0" collapsed="false">
      <c r="A145" s="48" t="s">
        <v>3299</v>
      </c>
      <c r="B145" s="41" t="s">
        <v>1961</v>
      </c>
      <c r="C145" s="0" t="s">
        <v>3147</v>
      </c>
      <c r="D145" s="0" t="s">
        <v>3271</v>
      </c>
      <c r="H145" s="0" t="s">
        <v>3272</v>
      </c>
      <c r="I145" s="0" t="s">
        <v>1002</v>
      </c>
      <c r="J145" s="0" t="s">
        <v>427</v>
      </c>
      <c r="K145" s="0" t="s">
        <v>427</v>
      </c>
      <c r="M145" s="44" t="str">
        <f aca="false">INDEX(fastqs!$A:$A, MATCH(A145, fastqs!$B:$B, 0), 1)</f>
        <v>new_HiSeqW54_Undetermined_R6000373_L007_R1_GAAG.fastq.gz</v>
      </c>
      <c r="N145" s="44" t="str">
        <f aca="false">INDEX(fastqs!$C:$C, MATCH(A145, fastqs!$B:$B, 0), 1)</f>
        <v>GET</v>
      </c>
      <c r="O145" s="44" t="str">
        <f aca="false">INDEX(samples!$B:$B, MATCH(B145, samples!$A:$A, 0), 1)</f>
        <v>par0063</v>
      </c>
      <c r="P145" s="44" t="str">
        <f aca="false">INDEX(participants!$I:$I, MATCH(O145, participants!$A:$A, 0), 1)</f>
        <v>nf593</v>
      </c>
      <c r="Q145" s="44" t="n">
        <f aca="false">INDEX(samples!$F:$F, MATCH(B145, samples!$A:$A, 0), 1)</f>
        <v>0</v>
      </c>
      <c r="R145" s="49" t="str">
        <f aca="false">INDEX(samples!$C:$C, MATCH(B145, samples!$A:$A, 0), 1)</f>
        <v>2020-02-11</v>
      </c>
      <c r="S145" s="50" t="str">
        <f aca="false">INDEX(samples!$D:$D,MATCH(B145, samples!$A:$A,0),1)</f>
        <v>blood</v>
      </c>
      <c r="T145" s="51" t="s">
        <v>427</v>
      </c>
      <c r="V145" s="33" t="s">
        <v>427</v>
      </c>
      <c r="X145" s="8"/>
      <c r="Y145" s="8" t="s">
        <v>3150</v>
      </c>
      <c r="Z145" s="8" t="n">
        <v>0</v>
      </c>
      <c r="AA145" s="8" t="n">
        <v>0</v>
      </c>
      <c r="AB145" s="8" t="n">
        <v>0</v>
      </c>
    </row>
    <row r="146" customFormat="false" ht="13.8" hidden="false" customHeight="false" outlineLevel="0" collapsed="false">
      <c r="A146" s="48" t="s">
        <v>3300</v>
      </c>
      <c r="B146" s="41" t="s">
        <v>1994</v>
      </c>
      <c r="C146" s="0" t="s">
        <v>3215</v>
      </c>
      <c r="D146" s="0" t="s">
        <v>3271</v>
      </c>
      <c r="H146" s="0" t="s">
        <v>3272</v>
      </c>
      <c r="I146" s="0" t="s">
        <v>1002</v>
      </c>
      <c r="J146" s="0" t="s">
        <v>427</v>
      </c>
      <c r="K146" s="0" t="s">
        <v>427</v>
      </c>
      <c r="M146" s="44" t="str">
        <f aca="false">INDEX(fastqs!$A:$A, MATCH(A146, fastqs!$B:$B, 0), 1)</f>
        <v>new_HiSeq-W45_Undetermined_R6000324_L005_R1_001_CACA.fastq.gz</v>
      </c>
      <c r="N146" s="44" t="str">
        <f aca="false">INDEX(fastqs!$C:$C, MATCH(A146, fastqs!$B:$B, 0), 1)</f>
        <v>GET</v>
      </c>
      <c r="O146" s="44" t="str">
        <f aca="false">INDEX(samples!$B:$B, MATCH(B146, samples!$A:$A, 0), 1)</f>
        <v>par0083</v>
      </c>
      <c r="P146" s="44" t="str">
        <f aca="false">INDEX(participants!$I:$I, MATCH(O146, participants!$A:$A, 0), 1)</f>
        <v>nf583</v>
      </c>
      <c r="Q146" s="44" t="n">
        <f aca="false">INDEX(samples!$F:$F, MATCH(B146, samples!$A:$A, 0), 1)</f>
        <v>0</v>
      </c>
      <c r="R146" s="49" t="str">
        <f aca="false">INDEX(samples!$C:$C, MATCH(B146, samples!$A:$A, 0), 1)</f>
        <v>GET</v>
      </c>
      <c r="S146" s="50" t="str">
        <f aca="false">INDEX(samples!$D:$D,MATCH(B146, samples!$A:$A,0),1)</f>
        <v>blood</v>
      </c>
      <c r="T146" s="51" t="s">
        <v>36</v>
      </c>
      <c r="V146" s="33" t="s">
        <v>427</v>
      </c>
      <c r="X146" s="8"/>
      <c r="Y146" s="8" t="s">
        <v>3150</v>
      </c>
      <c r="Z146" s="8" t="n">
        <v>0</v>
      </c>
      <c r="AA146" s="8" t="n">
        <v>0</v>
      </c>
      <c r="AB146" s="8" t="n">
        <v>0</v>
      </c>
    </row>
    <row r="147" customFormat="false" ht="13.8" hidden="false" customHeight="false" outlineLevel="0" collapsed="false">
      <c r="A147" s="48" t="s">
        <v>3301</v>
      </c>
      <c r="B147" s="41" t="s">
        <v>1995</v>
      </c>
      <c r="C147" s="0" t="s">
        <v>3215</v>
      </c>
      <c r="D147" s="0" t="s">
        <v>3271</v>
      </c>
      <c r="H147" s="0" t="s">
        <v>3272</v>
      </c>
      <c r="I147" s="0" t="s">
        <v>1002</v>
      </c>
      <c r="J147" s="0" t="s">
        <v>427</v>
      </c>
      <c r="K147" s="0" t="s">
        <v>427</v>
      </c>
      <c r="M147" s="44" t="str">
        <f aca="false">INDEX(fastqs!$A:$A, MATCH(A147, fastqs!$B:$B, 0), 1)</f>
        <v>new_HiSeq-W45_Undetermined_R6000324_L005_R1_001_GCTA.fastq.gz</v>
      </c>
      <c r="N147" s="44" t="str">
        <f aca="false">INDEX(fastqs!$C:$C, MATCH(A147, fastqs!$B:$B, 0), 1)</f>
        <v>GET</v>
      </c>
      <c r="O147" s="44" t="str">
        <f aca="false">INDEX(samples!$B:$B, MATCH(B147, samples!$A:$A, 0), 1)</f>
        <v>par0100</v>
      </c>
      <c r="P147" s="44" t="e">
        <f aca="false">INDEX(participants!$I:$I, MATCH(O147, participants!$A:$A, 0), 1)</f>
        <v>#N/A</v>
      </c>
      <c r="Q147" s="44" t="n">
        <f aca="false">INDEX(samples!$F:$F, MATCH(B147, samples!$A:$A, 0), 1)</f>
        <v>0</v>
      </c>
      <c r="R147" s="49" t="str">
        <f aca="false">INDEX(samples!$C:$C, MATCH(B147, samples!$A:$A, 0), 1)</f>
        <v>2019-07-30</v>
      </c>
      <c r="S147" s="50" t="str">
        <f aca="false">INDEX(samples!$D:$D,MATCH(B147, samples!$A:$A,0),1)</f>
        <v>blood</v>
      </c>
      <c r="T147" s="51" t="s">
        <v>36</v>
      </c>
      <c r="V147" s="33" t="s">
        <v>427</v>
      </c>
      <c r="X147" s="8"/>
      <c r="Y147" s="8" t="s">
        <v>3150</v>
      </c>
      <c r="Z147" s="8" t="n">
        <v>0</v>
      </c>
      <c r="AA147" s="8" t="n">
        <v>0</v>
      </c>
      <c r="AB147" s="8" t="n">
        <v>0</v>
      </c>
    </row>
    <row r="148" customFormat="false" ht="13.8" hidden="false" customHeight="false" outlineLevel="0" collapsed="false">
      <c r="A148" s="48" t="s">
        <v>3302</v>
      </c>
      <c r="B148" s="41" t="s">
        <v>1930</v>
      </c>
      <c r="C148" s="0" t="s">
        <v>3147</v>
      </c>
      <c r="D148" s="0" t="s">
        <v>3271</v>
      </c>
      <c r="H148" s="0" t="s">
        <v>3272</v>
      </c>
      <c r="I148" s="0" t="s">
        <v>1002</v>
      </c>
      <c r="J148" s="0" t="s">
        <v>427</v>
      </c>
      <c r="K148" s="0" t="s">
        <v>427</v>
      </c>
      <c r="M148" s="44" t="str">
        <f aca="false">INDEX(fastqs!$A:$A, MATCH(A148, fastqs!$B:$B, 0), 1)</f>
        <v>new_HiSeqW35_Undetermined_R6000244_L007_R1_001_CACA.fastq.gz</v>
      </c>
      <c r="N148" s="44" t="str">
        <f aca="false">INDEX(fastqs!$C:$C, MATCH(A148, fastqs!$B:$B, 0), 1)</f>
        <v>GET</v>
      </c>
      <c r="O148" s="44" t="str">
        <f aca="false">INDEX(samples!$B:$B, MATCH(B148, samples!$A:$A, 0), 1)</f>
        <v>par0083</v>
      </c>
      <c r="P148" s="44" t="str">
        <f aca="false">INDEX(participants!$I:$I, MATCH(O148, participants!$A:$A, 0), 1)</f>
        <v>nf583</v>
      </c>
      <c r="Q148" s="44" t="n">
        <f aca="false">INDEX(samples!$F:$F, MATCH(B148, samples!$A:$A, 0), 1)</f>
        <v>0</v>
      </c>
      <c r="R148" s="49" t="str">
        <f aca="false">INDEX(samples!$C:$C, MATCH(B148, samples!$A:$A, 0), 1)</f>
        <v>2019-10-09</v>
      </c>
      <c r="S148" s="50" t="str">
        <f aca="false">INDEX(samples!$D:$D,MATCH(B148, samples!$A:$A,0),1)</f>
        <v>blood</v>
      </c>
      <c r="T148" s="51" t="s">
        <v>427</v>
      </c>
      <c r="V148" s="33" t="s">
        <v>427</v>
      </c>
      <c r="X148" s="8"/>
      <c r="Y148" s="8" t="s">
        <v>3150</v>
      </c>
      <c r="Z148" s="8" t="n">
        <v>0</v>
      </c>
      <c r="AA148" s="8" t="n">
        <v>0</v>
      </c>
      <c r="AB148" s="8" t="n">
        <v>0</v>
      </c>
    </row>
    <row r="149" customFormat="false" ht="13.8" hidden="false" customHeight="false" outlineLevel="0" collapsed="false">
      <c r="A149" s="48" t="s">
        <v>3303</v>
      </c>
      <c r="B149" s="41" t="s">
        <v>2017</v>
      </c>
      <c r="C149" s="0" t="s">
        <v>3147</v>
      </c>
      <c r="D149" s="0" t="s">
        <v>3271</v>
      </c>
      <c r="H149" s="0" t="s">
        <v>3272</v>
      </c>
      <c r="I149" s="0" t="s">
        <v>1002</v>
      </c>
      <c r="J149" s="0" t="s">
        <v>427</v>
      </c>
      <c r="K149" s="0" t="s">
        <v>427</v>
      </c>
      <c r="M149" s="44" t="str">
        <f aca="false">INDEX(fastqs!$A:$A, MATCH(A149, fastqs!$B:$B, 0), 1)</f>
        <v>new_HiSeqW31_Undetermined_R6000232_L005_R1_001_ATCG.fastq.gz</v>
      </c>
      <c r="N149" s="44" t="str">
        <f aca="false">INDEX(fastqs!$C:$C, MATCH(A149, fastqs!$B:$B, 0), 1)</f>
        <v>GET</v>
      </c>
      <c r="O149" s="44" t="str">
        <f aca="false">INDEX(samples!$B:$B, MATCH(B149, samples!$A:$A, 0), 1)</f>
        <v>par0065</v>
      </c>
      <c r="P149" s="44" t="n">
        <f aca="false">INDEX(participants!$I:$I, MATCH(O149, participants!$A:$A, 0), 1)</f>
        <v>66</v>
      </c>
      <c r="Q149" s="44" t="n">
        <f aca="false">INDEX(samples!$F:$F, MATCH(B149, samples!$A:$A, 0), 1)</f>
        <v>0</v>
      </c>
      <c r="R149" s="49" t="str">
        <f aca="false">INDEX(samples!$C:$C, MATCH(B149, samples!$A:$A, 0), 1)</f>
        <v>GET</v>
      </c>
      <c r="S149" s="50" t="str">
        <f aca="false">INDEX(samples!$D:$D,MATCH(B149, samples!$A:$A,0),1)</f>
        <v>blood</v>
      </c>
      <c r="T149" s="51" t="s">
        <v>427</v>
      </c>
      <c r="V149" s="33" t="s">
        <v>427</v>
      </c>
      <c r="X149" s="8"/>
      <c r="Y149" s="8" t="s">
        <v>3150</v>
      </c>
      <c r="Z149" s="8" t="n">
        <v>0</v>
      </c>
      <c r="AA149" s="8" t="n">
        <v>0</v>
      </c>
      <c r="AB149" s="8" t="n">
        <v>0</v>
      </c>
    </row>
    <row r="150" customFormat="false" ht="13.8" hidden="false" customHeight="false" outlineLevel="0" collapsed="false">
      <c r="A150" s="48" t="s">
        <v>3304</v>
      </c>
      <c r="B150" s="41" t="s">
        <v>1996</v>
      </c>
      <c r="C150" s="0" t="s">
        <v>3215</v>
      </c>
      <c r="D150" s="0" t="s">
        <v>3271</v>
      </c>
      <c r="H150" s="0" t="s">
        <v>3272</v>
      </c>
      <c r="I150" s="0" t="s">
        <v>1002</v>
      </c>
      <c r="J150" s="0" t="s">
        <v>427</v>
      </c>
      <c r="K150" s="0" t="s">
        <v>427</v>
      </c>
      <c r="M150" s="44" t="str">
        <f aca="false">INDEX(fastqs!$A:$A, MATCH(A150, fastqs!$B:$B, 0), 1)</f>
        <v>new_HiSeq-W45_Undetermined_R6000324_L005_R1_001_CTTC.fastq.gz</v>
      </c>
      <c r="N150" s="44" t="str">
        <f aca="false">INDEX(fastqs!$C:$C, MATCH(A150, fastqs!$B:$B, 0), 1)</f>
        <v>GET</v>
      </c>
      <c r="O150" s="44" t="str">
        <f aca="false">INDEX(samples!$B:$B, MATCH(B150, samples!$A:$A, 0), 1)</f>
        <v>par0102</v>
      </c>
      <c r="P150" s="44" t="e">
        <f aca="false">INDEX(participants!$I:$I, MATCH(O150, participants!$A:$A, 0), 1)</f>
        <v>#N/A</v>
      </c>
      <c r="Q150" s="44" t="n">
        <f aca="false">INDEX(samples!$F:$F, MATCH(B150, samples!$A:$A, 0), 1)</f>
        <v>0</v>
      </c>
      <c r="R150" s="49" t="str">
        <f aca="false">INDEX(samples!$C:$C, MATCH(B150, samples!$A:$A, 0), 1)</f>
        <v>GET</v>
      </c>
      <c r="S150" s="50" t="str">
        <f aca="false">INDEX(samples!$D:$D,MATCH(B150, samples!$A:$A,0),1)</f>
        <v>blood</v>
      </c>
      <c r="T150" s="51" t="s">
        <v>36</v>
      </c>
      <c r="V150" s="33" t="s">
        <v>427</v>
      </c>
      <c r="X150" s="8"/>
      <c r="Y150" s="8" t="s">
        <v>3150</v>
      </c>
      <c r="Z150" s="8" t="n">
        <v>0</v>
      </c>
      <c r="AA150" s="8" t="n">
        <v>0</v>
      </c>
      <c r="AB150" s="8" t="n">
        <v>0</v>
      </c>
    </row>
    <row r="151" customFormat="false" ht="13.8" hidden="false" customHeight="false" outlineLevel="0" collapsed="false">
      <c r="A151" s="48" t="s">
        <v>3305</v>
      </c>
      <c r="B151" s="41" t="s">
        <v>1932</v>
      </c>
      <c r="C151" s="0" t="s">
        <v>3147</v>
      </c>
      <c r="D151" s="0" t="s">
        <v>3271</v>
      </c>
      <c r="H151" s="0" t="s">
        <v>3272</v>
      </c>
      <c r="I151" s="0" t="s">
        <v>1002</v>
      </c>
      <c r="J151" s="0" t="s">
        <v>427</v>
      </c>
      <c r="K151" s="0" t="s">
        <v>427</v>
      </c>
      <c r="M151" s="44" t="str">
        <f aca="false">INDEX(fastqs!$A:$A, MATCH(A151, fastqs!$B:$B, 0), 1)</f>
        <v>new_HiSeqW35_Undetermined_R6000244_L007_R1_001_GCTA.fastq.gz</v>
      </c>
      <c r="N151" s="44" t="str">
        <f aca="false">INDEX(fastqs!$C:$C, MATCH(A151, fastqs!$B:$B, 0), 1)</f>
        <v>GET</v>
      </c>
      <c r="O151" s="44" t="str">
        <f aca="false">INDEX(samples!$B:$B, MATCH(B151, samples!$A:$A, 0), 1)</f>
        <v>par0084</v>
      </c>
      <c r="P151" s="44" t="str">
        <f aca="false">INDEX(participants!$I:$I, MATCH(O151, participants!$A:$A, 0), 1)</f>
        <v>nf585</v>
      </c>
      <c r="Q151" s="44" t="n">
        <f aca="false">INDEX(samples!$F:$F, MATCH(B151, samples!$A:$A, 0), 1)</f>
        <v>0</v>
      </c>
      <c r="R151" s="49" t="str">
        <f aca="false">INDEX(samples!$C:$C, MATCH(B151, samples!$A:$A, 0), 1)</f>
        <v>2019-10-08</v>
      </c>
      <c r="S151" s="50" t="str">
        <f aca="false">INDEX(samples!$D:$D,MATCH(B151, samples!$A:$A,0),1)</f>
        <v>blood</v>
      </c>
      <c r="T151" s="51" t="s">
        <v>427</v>
      </c>
      <c r="V151" s="33" t="s">
        <v>427</v>
      </c>
      <c r="X151" s="8"/>
      <c r="Y151" s="8" t="s">
        <v>3150</v>
      </c>
      <c r="Z151" s="8" t="n">
        <v>0</v>
      </c>
      <c r="AA151" s="8" t="n">
        <v>0</v>
      </c>
      <c r="AB151" s="8" t="n">
        <v>0</v>
      </c>
    </row>
    <row r="152" customFormat="false" ht="13.8" hidden="false" customHeight="false" outlineLevel="0" collapsed="false">
      <c r="A152" s="48" t="s">
        <v>3306</v>
      </c>
      <c r="B152" s="41" t="s">
        <v>1899</v>
      </c>
      <c r="C152" s="0" t="s">
        <v>3215</v>
      </c>
      <c r="D152" s="0" t="s">
        <v>3271</v>
      </c>
      <c r="H152" s="0" t="s">
        <v>3272</v>
      </c>
      <c r="I152" s="0" t="s">
        <v>1002</v>
      </c>
      <c r="J152" s="0" t="s">
        <v>427</v>
      </c>
      <c r="K152" s="0" t="s">
        <v>427</v>
      </c>
      <c r="M152" s="44" t="str">
        <f aca="false">INDEX(fastqs!$A:$A, MATCH(A152, fastqs!$B:$B, 0), 1)</f>
        <v>new_HiSeqW43_Undetermined_R6000292_L004_R1_001_ACAC.fastq.gz</v>
      </c>
      <c r="N152" s="44" t="str">
        <f aca="false">INDEX(fastqs!$C:$C, MATCH(A152, fastqs!$B:$B, 0), 1)</f>
        <v>GET</v>
      </c>
      <c r="O152" s="44" t="str">
        <f aca="false">INDEX(samples!$B:$B, MATCH(B152, samples!$A:$A, 0), 1)</f>
        <v>par0080</v>
      </c>
      <c r="P152" s="44" t="str">
        <f aca="false">INDEX(participants!$I:$I, MATCH(O152, participants!$A:$A, 0), 1)</f>
        <v>nf561</v>
      </c>
      <c r="Q152" s="44" t="n">
        <f aca="false">INDEX(samples!$F:$F, MATCH(B152, samples!$A:$A, 0), 1)</f>
        <v>0</v>
      </c>
      <c r="R152" s="49" t="str">
        <f aca="false">INDEX(samples!$C:$C, MATCH(B152, samples!$A:$A, 0), 1)</f>
        <v>2019-12-12</v>
      </c>
      <c r="S152" s="50" t="str">
        <f aca="false">INDEX(samples!$D:$D,MATCH(B152, samples!$A:$A,0),1)</f>
        <v>blood</v>
      </c>
      <c r="T152" s="51" t="s">
        <v>36</v>
      </c>
      <c r="V152" s="33" t="s">
        <v>427</v>
      </c>
      <c r="X152" s="8"/>
      <c r="Y152" s="8" t="s">
        <v>3150</v>
      </c>
      <c r="Z152" s="8" t="n">
        <v>0</v>
      </c>
      <c r="AA152" s="8" t="n">
        <v>0</v>
      </c>
      <c r="AB152" s="8" t="n">
        <v>0</v>
      </c>
    </row>
    <row r="153" customFormat="false" ht="13.8" hidden="false" customHeight="false" outlineLevel="0" collapsed="false">
      <c r="A153" s="48" t="s">
        <v>3307</v>
      </c>
      <c r="B153" s="41" t="s">
        <v>1997</v>
      </c>
      <c r="C153" s="0" t="s">
        <v>3215</v>
      </c>
      <c r="D153" s="0" t="s">
        <v>3271</v>
      </c>
      <c r="H153" s="0" t="s">
        <v>3272</v>
      </c>
      <c r="I153" s="0" t="s">
        <v>1002</v>
      </c>
      <c r="J153" s="0" t="s">
        <v>427</v>
      </c>
      <c r="K153" s="0" t="s">
        <v>427</v>
      </c>
      <c r="M153" s="44" t="str">
        <f aca="false">INDEX(fastqs!$A:$A, MATCH(A153, fastqs!$B:$B, 0), 1)</f>
        <v>new_HiSeq-W46_Undetermined_R6000324_L006_R1_001_TCCT.fastq.gz</v>
      </c>
      <c r="N153" s="44" t="str">
        <f aca="false">INDEX(fastqs!$C:$C, MATCH(A153, fastqs!$B:$B, 0), 1)</f>
        <v>GET</v>
      </c>
      <c r="O153" s="44" t="str">
        <f aca="false">INDEX(samples!$B:$B, MATCH(B153, samples!$A:$A, 0), 1)</f>
        <v>par0108</v>
      </c>
      <c r="P153" s="44" t="e">
        <f aca="false">INDEX(participants!$I:$I, MATCH(O153, participants!$A:$A, 0), 1)</f>
        <v>#N/A</v>
      </c>
      <c r="Q153" s="44" t="n">
        <f aca="false">INDEX(samples!$F:$F, MATCH(B153, samples!$A:$A, 0), 1)</f>
        <v>0</v>
      </c>
      <c r="R153" s="49" t="str">
        <f aca="false">INDEX(samples!$C:$C, MATCH(B153, samples!$A:$A, 0), 1)</f>
        <v>2019-12-31</v>
      </c>
      <c r="S153" s="50" t="str">
        <f aca="false">INDEX(samples!$D:$D,MATCH(B153, samples!$A:$A,0),1)</f>
        <v>blood</v>
      </c>
      <c r="T153" s="51" t="s">
        <v>36</v>
      </c>
      <c r="V153" s="33" t="s">
        <v>427</v>
      </c>
      <c r="X153" s="8"/>
      <c r="Y153" s="8" t="s">
        <v>3150</v>
      </c>
      <c r="Z153" s="8" t="n">
        <v>0</v>
      </c>
      <c r="AA153" s="8" t="n">
        <v>0</v>
      </c>
      <c r="AB153" s="8" t="n">
        <v>0</v>
      </c>
    </row>
    <row r="154" customFormat="false" ht="13.8" hidden="false" customHeight="false" outlineLevel="0" collapsed="false">
      <c r="A154" s="48" t="s">
        <v>3308</v>
      </c>
      <c r="B154" s="41" t="s">
        <v>1998</v>
      </c>
      <c r="C154" s="0" t="s">
        <v>3215</v>
      </c>
      <c r="D154" s="0" t="s">
        <v>3271</v>
      </c>
      <c r="H154" s="0" t="s">
        <v>3272</v>
      </c>
      <c r="I154" s="0" t="s">
        <v>1002</v>
      </c>
      <c r="J154" s="0" t="s">
        <v>427</v>
      </c>
      <c r="K154" s="0" t="s">
        <v>427</v>
      </c>
      <c r="M154" s="44" t="str">
        <f aca="false">INDEX(fastqs!$A:$A, MATCH(A154, fastqs!$B:$B, 0), 1)</f>
        <v>new_HiSeq-W45_Undetermined_R6000324_L005_R1_001_TGTG.fastq.gz</v>
      </c>
      <c r="N154" s="44" t="str">
        <f aca="false">INDEX(fastqs!$C:$C, MATCH(A154, fastqs!$B:$B, 0), 1)</f>
        <v>GET</v>
      </c>
      <c r="O154" s="44" t="str">
        <f aca="false">INDEX(samples!$B:$B, MATCH(B154, samples!$A:$A, 0), 1)</f>
        <v>par0098</v>
      </c>
      <c r="P154" s="44" t="str">
        <f aca="false">INDEX(participants!$I:$I, MATCH(O154, participants!$A:$A, 0), 1)</f>
        <v>nf574</v>
      </c>
      <c r="Q154" s="44" t="n">
        <f aca="false">INDEX(samples!$F:$F, MATCH(B154, samples!$A:$A, 0), 1)</f>
        <v>0</v>
      </c>
      <c r="R154" s="49" t="str">
        <f aca="false">INDEX(samples!$C:$C, MATCH(B154, samples!$A:$A, 0), 1)</f>
        <v>2019-06-27</v>
      </c>
      <c r="S154" s="50" t="str">
        <f aca="false">INDEX(samples!$D:$D,MATCH(B154, samples!$A:$A,0),1)</f>
        <v>blood</v>
      </c>
      <c r="T154" s="51" t="s">
        <v>36</v>
      </c>
      <c r="V154" s="33" t="s">
        <v>427</v>
      </c>
      <c r="X154" s="8"/>
      <c r="Y154" s="8" t="s">
        <v>3150</v>
      </c>
      <c r="Z154" s="8" t="n">
        <v>0</v>
      </c>
      <c r="AA154" s="8" t="n">
        <v>0</v>
      </c>
      <c r="AB154" s="8" t="n">
        <v>0</v>
      </c>
    </row>
    <row r="155" customFormat="false" ht="13.8" hidden="false" customHeight="false" outlineLevel="0" collapsed="false">
      <c r="A155" s="48" t="s">
        <v>3309</v>
      </c>
      <c r="B155" s="41" t="s">
        <v>1912</v>
      </c>
      <c r="C155" s="0" t="s">
        <v>3147</v>
      </c>
      <c r="D155" s="0" t="s">
        <v>3271</v>
      </c>
      <c r="H155" s="0" t="s">
        <v>3272</v>
      </c>
      <c r="I155" s="0" t="s">
        <v>1002</v>
      </c>
      <c r="J155" s="0" t="s">
        <v>427</v>
      </c>
      <c r="K155" s="0" t="s">
        <v>427</v>
      </c>
      <c r="M155" s="44" t="str">
        <f aca="false">INDEX(fastqs!$A:$A, MATCH(A155, fastqs!$B:$B, 0), 1)</f>
        <v>new_HiSeq28_Undetermined_R6000204_L006_R1_001_TCCT.fastq.gz</v>
      </c>
      <c r="N155" s="44" t="str">
        <f aca="false">INDEX(fastqs!$C:$C, MATCH(A155, fastqs!$B:$B, 0), 1)</f>
        <v>GET</v>
      </c>
      <c r="O155" s="44" t="str">
        <f aca="false">INDEX(samples!$B:$B, MATCH(B155, samples!$A:$A, 0), 1)</f>
        <v>par0082</v>
      </c>
      <c r="P155" s="44" t="str">
        <f aca="false">INDEX(participants!$I:$I, MATCH(O155, participants!$A:$A, 0), 1)</f>
        <v>nf570</v>
      </c>
      <c r="Q155" s="44" t="n">
        <f aca="false">INDEX(samples!$F:$F, MATCH(B155, samples!$A:$A, 0), 1)</f>
        <v>0</v>
      </c>
      <c r="R155" s="49" t="str">
        <f aca="false">INDEX(samples!$C:$C, MATCH(B155, samples!$A:$A, 0), 1)</f>
        <v>2019-06-11</v>
      </c>
      <c r="S155" s="50" t="str">
        <f aca="false">INDEX(samples!$D:$D,MATCH(B155, samples!$A:$A,0),1)</f>
        <v>blood</v>
      </c>
      <c r="T155" s="51" t="s">
        <v>427</v>
      </c>
      <c r="V155" s="33" t="s">
        <v>427</v>
      </c>
      <c r="X155" s="8"/>
      <c r="Y155" s="8" t="s">
        <v>3150</v>
      </c>
      <c r="Z155" s="8" t="n">
        <v>0</v>
      </c>
      <c r="AA155" s="8" t="n">
        <v>0</v>
      </c>
      <c r="AB155" s="8" t="n">
        <v>0</v>
      </c>
    </row>
    <row r="156" customFormat="false" ht="13.8" hidden="false" customHeight="false" outlineLevel="0" collapsed="false">
      <c r="A156" s="48" t="s">
        <v>3310</v>
      </c>
      <c r="B156" s="41" t="s">
        <v>1973</v>
      </c>
      <c r="C156" s="0" t="s">
        <v>3147</v>
      </c>
      <c r="D156" s="0" t="s">
        <v>3271</v>
      </c>
      <c r="H156" s="0" t="s">
        <v>3272</v>
      </c>
      <c r="I156" s="0" t="s">
        <v>1002</v>
      </c>
      <c r="J156" s="0" t="s">
        <v>427</v>
      </c>
      <c r="K156" s="0" t="s">
        <v>427</v>
      </c>
      <c r="M156" s="44" t="str">
        <f aca="false">INDEX(fastqs!$A:$A, MATCH(A156, fastqs!$B:$B, 0), 1)</f>
        <v>new_HiSeqW54_Undetermined_R6000373_L007_R1_ACAC.fastq.gz</v>
      </c>
      <c r="N156" s="44" t="str">
        <f aca="false">INDEX(fastqs!$C:$C, MATCH(A156, fastqs!$B:$B, 0), 1)</f>
        <v>GET</v>
      </c>
      <c r="O156" s="44" t="str">
        <f aca="false">INDEX(samples!$B:$B, MATCH(B156, samples!$A:$A, 0), 1)</f>
        <v>par0064</v>
      </c>
      <c r="P156" s="44" t="str">
        <f aca="false">INDEX(participants!$I:$I, MATCH(O156, participants!$A:$A, 0), 1)</f>
        <v>nf600</v>
      </c>
      <c r="Q156" s="44" t="n">
        <f aca="false">INDEX(samples!$F:$F, MATCH(B156, samples!$A:$A, 0), 1)</f>
        <v>0</v>
      </c>
      <c r="R156" s="49" t="str">
        <f aca="false">INDEX(samples!$C:$C, MATCH(B156, samples!$A:$A, 0), 1)</f>
        <v>2020-02-04</v>
      </c>
      <c r="S156" s="50" t="str">
        <f aca="false">INDEX(samples!$D:$D,MATCH(B156, samples!$A:$A,0),1)</f>
        <v>blood</v>
      </c>
      <c r="T156" s="51" t="s">
        <v>427</v>
      </c>
      <c r="V156" s="33" t="s">
        <v>427</v>
      </c>
      <c r="X156" s="8"/>
      <c r="Y156" s="8" t="s">
        <v>1002</v>
      </c>
      <c r="Z156" s="8" t="n">
        <v>0</v>
      </c>
      <c r="AA156" s="8" t="n">
        <v>0</v>
      </c>
      <c r="AB156" s="8" t="n">
        <v>0</v>
      </c>
    </row>
    <row r="157" customFormat="false" ht="13.8" hidden="false" customHeight="false" outlineLevel="0" collapsed="false">
      <c r="A157" s="48" t="s">
        <v>3311</v>
      </c>
      <c r="B157" s="41" t="s">
        <v>1928</v>
      </c>
      <c r="C157" s="0" t="s">
        <v>3147</v>
      </c>
      <c r="D157" s="0" t="s">
        <v>3271</v>
      </c>
      <c r="H157" s="0" t="s">
        <v>3272</v>
      </c>
      <c r="I157" s="0" t="s">
        <v>1002</v>
      </c>
      <c r="J157" s="0" t="s">
        <v>427</v>
      </c>
      <c r="K157" s="0" t="s">
        <v>427</v>
      </c>
      <c r="M157" s="44" t="str">
        <f aca="false">INDEX(fastqs!$A:$A, MATCH(A157, fastqs!$B:$B, 0), 1)</f>
        <v>new_HiSeq39_Undetermined_R6000281_L005_R1_001_TCCT.fastq.gz</v>
      </c>
      <c r="N157" s="44" t="str">
        <f aca="false">INDEX(fastqs!$C:$C, MATCH(A157, fastqs!$B:$B, 0), 1)</f>
        <v>GET</v>
      </c>
      <c r="O157" s="44" t="str">
        <f aca="false">INDEX(samples!$B:$B, MATCH(B157, samples!$A:$A, 0), 1)</f>
        <v>par0102</v>
      </c>
      <c r="P157" s="44" t="e">
        <f aca="false">INDEX(participants!$I:$I, MATCH(O157, participants!$A:$A, 0), 1)</f>
        <v>#N/A</v>
      </c>
      <c r="Q157" s="44" t="n">
        <f aca="false">INDEX(samples!$F:$F, MATCH(B157, samples!$A:$A, 0), 1)</f>
        <v>0</v>
      </c>
      <c r="R157" s="49" t="str">
        <f aca="false">INDEX(samples!$C:$C, MATCH(B157, samples!$A:$A, 0), 1)</f>
        <v>2019-10-31</v>
      </c>
      <c r="S157" s="50" t="str">
        <f aca="false">INDEX(samples!$D:$D,MATCH(B157, samples!$A:$A,0),1)</f>
        <v>blood</v>
      </c>
      <c r="T157" s="51" t="s">
        <v>427</v>
      </c>
      <c r="V157" s="33" t="s">
        <v>427</v>
      </c>
      <c r="X157" s="8"/>
      <c r="Y157" s="8" t="s">
        <v>3150</v>
      </c>
      <c r="Z157" s="8" t="n">
        <v>0</v>
      </c>
      <c r="AA157" s="8" t="n">
        <v>0</v>
      </c>
      <c r="AB157" s="8" t="n">
        <v>0</v>
      </c>
    </row>
    <row r="158" customFormat="false" ht="13.8" hidden="false" customHeight="false" outlineLevel="0" collapsed="false">
      <c r="A158" s="48" t="s">
        <v>3312</v>
      </c>
      <c r="B158" s="41" t="s">
        <v>1914</v>
      </c>
      <c r="C158" s="0" t="s">
        <v>3147</v>
      </c>
      <c r="D158" s="0" t="s">
        <v>3271</v>
      </c>
      <c r="H158" s="0" t="s">
        <v>3272</v>
      </c>
      <c r="I158" s="0" t="s">
        <v>1002</v>
      </c>
      <c r="J158" s="0" t="s">
        <v>427</v>
      </c>
      <c r="K158" s="0" t="s">
        <v>427</v>
      </c>
      <c r="M158" s="44" t="str">
        <f aca="false">INDEX(fastqs!$A:$A, MATCH(A158, fastqs!$B:$B, 0), 1)</f>
        <v>new_HiSeq38_Undetermined_R6000281_L004_R1_001_ATCG.fastq.gz</v>
      </c>
      <c r="N158" s="44" t="str">
        <f aca="false">INDEX(fastqs!$C:$C, MATCH(A158, fastqs!$B:$B, 0), 1)</f>
        <v>GET</v>
      </c>
      <c r="O158" s="44" t="str">
        <f aca="false">INDEX(samples!$B:$B, MATCH(B158, samples!$A:$A, 0), 1)</f>
        <v>par0082</v>
      </c>
      <c r="P158" s="44" t="str">
        <f aca="false">INDEX(participants!$I:$I, MATCH(O158, participants!$A:$A, 0), 1)</f>
        <v>nf570</v>
      </c>
      <c r="Q158" s="44" t="n">
        <f aca="false">INDEX(samples!$F:$F, MATCH(B158, samples!$A:$A, 0), 1)</f>
        <v>0</v>
      </c>
      <c r="R158" s="49" t="str">
        <f aca="false">INDEX(samples!$C:$C, MATCH(B158, samples!$A:$A, 0), 1)</f>
        <v>2019-07-23</v>
      </c>
      <c r="S158" s="50" t="str">
        <f aca="false">INDEX(samples!$D:$D,MATCH(B158, samples!$A:$A,0),1)</f>
        <v>blood</v>
      </c>
      <c r="T158" s="51" t="s">
        <v>427</v>
      </c>
      <c r="V158" s="33" t="s">
        <v>427</v>
      </c>
      <c r="X158" s="8"/>
      <c r="Y158" s="8" t="s">
        <v>3150</v>
      </c>
      <c r="Z158" s="8" t="n">
        <v>0</v>
      </c>
      <c r="AA158" s="8" t="n">
        <v>0</v>
      </c>
      <c r="AB158" s="8" t="n">
        <v>0</v>
      </c>
    </row>
    <row r="159" customFormat="false" ht="13.8" hidden="false" customHeight="false" outlineLevel="0" collapsed="false">
      <c r="A159" s="48" t="s">
        <v>3313</v>
      </c>
      <c r="B159" s="41" t="s">
        <v>2008</v>
      </c>
      <c r="C159" s="0" t="s">
        <v>3147</v>
      </c>
      <c r="D159" s="0" t="s">
        <v>3271</v>
      </c>
      <c r="H159" s="0" t="s">
        <v>3272</v>
      </c>
      <c r="I159" s="0" t="s">
        <v>1002</v>
      </c>
      <c r="J159" s="0" t="s">
        <v>427</v>
      </c>
      <c r="K159" s="0" t="s">
        <v>427</v>
      </c>
      <c r="M159" s="44" t="str">
        <f aca="false">INDEX(fastqs!$A:$A, MATCH(A159, fastqs!$B:$B, 0), 1)</f>
        <v>new_HiSeq-W47_Undetermined_R6000324_L007_R1_001_TAGC.fastq.gz</v>
      </c>
      <c r="N159" s="44" t="str">
        <f aca="false">INDEX(fastqs!$C:$C, MATCH(A159, fastqs!$B:$B, 0), 1)</f>
        <v>GET</v>
      </c>
      <c r="O159" s="44" t="str">
        <f aca="false">INDEX(samples!$B:$B, MATCH(B159, samples!$A:$A, 0), 1)</f>
        <v>par0103</v>
      </c>
      <c r="P159" s="44" t="e">
        <f aca="false">INDEX(participants!$I:$I, MATCH(O159, participants!$A:$A, 0), 1)</f>
        <v>#N/A</v>
      </c>
      <c r="Q159" s="44" t="n">
        <f aca="false">INDEX(samples!$F:$F, MATCH(B159, samples!$A:$A, 0), 1)</f>
        <v>0</v>
      </c>
      <c r="R159" s="49" t="str">
        <f aca="false">INDEX(samples!$C:$C, MATCH(B159, samples!$A:$A, 0), 1)</f>
        <v>GET</v>
      </c>
      <c r="S159" s="50" t="str">
        <f aca="false">INDEX(samples!$D:$D,MATCH(B159, samples!$A:$A,0),1)</f>
        <v>blood</v>
      </c>
      <c r="T159" s="51" t="s">
        <v>427</v>
      </c>
      <c r="V159" s="33" t="s">
        <v>427</v>
      </c>
      <c r="X159" s="8"/>
      <c r="Y159" s="8" t="s">
        <v>3150</v>
      </c>
      <c r="Z159" s="8" t="n">
        <v>0</v>
      </c>
      <c r="AA159" s="8" t="n">
        <v>0</v>
      </c>
      <c r="AB159" s="8" t="n">
        <v>0</v>
      </c>
    </row>
    <row r="160" customFormat="false" ht="13.8" hidden="false" customHeight="false" outlineLevel="0" collapsed="false">
      <c r="A160" s="48" t="s">
        <v>3314</v>
      </c>
      <c r="B160" s="41" t="s">
        <v>1975</v>
      </c>
      <c r="C160" s="0" t="s">
        <v>3147</v>
      </c>
      <c r="D160" s="0" t="s">
        <v>3271</v>
      </c>
      <c r="H160" s="0" t="s">
        <v>3272</v>
      </c>
      <c r="I160" s="0" t="s">
        <v>1002</v>
      </c>
      <c r="J160" s="0" t="s">
        <v>427</v>
      </c>
      <c r="K160" s="0" t="s">
        <v>427</v>
      </c>
      <c r="M160" s="44" t="str">
        <f aca="false">INDEX(fastqs!$A:$A, MATCH(A160, fastqs!$B:$B, 0), 1)</f>
        <v>new_HiSeqW54_Undetermined_R6000373_L007_R1_CGAT.fastq.gz</v>
      </c>
      <c r="N160" s="44" t="str">
        <f aca="false">INDEX(fastqs!$C:$C, MATCH(A160, fastqs!$B:$B, 0), 1)</f>
        <v>GET</v>
      </c>
      <c r="O160" s="44" t="str">
        <f aca="false">INDEX(samples!$B:$B, MATCH(B160, samples!$A:$A, 0), 1)</f>
        <v>par0132</v>
      </c>
      <c r="P160" s="44" t="e">
        <f aca="false">INDEX(participants!$I:$I, MATCH(O160, participants!$A:$A, 0), 1)</f>
        <v>#N/A</v>
      </c>
      <c r="Q160" s="44" t="n">
        <f aca="false">INDEX(samples!$F:$F, MATCH(B160, samples!$A:$A, 0), 1)</f>
        <v>0</v>
      </c>
      <c r="R160" s="49" t="str">
        <f aca="false">INDEX(samples!$C:$C, MATCH(B160, samples!$A:$A, 0), 1)</f>
        <v>2020-02-18</v>
      </c>
      <c r="S160" s="50" t="str">
        <f aca="false">INDEX(samples!$D:$D,MATCH(B160, samples!$A:$A,0),1)</f>
        <v>blood</v>
      </c>
      <c r="T160" s="51" t="s">
        <v>427</v>
      </c>
      <c r="V160" s="33" t="s">
        <v>427</v>
      </c>
      <c r="X160" s="8"/>
      <c r="Y160" s="8" t="s">
        <v>3150</v>
      </c>
      <c r="Z160" s="8" t="n">
        <v>0</v>
      </c>
      <c r="AA160" s="8" t="n">
        <v>0</v>
      </c>
      <c r="AB160" s="8" t="n">
        <v>0</v>
      </c>
    </row>
    <row r="161" customFormat="false" ht="13.8" hidden="false" customHeight="false" outlineLevel="0" collapsed="false">
      <c r="A161" s="48" t="s">
        <v>3315</v>
      </c>
      <c r="B161" s="41" t="s">
        <v>1877</v>
      </c>
      <c r="C161" s="0" t="s">
        <v>3147</v>
      </c>
      <c r="D161" s="0" t="s">
        <v>3271</v>
      </c>
      <c r="H161" s="0" t="s">
        <v>3272</v>
      </c>
      <c r="I161" s="0" t="s">
        <v>1002</v>
      </c>
      <c r="J161" s="0" t="s">
        <v>427</v>
      </c>
      <c r="K161" s="0" t="s">
        <v>427</v>
      </c>
      <c r="M161" s="44" t="str">
        <f aca="false">INDEX(fastqs!$A:$A, MATCH(A161, fastqs!$B:$B, 0), 1)</f>
        <v>new_HiSeq28_Undetermined_R6000204_L006_R1_001_CTTC.fastq.gz</v>
      </c>
      <c r="N161" s="44" t="str">
        <f aca="false">INDEX(fastqs!$C:$C, MATCH(A161, fastqs!$B:$B, 0), 1)</f>
        <v>GET</v>
      </c>
      <c r="O161" s="44" t="str">
        <f aca="false">INDEX(samples!$B:$B, MATCH(B161, samples!$A:$A, 0), 1)</f>
        <v>par0092</v>
      </c>
      <c r="P161" s="44" t="str">
        <f aca="false">INDEX(participants!$I:$I, MATCH(O161, participants!$A:$A, 0), 1)</f>
        <v>nf531</v>
      </c>
      <c r="Q161" s="44" t="n">
        <f aca="false">INDEX(samples!$F:$F, MATCH(B161, samples!$A:$A, 0), 1)</f>
        <v>0</v>
      </c>
      <c r="R161" s="49" t="str">
        <f aca="false">INDEX(samples!$C:$C, MATCH(B161, samples!$A:$A, 0), 1)</f>
        <v>2019-06-13</v>
      </c>
      <c r="S161" s="50" t="str">
        <f aca="false">INDEX(samples!$D:$D,MATCH(B161, samples!$A:$A,0),1)</f>
        <v>blood</v>
      </c>
      <c r="T161" s="51" t="s">
        <v>427</v>
      </c>
      <c r="V161" s="33" t="s">
        <v>427</v>
      </c>
      <c r="X161" s="8"/>
      <c r="Y161" s="8" t="s">
        <v>3150</v>
      </c>
      <c r="Z161" s="8" t="n">
        <v>0</v>
      </c>
      <c r="AA161" s="8" t="n">
        <v>0</v>
      </c>
      <c r="AB161" s="8" t="n">
        <v>0</v>
      </c>
    </row>
    <row r="162" customFormat="false" ht="13.8" hidden="false" customHeight="false" outlineLevel="0" collapsed="false">
      <c r="A162" s="48" t="s">
        <v>3316</v>
      </c>
      <c r="B162" s="41" t="s">
        <v>1731</v>
      </c>
      <c r="C162" s="0" t="s">
        <v>3147</v>
      </c>
      <c r="D162" s="0" t="s">
        <v>3271</v>
      </c>
      <c r="H162" s="0" t="s">
        <v>3272</v>
      </c>
      <c r="I162" s="0" t="s">
        <v>1002</v>
      </c>
      <c r="J162" s="0" t="s">
        <v>427</v>
      </c>
      <c r="K162" s="0" t="s">
        <v>427</v>
      </c>
      <c r="M162" s="44" t="str">
        <f aca="false">INDEX(fastqs!$A:$A, MATCH(A162, fastqs!$B:$B, 0), 1)</f>
        <v>new_HiSeqW31_Undetermined_R6000232_L005_R1_001_GAAG.fastq.gz</v>
      </c>
      <c r="N162" s="44" t="str">
        <f aca="false">INDEX(fastqs!$C:$C, MATCH(A162, fastqs!$B:$B, 0), 1)</f>
        <v>GET</v>
      </c>
      <c r="O162" s="44" t="str">
        <f aca="false">INDEX(samples!$B:$B, MATCH(B162, samples!$A:$A, 0), 1)</f>
        <v>par0069</v>
      </c>
      <c r="P162" s="44" t="n">
        <f aca="false">INDEX(participants!$I:$I, MATCH(O162, participants!$A:$A, 0), 1)</f>
        <v>83</v>
      </c>
      <c r="Q162" s="44" t="n">
        <f aca="false">INDEX(samples!$F:$F, MATCH(B162, samples!$A:$A, 0), 1)</f>
        <v>0</v>
      </c>
      <c r="R162" s="49" t="str">
        <f aca="false">INDEX(samples!$C:$C, MATCH(B162, samples!$A:$A, 0), 1)</f>
        <v>2019-07-02</v>
      </c>
      <c r="S162" s="50" t="str">
        <f aca="false">INDEX(samples!$D:$D,MATCH(B162, samples!$A:$A,0),1)</f>
        <v>blood</v>
      </c>
      <c r="T162" s="51" t="s">
        <v>427</v>
      </c>
      <c r="V162" s="33" t="s">
        <v>427</v>
      </c>
      <c r="X162" s="8"/>
      <c r="Y162" s="8" t="s">
        <v>3150</v>
      </c>
      <c r="Z162" s="8" t="n">
        <v>0</v>
      </c>
      <c r="AA162" s="8" t="n">
        <v>0</v>
      </c>
      <c r="AB162" s="8" t="n">
        <v>0</v>
      </c>
    </row>
    <row r="163" customFormat="false" ht="13.8" hidden="false" customHeight="false" outlineLevel="0" collapsed="false">
      <c r="A163" s="48" t="s">
        <v>3317</v>
      </c>
      <c r="B163" s="41" t="s">
        <v>1727</v>
      </c>
      <c r="C163" s="0" t="s">
        <v>3147</v>
      </c>
      <c r="D163" s="0" t="s">
        <v>3271</v>
      </c>
      <c r="H163" s="0" t="s">
        <v>3272</v>
      </c>
      <c r="I163" s="0" t="s">
        <v>1002</v>
      </c>
      <c r="J163" s="0" t="s">
        <v>427</v>
      </c>
      <c r="K163" s="0" t="s">
        <v>427</v>
      </c>
      <c r="M163" s="44" t="str">
        <f aca="false">INDEX(fastqs!$A:$A, MATCH(A163, fastqs!$B:$B, 0), 1)</f>
        <v>new_HiSeqW31_Undetermined_R6000232_L005_R1_001_TAGC.fastq.gz</v>
      </c>
      <c r="N163" s="44" t="str">
        <f aca="false">INDEX(fastqs!$C:$C, MATCH(A163, fastqs!$B:$B, 0), 1)</f>
        <v>GET</v>
      </c>
      <c r="O163" s="44" t="str">
        <f aca="false">INDEX(samples!$B:$B, MATCH(B163, samples!$A:$A, 0), 1)</f>
        <v>par0067</v>
      </c>
      <c r="P163" s="44" t="n">
        <f aca="false">INDEX(participants!$I:$I, MATCH(O163, participants!$A:$A, 0), 1)</f>
        <v>70</v>
      </c>
      <c r="Q163" s="44" t="n">
        <f aca="false">INDEX(samples!$F:$F, MATCH(B163, samples!$A:$A, 0), 1)</f>
        <v>0</v>
      </c>
      <c r="R163" s="49" t="str">
        <f aca="false">INDEX(samples!$C:$C, MATCH(B163, samples!$A:$A, 0), 1)</f>
        <v>2019-07-02</v>
      </c>
      <c r="S163" s="50" t="str">
        <f aca="false">INDEX(samples!$D:$D,MATCH(B163, samples!$A:$A,0),1)</f>
        <v>blood</v>
      </c>
      <c r="T163" s="51" t="s">
        <v>427</v>
      </c>
      <c r="V163" s="33" t="s">
        <v>427</v>
      </c>
      <c r="X163" s="8"/>
      <c r="Y163" s="8" t="s">
        <v>3150</v>
      </c>
      <c r="Z163" s="8" t="n">
        <v>0</v>
      </c>
      <c r="AA163" s="8" t="n">
        <v>0</v>
      </c>
      <c r="AB163" s="8" t="n">
        <v>0</v>
      </c>
    </row>
    <row r="164" customFormat="false" ht="13.8" hidden="false" customHeight="false" outlineLevel="0" collapsed="false">
      <c r="A164" s="48" t="s">
        <v>3318</v>
      </c>
      <c r="B164" s="41" t="s">
        <v>1879</v>
      </c>
      <c r="C164" s="0" t="s">
        <v>3147</v>
      </c>
      <c r="D164" s="0" t="s">
        <v>3271</v>
      </c>
      <c r="H164" s="0" t="s">
        <v>3272</v>
      </c>
      <c r="I164" s="0" t="s">
        <v>1002</v>
      </c>
      <c r="J164" s="0" t="s">
        <v>427</v>
      </c>
      <c r="K164" s="0" t="s">
        <v>427</v>
      </c>
      <c r="M164" s="44" t="str">
        <f aca="false">INDEX(fastqs!$A:$A, MATCH(A164, fastqs!$B:$B, 0), 1)</f>
        <v>new_HiSeq28_Undetermined_R6000204_L006_R1_001_GAAG.fastq.gz</v>
      </c>
      <c r="N164" s="44" t="str">
        <f aca="false">INDEX(fastqs!$C:$C, MATCH(A164, fastqs!$B:$B, 0), 1)</f>
        <v>GET</v>
      </c>
      <c r="O164" s="44" t="str">
        <f aca="false">INDEX(samples!$B:$B, MATCH(B164, samples!$A:$A, 0), 1)</f>
        <v>par0093</v>
      </c>
      <c r="P164" s="44" t="str">
        <f aca="false">INDEX(participants!$I:$I, MATCH(O164, participants!$A:$A, 0), 1)</f>
        <v>nf536</v>
      </c>
      <c r="Q164" s="44" t="n">
        <f aca="false">INDEX(samples!$F:$F, MATCH(B164, samples!$A:$A, 0), 1)</f>
        <v>0</v>
      </c>
      <c r="R164" s="49" t="str">
        <f aca="false">INDEX(samples!$C:$C, MATCH(B164, samples!$A:$A, 0), 1)</f>
        <v>2019-06-26</v>
      </c>
      <c r="S164" s="50" t="str">
        <f aca="false">INDEX(samples!$D:$D,MATCH(B164, samples!$A:$A,0),1)</f>
        <v>blood</v>
      </c>
      <c r="T164" s="51" t="s">
        <v>427</v>
      </c>
      <c r="V164" s="33" t="s">
        <v>427</v>
      </c>
      <c r="X164" s="8"/>
      <c r="Y164" s="8" t="s">
        <v>1002</v>
      </c>
      <c r="Z164" s="8" t="n">
        <v>0</v>
      </c>
      <c r="AA164" s="8" t="n">
        <v>0</v>
      </c>
      <c r="AB164" s="8" t="n">
        <v>0</v>
      </c>
    </row>
    <row r="165" customFormat="false" ht="13.8" hidden="false" customHeight="false" outlineLevel="0" collapsed="false">
      <c r="A165" s="48" t="s">
        <v>3319</v>
      </c>
      <c r="B165" s="41" t="s">
        <v>1999</v>
      </c>
      <c r="C165" s="0" t="s">
        <v>3215</v>
      </c>
      <c r="D165" s="0" t="s">
        <v>3271</v>
      </c>
      <c r="H165" s="0" t="s">
        <v>3272</v>
      </c>
      <c r="I165" s="0" t="s">
        <v>1002</v>
      </c>
      <c r="J165" s="0" t="s">
        <v>427</v>
      </c>
      <c r="K165" s="0" t="s">
        <v>427</v>
      </c>
      <c r="M165" s="44" t="str">
        <f aca="false">INDEX(fastqs!$A:$A, MATCH(A165, fastqs!$B:$B, 0), 1)</f>
        <v>new_HiSeq-W46_Undetermined_R6000324_L006_R1_001_CGAT.fastq.gz</v>
      </c>
      <c r="N165" s="44" t="str">
        <f aca="false">INDEX(fastqs!$C:$C, MATCH(A165, fastqs!$B:$B, 0), 1)</f>
        <v>GET</v>
      </c>
      <c r="O165" s="44" t="str">
        <f aca="false">INDEX(samples!$B:$B, MATCH(B165, samples!$A:$A, 0), 1)</f>
        <v>par0093</v>
      </c>
      <c r="P165" s="44" t="str">
        <f aca="false">INDEX(participants!$I:$I, MATCH(O165, participants!$A:$A, 0), 1)</f>
        <v>nf536</v>
      </c>
      <c r="Q165" s="44" t="n">
        <f aca="false">INDEX(samples!$F:$F, MATCH(B165, samples!$A:$A, 0), 1)</f>
        <v>0</v>
      </c>
      <c r="R165" s="49" t="str">
        <f aca="false">INDEX(samples!$C:$C, MATCH(B165, samples!$A:$A, 0), 1)</f>
        <v>GET</v>
      </c>
      <c r="S165" s="50" t="str">
        <f aca="false">INDEX(samples!$D:$D,MATCH(B165, samples!$A:$A,0),1)</f>
        <v>blood</v>
      </c>
      <c r="T165" s="51" t="s">
        <v>36</v>
      </c>
      <c r="V165" s="33" t="s">
        <v>427</v>
      </c>
      <c r="X165" s="8"/>
      <c r="Y165" s="8" t="s">
        <v>1002</v>
      </c>
      <c r="Z165" s="8" t="n">
        <v>0</v>
      </c>
      <c r="AA165" s="8" t="n">
        <v>0</v>
      </c>
      <c r="AB165" s="8" t="n">
        <v>0</v>
      </c>
    </row>
    <row r="166" customFormat="false" ht="13.8" hidden="false" customHeight="false" outlineLevel="0" collapsed="false">
      <c r="A166" s="48" t="s">
        <v>3320</v>
      </c>
      <c r="B166" s="41" t="s">
        <v>2001</v>
      </c>
      <c r="C166" s="0" t="s">
        <v>3215</v>
      </c>
      <c r="D166" s="0" t="s">
        <v>3271</v>
      </c>
      <c r="H166" s="0" t="s">
        <v>3272</v>
      </c>
      <c r="I166" s="0" t="s">
        <v>1002</v>
      </c>
      <c r="J166" s="0" t="s">
        <v>427</v>
      </c>
      <c r="K166" s="0" t="s">
        <v>427</v>
      </c>
      <c r="M166" s="44" t="str">
        <f aca="false">INDEX(fastqs!$A:$A, MATCH(A166, fastqs!$B:$B, 0), 1)</f>
        <v>new_HiSeq-W46_Undetermined_R6000324_L006_R1_001_GTGT.fastq.gz</v>
      </c>
      <c r="N166" s="44" t="str">
        <f aca="false">INDEX(fastqs!$C:$C, MATCH(A166, fastqs!$B:$B, 0), 1)</f>
        <v>GET</v>
      </c>
      <c r="O166" s="44" t="str">
        <f aca="false">INDEX(samples!$B:$B, MATCH(B166, samples!$A:$A, 0), 1)</f>
        <v>par0106</v>
      </c>
      <c r="P166" s="44" t="e">
        <f aca="false">INDEX(participants!$I:$I, MATCH(O166, participants!$A:$A, 0), 1)</f>
        <v>#N/A</v>
      </c>
      <c r="Q166" s="44" t="n">
        <f aca="false">INDEX(samples!$F:$F, MATCH(B166, samples!$A:$A, 0), 1)</f>
        <v>0</v>
      </c>
      <c r="R166" s="49" t="str">
        <f aca="false">INDEX(samples!$C:$C, MATCH(B166, samples!$A:$A, 0), 1)</f>
        <v>2019-11-21</v>
      </c>
      <c r="S166" s="50" t="str">
        <f aca="false">INDEX(samples!$D:$D,MATCH(B166, samples!$A:$A,0),1)</f>
        <v>blood</v>
      </c>
      <c r="T166" s="51" t="s">
        <v>36</v>
      </c>
      <c r="V166" s="33" t="s">
        <v>427</v>
      </c>
      <c r="X166" s="8"/>
      <c r="Y166" s="8" t="s">
        <v>3150</v>
      </c>
      <c r="Z166" s="8" t="n">
        <v>0</v>
      </c>
      <c r="AA166" s="8" t="n">
        <v>0</v>
      </c>
      <c r="AB166" s="8" t="n">
        <v>0</v>
      </c>
    </row>
    <row r="167" customFormat="false" ht="13.8" hidden="false" customHeight="false" outlineLevel="0" collapsed="false">
      <c r="A167" s="48" t="s">
        <v>3321</v>
      </c>
      <c r="B167" s="41" t="s">
        <v>1922</v>
      </c>
      <c r="C167" s="0" t="s">
        <v>3147</v>
      </c>
      <c r="D167" s="0" t="s">
        <v>3271</v>
      </c>
      <c r="H167" s="0" t="s">
        <v>3272</v>
      </c>
      <c r="I167" s="0" t="s">
        <v>1002</v>
      </c>
      <c r="J167" s="0" t="s">
        <v>427</v>
      </c>
      <c r="K167" s="0" t="s">
        <v>427</v>
      </c>
      <c r="M167" s="44" t="str">
        <f aca="false">INDEX(fastqs!$A:$A, MATCH(A167, fastqs!$B:$B, 0), 1)</f>
        <v>new_HiSeqW36_Undetermined_R6000244_L008_R1_001_ACAC.fastq.gz</v>
      </c>
      <c r="N167" s="44" t="str">
        <f aca="false">INDEX(fastqs!$C:$C, MATCH(A167, fastqs!$B:$B, 0), 1)</f>
        <v>GET</v>
      </c>
      <c r="O167" s="44" t="str">
        <f aca="false">INDEX(samples!$B:$B, MATCH(B167, samples!$A:$A, 0), 1)</f>
        <v>par0101</v>
      </c>
      <c r="P167" s="44" t="e">
        <f aca="false">INDEX(participants!$I:$I, MATCH(O167, participants!$A:$A, 0), 1)</f>
        <v>#N/A</v>
      </c>
      <c r="Q167" s="44" t="n">
        <f aca="false">INDEX(samples!$F:$F, MATCH(B167, samples!$A:$A, 0), 1)</f>
        <v>0</v>
      </c>
      <c r="R167" s="49" t="str">
        <f aca="false">INDEX(samples!$C:$C, MATCH(B167, samples!$A:$A, 0), 1)</f>
        <v>2019-08-20</v>
      </c>
      <c r="S167" s="50" t="str">
        <f aca="false">INDEX(samples!$D:$D,MATCH(B167, samples!$A:$A,0),1)</f>
        <v>blood</v>
      </c>
      <c r="T167" s="51" t="s">
        <v>427</v>
      </c>
      <c r="V167" s="33" t="s">
        <v>427</v>
      </c>
      <c r="X167" s="8"/>
      <c r="Y167" s="8" t="s">
        <v>3150</v>
      </c>
      <c r="Z167" s="8" t="n">
        <v>0</v>
      </c>
      <c r="AA167" s="8" t="n">
        <v>0</v>
      </c>
      <c r="AB167" s="8" t="n">
        <v>0</v>
      </c>
    </row>
    <row r="168" customFormat="false" ht="13.8" hidden="false" customHeight="false" outlineLevel="0" collapsed="false">
      <c r="A168" s="48" t="s">
        <v>3322</v>
      </c>
      <c r="B168" s="41" t="s">
        <v>1974</v>
      </c>
      <c r="C168" s="0" t="s">
        <v>3215</v>
      </c>
      <c r="D168" s="0" t="s">
        <v>3271</v>
      </c>
      <c r="H168" s="0" t="s">
        <v>3272</v>
      </c>
      <c r="I168" s="0" t="s">
        <v>1002</v>
      </c>
      <c r="J168" s="0" t="s">
        <v>427</v>
      </c>
      <c r="K168" s="0" t="s">
        <v>427</v>
      </c>
      <c r="M168" s="44" t="str">
        <f aca="false">INDEX(fastqs!$A:$A, MATCH(A168, fastqs!$B:$B, 0), 1)</f>
        <v>new_HiSeqW55_Undetermined_R6000373_L008_R1_CGAT.fastq.gz</v>
      </c>
      <c r="N168" s="44" t="str">
        <f aca="false">INDEX(fastqs!$C:$C, MATCH(A168, fastqs!$B:$B, 0), 1)</f>
        <v>GET</v>
      </c>
      <c r="O168" s="44" t="str">
        <f aca="false">INDEX(samples!$B:$B, MATCH(B168, samples!$A:$A, 0), 1)</f>
        <v>par0064</v>
      </c>
      <c r="P168" s="44" t="str">
        <f aca="false">INDEX(participants!$I:$I, MATCH(O168, participants!$A:$A, 0), 1)</f>
        <v>nf600</v>
      </c>
      <c r="Q168" s="44" t="n">
        <f aca="false">INDEX(samples!$F:$F, MATCH(B168, samples!$A:$A, 0), 1)</f>
        <v>0</v>
      </c>
      <c r="R168" s="49" t="str">
        <f aca="false">INDEX(samples!$C:$C, MATCH(B168, samples!$A:$A, 0), 1)</f>
        <v>GET</v>
      </c>
      <c r="S168" s="50" t="str">
        <f aca="false">INDEX(samples!$D:$D,MATCH(B168, samples!$A:$A,0),1)</f>
        <v>blood</v>
      </c>
      <c r="T168" s="51" t="s">
        <v>36</v>
      </c>
      <c r="V168" s="33" t="s">
        <v>427</v>
      </c>
      <c r="X168" s="8"/>
      <c r="Y168" s="8" t="s">
        <v>1002</v>
      </c>
      <c r="Z168" s="8" t="n">
        <v>0</v>
      </c>
      <c r="AA168" s="8" t="n">
        <v>0</v>
      </c>
      <c r="AB168" s="8" t="n">
        <v>0</v>
      </c>
    </row>
    <row r="169" customFormat="false" ht="13.8" hidden="false" customHeight="false" outlineLevel="0" collapsed="false">
      <c r="A169" s="48" t="s">
        <v>3323</v>
      </c>
      <c r="B169" s="41" t="s">
        <v>1912</v>
      </c>
      <c r="C169" s="0" t="s">
        <v>3147</v>
      </c>
      <c r="D169" s="0" t="s">
        <v>3271</v>
      </c>
      <c r="H169" s="0" t="s">
        <v>3272</v>
      </c>
      <c r="I169" s="0" t="s">
        <v>1002</v>
      </c>
      <c r="J169" s="0" t="s">
        <v>427</v>
      </c>
      <c r="K169" s="0" t="s">
        <v>427</v>
      </c>
      <c r="M169" s="44" t="str">
        <f aca="false">INDEX(fastqs!$A:$A, MATCH(A169, fastqs!$B:$B, 0), 1)</f>
        <v>new_HiSeqW30_Undetermined_R6000232_L006_R1_001_TCCT.fastq.gz</v>
      </c>
      <c r="N169" s="44" t="str">
        <f aca="false">INDEX(fastqs!$C:$C, MATCH(A169, fastqs!$B:$B, 0), 1)</f>
        <v>GET</v>
      </c>
      <c r="O169" s="44" t="str">
        <f aca="false">INDEX(samples!$B:$B, MATCH(B169, samples!$A:$A, 0), 1)</f>
        <v>par0082</v>
      </c>
      <c r="P169" s="44" t="str">
        <f aca="false">INDEX(participants!$I:$I, MATCH(O169, participants!$A:$A, 0), 1)</f>
        <v>nf570</v>
      </c>
      <c r="Q169" s="44" t="n">
        <f aca="false">INDEX(samples!$F:$F, MATCH(B169, samples!$A:$A, 0), 1)</f>
        <v>0</v>
      </c>
      <c r="R169" s="49" t="str">
        <f aca="false">INDEX(samples!$C:$C, MATCH(B169, samples!$A:$A, 0), 1)</f>
        <v>2019-06-11</v>
      </c>
      <c r="S169" s="50" t="str">
        <f aca="false">INDEX(samples!$D:$D,MATCH(B169, samples!$A:$A,0),1)</f>
        <v>blood</v>
      </c>
      <c r="T169" s="51" t="s">
        <v>427</v>
      </c>
      <c r="V169" s="33" t="s">
        <v>427</v>
      </c>
      <c r="X169" s="8"/>
      <c r="Y169" s="8" t="s">
        <v>3150</v>
      </c>
      <c r="Z169" s="8" t="n">
        <v>0</v>
      </c>
      <c r="AA169" s="8" t="n">
        <v>0</v>
      </c>
      <c r="AB169" s="8" t="n">
        <v>0</v>
      </c>
    </row>
    <row r="170" customFormat="false" ht="13.8" hidden="false" customHeight="false" outlineLevel="0" collapsed="false">
      <c r="A170" s="48" t="s">
        <v>3324</v>
      </c>
      <c r="B170" s="41" t="s">
        <v>1934</v>
      </c>
      <c r="C170" s="0" t="s">
        <v>3147</v>
      </c>
      <c r="D170" s="0" t="s">
        <v>3271</v>
      </c>
      <c r="H170" s="0" t="s">
        <v>3272</v>
      </c>
      <c r="I170" s="0" t="s">
        <v>1002</v>
      </c>
      <c r="J170" s="0" t="s">
        <v>427</v>
      </c>
      <c r="K170" s="0" t="s">
        <v>427</v>
      </c>
      <c r="M170" s="44" t="str">
        <f aca="false">INDEX(fastqs!$A:$A, MATCH(A170, fastqs!$B:$B, 0), 1)</f>
        <v>new_HiSeq-W48_Undetermined_R6000324_L008_R1_001_GAAG.fastq.gz</v>
      </c>
      <c r="N170" s="44" t="str">
        <f aca="false">INDEX(fastqs!$C:$C, MATCH(A170, fastqs!$B:$B, 0), 1)</f>
        <v>GET</v>
      </c>
      <c r="O170" s="44" t="str">
        <f aca="false">INDEX(samples!$B:$B, MATCH(B170, samples!$A:$A, 0), 1)</f>
        <v>par0084</v>
      </c>
      <c r="P170" s="44" t="str">
        <f aca="false">INDEX(participants!$I:$I, MATCH(O170, participants!$A:$A, 0), 1)</f>
        <v>nf585</v>
      </c>
      <c r="Q170" s="44" t="n">
        <f aca="false">INDEX(samples!$F:$F, MATCH(B170, samples!$A:$A, 0), 1)</f>
        <v>0</v>
      </c>
      <c r="R170" s="49" t="str">
        <f aca="false">INDEX(samples!$C:$C, MATCH(B170, samples!$A:$A, 0), 1)</f>
        <v>2019-12-10</v>
      </c>
      <c r="S170" s="50" t="str">
        <f aca="false">INDEX(samples!$D:$D,MATCH(B170, samples!$A:$A,0),1)</f>
        <v>blood</v>
      </c>
      <c r="T170" s="51" t="s">
        <v>427</v>
      </c>
      <c r="V170" s="33" t="s">
        <v>427</v>
      </c>
      <c r="X170" s="8"/>
      <c r="Y170" s="8" t="s">
        <v>3150</v>
      </c>
      <c r="Z170" s="8" t="n">
        <v>0</v>
      </c>
      <c r="AA170" s="8" t="n">
        <v>0</v>
      </c>
      <c r="AB170" s="8" t="n">
        <v>0</v>
      </c>
    </row>
    <row r="171" customFormat="false" ht="13.8" hidden="false" customHeight="false" outlineLevel="0" collapsed="false">
      <c r="A171" s="48" t="s">
        <v>3325</v>
      </c>
      <c r="B171" s="41" t="s">
        <v>1865</v>
      </c>
      <c r="C171" s="0" t="s">
        <v>3147</v>
      </c>
      <c r="D171" s="0" t="s">
        <v>3271</v>
      </c>
      <c r="H171" s="0" t="s">
        <v>3272</v>
      </c>
      <c r="I171" s="0" t="s">
        <v>1002</v>
      </c>
      <c r="J171" s="0" t="s">
        <v>427</v>
      </c>
      <c r="K171" s="0" t="s">
        <v>427</v>
      </c>
      <c r="M171" s="44" t="str">
        <f aca="false">INDEX(fastqs!$A:$A, MATCH(A171, fastqs!$B:$B, 0), 1)</f>
        <v>new_HiSeq28_Undetermined_R6000204_L006_R1_001_ATCG.fastq.gz</v>
      </c>
      <c r="N171" s="44" t="str">
        <f aca="false">INDEX(fastqs!$C:$C, MATCH(A171, fastqs!$B:$B, 0), 1)</f>
        <v>GET</v>
      </c>
      <c r="O171" s="44" t="str">
        <f aca="false">INDEX(samples!$B:$B, MATCH(B171, samples!$A:$A, 0), 1)</f>
        <v>par0079</v>
      </c>
      <c r="P171" s="44" t="str">
        <f aca="false">INDEX(participants!$I:$I, MATCH(O171, participants!$A:$A, 0), 1)</f>
        <v>nf487</v>
      </c>
      <c r="Q171" s="44" t="n">
        <f aca="false">INDEX(samples!$F:$F, MATCH(B171, samples!$A:$A, 0), 1)</f>
        <v>0</v>
      </c>
      <c r="R171" s="49" t="str">
        <f aca="false">INDEX(samples!$C:$C, MATCH(B171, samples!$A:$A, 0), 1)</f>
        <v>2019-05-14</v>
      </c>
      <c r="S171" s="50" t="str">
        <f aca="false">INDEX(samples!$D:$D,MATCH(B171, samples!$A:$A,0),1)</f>
        <v>blood</v>
      </c>
      <c r="T171" s="51" t="s">
        <v>427</v>
      </c>
      <c r="V171" s="33" t="s">
        <v>427</v>
      </c>
      <c r="X171" s="8"/>
      <c r="Y171" s="8" t="s">
        <v>3150</v>
      </c>
      <c r="Z171" s="8" t="n">
        <v>0</v>
      </c>
      <c r="AA171" s="8" t="n">
        <v>0</v>
      </c>
      <c r="AB171" s="8" t="n">
        <v>0</v>
      </c>
    </row>
    <row r="172" customFormat="false" ht="13.8" hidden="false" customHeight="false" outlineLevel="0" collapsed="false">
      <c r="A172" s="48" t="s">
        <v>3326</v>
      </c>
      <c r="B172" s="41" t="s">
        <v>2002</v>
      </c>
      <c r="C172" s="0" t="s">
        <v>3215</v>
      </c>
      <c r="D172" s="0" t="s">
        <v>3271</v>
      </c>
      <c r="H172" s="0" t="s">
        <v>3272</v>
      </c>
      <c r="I172" s="0" t="s">
        <v>1002</v>
      </c>
      <c r="J172" s="0" t="s">
        <v>427</v>
      </c>
      <c r="K172" s="0" t="s">
        <v>427</v>
      </c>
      <c r="M172" s="44" t="str">
        <f aca="false">INDEX(fastqs!$A:$A, MATCH(A172, fastqs!$B:$B, 0), 1)</f>
        <v>new_HiSeq-W44_Undetermined_R6000324_L004_R1_001_AGGT.fastq.gz</v>
      </c>
      <c r="N172" s="44" t="str">
        <f aca="false">INDEX(fastqs!$C:$C, MATCH(A172, fastqs!$B:$B, 0), 1)</f>
        <v>GET</v>
      </c>
      <c r="O172" s="44" t="str">
        <f aca="false">INDEX(samples!$B:$B, MATCH(B172, samples!$A:$A, 0), 1)</f>
        <v>par0096</v>
      </c>
      <c r="P172" s="44" t="str">
        <f aca="false">INDEX(participants!$I:$I, MATCH(O172, participants!$A:$A, 0), 1)</f>
        <v>nf569</v>
      </c>
      <c r="Q172" s="44" t="n">
        <f aca="false">INDEX(samples!$F:$F, MATCH(B172, samples!$A:$A, 0), 1)</f>
        <v>0</v>
      </c>
      <c r="R172" s="49" t="str">
        <f aca="false">INDEX(samples!$C:$C, MATCH(B172, samples!$A:$A, 0), 1)</f>
        <v>2019-06-25</v>
      </c>
      <c r="S172" s="50" t="str">
        <f aca="false">INDEX(samples!$D:$D,MATCH(B172, samples!$A:$A,0),1)</f>
        <v>blood</v>
      </c>
      <c r="T172" s="51" t="s">
        <v>36</v>
      </c>
      <c r="V172" s="33" t="s">
        <v>427</v>
      </c>
      <c r="X172" s="8"/>
      <c r="Y172" s="8" t="s">
        <v>3150</v>
      </c>
      <c r="Z172" s="8" t="n">
        <v>0</v>
      </c>
      <c r="AA172" s="8" t="n">
        <v>0</v>
      </c>
      <c r="AB172" s="8" t="n">
        <v>0</v>
      </c>
    </row>
    <row r="173" customFormat="false" ht="13.8" hidden="false" customHeight="false" outlineLevel="0" collapsed="false">
      <c r="A173" s="48" t="s">
        <v>3327</v>
      </c>
      <c r="B173" s="41" t="s">
        <v>1903</v>
      </c>
      <c r="C173" s="0" t="s">
        <v>3147</v>
      </c>
      <c r="D173" s="0" t="s">
        <v>3271</v>
      </c>
      <c r="H173" s="0" t="s">
        <v>3272</v>
      </c>
      <c r="I173" s="0" t="s">
        <v>1002</v>
      </c>
      <c r="J173" s="0" t="s">
        <v>427</v>
      </c>
      <c r="K173" s="0" t="s">
        <v>427</v>
      </c>
      <c r="M173" s="44" t="str">
        <f aca="false">INDEX(fastqs!$A:$A, MATCH(A173, fastqs!$B:$B, 0), 1)</f>
        <v>new_HiSeq38_Undetermined_R6000281_L004_R1_001_GCTA.fastq.gz</v>
      </c>
      <c r="N173" s="44" t="str">
        <f aca="false">INDEX(fastqs!$C:$C, MATCH(A173, fastqs!$B:$B, 0), 1)</f>
        <v>GET</v>
      </c>
      <c r="O173" s="44" t="str">
        <f aca="false">INDEX(samples!$B:$B, MATCH(B173, samples!$A:$A, 0), 1)</f>
        <v>par0081</v>
      </c>
      <c r="P173" s="44" t="str">
        <f aca="false">INDEX(participants!$I:$I, MATCH(O173, participants!$A:$A, 0), 1)</f>
        <v>nf564</v>
      </c>
      <c r="Q173" s="44" t="n">
        <f aca="false">INDEX(samples!$F:$F, MATCH(B173, samples!$A:$A, 0), 1)</f>
        <v>0</v>
      </c>
      <c r="R173" s="49" t="str">
        <f aca="false">INDEX(samples!$C:$C, MATCH(B173, samples!$A:$A, 0), 1)</f>
        <v>2019-04-17</v>
      </c>
      <c r="S173" s="50" t="str">
        <f aca="false">INDEX(samples!$D:$D,MATCH(B173, samples!$A:$A,0),1)</f>
        <v>blood</v>
      </c>
      <c r="T173" s="51" t="s">
        <v>427</v>
      </c>
      <c r="V173" s="33" t="s">
        <v>427</v>
      </c>
      <c r="X173" s="8"/>
      <c r="Y173" s="8" t="s">
        <v>3150</v>
      </c>
      <c r="Z173" s="8" t="n">
        <v>0</v>
      </c>
      <c r="AA173" s="8" t="n">
        <v>0</v>
      </c>
      <c r="AB173" s="8" t="n">
        <v>0</v>
      </c>
    </row>
    <row r="174" customFormat="false" ht="13.8" hidden="false" customHeight="false" outlineLevel="0" collapsed="false">
      <c r="A174" s="48" t="s">
        <v>3328</v>
      </c>
      <c r="B174" s="41" t="s">
        <v>1954</v>
      </c>
      <c r="C174" s="0" t="s">
        <v>3147</v>
      </c>
      <c r="D174" s="0" t="s">
        <v>3271</v>
      </c>
      <c r="H174" s="0" t="s">
        <v>3272</v>
      </c>
      <c r="I174" s="0" t="s">
        <v>1002</v>
      </c>
      <c r="J174" s="0" t="s">
        <v>427</v>
      </c>
      <c r="K174" s="0" t="s">
        <v>427</v>
      </c>
      <c r="M174" s="44" t="str">
        <f aca="false">INDEX(fastqs!$A:$A, MATCH(A174, fastqs!$B:$B, 0), 1)</f>
        <v>new_HiSeq42_Undetermined_R6000281_L008_R1_001_GCTA.fastq.gz</v>
      </c>
      <c r="N174" s="44" t="str">
        <f aca="false">INDEX(fastqs!$C:$C, MATCH(A174, fastqs!$B:$B, 0), 1)</f>
        <v>GET</v>
      </c>
      <c r="O174" s="44" t="str">
        <f aca="false">INDEX(samples!$B:$B, MATCH(B174, samples!$A:$A, 0), 1)</f>
        <v>par0106</v>
      </c>
      <c r="P174" s="44" t="e">
        <f aca="false">INDEX(participants!$I:$I, MATCH(O174, participants!$A:$A, 0), 1)</f>
        <v>#N/A</v>
      </c>
      <c r="Q174" s="44" t="n">
        <f aca="false">INDEX(samples!$F:$F, MATCH(B174, samples!$A:$A, 0), 1)</f>
        <v>0</v>
      </c>
      <c r="R174" s="49" t="str">
        <f aca="false">INDEX(samples!$C:$C, MATCH(B174, samples!$A:$A, 0), 1)</f>
        <v>2019-11-21</v>
      </c>
      <c r="S174" s="50" t="str">
        <f aca="false">INDEX(samples!$D:$D,MATCH(B174, samples!$A:$A,0),1)</f>
        <v>blood</v>
      </c>
      <c r="T174" s="51" t="s">
        <v>427</v>
      </c>
      <c r="V174" s="33" t="s">
        <v>427</v>
      </c>
      <c r="X174" s="8"/>
      <c r="Y174" s="8" t="s">
        <v>3150</v>
      </c>
      <c r="Z174" s="8" t="n">
        <v>0</v>
      </c>
      <c r="AA174" s="8" t="n">
        <v>0</v>
      </c>
      <c r="AB174" s="8" t="n">
        <v>0</v>
      </c>
    </row>
    <row r="175" customFormat="false" ht="13.8" hidden="false" customHeight="false" outlineLevel="0" collapsed="false">
      <c r="A175" s="48" t="s">
        <v>3329</v>
      </c>
      <c r="B175" s="41" t="s">
        <v>1734</v>
      </c>
      <c r="C175" s="0" t="s">
        <v>3147</v>
      </c>
      <c r="D175" s="0" t="s">
        <v>3271</v>
      </c>
      <c r="H175" s="0" t="s">
        <v>3272</v>
      </c>
      <c r="I175" s="0" t="s">
        <v>1002</v>
      </c>
      <c r="J175" s="0" t="s">
        <v>427</v>
      </c>
      <c r="K175" s="0" t="s">
        <v>427</v>
      </c>
      <c r="M175" s="44" t="str">
        <f aca="false">INDEX(fastqs!$A:$A, MATCH(A175, fastqs!$B:$B, 0), 1)</f>
        <v>new_HiSeqW31_Undetermined_R6000232_L005_R1_001_GCTA.fastq.gz</v>
      </c>
      <c r="N175" s="44" t="str">
        <f aca="false">INDEX(fastqs!$C:$C, MATCH(A175, fastqs!$B:$B, 0), 1)</f>
        <v>GET</v>
      </c>
      <c r="O175" s="44" t="str">
        <f aca="false">INDEX(samples!$B:$B, MATCH(B175, samples!$A:$A, 0), 1)</f>
        <v>par0071</v>
      </c>
      <c r="P175" s="44" t="n">
        <f aca="false">INDEX(participants!$I:$I, MATCH(O175, participants!$A:$A, 0), 1)</f>
        <v>86</v>
      </c>
      <c r="Q175" s="44" t="n">
        <f aca="false">INDEX(samples!$F:$F, MATCH(B175, samples!$A:$A, 0), 1)</f>
        <v>0</v>
      </c>
      <c r="R175" s="49" t="str">
        <f aca="false">INDEX(samples!$C:$C, MATCH(B175, samples!$A:$A, 0), 1)</f>
        <v>2019-06-28</v>
      </c>
      <c r="S175" s="50" t="str">
        <f aca="false">INDEX(samples!$D:$D,MATCH(B175, samples!$A:$A,0),1)</f>
        <v>blood</v>
      </c>
      <c r="T175" s="51" t="s">
        <v>427</v>
      </c>
      <c r="V175" s="33" t="s">
        <v>427</v>
      </c>
      <c r="X175" s="8"/>
      <c r="Y175" s="8" t="s">
        <v>3150</v>
      </c>
      <c r="Z175" s="8" t="n">
        <v>0</v>
      </c>
      <c r="AA175" s="8" t="n">
        <v>0</v>
      </c>
      <c r="AB175" s="8" t="n">
        <v>0</v>
      </c>
    </row>
    <row r="176" customFormat="false" ht="13.8" hidden="false" customHeight="false" outlineLevel="0" collapsed="false">
      <c r="A176" s="48" t="s">
        <v>3330</v>
      </c>
      <c r="B176" s="41" t="s">
        <v>1875</v>
      </c>
      <c r="C176" s="0" t="s">
        <v>3147</v>
      </c>
      <c r="D176" s="0" t="s">
        <v>3271</v>
      </c>
      <c r="H176" s="0" t="s">
        <v>3272</v>
      </c>
      <c r="I176" s="0" t="s">
        <v>1002</v>
      </c>
      <c r="J176" s="0" t="s">
        <v>427</v>
      </c>
      <c r="K176" s="0" t="s">
        <v>427</v>
      </c>
      <c r="M176" s="44" t="str">
        <f aca="false">INDEX(fastqs!$A:$A, MATCH(A176, fastqs!$B:$B, 0), 1)</f>
        <v>new_HiSeqW36_Undetermined_R6000244_L008_R1_001_AGGT.fastq.gz</v>
      </c>
      <c r="N176" s="44" t="str">
        <f aca="false">INDEX(fastqs!$C:$C, MATCH(A176, fastqs!$B:$B, 0), 1)</f>
        <v>GET</v>
      </c>
      <c r="O176" s="44" t="str">
        <f aca="false">INDEX(samples!$B:$B, MATCH(B176, samples!$A:$A, 0), 1)</f>
        <v>par0091</v>
      </c>
      <c r="P176" s="44" t="str">
        <f aca="false">INDEX(participants!$I:$I, MATCH(O176, participants!$A:$A, 0), 1)</f>
        <v>nf514</v>
      </c>
      <c r="Q176" s="44" t="n">
        <f aca="false">INDEX(samples!$F:$F, MATCH(B176, samples!$A:$A, 0), 1)</f>
        <v>0</v>
      </c>
      <c r="R176" s="49" t="str">
        <f aca="false">INDEX(samples!$C:$C, MATCH(B176, samples!$A:$A, 0), 1)</f>
        <v>2019-09-10</v>
      </c>
      <c r="S176" s="50" t="str">
        <f aca="false">INDEX(samples!$D:$D,MATCH(B176, samples!$A:$A,0),1)</f>
        <v>blood</v>
      </c>
      <c r="T176" s="51" t="s">
        <v>427</v>
      </c>
      <c r="V176" s="33" t="s">
        <v>427</v>
      </c>
      <c r="X176" s="8"/>
      <c r="Y176" s="8" t="s">
        <v>3150</v>
      </c>
      <c r="Z176" s="8" t="n">
        <v>0</v>
      </c>
      <c r="AA176" s="8" t="n">
        <v>0</v>
      </c>
      <c r="AB176" s="8" t="n">
        <v>0</v>
      </c>
    </row>
    <row r="177" customFormat="false" ht="13.8" hidden="false" customHeight="false" outlineLevel="0" collapsed="false">
      <c r="A177" s="48" t="s">
        <v>3331</v>
      </c>
      <c r="B177" s="41" t="s">
        <v>1894</v>
      </c>
      <c r="C177" s="0" t="s">
        <v>3147</v>
      </c>
      <c r="D177" s="0" t="s">
        <v>3271</v>
      </c>
      <c r="H177" s="0" t="s">
        <v>3272</v>
      </c>
      <c r="I177" s="0" t="s">
        <v>1002</v>
      </c>
      <c r="J177" s="0" t="s">
        <v>427</v>
      </c>
      <c r="K177" s="0" t="s">
        <v>427</v>
      </c>
      <c r="M177" s="44" t="str">
        <f aca="false">INDEX(fastqs!$A:$A, MATCH(A177, fastqs!$B:$B, 0), 1)</f>
        <v>new_HiSeq39_Undetermined_R6000281_L005_R1_001_CGAT.fastq.gz</v>
      </c>
      <c r="N177" s="44" t="str">
        <f aca="false">INDEX(fastqs!$C:$C, MATCH(A177, fastqs!$B:$B, 0), 1)</f>
        <v>GET</v>
      </c>
      <c r="O177" s="44" t="str">
        <f aca="false">INDEX(samples!$B:$B, MATCH(B177, samples!$A:$A, 0), 1)</f>
        <v>par0080</v>
      </c>
      <c r="P177" s="44" t="str">
        <f aca="false">INDEX(participants!$I:$I, MATCH(O177, participants!$A:$A, 0), 1)</f>
        <v>nf561</v>
      </c>
      <c r="Q177" s="44" t="n">
        <f aca="false">INDEX(samples!$F:$F, MATCH(B177, samples!$A:$A, 0), 1)</f>
        <v>0</v>
      </c>
      <c r="R177" s="49" t="str">
        <f aca="false">INDEX(samples!$C:$C, MATCH(B177, samples!$A:$A, 0), 1)</f>
        <v>2019-10-04</v>
      </c>
      <c r="S177" s="50" t="str">
        <f aca="false">INDEX(samples!$D:$D,MATCH(B177, samples!$A:$A,0),1)</f>
        <v>blood</v>
      </c>
      <c r="T177" s="51" t="s">
        <v>427</v>
      </c>
      <c r="V177" s="33" t="s">
        <v>427</v>
      </c>
      <c r="X177" s="8"/>
      <c r="Y177" s="8" t="s">
        <v>3150</v>
      </c>
      <c r="Z177" s="8" t="n">
        <v>0</v>
      </c>
      <c r="AA177" s="8" t="n">
        <v>0</v>
      </c>
      <c r="AB177" s="8" t="n">
        <v>0</v>
      </c>
    </row>
    <row r="178" customFormat="false" ht="13.8" hidden="false" customHeight="false" outlineLevel="0" collapsed="false">
      <c r="A178" s="48" t="s">
        <v>3332</v>
      </c>
      <c r="B178" s="41" t="s">
        <v>1891</v>
      </c>
      <c r="C178" s="0" t="s">
        <v>3147</v>
      </c>
      <c r="D178" s="0" t="s">
        <v>3271</v>
      </c>
      <c r="H178" s="0" t="s">
        <v>3272</v>
      </c>
      <c r="I178" s="0" t="s">
        <v>1002</v>
      </c>
      <c r="J178" s="0" t="s">
        <v>427</v>
      </c>
      <c r="K178" s="0" t="s">
        <v>427</v>
      </c>
      <c r="M178" s="44" t="str">
        <f aca="false">INDEX(fastqs!$A:$A, MATCH(A178, fastqs!$B:$B, 0), 1)</f>
        <v>new_HiSeq39_Undetermined_R6000281_L005_R1_001_ACAC.fastq.gz</v>
      </c>
      <c r="N178" s="44" t="str">
        <f aca="false">INDEX(fastqs!$C:$C, MATCH(A178, fastqs!$B:$B, 0), 1)</f>
        <v>GET</v>
      </c>
      <c r="O178" s="44" t="str">
        <f aca="false">INDEX(samples!$B:$B, MATCH(B178, samples!$A:$A, 0), 1)</f>
        <v>par0080</v>
      </c>
      <c r="P178" s="44" t="str">
        <f aca="false">INDEX(participants!$I:$I, MATCH(O178, participants!$A:$A, 0), 1)</f>
        <v>nf561</v>
      </c>
      <c r="Q178" s="44" t="n">
        <f aca="false">INDEX(samples!$F:$F, MATCH(B178, samples!$A:$A, 0), 1)</f>
        <v>0</v>
      </c>
      <c r="R178" s="49" t="str">
        <f aca="false">INDEX(samples!$C:$C, MATCH(B178, samples!$A:$A, 0), 1)</f>
        <v>2019-07-25</v>
      </c>
      <c r="S178" s="50" t="str">
        <f aca="false">INDEX(samples!$D:$D,MATCH(B178, samples!$A:$A,0),1)</f>
        <v>blood</v>
      </c>
      <c r="T178" s="51" t="s">
        <v>427</v>
      </c>
      <c r="V178" s="33" t="s">
        <v>427</v>
      </c>
      <c r="X178" s="8"/>
      <c r="Y178" s="8" t="s">
        <v>3150</v>
      </c>
      <c r="Z178" s="8" t="n">
        <v>0</v>
      </c>
      <c r="AA178" s="8" t="n">
        <v>0</v>
      </c>
      <c r="AB178" s="8" t="n">
        <v>0</v>
      </c>
    </row>
    <row r="179" customFormat="false" ht="13.8" hidden="false" customHeight="false" outlineLevel="0" collapsed="false">
      <c r="A179" s="48" t="s">
        <v>3333</v>
      </c>
      <c r="B179" s="41" t="s">
        <v>1964</v>
      </c>
      <c r="C179" s="0" t="s">
        <v>3147</v>
      </c>
      <c r="D179" s="0" t="s">
        <v>3271</v>
      </c>
      <c r="H179" s="0" t="s">
        <v>3272</v>
      </c>
      <c r="I179" s="0" t="s">
        <v>1002</v>
      </c>
      <c r="J179" s="0" t="s">
        <v>427</v>
      </c>
      <c r="K179" s="0" t="s">
        <v>427</v>
      </c>
      <c r="M179" s="44" t="str">
        <f aca="false">INDEX(fastqs!$A:$A, MATCH(A179, fastqs!$B:$B, 0), 1)</f>
        <v>new_HiSeq-W47_Undetermined_R6000324_L007_R1_001_TGTG.fastq.gz</v>
      </c>
      <c r="N179" s="44" t="str">
        <f aca="false">INDEX(fastqs!$C:$C, MATCH(A179, fastqs!$B:$B, 0), 1)</f>
        <v>GET</v>
      </c>
      <c r="O179" s="44" t="str">
        <f aca="false">INDEX(samples!$B:$B, MATCH(B179, samples!$A:$A, 0), 1)</f>
        <v>par0108</v>
      </c>
      <c r="P179" s="44" t="e">
        <f aca="false">INDEX(participants!$I:$I, MATCH(O179, participants!$A:$A, 0), 1)</f>
        <v>#N/A</v>
      </c>
      <c r="Q179" s="44" t="n">
        <f aca="false">INDEX(samples!$F:$F, MATCH(B179, samples!$A:$A, 0), 1)</f>
        <v>0</v>
      </c>
      <c r="R179" s="49" t="str">
        <f aca="false">INDEX(samples!$C:$C, MATCH(B179, samples!$A:$A, 0), 1)</f>
        <v>2019-12-31</v>
      </c>
      <c r="S179" s="50" t="str">
        <f aca="false">INDEX(samples!$D:$D,MATCH(B179, samples!$A:$A,0),1)</f>
        <v>blood</v>
      </c>
      <c r="T179" s="51" t="s">
        <v>427</v>
      </c>
      <c r="V179" s="33" t="s">
        <v>427</v>
      </c>
      <c r="X179" s="8"/>
      <c r="Y179" s="8" t="s">
        <v>3150</v>
      </c>
      <c r="Z179" s="8" t="n">
        <v>0</v>
      </c>
      <c r="AA179" s="8" t="n">
        <v>0</v>
      </c>
      <c r="AB179" s="8" t="n">
        <v>0</v>
      </c>
    </row>
    <row r="180" customFormat="false" ht="13.8" hidden="false" customHeight="false" outlineLevel="0" collapsed="false">
      <c r="A180" s="48" t="s">
        <v>3334</v>
      </c>
      <c r="B180" s="41" t="s">
        <v>1978</v>
      </c>
      <c r="C180" s="0" t="s">
        <v>3147</v>
      </c>
      <c r="D180" s="0" t="s">
        <v>3271</v>
      </c>
      <c r="H180" s="0" t="s">
        <v>3272</v>
      </c>
      <c r="I180" s="0" t="s">
        <v>1002</v>
      </c>
      <c r="J180" s="0" t="s">
        <v>427</v>
      </c>
      <c r="K180" s="0" t="s">
        <v>427</v>
      </c>
      <c r="M180" s="44" t="str">
        <f aca="false">INDEX(fastqs!$A:$A, MATCH(A180, fastqs!$B:$B, 0), 1)</f>
        <v>new_HiSeqW54_Undetermined_R6000373_L007_R1_GCTA.fastq.gz</v>
      </c>
      <c r="N180" s="44" t="str">
        <f aca="false">INDEX(fastqs!$C:$C, MATCH(A180, fastqs!$B:$B, 0), 1)</f>
        <v>GET</v>
      </c>
      <c r="O180" s="44" t="str">
        <f aca="false">INDEX(samples!$B:$B, MATCH(B180, samples!$A:$A, 0), 1)</f>
        <v>par0133</v>
      </c>
      <c r="P180" s="44" t="e">
        <f aca="false">INDEX(participants!$I:$I, MATCH(O180, participants!$A:$A, 0), 1)</f>
        <v>#N/A</v>
      </c>
      <c r="Q180" s="44" t="n">
        <f aca="false">INDEX(samples!$F:$F, MATCH(B180, samples!$A:$A, 0), 1)</f>
        <v>0</v>
      </c>
      <c r="R180" s="49" t="str">
        <f aca="false">INDEX(samples!$C:$C, MATCH(B180, samples!$A:$A, 0), 1)</f>
        <v>2020-02-20</v>
      </c>
      <c r="S180" s="50" t="str">
        <f aca="false">INDEX(samples!$D:$D,MATCH(B180, samples!$A:$A,0),1)</f>
        <v>blood</v>
      </c>
      <c r="T180" s="51" t="s">
        <v>427</v>
      </c>
      <c r="V180" s="33" t="s">
        <v>427</v>
      </c>
      <c r="X180" s="8"/>
      <c r="Y180" s="8" t="s">
        <v>3150</v>
      </c>
      <c r="Z180" s="8" t="n">
        <v>0</v>
      </c>
      <c r="AA180" s="8" t="n">
        <v>0</v>
      </c>
      <c r="AB180" s="8" t="n">
        <v>0</v>
      </c>
    </row>
    <row r="181" customFormat="false" ht="13.8" hidden="false" customHeight="false" outlineLevel="0" collapsed="false">
      <c r="A181" s="48" t="s">
        <v>3335</v>
      </c>
      <c r="B181" s="41" t="s">
        <v>1908</v>
      </c>
      <c r="C181" s="0" t="s">
        <v>3147</v>
      </c>
      <c r="D181" s="0" t="s">
        <v>3271</v>
      </c>
      <c r="H181" s="0" t="s">
        <v>3272</v>
      </c>
      <c r="I181" s="0" t="s">
        <v>1002</v>
      </c>
      <c r="J181" s="0" t="s">
        <v>427</v>
      </c>
      <c r="K181" s="0" t="s">
        <v>427</v>
      </c>
      <c r="M181" s="44" t="str">
        <f aca="false">INDEX(fastqs!$A:$A, MATCH(A181, fastqs!$B:$B, 0), 1)</f>
        <v>new_HiSeq41_Undetermined_R6000281_L007_R1_001_CTTC.fastq.gz</v>
      </c>
      <c r="N181" s="44" t="str">
        <f aca="false">INDEX(fastqs!$C:$C, MATCH(A181, fastqs!$B:$B, 0), 1)</f>
        <v>GET</v>
      </c>
      <c r="O181" s="44" t="str">
        <f aca="false">INDEX(samples!$B:$B, MATCH(B181, samples!$A:$A, 0), 1)</f>
        <v>par0081</v>
      </c>
      <c r="P181" s="44" t="str">
        <f aca="false">INDEX(participants!$I:$I, MATCH(O181, participants!$A:$A, 0), 1)</f>
        <v>nf564</v>
      </c>
      <c r="Q181" s="44" t="n">
        <f aca="false">INDEX(samples!$F:$F, MATCH(B181, samples!$A:$A, 0), 1)</f>
        <v>0</v>
      </c>
      <c r="R181" s="49" t="str">
        <f aca="false">INDEX(samples!$C:$C, MATCH(B181, samples!$A:$A, 0), 1)</f>
        <v>2019-08-06</v>
      </c>
      <c r="S181" s="50" t="str">
        <f aca="false">INDEX(samples!$D:$D,MATCH(B181, samples!$A:$A,0),1)</f>
        <v>blood</v>
      </c>
      <c r="T181" s="51" t="s">
        <v>427</v>
      </c>
      <c r="V181" s="33" t="s">
        <v>427</v>
      </c>
      <c r="X181" s="8"/>
      <c r="Y181" s="8" t="s">
        <v>3150</v>
      </c>
      <c r="Z181" s="8" t="n">
        <v>0</v>
      </c>
      <c r="AA181" s="8" t="n">
        <v>0</v>
      </c>
      <c r="AB181" s="8" t="n">
        <v>0</v>
      </c>
    </row>
    <row r="182" customFormat="false" ht="13.8" hidden="false" customHeight="false" outlineLevel="0" collapsed="false">
      <c r="A182" s="48" t="s">
        <v>3336</v>
      </c>
      <c r="B182" s="41" t="s">
        <v>1887</v>
      </c>
      <c r="C182" s="0" t="s">
        <v>3147</v>
      </c>
      <c r="D182" s="0" t="s">
        <v>3271</v>
      </c>
      <c r="H182" s="0" t="s">
        <v>3272</v>
      </c>
      <c r="I182" s="0" t="s">
        <v>1002</v>
      </c>
      <c r="J182" s="0" t="s">
        <v>427</v>
      </c>
      <c r="K182" s="0" t="s">
        <v>427</v>
      </c>
      <c r="M182" s="44" t="str">
        <f aca="false">INDEX(fastqs!$A:$A, MATCH(A182, fastqs!$B:$B, 0), 1)</f>
        <v>new_HiSeqW34_Undetermined_R6000244_L006_R1_001_GTGT.fastq.gz</v>
      </c>
      <c r="N182" s="44" t="str">
        <f aca="false">INDEX(fastqs!$C:$C, MATCH(A182, fastqs!$B:$B, 0), 1)</f>
        <v>GET</v>
      </c>
      <c r="O182" s="44" t="str">
        <f aca="false">INDEX(samples!$B:$B, MATCH(B182, samples!$A:$A, 0), 1)</f>
        <v>par0080</v>
      </c>
      <c r="P182" s="44" t="str">
        <f aca="false">INDEX(participants!$I:$I, MATCH(O182, participants!$A:$A, 0), 1)</f>
        <v>nf561</v>
      </c>
      <c r="Q182" s="44" t="n">
        <f aca="false">INDEX(samples!$F:$F, MATCH(B182, samples!$A:$A, 0), 1)</f>
        <v>0</v>
      </c>
      <c r="R182" s="49" t="str">
        <f aca="false">INDEX(samples!$C:$C, MATCH(B182, samples!$A:$A, 0), 1)</f>
        <v>2019-04-02</v>
      </c>
      <c r="S182" s="50" t="str">
        <f aca="false">INDEX(samples!$D:$D,MATCH(B182, samples!$A:$A,0),1)</f>
        <v>blood</v>
      </c>
      <c r="T182" s="51" t="s">
        <v>427</v>
      </c>
      <c r="V182" s="33" t="s">
        <v>427</v>
      </c>
      <c r="X182" s="8"/>
      <c r="Y182" s="8" t="s">
        <v>3150</v>
      </c>
      <c r="Z182" s="8" t="n">
        <v>0</v>
      </c>
      <c r="AA182" s="8" t="n">
        <v>0</v>
      </c>
      <c r="AB182" s="8" t="n">
        <v>0</v>
      </c>
    </row>
    <row r="183" customFormat="false" ht="13.8" hidden="false" customHeight="false" outlineLevel="0" collapsed="false">
      <c r="A183" s="48" t="s">
        <v>3337</v>
      </c>
      <c r="B183" s="41" t="s">
        <v>1925</v>
      </c>
      <c r="C183" s="0" t="s">
        <v>3147</v>
      </c>
      <c r="D183" s="0" t="s">
        <v>3271</v>
      </c>
      <c r="H183" s="0" t="s">
        <v>3272</v>
      </c>
      <c r="I183" s="0" t="s">
        <v>1002</v>
      </c>
      <c r="J183" s="0" t="s">
        <v>427</v>
      </c>
      <c r="K183" s="0" t="s">
        <v>427</v>
      </c>
      <c r="M183" s="44" t="str">
        <f aca="false">INDEX(fastqs!$A:$A, MATCH(A183, fastqs!$B:$B, 0), 1)</f>
        <v>new_HiSeqW34_Undetermined_R6000244_L006_R1_001_TGTG.fastq.gz</v>
      </c>
      <c r="N183" s="44" t="str">
        <f aca="false">INDEX(fastqs!$C:$C, MATCH(A183, fastqs!$B:$B, 0), 1)</f>
        <v>GET</v>
      </c>
      <c r="O183" s="44" t="str">
        <f aca="false">INDEX(samples!$B:$B, MATCH(B183, samples!$A:$A, 0), 1)</f>
        <v>par0102</v>
      </c>
      <c r="P183" s="44" t="e">
        <f aca="false">INDEX(participants!$I:$I, MATCH(O183, participants!$A:$A, 0), 1)</f>
        <v>#N/A</v>
      </c>
      <c r="Q183" s="44" t="n">
        <f aca="false">INDEX(samples!$F:$F, MATCH(B183, samples!$A:$A, 0), 1)</f>
        <v>0</v>
      </c>
      <c r="R183" s="49" t="str">
        <f aca="false">INDEX(samples!$C:$C, MATCH(B183, samples!$A:$A, 0), 1)</f>
        <v>2019-09-12</v>
      </c>
      <c r="S183" s="50" t="str">
        <f aca="false">INDEX(samples!$D:$D,MATCH(B183, samples!$A:$A,0),1)</f>
        <v>blood</v>
      </c>
      <c r="T183" s="51" t="s">
        <v>427</v>
      </c>
      <c r="V183" s="33" t="s">
        <v>427</v>
      </c>
      <c r="X183" s="8"/>
      <c r="Y183" s="8" t="s">
        <v>3150</v>
      </c>
      <c r="Z183" s="8" t="n">
        <v>0</v>
      </c>
      <c r="AA183" s="8" t="n">
        <v>0</v>
      </c>
      <c r="AB183" s="8" t="n">
        <v>0</v>
      </c>
    </row>
    <row r="184" customFormat="false" ht="13.8" hidden="false" customHeight="false" outlineLevel="0" collapsed="false">
      <c r="A184" s="48" t="s">
        <v>3338</v>
      </c>
      <c r="B184" s="41" t="s">
        <v>1869</v>
      </c>
      <c r="C184" s="0" t="s">
        <v>3147</v>
      </c>
      <c r="D184" s="0" t="s">
        <v>3271</v>
      </c>
      <c r="H184" s="0" t="s">
        <v>3272</v>
      </c>
      <c r="I184" s="0" t="s">
        <v>1002</v>
      </c>
      <c r="J184" s="0" t="s">
        <v>427</v>
      </c>
      <c r="K184" s="0" t="s">
        <v>427</v>
      </c>
      <c r="M184" s="44" t="str">
        <f aca="false">INDEX(fastqs!$A:$A, MATCH(A184, fastqs!$B:$B, 0), 1)</f>
        <v>new_HiSeqW34_Undetermined_R6000244_L006_R1_001_ATCG.fastq.gz</v>
      </c>
      <c r="N184" s="44" t="str">
        <f aca="false">INDEX(fastqs!$C:$C, MATCH(A184, fastqs!$B:$B, 0), 1)</f>
        <v>GET</v>
      </c>
      <c r="O184" s="44" t="str">
        <f aca="false">INDEX(samples!$B:$B, MATCH(B184, samples!$A:$A, 0), 1)</f>
        <v>par0079</v>
      </c>
      <c r="P184" s="44" t="str">
        <f aca="false">INDEX(participants!$I:$I, MATCH(O184, participants!$A:$A, 0), 1)</f>
        <v>nf487</v>
      </c>
      <c r="Q184" s="44" t="n">
        <f aca="false">INDEX(samples!$F:$F, MATCH(B184, samples!$A:$A, 0), 1)</f>
        <v>0</v>
      </c>
      <c r="R184" s="49" t="str">
        <f aca="false">INDEX(samples!$C:$C, MATCH(B184, samples!$A:$A, 0), 1)</f>
        <v>2019-10-22</v>
      </c>
      <c r="S184" s="50" t="str">
        <f aca="false">INDEX(samples!$D:$D,MATCH(B184, samples!$A:$A,0),1)</f>
        <v>blood</v>
      </c>
      <c r="T184" s="51" t="s">
        <v>427</v>
      </c>
      <c r="V184" s="33" t="s">
        <v>427</v>
      </c>
      <c r="X184" s="8"/>
      <c r="Y184" s="8" t="s">
        <v>3150</v>
      </c>
      <c r="Z184" s="8" t="n">
        <v>0</v>
      </c>
      <c r="AA184" s="8" t="n">
        <v>0</v>
      </c>
      <c r="AB184" s="8" t="n">
        <v>0</v>
      </c>
    </row>
    <row r="185" customFormat="false" ht="13.8" hidden="false" customHeight="false" outlineLevel="0" collapsed="false">
      <c r="A185" s="48" t="s">
        <v>3339</v>
      </c>
      <c r="B185" s="41" t="s">
        <v>1889</v>
      </c>
      <c r="C185" s="0" t="s">
        <v>3147</v>
      </c>
      <c r="D185" s="0" t="s">
        <v>3271</v>
      </c>
      <c r="H185" s="0" t="s">
        <v>3272</v>
      </c>
      <c r="I185" s="0" t="s">
        <v>1002</v>
      </c>
      <c r="J185" s="0" t="s">
        <v>427</v>
      </c>
      <c r="K185" s="0" t="s">
        <v>427</v>
      </c>
      <c r="M185" s="44" t="str">
        <f aca="false">INDEX(fastqs!$A:$A, MATCH(A185, fastqs!$B:$B, 0), 1)</f>
        <v>new_HiSeq28_Undetermined_R6000204_L006_R1_001_GTGT.fastq.gz</v>
      </c>
      <c r="N185" s="44" t="str">
        <f aca="false">INDEX(fastqs!$C:$C, MATCH(A185, fastqs!$B:$B, 0), 1)</f>
        <v>GET</v>
      </c>
      <c r="O185" s="44" t="str">
        <f aca="false">INDEX(samples!$B:$B, MATCH(B185, samples!$A:$A, 0), 1)</f>
        <v>par0080</v>
      </c>
      <c r="P185" s="44" t="str">
        <f aca="false">INDEX(participants!$I:$I, MATCH(O185, participants!$A:$A, 0), 1)</f>
        <v>nf561</v>
      </c>
      <c r="Q185" s="44" t="n">
        <f aca="false">INDEX(samples!$F:$F, MATCH(B185, samples!$A:$A, 0), 1)</f>
        <v>0</v>
      </c>
      <c r="R185" s="49" t="str">
        <f aca="false">INDEX(samples!$C:$C, MATCH(B185, samples!$A:$A, 0), 1)</f>
        <v>2019-05-29</v>
      </c>
      <c r="S185" s="50" t="str">
        <f aca="false">INDEX(samples!$D:$D,MATCH(B185, samples!$A:$A,0),1)</f>
        <v>blood</v>
      </c>
      <c r="T185" s="51" t="s">
        <v>427</v>
      </c>
      <c r="V185" s="33" t="s">
        <v>427</v>
      </c>
      <c r="X185" s="8"/>
      <c r="Y185" s="8" t="s">
        <v>3150</v>
      </c>
      <c r="Z185" s="8" t="n">
        <v>0</v>
      </c>
      <c r="AA185" s="8" t="n">
        <v>0</v>
      </c>
      <c r="AB185" s="8" t="n">
        <v>0</v>
      </c>
    </row>
    <row r="186" customFormat="false" ht="13.8" hidden="false" customHeight="false" outlineLevel="0" collapsed="false">
      <c r="A186" s="48" t="s">
        <v>3340</v>
      </c>
      <c r="B186" s="41" t="s">
        <v>2003</v>
      </c>
      <c r="C186" s="0" t="s">
        <v>3215</v>
      </c>
      <c r="D186" s="0" t="s">
        <v>3271</v>
      </c>
      <c r="H186" s="0" t="s">
        <v>3272</v>
      </c>
      <c r="I186" s="0" t="s">
        <v>1002</v>
      </c>
      <c r="J186" s="0" t="s">
        <v>427</v>
      </c>
      <c r="K186" s="0" t="s">
        <v>427</v>
      </c>
      <c r="M186" s="44" t="str">
        <f aca="false">INDEX(fastqs!$A:$A, MATCH(A186, fastqs!$B:$B, 0), 1)</f>
        <v>new_HiSeq-W45_Undetermined_R6000324_L005_R1_001_TAGC.fastq.gz</v>
      </c>
      <c r="N186" s="44" t="str">
        <f aca="false">INDEX(fastqs!$C:$C, MATCH(A186, fastqs!$B:$B, 0), 1)</f>
        <v>GET</v>
      </c>
      <c r="O186" s="44" t="str">
        <f aca="false">INDEX(samples!$B:$B, MATCH(B186, samples!$A:$A, 0), 1)</f>
        <v>par0104</v>
      </c>
      <c r="P186" s="44" t="e">
        <f aca="false">INDEX(participants!$I:$I, MATCH(O186, participants!$A:$A, 0), 1)</f>
        <v>#N/A</v>
      </c>
      <c r="Q186" s="44" t="n">
        <f aca="false">INDEX(samples!$F:$F, MATCH(B186, samples!$A:$A, 0), 1)</f>
        <v>0</v>
      </c>
      <c r="R186" s="49" t="str">
        <f aca="false">INDEX(samples!$C:$C, MATCH(B186, samples!$A:$A, 0), 1)</f>
        <v>GET</v>
      </c>
      <c r="S186" s="50" t="str">
        <f aca="false">INDEX(samples!$D:$D,MATCH(B186, samples!$A:$A,0),1)</f>
        <v>blood</v>
      </c>
      <c r="T186" s="51"/>
      <c r="V186" s="33" t="s">
        <v>427</v>
      </c>
      <c r="X186" s="8"/>
      <c r="Y186" s="8" t="s">
        <v>3150</v>
      </c>
      <c r="Z186" s="8" t="n">
        <v>0</v>
      </c>
      <c r="AA186" s="8" t="n">
        <v>0</v>
      </c>
      <c r="AB186" s="8" t="n">
        <v>0</v>
      </c>
    </row>
    <row r="187" customFormat="false" ht="13.8" hidden="false" customHeight="false" outlineLevel="0" collapsed="false">
      <c r="A187" s="48" t="s">
        <v>3341</v>
      </c>
      <c r="B187" s="41" t="s">
        <v>2004</v>
      </c>
      <c r="C187" s="0" t="s">
        <v>3215</v>
      </c>
      <c r="D187" s="0" t="s">
        <v>3271</v>
      </c>
      <c r="H187" s="0" t="s">
        <v>3272</v>
      </c>
      <c r="I187" s="0" t="s">
        <v>1002</v>
      </c>
      <c r="J187" s="0" t="s">
        <v>427</v>
      </c>
      <c r="K187" s="0" t="s">
        <v>427</v>
      </c>
      <c r="M187" s="44" t="str">
        <f aca="false">INDEX(fastqs!$A:$A, MATCH(A187, fastqs!$B:$B, 0), 1)</f>
        <v>new_HiSeq-W45_Undetermined_R6000324_L005_R1_001_GAAG.fastq.gz</v>
      </c>
      <c r="N187" s="44" t="str">
        <f aca="false">INDEX(fastqs!$C:$C, MATCH(A187, fastqs!$B:$B, 0), 1)</f>
        <v>GET</v>
      </c>
      <c r="O187" s="44" t="str">
        <f aca="false">INDEX(samples!$B:$B, MATCH(B187, samples!$A:$A, 0), 1)</f>
        <v>par0084</v>
      </c>
      <c r="P187" s="44" t="str">
        <f aca="false">INDEX(participants!$I:$I, MATCH(O187, participants!$A:$A, 0), 1)</f>
        <v>nf585</v>
      </c>
      <c r="Q187" s="44" t="n">
        <f aca="false">INDEX(samples!$F:$F, MATCH(B187, samples!$A:$A, 0), 1)</f>
        <v>0</v>
      </c>
      <c r="R187" s="49" t="str">
        <f aca="false">INDEX(samples!$C:$C, MATCH(B187, samples!$A:$A, 0), 1)</f>
        <v>GET</v>
      </c>
      <c r="S187" s="50" t="str">
        <f aca="false">INDEX(samples!$D:$D,MATCH(B187, samples!$A:$A,0),1)</f>
        <v>blood</v>
      </c>
      <c r="T187" s="51"/>
      <c r="V187" s="33" t="s">
        <v>427</v>
      </c>
      <c r="X187" s="8"/>
      <c r="Y187" s="8" t="s">
        <v>3150</v>
      </c>
      <c r="Z187" s="8" t="n">
        <v>0</v>
      </c>
      <c r="AA187" s="8" t="n">
        <v>0</v>
      </c>
      <c r="AB187" s="8" t="n">
        <v>0</v>
      </c>
    </row>
    <row r="188" customFormat="false" ht="13.8" hidden="false" customHeight="false" outlineLevel="0" collapsed="false">
      <c r="A188" s="48" t="s">
        <v>3342</v>
      </c>
      <c r="B188" s="41" t="s">
        <v>2005</v>
      </c>
      <c r="C188" s="0" t="s">
        <v>3215</v>
      </c>
      <c r="D188" s="0" t="s">
        <v>3271</v>
      </c>
      <c r="H188" s="0" t="s">
        <v>3272</v>
      </c>
      <c r="I188" s="0" t="s">
        <v>1002</v>
      </c>
      <c r="J188" s="0" t="s">
        <v>427</v>
      </c>
      <c r="K188" s="0" t="s">
        <v>427</v>
      </c>
      <c r="M188" s="44" t="str">
        <f aca="false">INDEX(fastqs!$A:$A, MATCH(A188, fastqs!$B:$B, 0), 1)</f>
        <v>new_HiSeq-W45_Undetermined_R6000324_L005_R1_001_ATCG.fastq.gz</v>
      </c>
      <c r="N188" s="44" t="str">
        <f aca="false">INDEX(fastqs!$C:$C, MATCH(A188, fastqs!$B:$B, 0), 1)</f>
        <v>GET</v>
      </c>
      <c r="O188" s="44" t="str">
        <f aca="false">INDEX(samples!$B:$B, MATCH(B188, samples!$A:$A, 0), 1)</f>
        <v>par0082</v>
      </c>
      <c r="P188" s="44" t="str">
        <f aca="false">INDEX(participants!$I:$I, MATCH(O188, participants!$A:$A, 0), 1)</f>
        <v>nf570</v>
      </c>
      <c r="Q188" s="44" t="n">
        <f aca="false">INDEX(samples!$F:$F, MATCH(B188, samples!$A:$A, 0), 1)</f>
        <v>0</v>
      </c>
      <c r="R188" s="49" t="str">
        <f aca="false">INDEX(samples!$C:$C, MATCH(B188, samples!$A:$A, 0), 1)</f>
        <v>GET</v>
      </c>
      <c r="S188" s="50" t="str">
        <f aca="false">INDEX(samples!$D:$D,MATCH(B188, samples!$A:$A,0),1)</f>
        <v>blood</v>
      </c>
      <c r="T188" s="51"/>
      <c r="V188" s="33" t="s">
        <v>427</v>
      </c>
      <c r="X188" s="8"/>
      <c r="Y188" s="8" t="s">
        <v>3150</v>
      </c>
      <c r="Z188" s="8" t="n">
        <v>0</v>
      </c>
      <c r="AA188" s="8" t="n">
        <v>0</v>
      </c>
      <c r="AB188" s="8" t="n">
        <v>0</v>
      </c>
    </row>
    <row r="189" customFormat="false" ht="13.8" hidden="false" customHeight="false" outlineLevel="0" collapsed="false">
      <c r="A189" s="48" t="s">
        <v>3343</v>
      </c>
      <c r="B189" s="41" t="s">
        <v>2114</v>
      </c>
      <c r="C189" s="0" t="s">
        <v>3147</v>
      </c>
      <c r="D189" s="0" t="s">
        <v>3271</v>
      </c>
      <c r="H189" s="0" t="s">
        <v>3272</v>
      </c>
      <c r="I189" s="0" t="s">
        <v>1002</v>
      </c>
      <c r="J189" s="0" t="s">
        <v>427</v>
      </c>
      <c r="K189" s="0" t="s">
        <v>427</v>
      </c>
      <c r="M189" s="44" t="str">
        <f aca="false">INDEX(fastqs!$A:$A, MATCH(A189, fastqs!$B:$B, 0), 1)</f>
        <v>new_HiSeq38_Undetermined_R6000281_L004_R1_001_TAGC.fastq.gz</v>
      </c>
      <c r="N189" s="44" t="str">
        <f aca="false">INDEX(fastqs!$C:$C, MATCH(A189, fastqs!$B:$B, 0), 1)</f>
        <v>GET</v>
      </c>
      <c r="O189" s="44" t="str">
        <f aca="false">INDEX(samples!$B:$B, MATCH(B189, samples!$A:$A, 0), 1)</f>
        <v>par0079</v>
      </c>
      <c r="P189" s="44" t="str">
        <f aca="false">INDEX(participants!$I:$I, MATCH(O189, participants!$A:$A, 0), 1)</f>
        <v>nf487</v>
      </c>
      <c r="Q189" s="44" t="n">
        <f aca="false">INDEX(samples!$F:$F, MATCH(B189, samples!$A:$A, 0), 1)</f>
        <v>0</v>
      </c>
      <c r="R189" s="49" t="str">
        <f aca="false">INDEX(samples!$C:$C, MATCH(B189, samples!$A:$A, 0), 1)</f>
        <v>2019-06-25</v>
      </c>
      <c r="S189" s="50" t="str">
        <f aca="false">INDEX(samples!$D:$D,MATCH(B189, samples!$A:$A,0),1)</f>
        <v>blood</v>
      </c>
      <c r="T189" s="51" t="s">
        <v>427</v>
      </c>
      <c r="V189" s="33" t="s">
        <v>427</v>
      </c>
      <c r="X189" s="8"/>
      <c r="Y189" s="8" t="s">
        <v>3150</v>
      </c>
      <c r="Z189" s="8" t="n">
        <v>0</v>
      </c>
      <c r="AA189" s="8" t="n">
        <v>0</v>
      </c>
      <c r="AB189" s="8" t="n">
        <v>0</v>
      </c>
    </row>
    <row r="190" customFormat="false" ht="13.8" hidden="false" customHeight="false" outlineLevel="0" collapsed="false">
      <c r="A190" s="48" t="s">
        <v>3344</v>
      </c>
      <c r="B190" s="41" t="s">
        <v>1940</v>
      </c>
      <c r="C190" s="0" t="s">
        <v>3147</v>
      </c>
      <c r="D190" s="0" t="s">
        <v>3271</v>
      </c>
      <c r="H190" s="0" t="s">
        <v>3272</v>
      </c>
      <c r="I190" s="0" t="s">
        <v>1002</v>
      </c>
      <c r="J190" s="0" t="s">
        <v>427</v>
      </c>
      <c r="K190" s="0" t="s">
        <v>427</v>
      </c>
      <c r="M190" s="44" t="str">
        <f aca="false">INDEX(fastqs!$A:$A, MATCH(A190, fastqs!$B:$B, 0), 1)</f>
        <v>new_HiSeqW36_Undetermined_R6000244_L008_R1_001_TCCT.fastq.gz</v>
      </c>
      <c r="N190" s="44" t="str">
        <f aca="false">INDEX(fastqs!$C:$C, MATCH(A190, fastqs!$B:$B, 0), 1)</f>
        <v>GET</v>
      </c>
      <c r="O190" s="44" t="str">
        <f aca="false">INDEX(samples!$B:$B, MATCH(B190, samples!$A:$A, 0), 1)</f>
        <v>par0104</v>
      </c>
      <c r="P190" s="44" t="e">
        <f aca="false">INDEX(participants!$I:$I, MATCH(O190, participants!$A:$A, 0), 1)</f>
        <v>#N/A</v>
      </c>
      <c r="Q190" s="44" t="n">
        <f aca="false">INDEX(samples!$F:$F, MATCH(B190, samples!$A:$A, 0), 1)</f>
        <v>0</v>
      </c>
      <c r="R190" s="49" t="str">
        <f aca="false">INDEX(samples!$C:$C, MATCH(B190, samples!$A:$A, 0), 1)</f>
        <v>2019-10-10</v>
      </c>
      <c r="S190" s="50" t="str">
        <f aca="false">INDEX(samples!$D:$D,MATCH(B190, samples!$A:$A,0),1)</f>
        <v>blood</v>
      </c>
      <c r="T190" s="51" t="s">
        <v>427</v>
      </c>
      <c r="V190" s="33" t="s">
        <v>427</v>
      </c>
      <c r="X190" s="8"/>
      <c r="Y190" s="8" t="s">
        <v>3150</v>
      </c>
      <c r="Z190" s="8" t="n">
        <v>0</v>
      </c>
      <c r="AA190" s="8" t="n">
        <v>0</v>
      </c>
      <c r="AB190" s="8" t="n">
        <v>0</v>
      </c>
    </row>
    <row r="191" customFormat="false" ht="13.8" hidden="false" customHeight="false" outlineLevel="0" collapsed="false">
      <c r="A191" s="48" t="s">
        <v>3345</v>
      </c>
      <c r="B191" s="41" t="s">
        <v>1918</v>
      </c>
      <c r="C191" s="0" t="s">
        <v>3147</v>
      </c>
      <c r="D191" s="0" t="s">
        <v>3271</v>
      </c>
      <c r="H191" s="0" t="s">
        <v>3272</v>
      </c>
      <c r="I191" s="0" t="s">
        <v>1002</v>
      </c>
      <c r="J191" s="0" t="s">
        <v>427</v>
      </c>
      <c r="K191" s="0" t="s">
        <v>427</v>
      </c>
      <c r="M191" s="44" t="str">
        <f aca="false">INDEX(fastqs!$A:$A, MATCH(A191, fastqs!$B:$B, 0), 1)</f>
        <v>new_HiSeq28_Undetermined_R6000204_L006_R1_001_GCTA.fastq.gz</v>
      </c>
      <c r="N191" s="44" t="str">
        <f aca="false">INDEX(fastqs!$C:$C, MATCH(A191, fastqs!$B:$B, 0), 1)</f>
        <v>GET</v>
      </c>
      <c r="O191" s="44" t="str">
        <f aca="false">INDEX(samples!$B:$B, MATCH(B191, samples!$A:$A, 0), 1)</f>
        <v>par0099</v>
      </c>
      <c r="P191" s="44" t="str">
        <f aca="false">INDEX(participants!$I:$I, MATCH(O191, participants!$A:$A, 0), 1)</f>
        <v>nf575</v>
      </c>
      <c r="Q191" s="44" t="n">
        <f aca="false">INDEX(samples!$F:$F, MATCH(B191, samples!$A:$A, 0), 1)</f>
        <v>0</v>
      </c>
      <c r="R191" s="49" t="str">
        <f aca="false">INDEX(samples!$C:$C, MATCH(B191, samples!$A:$A, 0), 1)</f>
        <v>2019-07-25</v>
      </c>
      <c r="S191" s="50" t="str">
        <f aca="false">INDEX(samples!$D:$D,MATCH(B191, samples!$A:$A,0),1)</f>
        <v>blood</v>
      </c>
      <c r="T191" s="51" t="s">
        <v>427</v>
      </c>
      <c r="V191" s="33" t="s">
        <v>427</v>
      </c>
      <c r="X191" s="8"/>
      <c r="Y191" s="8" t="s">
        <v>3150</v>
      </c>
      <c r="Z191" s="8" t="n">
        <v>0</v>
      </c>
      <c r="AA191" s="8" t="n">
        <v>0</v>
      </c>
      <c r="AB191" s="8" t="n">
        <v>0</v>
      </c>
    </row>
    <row r="192" customFormat="false" ht="13.8" hidden="false" customHeight="false" outlineLevel="0" collapsed="false">
      <c r="A192" s="48" t="s">
        <v>3346</v>
      </c>
      <c r="B192" s="41" t="s">
        <v>1951</v>
      </c>
      <c r="C192" s="0" t="s">
        <v>3147</v>
      </c>
      <c r="D192" s="0" t="s">
        <v>3271</v>
      </c>
      <c r="H192" s="0" t="s">
        <v>3272</v>
      </c>
      <c r="I192" s="0" t="s">
        <v>1002</v>
      </c>
      <c r="J192" s="0" t="s">
        <v>427</v>
      </c>
      <c r="K192" s="0" t="s">
        <v>427</v>
      </c>
      <c r="M192" s="44" t="str">
        <f aca="false">INDEX(fastqs!$A:$A, MATCH(A192, fastqs!$B:$B, 0), 1)</f>
        <v>new_HiSeq42_Undetermined_R6000281_L008_R1_001_TGTG.fastq.gz</v>
      </c>
      <c r="N192" s="44" t="str">
        <f aca="false">INDEX(fastqs!$C:$C, MATCH(A192, fastqs!$B:$B, 0), 1)</f>
        <v>GET</v>
      </c>
      <c r="O192" s="44" t="str">
        <f aca="false">INDEX(samples!$B:$B, MATCH(B192, samples!$A:$A, 0), 1)</f>
        <v>par0105</v>
      </c>
      <c r="P192" s="44" t="e">
        <f aca="false">INDEX(participants!$I:$I, MATCH(O192, participants!$A:$A, 0), 1)</f>
        <v>#N/A</v>
      </c>
      <c r="Q192" s="44" t="n">
        <f aca="false">INDEX(samples!$F:$F, MATCH(B192, samples!$A:$A, 0), 1)</f>
        <v>0</v>
      </c>
      <c r="R192" s="49" t="str">
        <f aca="false">INDEX(samples!$C:$C, MATCH(B192, samples!$A:$A, 0), 1)</f>
        <v>2019-11-05</v>
      </c>
      <c r="S192" s="50" t="str">
        <f aca="false">INDEX(samples!$D:$D,MATCH(B192, samples!$A:$A,0),1)</f>
        <v>blood</v>
      </c>
      <c r="T192" s="51" t="s">
        <v>427</v>
      </c>
      <c r="V192" s="33" t="s">
        <v>427</v>
      </c>
      <c r="X192" s="8"/>
      <c r="Y192" s="8" t="s">
        <v>3150</v>
      </c>
      <c r="Z192" s="8" t="n">
        <v>0</v>
      </c>
      <c r="AA192" s="8" t="n">
        <v>0</v>
      </c>
      <c r="AB192" s="8" t="n">
        <v>0</v>
      </c>
    </row>
    <row r="193" customFormat="false" ht="13.8" hidden="false" customHeight="false" outlineLevel="0" collapsed="false">
      <c r="A193" s="48" t="s">
        <v>3347</v>
      </c>
      <c r="B193" s="41" t="s">
        <v>1980</v>
      </c>
      <c r="C193" s="0" t="s">
        <v>3147</v>
      </c>
      <c r="D193" s="0" t="s">
        <v>3271</v>
      </c>
      <c r="H193" s="0" t="s">
        <v>3272</v>
      </c>
      <c r="I193" s="0" t="s">
        <v>1002</v>
      </c>
      <c r="J193" s="0" t="s">
        <v>427</v>
      </c>
      <c r="K193" s="0" t="s">
        <v>427</v>
      </c>
      <c r="M193" s="44" t="str">
        <f aca="false">INDEX(fastqs!$A:$A, MATCH(A193, fastqs!$B:$B, 0), 1)</f>
        <v>new_HiSeqW55_Undetermined_R6000373_L008_R1_AGGT.fastq.gz</v>
      </c>
      <c r="N193" s="44" t="str">
        <f aca="false">INDEX(fastqs!$C:$C, MATCH(A193, fastqs!$B:$B, 0), 1)</f>
        <v>GET</v>
      </c>
      <c r="O193" s="44" t="str">
        <f aca="false">INDEX(samples!$B:$B, MATCH(B193, samples!$A:$A, 0), 1)</f>
        <v>par0136</v>
      </c>
      <c r="P193" s="44" t="e">
        <f aca="false">INDEX(participants!$I:$I, MATCH(O193, participants!$A:$A, 0), 1)</f>
        <v>#N/A</v>
      </c>
      <c r="Q193" s="44" t="n">
        <f aca="false">INDEX(samples!$F:$F, MATCH(B193, samples!$A:$A, 0), 1)</f>
        <v>0</v>
      </c>
      <c r="R193" s="49" t="str">
        <f aca="false">INDEX(samples!$C:$C, MATCH(B193, samples!$A:$A, 0), 1)</f>
        <v>2020-03-12</v>
      </c>
      <c r="S193" s="50" t="str">
        <f aca="false">INDEX(samples!$D:$D,MATCH(B193, samples!$A:$A,0),1)</f>
        <v>blood</v>
      </c>
      <c r="T193" s="51" t="s">
        <v>427</v>
      </c>
      <c r="V193" s="33" t="s">
        <v>427</v>
      </c>
      <c r="X193" s="8"/>
      <c r="Y193" s="8" t="s">
        <v>3150</v>
      </c>
      <c r="Z193" s="8" t="n">
        <v>0</v>
      </c>
      <c r="AA193" s="8" t="n">
        <v>0</v>
      </c>
      <c r="AB193" s="8" t="n">
        <v>0</v>
      </c>
    </row>
    <row r="194" customFormat="false" ht="13.8" hidden="false" customHeight="false" outlineLevel="0" collapsed="false">
      <c r="A194" s="48" t="s">
        <v>3348</v>
      </c>
      <c r="B194" s="41" t="s">
        <v>1957</v>
      </c>
      <c r="C194" s="0" t="s">
        <v>3147</v>
      </c>
      <c r="D194" s="0" t="s">
        <v>3271</v>
      </c>
      <c r="H194" s="0" t="s">
        <v>3272</v>
      </c>
      <c r="I194" s="0" t="s">
        <v>1002</v>
      </c>
      <c r="J194" s="0" t="s">
        <v>427</v>
      </c>
      <c r="K194" s="0" t="s">
        <v>427</v>
      </c>
      <c r="M194" s="44" t="str">
        <f aca="false">INDEX(fastqs!$A:$A, MATCH(A194, fastqs!$B:$B, 0), 1)</f>
        <v>new_HiSeq41_Undetermined_R6000281_L007_R1_001_AGGT.fastq.gz</v>
      </c>
      <c r="N194" s="44" t="str">
        <f aca="false">INDEX(fastqs!$C:$C, MATCH(A194, fastqs!$B:$B, 0), 1)</f>
        <v>GET</v>
      </c>
      <c r="O194" s="44" t="str">
        <f aca="false">INDEX(samples!$B:$B, MATCH(B194, samples!$A:$A, 0), 1)</f>
        <v>par0107</v>
      </c>
      <c r="P194" s="44" t="e">
        <f aca="false">INDEX(participants!$I:$I, MATCH(O194, participants!$A:$A, 0), 1)</f>
        <v>#N/A</v>
      </c>
      <c r="Q194" s="44" t="n">
        <f aca="false">INDEX(samples!$F:$F, MATCH(B194, samples!$A:$A, 0), 1)</f>
        <v>0</v>
      </c>
      <c r="R194" s="49" t="str">
        <f aca="false">INDEX(samples!$C:$C, MATCH(B194, samples!$A:$A, 0), 1)</f>
        <v>2019-11-25</v>
      </c>
      <c r="S194" s="50" t="str">
        <f aca="false">INDEX(samples!$D:$D,MATCH(B194, samples!$A:$A,0),1)</f>
        <v>blood</v>
      </c>
      <c r="T194" s="51" t="s">
        <v>427</v>
      </c>
      <c r="V194" s="33" t="s">
        <v>427</v>
      </c>
      <c r="X194" s="8"/>
      <c r="Y194" s="8" t="s">
        <v>3150</v>
      </c>
      <c r="Z194" s="8" t="n">
        <v>0</v>
      </c>
      <c r="AA194" s="8" t="n">
        <v>0</v>
      </c>
      <c r="AB194" s="8" t="n">
        <v>0</v>
      </c>
    </row>
    <row r="195" customFormat="false" ht="13.8" hidden="false" customHeight="false" outlineLevel="0" collapsed="false">
      <c r="A195" s="48" t="s">
        <v>3349</v>
      </c>
      <c r="B195" s="41" t="s">
        <v>1910</v>
      </c>
      <c r="C195" s="0" t="s">
        <v>3147</v>
      </c>
      <c r="D195" s="0" t="s">
        <v>3271</v>
      </c>
      <c r="H195" s="0" t="s">
        <v>3272</v>
      </c>
      <c r="I195" s="0" t="s">
        <v>1002</v>
      </c>
      <c r="J195" s="0" t="s">
        <v>427</v>
      </c>
      <c r="K195" s="0" t="s">
        <v>427</v>
      </c>
      <c r="M195" s="44" t="str">
        <f aca="false">INDEX(fastqs!$A:$A, MATCH(A195, fastqs!$B:$B, 0), 1)</f>
        <v>new_HiSeq42_Undetermined_R6000281_L008_R1_001_ATCG.fastq.gz</v>
      </c>
      <c r="N195" s="44" t="str">
        <f aca="false">INDEX(fastqs!$C:$C, MATCH(A195, fastqs!$B:$B, 0), 1)</f>
        <v>GET</v>
      </c>
      <c r="O195" s="44" t="str">
        <f aca="false">INDEX(samples!$B:$B, MATCH(B195, samples!$A:$A, 0), 1)</f>
        <v>par0096</v>
      </c>
      <c r="P195" s="44" t="str">
        <f aca="false">INDEX(participants!$I:$I, MATCH(O195, participants!$A:$A, 0), 1)</f>
        <v>nf569</v>
      </c>
      <c r="Q195" s="44" t="n">
        <f aca="false">INDEX(samples!$F:$F, MATCH(B195, samples!$A:$A, 0), 1)</f>
        <v>0</v>
      </c>
      <c r="R195" s="49" t="str">
        <f aca="false">INDEX(samples!$C:$C, MATCH(B195, samples!$A:$A, 0), 1)</f>
        <v>2019-06-25</v>
      </c>
      <c r="S195" s="50" t="str">
        <f aca="false">INDEX(samples!$D:$D,MATCH(B195, samples!$A:$A,0),1)</f>
        <v>blood</v>
      </c>
      <c r="T195" s="51" t="s">
        <v>427</v>
      </c>
      <c r="V195" s="33" t="s">
        <v>427</v>
      </c>
      <c r="X195" s="8"/>
      <c r="Y195" s="8" t="s">
        <v>3150</v>
      </c>
      <c r="Z195" s="8" t="n">
        <v>0</v>
      </c>
      <c r="AA195" s="8" t="n">
        <v>0</v>
      </c>
      <c r="AB195" s="8" t="n">
        <v>0</v>
      </c>
    </row>
    <row r="196" customFormat="false" ht="13.8" hidden="false" customHeight="false" outlineLevel="0" collapsed="false">
      <c r="A196" s="48" t="s">
        <v>3350</v>
      </c>
      <c r="B196" s="41" t="s">
        <v>1905</v>
      </c>
      <c r="C196" s="0" t="s">
        <v>3147</v>
      </c>
      <c r="D196" s="0" t="s">
        <v>3271</v>
      </c>
      <c r="H196" s="0" t="s">
        <v>3272</v>
      </c>
      <c r="I196" s="0" t="s">
        <v>1002</v>
      </c>
      <c r="J196" s="0" t="s">
        <v>427</v>
      </c>
      <c r="K196" s="0" t="s">
        <v>427</v>
      </c>
      <c r="M196" s="44" t="str">
        <f aca="false">INDEX(fastqs!$A:$A, MATCH(A196, fastqs!$B:$B, 0), 1)</f>
        <v>new_HiSeqW30_Undetermined_R6000232_L006_R1_001_TAGC.fastq.gz</v>
      </c>
      <c r="N196" s="44" t="str">
        <f aca="false">INDEX(fastqs!$C:$C, MATCH(A196, fastqs!$B:$B, 0), 1)</f>
        <v>GET</v>
      </c>
      <c r="O196" s="44" t="str">
        <f aca="false">INDEX(samples!$B:$B, MATCH(B196, samples!$A:$A, 0), 1)</f>
        <v>par0081</v>
      </c>
      <c r="P196" s="44" t="str">
        <f aca="false">INDEX(participants!$I:$I, MATCH(O196, participants!$A:$A, 0), 1)</f>
        <v>nf564</v>
      </c>
      <c r="Q196" s="44" t="n">
        <f aca="false">INDEX(samples!$F:$F, MATCH(B196, samples!$A:$A, 0), 1)</f>
        <v>0</v>
      </c>
      <c r="R196" s="49" t="str">
        <f aca="false">INDEX(samples!$C:$C, MATCH(B196, samples!$A:$A, 0), 1)</f>
        <v>2019-05-08</v>
      </c>
      <c r="S196" s="50" t="str">
        <f aca="false">INDEX(samples!$D:$D,MATCH(B196, samples!$A:$A,0),1)</f>
        <v>blood</v>
      </c>
      <c r="T196" s="51" t="s">
        <v>427</v>
      </c>
      <c r="V196" s="33" t="s">
        <v>427</v>
      </c>
      <c r="X196" s="8"/>
      <c r="Y196" s="8" t="s">
        <v>3150</v>
      </c>
      <c r="Z196" s="8" t="n">
        <v>0</v>
      </c>
      <c r="AA196" s="8" t="n">
        <v>0</v>
      </c>
      <c r="AB196" s="8" t="n">
        <v>0</v>
      </c>
    </row>
    <row r="197" customFormat="false" ht="13.8" hidden="false" customHeight="false" outlineLevel="0" collapsed="false">
      <c r="A197" s="48" t="s">
        <v>3351</v>
      </c>
      <c r="B197" s="41" t="s">
        <v>1947</v>
      </c>
      <c r="C197" s="0" t="s">
        <v>3147</v>
      </c>
      <c r="D197" s="0" t="s">
        <v>3271</v>
      </c>
      <c r="H197" s="0" t="s">
        <v>3272</v>
      </c>
      <c r="I197" s="0" t="s">
        <v>1002</v>
      </c>
      <c r="J197" s="0" t="s">
        <v>427</v>
      </c>
      <c r="K197" s="0" t="s">
        <v>427</v>
      </c>
      <c r="M197" s="44" t="str">
        <f aca="false">INDEX(fastqs!$A:$A, MATCH(A197, fastqs!$B:$B, 0), 1)</f>
        <v>new_HiSeq-W48_Undetermined_R6000324_L008_R1_001_CACA.fastq.gz</v>
      </c>
      <c r="N197" s="44" t="str">
        <f aca="false">INDEX(fastqs!$C:$C, MATCH(A197, fastqs!$B:$B, 0), 1)</f>
        <v>GET</v>
      </c>
      <c r="O197" s="44" t="str">
        <f aca="false">INDEX(samples!$B:$B, MATCH(B197, samples!$A:$A, 0), 1)</f>
        <v>par0085</v>
      </c>
      <c r="P197" s="44" t="str">
        <f aca="false">INDEX(participants!$I:$I, MATCH(O197, participants!$A:$A, 0), 1)</f>
        <v>nf589</v>
      </c>
      <c r="Q197" s="44" t="n">
        <f aca="false">INDEX(samples!$F:$F, MATCH(B197, samples!$A:$A, 0), 1)</f>
        <v>0</v>
      </c>
      <c r="R197" s="49" t="str">
        <f aca="false">INDEX(samples!$C:$C, MATCH(B197, samples!$A:$A, 0), 1)</f>
        <v>2020-01-02</v>
      </c>
      <c r="S197" s="50" t="str">
        <f aca="false">INDEX(samples!$D:$D,MATCH(B197, samples!$A:$A,0),1)</f>
        <v>blood</v>
      </c>
      <c r="T197" s="51" t="s">
        <v>427</v>
      </c>
      <c r="V197" s="33" t="s">
        <v>427</v>
      </c>
      <c r="X197" s="8"/>
      <c r="Y197" s="8" t="s">
        <v>3150</v>
      </c>
      <c r="Z197" s="8" t="n">
        <v>0</v>
      </c>
      <c r="AA197" s="8" t="n">
        <v>0</v>
      </c>
      <c r="AB197" s="8" t="n">
        <v>0</v>
      </c>
    </row>
    <row r="198" customFormat="false" ht="13.8" hidden="false" customHeight="false" outlineLevel="0" collapsed="false">
      <c r="A198" s="48" t="s">
        <v>3352</v>
      </c>
      <c r="B198" s="41" t="s">
        <v>1969</v>
      </c>
      <c r="C198" s="0" t="s">
        <v>3215</v>
      </c>
      <c r="D198" s="0" t="s">
        <v>3271</v>
      </c>
      <c r="H198" s="0" t="s">
        <v>3272</v>
      </c>
      <c r="I198" s="0" t="s">
        <v>1002</v>
      </c>
      <c r="J198" s="0" t="s">
        <v>427</v>
      </c>
      <c r="K198" s="0" t="s">
        <v>427</v>
      </c>
      <c r="M198" s="44" t="str">
        <f aca="false">INDEX(fastqs!$A:$A, MATCH(A198, fastqs!$B:$B, 0), 1)</f>
        <v>new_HiSeqW55_Undetermined_R6000373_L008_R1_CACA.fastq.gz</v>
      </c>
      <c r="N198" s="44" t="str">
        <f aca="false">INDEX(fastqs!$C:$C, MATCH(A198, fastqs!$B:$B, 0), 1)</f>
        <v>GET</v>
      </c>
      <c r="O198" s="44" t="str">
        <f aca="false">INDEX(samples!$B:$B, MATCH(B198, samples!$A:$A, 0), 1)</f>
        <v>par0109</v>
      </c>
      <c r="P198" s="44" t="e">
        <f aca="false">INDEX(participants!$I:$I, MATCH(O198, participants!$A:$A, 0), 1)</f>
        <v>#N/A</v>
      </c>
      <c r="Q198" s="44" t="n">
        <f aca="false">INDEX(samples!$F:$F, MATCH(B198, samples!$A:$A, 0), 1)</f>
        <v>0</v>
      </c>
      <c r="R198" s="49" t="str">
        <f aca="false">INDEX(samples!$C:$C, MATCH(B198, samples!$A:$A, 0), 1)</f>
        <v>2020-01-21</v>
      </c>
      <c r="S198" s="50" t="str">
        <f aca="false">INDEX(samples!$D:$D,MATCH(B198, samples!$A:$A,0),1)</f>
        <v>blood</v>
      </c>
      <c r="T198" s="51"/>
      <c r="V198" s="33" t="s">
        <v>427</v>
      </c>
      <c r="X198" s="8"/>
      <c r="Y198" s="8" t="s">
        <v>3150</v>
      </c>
      <c r="Z198" s="8" t="n">
        <v>0</v>
      </c>
      <c r="AA198" s="8" t="n">
        <v>0</v>
      </c>
      <c r="AB198" s="8" t="n">
        <v>0</v>
      </c>
    </row>
    <row r="199" customFormat="false" ht="13.8" hidden="false" customHeight="false" outlineLevel="0" collapsed="false">
      <c r="A199" s="48" t="s">
        <v>3353</v>
      </c>
      <c r="B199" s="41" t="s">
        <v>1938</v>
      </c>
      <c r="C199" s="0" t="s">
        <v>3147</v>
      </c>
      <c r="D199" s="0" t="s">
        <v>3271</v>
      </c>
      <c r="H199" s="0" t="s">
        <v>3272</v>
      </c>
      <c r="I199" s="0" t="s">
        <v>1002</v>
      </c>
      <c r="J199" s="0" t="s">
        <v>427</v>
      </c>
      <c r="K199" s="0" t="s">
        <v>427</v>
      </c>
      <c r="M199" s="44" t="str">
        <f aca="false">INDEX(fastqs!$A:$A, MATCH(A199, fastqs!$B:$B, 0), 1)</f>
        <v>new_HiSeqW54_Undetermined_R6000373_L007_R1_CACA.fastq.gz</v>
      </c>
      <c r="N199" s="44" t="str">
        <f aca="false">INDEX(fastqs!$C:$C, MATCH(A199, fastqs!$B:$B, 0), 1)</f>
        <v>GET</v>
      </c>
      <c r="O199" s="44" t="str">
        <f aca="false">INDEX(samples!$B:$B, MATCH(B199, samples!$A:$A, 0), 1)</f>
        <v>par0084</v>
      </c>
      <c r="P199" s="44" t="str">
        <f aca="false">INDEX(participants!$I:$I, MATCH(O199, participants!$A:$A, 0), 1)</f>
        <v>nf585</v>
      </c>
      <c r="Q199" s="44" t="n">
        <f aca="false">INDEX(samples!$F:$F, MATCH(B199, samples!$A:$A, 0), 1)</f>
        <v>0</v>
      </c>
      <c r="R199" s="49" t="str">
        <f aca="false">INDEX(samples!$C:$C, MATCH(B199, samples!$A:$A, 0), 1)</f>
        <v>2020-02-25</v>
      </c>
      <c r="S199" s="50" t="str">
        <f aca="false">INDEX(samples!$D:$D,MATCH(B199, samples!$A:$A,0),1)</f>
        <v>blood</v>
      </c>
      <c r="T199" s="51" t="s">
        <v>427</v>
      </c>
      <c r="V199" s="33" t="s">
        <v>427</v>
      </c>
      <c r="X199" s="8"/>
      <c r="Y199" s="8" t="s">
        <v>3150</v>
      </c>
      <c r="Z199" s="8" t="n">
        <v>0</v>
      </c>
      <c r="AA199" s="8" t="n">
        <v>0</v>
      </c>
      <c r="AB199" s="8" t="n">
        <v>0</v>
      </c>
    </row>
    <row r="200" customFormat="false" ht="13.8" hidden="false" customHeight="false" outlineLevel="0" collapsed="false">
      <c r="A200" s="48" t="s">
        <v>3354</v>
      </c>
      <c r="B200" s="41" t="s">
        <v>1894</v>
      </c>
      <c r="C200" s="0" t="s">
        <v>3147</v>
      </c>
      <c r="D200" s="0" t="s">
        <v>3271</v>
      </c>
      <c r="H200" s="0" t="s">
        <v>3272</v>
      </c>
      <c r="I200" s="0" t="s">
        <v>1002</v>
      </c>
      <c r="J200" s="0" t="s">
        <v>427</v>
      </c>
      <c r="K200" s="0" t="s">
        <v>427</v>
      </c>
      <c r="M200" s="44" t="str">
        <f aca="false">INDEX(fastqs!$A:$A, MATCH(A200, fastqs!$B:$B, 0), 1)</f>
        <v>new_HiSeq40_Undetermined_R6000281_L006_R1_001_TGTG.fastq.gz</v>
      </c>
      <c r="N200" s="44" t="str">
        <f aca="false">INDEX(fastqs!$C:$C, MATCH(A200, fastqs!$B:$B, 0), 1)</f>
        <v>GET</v>
      </c>
      <c r="O200" s="44" t="str">
        <f aca="false">INDEX(samples!$B:$B, MATCH(B200, samples!$A:$A, 0), 1)</f>
        <v>par0080</v>
      </c>
      <c r="P200" s="44" t="str">
        <f aca="false">INDEX(participants!$I:$I, MATCH(O200, participants!$A:$A, 0), 1)</f>
        <v>nf561</v>
      </c>
      <c r="Q200" s="44" t="n">
        <f aca="false">INDEX(samples!$F:$F, MATCH(B200, samples!$A:$A, 0), 1)</f>
        <v>0</v>
      </c>
      <c r="R200" s="49" t="str">
        <f aca="false">INDEX(samples!$C:$C, MATCH(B200, samples!$A:$A, 0), 1)</f>
        <v>2019-10-04</v>
      </c>
      <c r="S200" s="50" t="str">
        <f aca="false">INDEX(samples!$D:$D,MATCH(B200, samples!$A:$A,0),1)</f>
        <v>blood</v>
      </c>
      <c r="T200" s="51" t="s">
        <v>427</v>
      </c>
      <c r="V200" s="33" t="s">
        <v>427</v>
      </c>
      <c r="X200" s="8"/>
      <c r="Y200" s="8" t="s">
        <v>3150</v>
      </c>
      <c r="Z200" s="8" t="n">
        <v>0</v>
      </c>
      <c r="AA200" s="8" t="n">
        <v>0</v>
      </c>
      <c r="AB200" s="8" t="n">
        <v>0</v>
      </c>
    </row>
    <row r="201" customFormat="false" ht="13.8" hidden="false" customHeight="false" outlineLevel="0" collapsed="false">
      <c r="A201" s="48" t="s">
        <v>3355</v>
      </c>
      <c r="B201" s="41" t="s">
        <v>1943</v>
      </c>
      <c r="C201" s="0" t="s">
        <v>3147</v>
      </c>
      <c r="D201" s="0" t="s">
        <v>3271</v>
      </c>
      <c r="H201" s="0" t="s">
        <v>3272</v>
      </c>
      <c r="I201" s="0" t="s">
        <v>1002</v>
      </c>
      <c r="J201" s="0" t="s">
        <v>427</v>
      </c>
      <c r="K201" s="0" t="s">
        <v>427</v>
      </c>
      <c r="M201" s="44" t="str">
        <f aca="false">INDEX(fastqs!$A:$A, MATCH(A201, fastqs!$B:$B, 0), 1)</f>
        <v>new_HiSeqW35_Undetermined_R6000244_L007_R1_001_TAGC.fastq.gz</v>
      </c>
      <c r="N201" s="44" t="str">
        <f aca="false">INDEX(fastqs!$C:$C, MATCH(A201, fastqs!$B:$B, 0), 1)</f>
        <v>GET</v>
      </c>
      <c r="O201" s="44" t="str">
        <f aca="false">INDEX(samples!$B:$B, MATCH(B201, samples!$A:$A, 0), 1)</f>
        <v>par0085</v>
      </c>
      <c r="P201" s="44" t="str">
        <f aca="false">INDEX(participants!$I:$I, MATCH(O201, participants!$A:$A, 0), 1)</f>
        <v>nf589</v>
      </c>
      <c r="Q201" s="44" t="n">
        <f aca="false">INDEX(samples!$F:$F, MATCH(B201, samples!$A:$A, 0), 1)</f>
        <v>0</v>
      </c>
      <c r="R201" s="49" t="str">
        <f aca="false">INDEX(samples!$C:$C, MATCH(B201, samples!$A:$A, 0), 1)</f>
        <v>2019-10-25</v>
      </c>
      <c r="S201" s="50" t="str">
        <f aca="false">INDEX(samples!$D:$D,MATCH(B201, samples!$A:$A,0),1)</f>
        <v>blood</v>
      </c>
      <c r="T201" s="51" t="s">
        <v>427</v>
      </c>
      <c r="V201" s="33" t="s">
        <v>427</v>
      </c>
      <c r="X201" s="8"/>
      <c r="Y201" s="8" t="s">
        <v>3150</v>
      </c>
      <c r="Z201" s="8" t="n">
        <v>0</v>
      </c>
      <c r="AA201" s="8" t="n">
        <v>0</v>
      </c>
      <c r="AB201" s="8" t="n">
        <v>0</v>
      </c>
    </row>
    <row r="202" customFormat="false" ht="13.8" hidden="false" customHeight="false" outlineLevel="0" collapsed="false">
      <c r="A202" s="48" t="s">
        <v>3356</v>
      </c>
      <c r="B202" s="41" t="s">
        <v>1915</v>
      </c>
      <c r="C202" s="0" t="s">
        <v>3147</v>
      </c>
      <c r="D202" s="0" t="s">
        <v>3271</v>
      </c>
      <c r="H202" s="0" t="s">
        <v>3272</v>
      </c>
      <c r="I202" s="0" t="s">
        <v>1002</v>
      </c>
      <c r="J202" s="0" t="s">
        <v>427</v>
      </c>
      <c r="K202" s="0" t="s">
        <v>427</v>
      </c>
      <c r="M202" s="44" t="str">
        <f aca="false">INDEX(fastqs!$A:$A, MATCH(A202, fastqs!$B:$B, 0), 1)</f>
        <v>new_HiSeq40_Undetermined_R6000281_L006_R1_001_GTGT.fastq.gz</v>
      </c>
      <c r="N202" s="44" t="str">
        <f aca="false">INDEX(fastqs!$C:$C, MATCH(A202, fastqs!$B:$B, 0), 1)</f>
        <v>GET</v>
      </c>
      <c r="O202" s="44" t="str">
        <f aca="false">INDEX(samples!$B:$B, MATCH(B202, samples!$A:$A, 0), 1)</f>
        <v>par0082</v>
      </c>
      <c r="P202" s="44" t="str">
        <f aca="false">INDEX(participants!$I:$I, MATCH(O202, participants!$A:$A, 0), 1)</f>
        <v>nf570</v>
      </c>
      <c r="Q202" s="44" t="n">
        <f aca="false">INDEX(samples!$F:$F, MATCH(B202, samples!$A:$A, 0), 1)</f>
        <v>0</v>
      </c>
      <c r="R202" s="49" t="str">
        <f aca="false">INDEX(samples!$C:$C, MATCH(B202, samples!$A:$A, 0), 1)</f>
        <v>2019-08-06</v>
      </c>
      <c r="S202" s="50" t="str">
        <f aca="false">INDEX(samples!$D:$D,MATCH(B202, samples!$A:$A,0),1)</f>
        <v>blood</v>
      </c>
      <c r="T202" s="51" t="s">
        <v>427</v>
      </c>
      <c r="V202" s="33" t="s">
        <v>427</v>
      </c>
      <c r="X202" s="8"/>
      <c r="Y202" s="8" t="s">
        <v>3150</v>
      </c>
      <c r="Z202" s="8" t="n">
        <v>0</v>
      </c>
      <c r="AA202" s="8" t="n">
        <v>0</v>
      </c>
      <c r="AB202" s="8" t="n">
        <v>0</v>
      </c>
    </row>
    <row r="203" customFormat="false" ht="13.8" hidden="false" customHeight="false" outlineLevel="0" collapsed="false">
      <c r="A203" s="48" t="s">
        <v>3357</v>
      </c>
      <c r="B203" s="41" t="s">
        <v>2006</v>
      </c>
      <c r="C203" s="0" t="s">
        <v>3215</v>
      </c>
      <c r="D203" s="0" t="s">
        <v>3271</v>
      </c>
      <c r="H203" s="0" t="s">
        <v>3272</v>
      </c>
      <c r="I203" s="0" t="s">
        <v>1002</v>
      </c>
      <c r="J203" s="0" t="s">
        <v>427</v>
      </c>
      <c r="K203" s="0" t="s">
        <v>427</v>
      </c>
      <c r="M203" s="44" t="str">
        <f aca="false">INDEX(fastqs!$A:$A, MATCH(A203, fastqs!$B:$B, 0), 1)</f>
        <v>new_HiSeq-W45_Undetermined_R6000324_L005_R1_001_CGAT.fastq.gz</v>
      </c>
      <c r="N203" s="44" t="str">
        <f aca="false">INDEX(fastqs!$C:$C, MATCH(A203, fastqs!$B:$B, 0), 1)</f>
        <v>GET</v>
      </c>
      <c r="O203" s="44" t="str">
        <f aca="false">INDEX(samples!$B:$B, MATCH(B203, samples!$A:$A, 0), 1)</f>
        <v>par0100</v>
      </c>
      <c r="P203" s="44" t="e">
        <f aca="false">INDEX(participants!$I:$I, MATCH(O203, participants!$A:$A, 0), 1)</f>
        <v>#N/A</v>
      </c>
      <c r="Q203" s="44" t="n">
        <f aca="false">INDEX(samples!$F:$F, MATCH(B203, samples!$A:$A, 0), 1)</f>
        <v>0</v>
      </c>
      <c r="R203" s="49" t="str">
        <f aca="false">INDEX(samples!$C:$C, MATCH(B203, samples!$A:$A, 0), 1)</f>
        <v>2019-07-30</v>
      </c>
      <c r="S203" s="50" t="str">
        <f aca="false">INDEX(samples!$D:$D,MATCH(B203, samples!$A:$A,0),1)</f>
        <v>blood</v>
      </c>
      <c r="T203" s="51"/>
      <c r="V203" s="33" t="s">
        <v>427</v>
      </c>
      <c r="X203" s="8"/>
      <c r="Y203" s="8" t="s">
        <v>3150</v>
      </c>
      <c r="Z203" s="8" t="n">
        <v>0</v>
      </c>
      <c r="AA203" s="8" t="n">
        <v>0</v>
      </c>
      <c r="AB203" s="8" t="n">
        <v>0</v>
      </c>
    </row>
    <row r="204" customFormat="false" ht="13.8" hidden="false" customHeight="false" outlineLevel="0" collapsed="false">
      <c r="A204" s="48" t="s">
        <v>3358</v>
      </c>
      <c r="B204" s="41" t="s">
        <v>2029</v>
      </c>
      <c r="C204" s="0" t="s">
        <v>3215</v>
      </c>
      <c r="D204" s="0" t="s">
        <v>3271</v>
      </c>
      <c r="H204" s="0" t="s">
        <v>3272</v>
      </c>
      <c r="I204" s="0" t="s">
        <v>1002</v>
      </c>
      <c r="J204" s="0" t="s">
        <v>427</v>
      </c>
      <c r="K204" s="0" t="s">
        <v>427</v>
      </c>
      <c r="M204" s="44" t="str">
        <f aca="false">INDEX(fastqs!$A:$A, MATCH(A204, fastqs!$B:$B, 0), 1)</f>
        <v>new_HiSeq11_R1_CGAT.fastq.gz</v>
      </c>
      <c r="N204" s="44" t="str">
        <f aca="false">INDEX(fastqs!$C:$C, MATCH(A204, fastqs!$B:$B, 0), 1)</f>
        <v>GET</v>
      </c>
      <c r="O204" s="44" t="str">
        <f aca="false">INDEX(samples!$B:$B, MATCH(B204, samples!$A:$A, 0), 1)</f>
        <v>par0066</v>
      </c>
      <c r="P204" s="44" t="n">
        <f aca="false">INDEX(participants!$I:$I, MATCH(O204, participants!$A:$A, 0), 1)</f>
        <v>69</v>
      </c>
      <c r="Q204" s="44" t="n">
        <f aca="false">INDEX(samples!$F:$F, MATCH(B204, samples!$A:$A, 0), 1)</f>
        <v>0</v>
      </c>
      <c r="R204" s="49" t="str">
        <f aca="false">INDEX(samples!$C:$C, MATCH(B204, samples!$A:$A, 0), 1)</f>
        <v>2018-11-21</v>
      </c>
      <c r="S204" s="50" t="str">
        <f aca="false">INDEX(samples!$D:$D,MATCH(B204, samples!$A:$A,0),1)</f>
        <v>blood</v>
      </c>
      <c r="T204" s="51"/>
      <c r="V204" s="33" t="s">
        <v>427</v>
      </c>
      <c r="X204" s="8"/>
      <c r="Y204" s="8" t="s">
        <v>3150</v>
      </c>
      <c r="Z204" s="8" t="n">
        <v>0</v>
      </c>
      <c r="AA204" s="8" t="n">
        <v>0</v>
      </c>
      <c r="AB204" s="8" t="n">
        <v>0</v>
      </c>
    </row>
    <row r="205" customFormat="false" ht="13.8" hidden="false" customHeight="false" outlineLevel="0" collapsed="false">
      <c r="A205" s="48" t="s">
        <v>3359</v>
      </c>
      <c r="B205" s="41" t="s">
        <v>2036</v>
      </c>
      <c r="C205" s="0" t="s">
        <v>1824</v>
      </c>
      <c r="D205" s="0" t="s">
        <v>3271</v>
      </c>
      <c r="H205" s="0" t="s">
        <v>3272</v>
      </c>
      <c r="I205" s="0" t="s">
        <v>1002</v>
      </c>
      <c r="J205" s="0" t="s">
        <v>427</v>
      </c>
      <c r="K205" s="0" t="s">
        <v>427</v>
      </c>
      <c r="M205" s="44" t="str">
        <f aca="false">INDEX(fastqs!$A:$A, MATCH(A205, fastqs!$B:$B, 0), 1)</f>
        <v>new_HiSeqW43_Undetermined_R6000292_L004_R1_001_TCCT.fastq.gz</v>
      </c>
      <c r="N205" s="44" t="str">
        <f aca="false">INDEX(fastqs!$C:$C, MATCH(A205, fastqs!$B:$B, 0), 1)</f>
        <v>GET</v>
      </c>
      <c r="O205" s="44" t="str">
        <f aca="false">INDEX(samples!$B:$B, MATCH(B205, samples!$A:$A, 0), 1)</f>
        <v>par0081</v>
      </c>
      <c r="P205" s="44" t="str">
        <f aca="false">INDEX(participants!$I:$I, MATCH(O205, participants!$A:$A, 0), 1)</f>
        <v>nf564</v>
      </c>
      <c r="Q205" s="44" t="n">
        <f aca="false">INDEX(samples!$F:$F, MATCH(B205, samples!$A:$A, 0), 1)</f>
        <v>0</v>
      </c>
      <c r="R205" s="49" t="str">
        <f aca="false">INDEX(samples!$C:$C, MATCH(B205, samples!$A:$A, 0), 1)</f>
        <v>GET</v>
      </c>
      <c r="S205" s="50" t="str">
        <f aca="false">INDEX(samples!$D:$D,MATCH(B205, samples!$A:$A,0),1)</f>
        <v>tumor</v>
      </c>
      <c r="T205" s="51"/>
      <c r="V205" s="33" t="s">
        <v>427</v>
      </c>
      <c r="X205" s="8"/>
      <c r="Y205" s="8" t="s">
        <v>3150</v>
      </c>
      <c r="Z205" s="8" t="n">
        <v>0</v>
      </c>
      <c r="AA205" s="8" t="n">
        <v>0</v>
      </c>
      <c r="AB205" s="8" t="n">
        <v>0</v>
      </c>
    </row>
    <row r="206" customFormat="false" ht="13.8" hidden="false" customHeight="false" outlineLevel="0" collapsed="false">
      <c r="A206" s="48" t="s">
        <v>3360</v>
      </c>
      <c r="B206" s="41" t="s">
        <v>2035</v>
      </c>
      <c r="C206" s="0" t="s">
        <v>3215</v>
      </c>
      <c r="D206" s="0" t="s">
        <v>3271</v>
      </c>
      <c r="H206" s="0" t="s">
        <v>3272</v>
      </c>
      <c r="I206" s="0" t="s">
        <v>1002</v>
      </c>
      <c r="J206" s="0" t="s">
        <v>427</v>
      </c>
      <c r="K206" s="0" t="s">
        <v>427</v>
      </c>
      <c r="M206" s="44" t="str">
        <f aca="false">INDEX(fastqs!$A:$A, MATCH(A206, fastqs!$B:$B, 0), 1)</f>
        <v>new_HiSeqW43_Undetermined_R6000292_L004_R1_001_TGTG.fastq.gz</v>
      </c>
      <c r="N206" s="44" t="str">
        <f aca="false">INDEX(fastqs!$C:$C, MATCH(A206, fastqs!$B:$B, 0), 1)</f>
        <v>GET</v>
      </c>
      <c r="O206" s="44" t="str">
        <f aca="false">INDEX(samples!$B:$B, MATCH(B206, samples!$A:$A, 0), 1)</f>
        <v>par0081</v>
      </c>
      <c r="P206" s="44" t="str">
        <f aca="false">INDEX(participants!$I:$I, MATCH(O206, participants!$A:$A, 0), 1)</f>
        <v>nf564</v>
      </c>
      <c r="Q206" s="44" t="n">
        <f aca="false">INDEX(samples!$F:$F, MATCH(B206, samples!$A:$A, 0), 1)</f>
        <v>0</v>
      </c>
      <c r="R206" s="49" t="str">
        <f aca="false">INDEX(samples!$C:$C, MATCH(B206, samples!$A:$A, 0), 1)</f>
        <v>GET</v>
      </c>
      <c r="S206" s="50" t="str">
        <f aca="false">INDEX(samples!$D:$D,MATCH(B206, samples!$A:$A,0),1)</f>
        <v>blood</v>
      </c>
      <c r="T206" s="51"/>
      <c r="V206" s="33" t="s">
        <v>427</v>
      </c>
      <c r="X206" s="8"/>
      <c r="Y206" s="8" t="s">
        <v>3150</v>
      </c>
      <c r="Z206" s="8" t="n">
        <v>0</v>
      </c>
      <c r="AA206" s="8" t="n">
        <v>0</v>
      </c>
      <c r="AB206" s="8" t="n">
        <v>0</v>
      </c>
    </row>
    <row r="207" customFormat="false" ht="13.8" hidden="false" customHeight="false" outlineLevel="0" collapsed="false">
      <c r="A207" s="48" t="s">
        <v>3361</v>
      </c>
      <c r="B207" s="41" t="s">
        <v>2037</v>
      </c>
      <c r="C207" s="0" t="s">
        <v>3147</v>
      </c>
      <c r="D207" s="0" t="s">
        <v>3148</v>
      </c>
      <c r="H207" s="0" t="s">
        <v>3272</v>
      </c>
      <c r="I207" s="0" t="s">
        <v>3150</v>
      </c>
      <c r="J207" s="0" t="s">
        <v>427</v>
      </c>
      <c r="K207" s="0" t="s">
        <v>427</v>
      </c>
      <c r="M207" s="44" t="str">
        <f aca="false">INDEX(fastqs!$A:$A, MATCH(A207, fastqs!$B:$B, 0), 1)</f>
        <v>10_JS0107CD090319_R1.fastq.gz</v>
      </c>
      <c r="N207" s="44" t="str">
        <f aca="false">INDEX(fastqs!$C:$C, MATCH(A207, fastqs!$B:$B, 0), 1)</f>
        <v>GET</v>
      </c>
      <c r="O207" s="44" t="str">
        <f aca="false">INDEX(samples!$B:$B, MATCH(B207, samples!$A:$A, 0), 1)</f>
        <v>par0138</v>
      </c>
      <c r="P207" s="44" t="e">
        <f aca="false">INDEX(participants!$I:$I, MATCH(O207, participants!$A:$A, 0), 1)</f>
        <v>#N/A</v>
      </c>
      <c r="Q207" s="44" t="n">
        <f aca="false">INDEX(samples!$F:$F, MATCH(B207, samples!$A:$A, 0), 1)</f>
        <v>0</v>
      </c>
      <c r="R207" s="49" t="str">
        <f aca="false">INDEX(samples!$C:$C, MATCH(B207, samples!$A:$A, 0), 1)</f>
        <v>2019-09-03</v>
      </c>
      <c r="S207" s="50" t="str">
        <f aca="false">INDEX(samples!$D:$D,MATCH(B207, samples!$A:$A,0),1)</f>
        <v>blood</v>
      </c>
      <c r="T207" s="51" t="s">
        <v>427</v>
      </c>
      <c r="V207" s="33" t="s">
        <v>427</v>
      </c>
      <c r="X207" s="8"/>
      <c r="Y207" s="8" t="s">
        <v>1002</v>
      </c>
      <c r="Z207" s="8" t="n">
        <v>0</v>
      </c>
      <c r="AA207" s="8" t="n">
        <v>0</v>
      </c>
      <c r="AB207" s="8" t="n">
        <v>0</v>
      </c>
    </row>
    <row r="208" customFormat="false" ht="13.8" hidden="false" customHeight="false" outlineLevel="0" collapsed="false">
      <c r="A208" s="48" t="s">
        <v>3362</v>
      </c>
      <c r="B208" s="41" t="s">
        <v>2040</v>
      </c>
      <c r="C208" s="0" t="s">
        <v>3147</v>
      </c>
      <c r="D208" s="0" t="s">
        <v>3148</v>
      </c>
      <c r="H208" s="0" t="s">
        <v>3201</v>
      </c>
      <c r="I208" s="0" t="s">
        <v>3150</v>
      </c>
      <c r="J208" s="0" t="s">
        <v>427</v>
      </c>
      <c r="K208" s="0" t="s">
        <v>427</v>
      </c>
      <c r="M208" s="44" t="str">
        <f aca="false">INDEX(fastqs!$A:$A, MATCH(A208, fastqs!$B:$B, 0), 1)</f>
        <v>11_JS0107CD100319_R1.fastq.gz</v>
      </c>
      <c r="N208" s="44" t="str">
        <f aca="false">INDEX(fastqs!$C:$C, MATCH(A208, fastqs!$B:$B, 0), 1)</f>
        <v>GET</v>
      </c>
      <c r="O208" s="44" t="str">
        <f aca="false">INDEX(samples!$B:$B, MATCH(B208, samples!$A:$A, 0), 1)</f>
        <v>par0138</v>
      </c>
      <c r="P208" s="44" t="e">
        <f aca="false">INDEX(participants!$I:$I, MATCH(O208, participants!$A:$A, 0), 1)</f>
        <v>#N/A</v>
      </c>
      <c r="Q208" s="44" t="n">
        <f aca="false">INDEX(samples!$F:$F, MATCH(B208, samples!$A:$A, 0), 1)</f>
        <v>0</v>
      </c>
      <c r="R208" s="49" t="str">
        <f aca="false">INDEX(samples!$C:$C, MATCH(B208, samples!$A:$A, 0), 1)</f>
        <v>2019-10-03</v>
      </c>
      <c r="S208" s="50" t="str">
        <f aca="false">INDEX(samples!$D:$D,MATCH(B208, samples!$A:$A,0),1)</f>
        <v>blood</v>
      </c>
      <c r="T208" s="51" t="s">
        <v>427</v>
      </c>
      <c r="V208" s="33" t="s">
        <v>427</v>
      </c>
      <c r="X208" s="8"/>
      <c r="Y208" s="8" t="s">
        <v>1002</v>
      </c>
      <c r="Z208" s="8" t="n">
        <v>0</v>
      </c>
      <c r="AA208" s="8" t="n">
        <v>0</v>
      </c>
      <c r="AB208" s="8" t="n">
        <v>0</v>
      </c>
    </row>
    <row r="209" customFormat="false" ht="13.8" hidden="false" customHeight="false" outlineLevel="0" collapsed="false">
      <c r="A209" s="48" t="s">
        <v>3363</v>
      </c>
      <c r="B209" s="41" t="s">
        <v>2042</v>
      </c>
      <c r="C209" s="0" t="s">
        <v>3147</v>
      </c>
      <c r="D209" s="0" t="s">
        <v>3148</v>
      </c>
      <c r="H209" s="0" t="s">
        <v>3272</v>
      </c>
      <c r="I209" s="0" t="s">
        <v>3150</v>
      </c>
      <c r="J209" s="0" t="s">
        <v>427</v>
      </c>
      <c r="K209" s="0" t="s">
        <v>427</v>
      </c>
      <c r="M209" s="44" t="str">
        <f aca="false">INDEX(fastqs!$A:$A, MATCH(A209, fastqs!$B:$B, 0), 1)</f>
        <v>12_JS0107CD112519_R1.fastq.gz</v>
      </c>
      <c r="N209" s="44" t="str">
        <f aca="false">INDEX(fastqs!$C:$C, MATCH(A209, fastqs!$B:$B, 0), 1)</f>
        <v>GET</v>
      </c>
      <c r="O209" s="44" t="str">
        <f aca="false">INDEX(samples!$B:$B, MATCH(B209, samples!$A:$A, 0), 1)</f>
        <v>par0138</v>
      </c>
      <c r="P209" s="44" t="e">
        <f aca="false">INDEX(participants!$I:$I, MATCH(O209, participants!$A:$A, 0), 1)</f>
        <v>#N/A</v>
      </c>
      <c r="Q209" s="44" t="n">
        <f aca="false">INDEX(samples!$F:$F, MATCH(B209, samples!$A:$A, 0), 1)</f>
        <v>0</v>
      </c>
      <c r="R209" s="49" t="str">
        <f aca="false">INDEX(samples!$C:$C, MATCH(B209, samples!$A:$A, 0), 1)</f>
        <v>2019-11-25</v>
      </c>
      <c r="S209" s="50" t="str">
        <f aca="false">INDEX(samples!$D:$D,MATCH(B209, samples!$A:$A,0),1)</f>
        <v>blood</v>
      </c>
      <c r="T209" s="51" t="s">
        <v>427</v>
      </c>
      <c r="V209" s="33" t="s">
        <v>427</v>
      </c>
      <c r="X209" s="8"/>
      <c r="Y209" s="8" t="s">
        <v>1002</v>
      </c>
      <c r="Z209" s="8" t="n">
        <v>0</v>
      </c>
      <c r="AA209" s="8" t="n">
        <v>0</v>
      </c>
      <c r="AB209" s="8" t="n">
        <v>0</v>
      </c>
    </row>
    <row r="210" customFormat="false" ht="13.8" hidden="false" customHeight="false" outlineLevel="0" collapsed="false">
      <c r="A210" s="48" t="s">
        <v>3364</v>
      </c>
      <c r="B210" s="41" t="s">
        <v>2043</v>
      </c>
      <c r="C210" s="0" t="s">
        <v>3147</v>
      </c>
      <c r="D210" s="0" t="s">
        <v>3148</v>
      </c>
      <c r="H210" s="0" t="s">
        <v>3272</v>
      </c>
      <c r="I210" s="0" t="s">
        <v>3150</v>
      </c>
      <c r="J210" s="0" t="s">
        <v>427</v>
      </c>
      <c r="K210" s="0" t="s">
        <v>427</v>
      </c>
      <c r="M210" s="44" t="str">
        <f aca="false">INDEX(fastqs!$A:$A, MATCH(A210, fastqs!$B:$B, 0), 1)</f>
        <v>13_JS0105CD080519_R1.fastq.gz</v>
      </c>
      <c r="N210" s="44" t="str">
        <f aca="false">INDEX(fastqs!$C:$C, MATCH(A210, fastqs!$B:$B, 0), 1)</f>
        <v>GET</v>
      </c>
      <c r="O210" s="44" t="str">
        <f aca="false">INDEX(samples!$B:$B, MATCH(B210, samples!$A:$A, 0), 1)</f>
        <v>par0011</v>
      </c>
      <c r="P210" s="44" t="str">
        <f aca="false">INDEX(participants!$I:$I, MATCH(O210, participants!$A:$A, 0), 1)</f>
        <v>js0105</v>
      </c>
      <c r="Q210" s="44" t="n">
        <f aca="false">INDEX(samples!$F:$F, MATCH(B210, samples!$A:$A, 0), 1)</f>
        <v>0</v>
      </c>
      <c r="R210" s="49" t="str">
        <f aca="false">INDEX(samples!$C:$C, MATCH(B210, samples!$A:$A, 0), 1)</f>
        <v>2019-08-05</v>
      </c>
      <c r="S210" s="50" t="str">
        <f aca="false">INDEX(samples!$D:$D,MATCH(B210, samples!$A:$A,0),1)</f>
        <v>blood</v>
      </c>
      <c r="T210" s="51" t="s">
        <v>427</v>
      </c>
      <c r="V210" s="33" t="s">
        <v>427</v>
      </c>
      <c r="X210" s="8"/>
      <c r="Y210" s="8" t="s">
        <v>1002</v>
      </c>
      <c r="Z210" s="8" t="n">
        <v>0</v>
      </c>
      <c r="AA210" s="8" t="n">
        <v>0</v>
      </c>
      <c r="AB210" s="8" t="n">
        <v>0</v>
      </c>
    </row>
    <row r="211" customFormat="false" ht="13.8" hidden="false" customHeight="false" outlineLevel="0" collapsed="false">
      <c r="A211" s="48" t="s">
        <v>3365</v>
      </c>
      <c r="B211" s="41" t="s">
        <v>2045</v>
      </c>
      <c r="C211" s="0" t="s">
        <v>3147</v>
      </c>
      <c r="D211" s="0" t="s">
        <v>3148</v>
      </c>
      <c r="H211" s="0" t="s">
        <v>3272</v>
      </c>
      <c r="I211" s="0" t="s">
        <v>3150</v>
      </c>
      <c r="J211" s="0" t="s">
        <v>427</v>
      </c>
      <c r="K211" s="0" t="s">
        <v>427</v>
      </c>
      <c r="M211" s="44" t="str">
        <f aca="false">INDEX(fastqs!$A:$A, MATCH(A211, fastqs!$B:$B, 0), 1)</f>
        <v>15_JS0023CD082219_R1.fastq.gz</v>
      </c>
      <c r="N211" s="44" t="str">
        <f aca="false">INDEX(fastqs!$C:$C, MATCH(A211, fastqs!$B:$B, 0), 1)</f>
        <v>GET</v>
      </c>
      <c r="O211" s="44" t="str">
        <f aca="false">INDEX(samples!$B:$B, MATCH(B211, samples!$A:$A, 0), 1)</f>
        <v>par0139</v>
      </c>
      <c r="P211" s="44" t="e">
        <f aca="false">INDEX(participants!$I:$I, MATCH(O211, participants!$A:$A, 0), 1)</f>
        <v>#N/A</v>
      </c>
      <c r="Q211" s="44" t="n">
        <f aca="false">INDEX(samples!$F:$F, MATCH(B211, samples!$A:$A, 0), 1)</f>
        <v>0</v>
      </c>
      <c r="R211" s="49" t="str">
        <f aca="false">INDEX(samples!$C:$C, MATCH(B211, samples!$A:$A, 0), 1)</f>
        <v>2019-08-22</v>
      </c>
      <c r="S211" s="50" t="str">
        <f aca="false">INDEX(samples!$D:$D,MATCH(B211, samples!$A:$A,0),1)</f>
        <v>blood</v>
      </c>
      <c r="T211" s="51" t="s">
        <v>427</v>
      </c>
      <c r="V211" s="33" t="s">
        <v>427</v>
      </c>
      <c r="X211" s="8"/>
      <c r="Y211" s="8" t="s">
        <v>1002</v>
      </c>
      <c r="Z211" s="8" t="n">
        <v>0</v>
      </c>
      <c r="AA211" s="8" t="n">
        <v>0</v>
      </c>
      <c r="AB211" s="8" t="n">
        <v>0</v>
      </c>
    </row>
    <row r="212" customFormat="false" ht="13.8" hidden="false" customHeight="false" outlineLevel="0" collapsed="false">
      <c r="A212" s="48" t="s">
        <v>3366</v>
      </c>
      <c r="B212" s="41" t="s">
        <v>2048</v>
      </c>
      <c r="C212" s="0" t="s">
        <v>3147</v>
      </c>
      <c r="D212" s="0" t="s">
        <v>3148</v>
      </c>
      <c r="H212" s="0" t="s">
        <v>3272</v>
      </c>
      <c r="I212" s="0" t="s">
        <v>3150</v>
      </c>
      <c r="J212" s="0" t="s">
        <v>427</v>
      </c>
      <c r="K212" s="0" t="s">
        <v>427</v>
      </c>
      <c r="M212" s="44" t="str">
        <f aca="false">INDEX(fastqs!$A:$A, MATCH(A212, fastqs!$B:$B, 0), 1)</f>
        <v>17_JS0106CD092319_R1.fastq.gz</v>
      </c>
      <c r="N212" s="44" t="str">
        <f aca="false">INDEX(fastqs!$C:$C, MATCH(A212, fastqs!$B:$B, 0), 1)</f>
        <v>GET</v>
      </c>
      <c r="O212" s="44" t="str">
        <f aca="false">INDEX(samples!$B:$B, MATCH(B212, samples!$A:$A, 0), 1)</f>
        <v>par0140</v>
      </c>
      <c r="P212" s="44" t="e">
        <f aca="false">INDEX(participants!$I:$I, MATCH(O212, participants!$A:$A, 0), 1)</f>
        <v>#N/A</v>
      </c>
      <c r="Q212" s="44" t="n">
        <f aca="false">INDEX(samples!$F:$F, MATCH(B212, samples!$A:$A, 0), 1)</f>
        <v>0</v>
      </c>
      <c r="R212" s="49" t="str">
        <f aca="false">INDEX(samples!$C:$C, MATCH(B212, samples!$A:$A, 0), 1)</f>
        <v>2019-09-23</v>
      </c>
      <c r="S212" s="50" t="str">
        <f aca="false">INDEX(samples!$D:$D,MATCH(B212, samples!$A:$A,0),1)</f>
        <v>blood</v>
      </c>
      <c r="T212" s="51" t="s">
        <v>427</v>
      </c>
      <c r="V212" s="33" t="s">
        <v>427</v>
      </c>
      <c r="X212" s="8"/>
      <c r="Y212" s="8" t="s">
        <v>1002</v>
      </c>
      <c r="Z212" s="8" t="n">
        <v>0</v>
      </c>
      <c r="AA212" s="8" t="n">
        <v>0</v>
      </c>
      <c r="AB212" s="8" t="n">
        <v>0</v>
      </c>
    </row>
    <row r="213" customFormat="false" ht="13.8" hidden="false" customHeight="false" outlineLevel="0" collapsed="false">
      <c r="A213" s="48" t="s">
        <v>3367</v>
      </c>
      <c r="B213" s="41" t="s">
        <v>2051</v>
      </c>
      <c r="C213" s="0" t="s">
        <v>3147</v>
      </c>
      <c r="D213" s="0" t="s">
        <v>3148</v>
      </c>
      <c r="H213" s="0" t="s">
        <v>3272</v>
      </c>
      <c r="I213" s="0" t="s">
        <v>3150</v>
      </c>
      <c r="J213" s="0" t="s">
        <v>427</v>
      </c>
      <c r="K213" s="0" t="s">
        <v>427</v>
      </c>
      <c r="M213" s="44" t="str">
        <f aca="false">INDEX(fastqs!$A:$A, MATCH(A213, fastqs!$B:$B, 0), 1)</f>
        <v>1_JS0053CD112019_R1.fastq.gz</v>
      </c>
      <c r="N213" s="44" t="str">
        <f aca="false">INDEX(fastqs!$C:$C, MATCH(A213, fastqs!$B:$B, 0), 1)</f>
        <v>GET</v>
      </c>
      <c r="O213" s="44" t="str">
        <f aca="false">INDEX(samples!$B:$B, MATCH(B213, samples!$A:$A, 0), 1)</f>
        <v>par0010</v>
      </c>
      <c r="P213" s="44" t="str">
        <f aca="false">INDEX(participants!$I:$I, MATCH(O213, participants!$A:$A, 0), 1)</f>
        <v>js0053</v>
      </c>
      <c r="Q213" s="44" t="n">
        <f aca="false">INDEX(samples!$F:$F, MATCH(B213, samples!$A:$A, 0), 1)</f>
        <v>0</v>
      </c>
      <c r="R213" s="49" t="str">
        <f aca="false">INDEX(samples!$C:$C, MATCH(B213, samples!$A:$A, 0), 1)</f>
        <v>2019-11-20</v>
      </c>
      <c r="S213" s="50" t="str">
        <f aca="false">INDEX(samples!$D:$D,MATCH(B213, samples!$A:$A,0),1)</f>
        <v>blood</v>
      </c>
      <c r="T213" s="51" t="s">
        <v>427</v>
      </c>
      <c r="V213" s="33" t="s">
        <v>427</v>
      </c>
      <c r="X213" s="8"/>
      <c r="Y213" s="8" t="s">
        <v>1002</v>
      </c>
      <c r="Z213" s="8" t="n">
        <v>0</v>
      </c>
      <c r="AA213" s="8" t="n">
        <v>0</v>
      </c>
      <c r="AB213" s="8" t="n">
        <v>0</v>
      </c>
    </row>
    <row r="214" customFormat="false" ht="13.8" hidden="false" customHeight="false" outlineLevel="0" collapsed="false">
      <c r="A214" s="48" t="s">
        <v>3368</v>
      </c>
      <c r="B214" s="41" t="s">
        <v>2053</v>
      </c>
      <c r="C214" s="0" t="s">
        <v>3147</v>
      </c>
      <c r="D214" s="0" t="s">
        <v>3148</v>
      </c>
      <c r="H214" s="0" t="s">
        <v>3272</v>
      </c>
      <c r="I214" s="0" t="s">
        <v>3150</v>
      </c>
      <c r="J214" s="0" t="s">
        <v>427</v>
      </c>
      <c r="K214" s="0" t="s">
        <v>427</v>
      </c>
      <c r="M214" s="44" t="str">
        <f aca="false">INDEX(fastqs!$A:$A, MATCH(A214, fastqs!$B:$B, 0), 1)</f>
        <v>29_JS0045CD030818_R1.fastq.gz</v>
      </c>
      <c r="N214" s="44" t="str">
        <f aca="false">INDEX(fastqs!$C:$C, MATCH(A214, fastqs!$B:$B, 0), 1)</f>
        <v>GET</v>
      </c>
      <c r="O214" s="44" t="str">
        <f aca="false">INDEX(samples!$B:$B, MATCH(B214, samples!$A:$A, 0), 1)</f>
        <v>par0009</v>
      </c>
      <c r="P214" s="44" t="str">
        <f aca="false">INDEX(participants!$I:$I, MATCH(O214, participants!$A:$A, 0), 1)</f>
        <v>js0045</v>
      </c>
      <c r="Q214" s="44" t="n">
        <f aca="false">INDEX(samples!$F:$F, MATCH(B214, samples!$A:$A, 0), 1)</f>
        <v>0</v>
      </c>
      <c r="R214" s="49" t="str">
        <f aca="false">INDEX(samples!$C:$C, MATCH(B214, samples!$A:$A, 0), 1)</f>
        <v>2018-03-08</v>
      </c>
      <c r="S214" s="50" t="str">
        <f aca="false">INDEX(samples!$D:$D,MATCH(B214, samples!$A:$A,0),1)</f>
        <v>blood</v>
      </c>
      <c r="T214" s="51" t="s">
        <v>427</v>
      </c>
      <c r="V214" s="33" t="s">
        <v>427</v>
      </c>
      <c r="X214" s="8"/>
      <c r="Y214" s="8" t="s">
        <v>1002</v>
      </c>
      <c r="Z214" s="8" t="n">
        <v>0</v>
      </c>
      <c r="AA214" s="8" t="n">
        <v>0</v>
      </c>
      <c r="AB214" s="8" t="n">
        <v>0</v>
      </c>
    </row>
    <row r="215" customFormat="false" ht="13.8" hidden="false" customHeight="false" outlineLevel="0" collapsed="false">
      <c r="A215" s="48" t="s">
        <v>3369</v>
      </c>
      <c r="B215" s="41" t="s">
        <v>2055</v>
      </c>
      <c r="C215" s="0" t="s">
        <v>3147</v>
      </c>
      <c r="D215" s="0" t="s">
        <v>3148</v>
      </c>
      <c r="H215" s="0" t="s">
        <v>3272</v>
      </c>
      <c r="I215" s="0" t="s">
        <v>3150</v>
      </c>
      <c r="J215" s="0" t="s">
        <v>427</v>
      </c>
      <c r="K215" s="0" t="s">
        <v>427</v>
      </c>
      <c r="M215" s="44" t="str">
        <f aca="false">INDEX(fastqs!$A:$A, MATCH(A215, fastqs!$B:$B, 0), 1)</f>
        <v>2_JS0104CD101119_R1.fastq.gz</v>
      </c>
      <c r="N215" s="44" t="str">
        <f aca="false">INDEX(fastqs!$C:$C, MATCH(A215, fastqs!$B:$B, 0), 1)</f>
        <v>GET</v>
      </c>
      <c r="O215" s="44" t="str">
        <f aca="false">INDEX(samples!$B:$B, MATCH(B215, samples!$A:$A, 0), 1)</f>
        <v>par0141</v>
      </c>
      <c r="P215" s="44" t="e">
        <f aca="false">INDEX(participants!$I:$I, MATCH(O215, participants!$A:$A, 0), 1)</f>
        <v>#N/A</v>
      </c>
      <c r="Q215" s="44" t="n">
        <f aca="false">INDEX(samples!$F:$F, MATCH(B215, samples!$A:$A, 0), 1)</f>
        <v>0</v>
      </c>
      <c r="R215" s="49" t="str">
        <f aca="false">INDEX(samples!$C:$C, MATCH(B215, samples!$A:$A, 0), 1)</f>
        <v>2019-10-11</v>
      </c>
      <c r="S215" s="50" t="str">
        <f aca="false">INDEX(samples!$D:$D,MATCH(B215, samples!$A:$A,0),1)</f>
        <v>blood</v>
      </c>
      <c r="T215" s="51" t="s">
        <v>427</v>
      </c>
      <c r="V215" s="33" t="s">
        <v>427</v>
      </c>
      <c r="X215" s="8"/>
      <c r="Y215" s="8" t="s">
        <v>1002</v>
      </c>
      <c r="Z215" s="8" t="n">
        <v>0</v>
      </c>
      <c r="AA215" s="8" t="n">
        <v>0</v>
      </c>
      <c r="AB215" s="8" t="n">
        <v>0</v>
      </c>
    </row>
    <row r="216" customFormat="false" ht="13.8" hidden="false" customHeight="false" outlineLevel="0" collapsed="false">
      <c r="A216" s="48" t="s">
        <v>3370</v>
      </c>
      <c r="B216" s="41" t="s">
        <v>2058</v>
      </c>
      <c r="C216" s="0" t="s">
        <v>3147</v>
      </c>
      <c r="D216" s="0" t="s">
        <v>3148</v>
      </c>
      <c r="H216" s="0" t="s">
        <v>3272</v>
      </c>
      <c r="I216" s="0" t="s">
        <v>3150</v>
      </c>
      <c r="J216" s="0" t="s">
        <v>427</v>
      </c>
      <c r="K216" s="0" t="s">
        <v>427</v>
      </c>
      <c r="M216" s="44" t="str">
        <f aca="false">INDEX(fastqs!$A:$A, MATCH(A216, fastqs!$B:$B, 0), 1)</f>
        <v>30_JS0045CD090618_R1.fastq.gz</v>
      </c>
      <c r="N216" s="44" t="str">
        <f aca="false">INDEX(fastqs!$C:$C, MATCH(A216, fastqs!$B:$B, 0), 1)</f>
        <v>GET</v>
      </c>
      <c r="O216" s="44" t="str">
        <f aca="false">INDEX(samples!$B:$B, MATCH(B216, samples!$A:$A, 0), 1)</f>
        <v>par0009</v>
      </c>
      <c r="P216" s="44" t="str">
        <f aca="false">INDEX(participants!$I:$I, MATCH(O216, participants!$A:$A, 0), 1)</f>
        <v>js0045</v>
      </c>
      <c r="Q216" s="44" t="n">
        <f aca="false">INDEX(samples!$F:$F, MATCH(B216, samples!$A:$A, 0), 1)</f>
        <v>0</v>
      </c>
      <c r="R216" s="49" t="str">
        <f aca="false">INDEX(samples!$C:$C, MATCH(B216, samples!$A:$A, 0), 1)</f>
        <v>2018-09-06</v>
      </c>
      <c r="S216" s="50" t="str">
        <f aca="false">INDEX(samples!$D:$D,MATCH(B216, samples!$A:$A,0),1)</f>
        <v>blood</v>
      </c>
      <c r="T216" s="51" t="s">
        <v>427</v>
      </c>
      <c r="V216" s="33" t="s">
        <v>427</v>
      </c>
      <c r="X216" s="8"/>
      <c r="Y216" s="8" t="s">
        <v>1002</v>
      </c>
      <c r="Z216" s="8" t="n">
        <v>0</v>
      </c>
      <c r="AA216" s="8" t="n">
        <v>0</v>
      </c>
      <c r="AB216" s="8" t="n">
        <v>0</v>
      </c>
    </row>
    <row r="217" customFormat="false" ht="13.8" hidden="false" customHeight="false" outlineLevel="0" collapsed="false">
      <c r="A217" s="48" t="s">
        <v>3371</v>
      </c>
      <c r="B217" s="41" t="s">
        <v>2059</v>
      </c>
      <c r="C217" s="0" t="s">
        <v>3147</v>
      </c>
      <c r="D217" s="0" t="s">
        <v>3148</v>
      </c>
      <c r="H217" s="0" t="s">
        <v>3272</v>
      </c>
      <c r="I217" s="0" t="s">
        <v>3150</v>
      </c>
      <c r="J217" s="0" t="s">
        <v>427</v>
      </c>
      <c r="K217" s="0" t="s">
        <v>427</v>
      </c>
      <c r="M217" s="44" t="str">
        <f aca="false">INDEX(fastqs!$A:$A, MATCH(A217, fastqs!$B:$B, 0), 1)</f>
        <v>31_JS0045CD110216_R1.fastq.gz</v>
      </c>
      <c r="N217" s="44" t="str">
        <f aca="false">INDEX(fastqs!$C:$C, MATCH(A217, fastqs!$B:$B, 0), 1)</f>
        <v>GET</v>
      </c>
      <c r="O217" s="44" t="str">
        <f aca="false">INDEX(samples!$B:$B, MATCH(B217, samples!$A:$A, 0), 1)</f>
        <v>par0009</v>
      </c>
      <c r="P217" s="44" t="str">
        <f aca="false">INDEX(participants!$I:$I, MATCH(O217, participants!$A:$A, 0), 1)</f>
        <v>js0045</v>
      </c>
      <c r="Q217" s="44" t="n">
        <f aca="false">INDEX(samples!$F:$F, MATCH(B217, samples!$A:$A, 0), 1)</f>
        <v>0</v>
      </c>
      <c r="R217" s="49" t="str">
        <f aca="false">INDEX(samples!$C:$C, MATCH(B217, samples!$A:$A, 0), 1)</f>
        <v>2016-11-02</v>
      </c>
      <c r="S217" s="50" t="str">
        <f aca="false">INDEX(samples!$D:$D,MATCH(B217, samples!$A:$A,0),1)</f>
        <v>blood</v>
      </c>
      <c r="T217" s="51" t="s">
        <v>427</v>
      </c>
      <c r="V217" s="33" t="s">
        <v>427</v>
      </c>
      <c r="X217" s="8"/>
      <c r="Y217" s="8" t="s">
        <v>1002</v>
      </c>
      <c r="Z217" s="8" t="n">
        <v>0</v>
      </c>
      <c r="AA217" s="8" t="n">
        <v>0</v>
      </c>
      <c r="AB217" s="8" t="n">
        <v>0</v>
      </c>
    </row>
    <row r="218" customFormat="false" ht="13.8" hidden="false" customHeight="false" outlineLevel="0" collapsed="false">
      <c r="A218" s="48" t="s">
        <v>3372</v>
      </c>
      <c r="B218" s="41" t="s">
        <v>2061</v>
      </c>
      <c r="C218" s="0" t="s">
        <v>3147</v>
      </c>
      <c r="D218" s="0" t="s">
        <v>3148</v>
      </c>
      <c r="H218" s="0" t="s">
        <v>3272</v>
      </c>
      <c r="I218" s="0" t="s">
        <v>3150</v>
      </c>
      <c r="J218" s="0" t="s">
        <v>427</v>
      </c>
      <c r="K218" s="0" t="s">
        <v>427</v>
      </c>
      <c r="M218" s="44" t="str">
        <f aca="false">INDEX(fastqs!$A:$A, MATCH(A218, fastqs!$B:$B, 0), 1)</f>
        <v>3_JS0104CD101219_R1.fastq.gz</v>
      </c>
      <c r="N218" s="44" t="str">
        <f aca="false">INDEX(fastqs!$C:$C, MATCH(A218, fastqs!$B:$B, 0), 1)</f>
        <v>GET</v>
      </c>
      <c r="O218" s="44" t="str">
        <f aca="false">INDEX(samples!$B:$B, MATCH(B218, samples!$A:$A, 0), 1)</f>
        <v>par0141</v>
      </c>
      <c r="P218" s="44" t="e">
        <f aca="false">INDEX(participants!$I:$I, MATCH(O218, participants!$A:$A, 0), 1)</f>
        <v>#N/A</v>
      </c>
      <c r="Q218" s="44" t="n">
        <f aca="false">INDEX(samples!$F:$F, MATCH(B218, samples!$A:$A, 0), 1)</f>
        <v>0</v>
      </c>
      <c r="R218" s="49" t="str">
        <f aca="false">INDEX(samples!$C:$C, MATCH(B218, samples!$A:$A, 0), 1)</f>
        <v>2019-10-12</v>
      </c>
      <c r="S218" s="50" t="str">
        <f aca="false">INDEX(samples!$D:$D,MATCH(B218, samples!$A:$A,0),1)</f>
        <v>blood</v>
      </c>
      <c r="T218" s="51" t="s">
        <v>427</v>
      </c>
      <c r="V218" s="33" t="s">
        <v>427</v>
      </c>
      <c r="X218" s="8"/>
      <c r="Y218" s="8" t="s">
        <v>1002</v>
      </c>
      <c r="Z218" s="8" t="n">
        <v>0</v>
      </c>
      <c r="AA218" s="8" t="n">
        <v>0</v>
      </c>
      <c r="AB218" s="8" t="n">
        <v>0</v>
      </c>
    </row>
    <row r="219" customFormat="false" ht="13.8" hidden="false" customHeight="false" outlineLevel="0" collapsed="false">
      <c r="A219" s="48" t="s">
        <v>3373</v>
      </c>
      <c r="B219" s="41" t="s">
        <v>2063</v>
      </c>
      <c r="C219" s="0" t="s">
        <v>3147</v>
      </c>
      <c r="D219" s="0" t="s">
        <v>3148</v>
      </c>
      <c r="H219" s="0" t="s">
        <v>3272</v>
      </c>
      <c r="I219" s="0" t="s">
        <v>3150</v>
      </c>
      <c r="J219" s="0" t="s">
        <v>427</v>
      </c>
      <c r="K219" s="0" t="s">
        <v>427</v>
      </c>
      <c r="M219" s="44" t="str">
        <f aca="false">INDEX(fastqs!$A:$A, MATCH(A219, fastqs!$B:$B, 0), 1)</f>
        <v>4_JS0105CD111119_R1.fastq.gz</v>
      </c>
      <c r="N219" s="44" t="str">
        <f aca="false">INDEX(fastqs!$C:$C, MATCH(A219, fastqs!$B:$B, 0), 1)</f>
        <v>GET</v>
      </c>
      <c r="O219" s="44" t="str">
        <f aca="false">INDEX(samples!$B:$B, MATCH(B219, samples!$A:$A, 0), 1)</f>
        <v>par0011</v>
      </c>
      <c r="P219" s="44" t="str">
        <f aca="false">INDEX(participants!$I:$I, MATCH(O219, participants!$A:$A, 0), 1)</f>
        <v>js0105</v>
      </c>
      <c r="Q219" s="44" t="n">
        <f aca="false">INDEX(samples!$F:$F, MATCH(B219, samples!$A:$A, 0), 1)</f>
        <v>0</v>
      </c>
      <c r="R219" s="49" t="str">
        <f aca="false">INDEX(samples!$C:$C, MATCH(B219, samples!$A:$A, 0), 1)</f>
        <v>2019-11-11</v>
      </c>
      <c r="S219" s="50" t="str">
        <f aca="false">INDEX(samples!$D:$D,MATCH(B219, samples!$A:$A,0),1)</f>
        <v>blood</v>
      </c>
      <c r="T219" s="51" t="s">
        <v>427</v>
      </c>
      <c r="V219" s="33" t="s">
        <v>427</v>
      </c>
      <c r="X219" s="8"/>
      <c r="Y219" s="8" t="s">
        <v>1002</v>
      </c>
      <c r="Z219" s="8" t="n">
        <v>0</v>
      </c>
      <c r="AA219" s="8" t="n">
        <v>0</v>
      </c>
      <c r="AB219" s="8" t="n">
        <v>0</v>
      </c>
    </row>
    <row r="220" customFormat="false" ht="13.8" hidden="false" customHeight="false" outlineLevel="0" collapsed="false">
      <c r="A220" s="48" t="s">
        <v>3374</v>
      </c>
      <c r="B220" s="41" t="s">
        <v>2065</v>
      </c>
      <c r="C220" s="0" t="s">
        <v>3147</v>
      </c>
      <c r="D220" s="0" t="s">
        <v>3148</v>
      </c>
      <c r="H220" s="0" t="s">
        <v>3272</v>
      </c>
      <c r="I220" s="0" t="s">
        <v>3150</v>
      </c>
      <c r="J220" s="0" t="s">
        <v>427</v>
      </c>
      <c r="K220" s="0" t="s">
        <v>427</v>
      </c>
      <c r="M220" s="44" t="str">
        <f aca="false">INDEX(fastqs!$A:$A, MATCH(A220, fastqs!$B:$B, 0), 1)</f>
        <v>53_JS0060CD110918_R1.fastq.gz</v>
      </c>
      <c r="N220" s="44" t="str">
        <f aca="false">INDEX(fastqs!$C:$C, MATCH(A220, fastqs!$B:$B, 0), 1)</f>
        <v>GET</v>
      </c>
      <c r="O220" s="44" t="str">
        <f aca="false">INDEX(samples!$B:$B, MATCH(B220, samples!$A:$A, 0), 1)</f>
        <v>par0127</v>
      </c>
      <c r="P220" s="44" t="e">
        <f aca="false">INDEX(participants!$I:$I, MATCH(O220, participants!$A:$A, 0), 1)</f>
        <v>#N/A</v>
      </c>
      <c r="Q220" s="44" t="n">
        <f aca="false">INDEX(samples!$F:$F, MATCH(B220, samples!$A:$A, 0), 1)</f>
        <v>0</v>
      </c>
      <c r="R220" s="49" t="str">
        <f aca="false">INDEX(samples!$C:$C, MATCH(B220, samples!$A:$A, 0), 1)</f>
        <v>2018-11-09</v>
      </c>
      <c r="S220" s="50" t="str">
        <f aca="false">INDEX(samples!$D:$D,MATCH(B220, samples!$A:$A,0),1)</f>
        <v>blood</v>
      </c>
      <c r="T220" s="51" t="s">
        <v>427</v>
      </c>
      <c r="V220" s="33" t="s">
        <v>427</v>
      </c>
      <c r="X220" s="8"/>
      <c r="Y220" s="8" t="s">
        <v>3150</v>
      </c>
      <c r="Z220" s="8" t="n">
        <v>0</v>
      </c>
      <c r="AA220" s="8" t="n">
        <v>0</v>
      </c>
      <c r="AB220" s="8" t="n">
        <v>0</v>
      </c>
    </row>
    <row r="221" customFormat="false" ht="13.8" hidden="false" customHeight="false" outlineLevel="0" collapsed="false">
      <c r="A221" s="48" t="s">
        <v>3375</v>
      </c>
      <c r="B221" s="41" t="s">
        <v>2067</v>
      </c>
      <c r="C221" s="0" t="s">
        <v>3147</v>
      </c>
      <c r="D221" s="0" t="s">
        <v>3148</v>
      </c>
      <c r="H221" s="0" t="s">
        <v>3272</v>
      </c>
      <c r="I221" s="0" t="s">
        <v>3150</v>
      </c>
      <c r="J221" s="0" t="s">
        <v>427</v>
      </c>
      <c r="K221" s="0" t="s">
        <v>427</v>
      </c>
      <c r="M221" s="44" t="str">
        <f aca="false">INDEX(fastqs!$A:$A, MATCH(A221, fastqs!$B:$B, 0), 1)</f>
        <v>5_JS0105CD111419_R1.fastq.gz</v>
      </c>
      <c r="N221" s="44" t="str">
        <f aca="false">INDEX(fastqs!$C:$C, MATCH(A221, fastqs!$B:$B, 0), 1)</f>
        <v>GET</v>
      </c>
      <c r="O221" s="44" t="str">
        <f aca="false">INDEX(samples!$B:$B, MATCH(B221, samples!$A:$A, 0), 1)</f>
        <v>par0011</v>
      </c>
      <c r="P221" s="44" t="str">
        <f aca="false">INDEX(participants!$I:$I, MATCH(O221, participants!$A:$A, 0), 1)</f>
        <v>js0105</v>
      </c>
      <c r="Q221" s="44" t="n">
        <f aca="false">INDEX(samples!$F:$F, MATCH(B221, samples!$A:$A, 0), 1)</f>
        <v>0</v>
      </c>
      <c r="R221" s="49" t="str">
        <f aca="false">INDEX(samples!$C:$C, MATCH(B221, samples!$A:$A, 0), 1)</f>
        <v>2019-11-14</v>
      </c>
      <c r="S221" s="50" t="str">
        <f aca="false">INDEX(samples!$D:$D,MATCH(B221, samples!$A:$A,0),1)</f>
        <v>blood</v>
      </c>
      <c r="T221" s="51" t="s">
        <v>427</v>
      </c>
      <c r="V221" s="33" t="s">
        <v>427</v>
      </c>
      <c r="X221" s="8"/>
      <c r="Y221" s="8" t="s">
        <v>1002</v>
      </c>
      <c r="Z221" s="8" t="n">
        <v>0</v>
      </c>
      <c r="AA221" s="8" t="n">
        <v>0</v>
      </c>
      <c r="AB221" s="8" t="n">
        <v>0</v>
      </c>
    </row>
    <row r="222" customFormat="false" ht="13.8" hidden="false" customHeight="false" outlineLevel="0" collapsed="false">
      <c r="A222" s="48" t="s">
        <v>3376</v>
      </c>
      <c r="B222" s="41" t="s">
        <v>2069</v>
      </c>
      <c r="C222" s="0" t="s">
        <v>3147</v>
      </c>
      <c r="D222" s="0" t="s">
        <v>3148</v>
      </c>
      <c r="H222" s="0" t="s">
        <v>3272</v>
      </c>
      <c r="I222" s="0" t="s">
        <v>3150</v>
      </c>
      <c r="J222" s="0" t="s">
        <v>427</v>
      </c>
      <c r="K222" s="0" t="n">
        <v>12</v>
      </c>
      <c r="M222" s="44" t="str">
        <f aca="false">INDEX(fastqs!$A:$A, MATCH(A222, fastqs!$B:$B, 0), 1)</f>
        <v>64_JS0072CD031618_R1.fastq.gz</v>
      </c>
      <c r="N222" s="44" t="str">
        <f aca="false">INDEX(fastqs!$C:$C, MATCH(A222, fastqs!$B:$B, 0), 1)</f>
        <v>GET</v>
      </c>
      <c r="O222" s="44" t="str">
        <f aca="false">INDEX(samples!$B:$B, MATCH(B222, samples!$A:$A, 0), 1)</f>
        <v>par0142</v>
      </c>
      <c r="P222" s="44" t="e">
        <f aca="false">INDEX(participants!$I:$I, MATCH(O222, participants!$A:$A, 0), 1)</f>
        <v>#N/A</v>
      </c>
      <c r="Q222" s="44" t="n">
        <f aca="false">INDEX(samples!$F:$F, MATCH(B222, samples!$A:$A, 0), 1)</f>
        <v>0</v>
      </c>
      <c r="R222" s="49" t="str">
        <f aca="false">INDEX(samples!$C:$C, MATCH(B222, samples!$A:$A, 0), 1)</f>
        <v>2018-03-16</v>
      </c>
      <c r="S222" s="50" t="str">
        <f aca="false">INDEX(samples!$D:$D,MATCH(B222, samples!$A:$A,0),1)</f>
        <v>blood</v>
      </c>
      <c r="T222" s="51" t="s">
        <v>427</v>
      </c>
      <c r="V222" s="33" t="s">
        <v>427</v>
      </c>
      <c r="X222" s="8"/>
      <c r="Y222" s="8" t="s">
        <v>1002</v>
      </c>
      <c r="Z222" s="8" t="n">
        <v>0</v>
      </c>
      <c r="AA222" s="8" t="n">
        <v>0</v>
      </c>
      <c r="AB222" s="8" t="n">
        <v>0</v>
      </c>
    </row>
    <row r="223" customFormat="false" ht="13.8" hidden="false" customHeight="false" outlineLevel="0" collapsed="false">
      <c r="A223" s="48" t="s">
        <v>3377</v>
      </c>
      <c r="B223" s="41" t="s">
        <v>2072</v>
      </c>
      <c r="C223" s="0" t="s">
        <v>3147</v>
      </c>
      <c r="D223" s="0" t="s">
        <v>3148</v>
      </c>
      <c r="H223" s="0" t="s">
        <v>3272</v>
      </c>
      <c r="I223" s="0" t="s">
        <v>3150</v>
      </c>
      <c r="J223" s="0" t="s">
        <v>427</v>
      </c>
      <c r="K223" s="0" t="n">
        <v>12</v>
      </c>
      <c r="M223" s="44" t="str">
        <f aca="false">INDEX(fastqs!$A:$A, MATCH(A223, fastqs!$B:$B, 0), 1)</f>
        <v>65_JS0072CD041918_R1.fastq.gz</v>
      </c>
      <c r="N223" s="44" t="str">
        <f aca="false">INDEX(fastqs!$C:$C, MATCH(A223, fastqs!$B:$B, 0), 1)</f>
        <v>GET</v>
      </c>
      <c r="O223" s="44" t="str">
        <f aca="false">INDEX(samples!$B:$B, MATCH(B223, samples!$A:$A, 0), 1)</f>
        <v>par0142</v>
      </c>
      <c r="P223" s="44" t="e">
        <f aca="false">INDEX(participants!$I:$I, MATCH(O223, participants!$A:$A, 0), 1)</f>
        <v>#N/A</v>
      </c>
      <c r="Q223" s="44" t="n">
        <f aca="false">INDEX(samples!$F:$F, MATCH(B223, samples!$A:$A, 0), 1)</f>
        <v>0</v>
      </c>
      <c r="R223" s="49" t="str">
        <f aca="false">INDEX(samples!$C:$C, MATCH(B223, samples!$A:$A, 0), 1)</f>
        <v>2018-04-19</v>
      </c>
      <c r="S223" s="50" t="str">
        <f aca="false">INDEX(samples!$D:$D,MATCH(B223, samples!$A:$A,0),1)</f>
        <v>blood</v>
      </c>
      <c r="T223" s="51" t="s">
        <v>427</v>
      </c>
      <c r="V223" s="33" t="s">
        <v>427</v>
      </c>
      <c r="X223" s="8"/>
      <c r="Y223" s="8" t="s">
        <v>1002</v>
      </c>
      <c r="Z223" s="8" t="n">
        <v>0</v>
      </c>
      <c r="AA223" s="8" t="n">
        <v>0</v>
      </c>
      <c r="AB223" s="8" t="n">
        <v>0</v>
      </c>
    </row>
    <row r="224" customFormat="false" ht="13.8" hidden="false" customHeight="false" outlineLevel="0" collapsed="false">
      <c r="A224" s="48" t="s">
        <v>3378</v>
      </c>
      <c r="B224" s="41" t="s">
        <v>2074</v>
      </c>
      <c r="C224" s="0" t="s">
        <v>3147</v>
      </c>
      <c r="D224" s="0" t="s">
        <v>3148</v>
      </c>
      <c r="H224" s="0" t="s">
        <v>3272</v>
      </c>
      <c r="I224" s="0" t="s">
        <v>3150</v>
      </c>
      <c r="J224" s="0" t="s">
        <v>427</v>
      </c>
      <c r="K224" s="0" t="n">
        <v>12</v>
      </c>
      <c r="M224" s="44" t="str">
        <f aca="false">INDEX(fastqs!$A:$A, MATCH(A224, fastqs!$B:$B, 0), 1)</f>
        <v>68_JS0075CD040918_R1.fastq.gz</v>
      </c>
      <c r="N224" s="44" t="str">
        <f aca="false">INDEX(fastqs!$C:$C, MATCH(A224, fastqs!$B:$B, 0), 1)</f>
        <v>GET</v>
      </c>
      <c r="O224" s="44" t="str">
        <f aca="false">INDEX(samples!$B:$B, MATCH(B224, samples!$A:$A, 0), 1)</f>
        <v>par0143</v>
      </c>
      <c r="P224" s="44" t="e">
        <f aca="false">INDEX(participants!$I:$I, MATCH(O224, participants!$A:$A, 0), 1)</f>
        <v>#N/A</v>
      </c>
      <c r="Q224" s="44" t="n">
        <f aca="false">INDEX(samples!$F:$F, MATCH(B224, samples!$A:$A, 0), 1)</f>
        <v>0</v>
      </c>
      <c r="R224" s="49" t="str">
        <f aca="false">INDEX(samples!$C:$C, MATCH(B224, samples!$A:$A, 0), 1)</f>
        <v>2018-04-09</v>
      </c>
      <c r="S224" s="50" t="str">
        <f aca="false">INDEX(samples!$D:$D,MATCH(B224, samples!$A:$A,0),1)</f>
        <v>blood</v>
      </c>
      <c r="T224" s="51" t="s">
        <v>427</v>
      </c>
      <c r="V224" s="33" t="s">
        <v>427</v>
      </c>
      <c r="X224" s="8"/>
      <c r="Y224" s="8" t="s">
        <v>3150</v>
      </c>
      <c r="Z224" s="8" t="n">
        <v>0</v>
      </c>
      <c r="AA224" s="8" t="n">
        <v>0</v>
      </c>
      <c r="AB224" s="8" t="n">
        <v>0</v>
      </c>
    </row>
    <row r="225" customFormat="false" ht="13.8" hidden="false" customHeight="false" outlineLevel="0" collapsed="false">
      <c r="A225" s="48" t="s">
        <v>3379</v>
      </c>
      <c r="B225" s="41" t="s">
        <v>2076</v>
      </c>
      <c r="C225" s="0" t="s">
        <v>3147</v>
      </c>
      <c r="D225" s="0" t="s">
        <v>3148</v>
      </c>
      <c r="H225" s="0" t="s">
        <v>3272</v>
      </c>
      <c r="I225" s="0" t="s">
        <v>3150</v>
      </c>
      <c r="J225" s="0" t="s">
        <v>427</v>
      </c>
      <c r="K225" s="0" t="n">
        <v>12</v>
      </c>
      <c r="M225" s="44" t="str">
        <f aca="false">INDEX(fastqs!$A:$A, MATCH(A225, fastqs!$B:$B, 0), 1)</f>
        <v>69_JS0076CD030918_R1.fastq.gz</v>
      </c>
      <c r="N225" s="44" t="str">
        <f aca="false">INDEX(fastqs!$C:$C, MATCH(A225, fastqs!$B:$B, 0), 1)</f>
        <v>GET</v>
      </c>
      <c r="O225" s="44" t="str">
        <f aca="false">INDEX(samples!$B:$B, MATCH(B225, samples!$A:$A, 0), 1)</f>
        <v>par0144</v>
      </c>
      <c r="P225" s="44" t="e">
        <f aca="false">INDEX(participants!$I:$I, MATCH(O225, participants!$A:$A, 0), 1)</f>
        <v>#N/A</v>
      </c>
      <c r="Q225" s="44" t="n">
        <f aca="false">INDEX(samples!$F:$F, MATCH(B225, samples!$A:$A, 0), 1)</f>
        <v>0</v>
      </c>
      <c r="R225" s="49" t="str">
        <f aca="false">INDEX(samples!$C:$C, MATCH(B225, samples!$A:$A, 0), 1)</f>
        <v>2018-03-09</v>
      </c>
      <c r="S225" s="50" t="str">
        <f aca="false">INDEX(samples!$D:$D,MATCH(B225, samples!$A:$A,0),1)</f>
        <v>blood</v>
      </c>
      <c r="T225" s="51" t="s">
        <v>427</v>
      </c>
      <c r="V225" s="33" t="s">
        <v>427</v>
      </c>
      <c r="X225" s="8"/>
      <c r="Y225" s="8" t="s">
        <v>1002</v>
      </c>
      <c r="Z225" s="8" t="n">
        <v>0</v>
      </c>
      <c r="AA225" s="8" t="n">
        <v>0</v>
      </c>
      <c r="AB225" s="8" t="n">
        <v>0</v>
      </c>
    </row>
    <row r="226" customFormat="false" ht="13.8" hidden="false" customHeight="false" outlineLevel="0" collapsed="false">
      <c r="A226" s="48" t="s">
        <v>3380</v>
      </c>
      <c r="B226" s="41" t="s">
        <v>2079</v>
      </c>
      <c r="C226" s="0" t="s">
        <v>3147</v>
      </c>
      <c r="D226" s="0" t="s">
        <v>3148</v>
      </c>
      <c r="H226" s="0" t="s">
        <v>3272</v>
      </c>
      <c r="I226" s="0" t="s">
        <v>3150</v>
      </c>
      <c r="J226" s="0" t="s">
        <v>427</v>
      </c>
      <c r="K226" s="0" t="s">
        <v>427</v>
      </c>
      <c r="M226" s="44" t="str">
        <f aca="false">INDEX(fastqs!$A:$A, MATCH(A226, fastqs!$B:$B, 0), 1)</f>
        <v>6_JS0106CD062719_R1.fastq.gz</v>
      </c>
      <c r="N226" s="44" t="str">
        <f aca="false">INDEX(fastqs!$C:$C, MATCH(A226, fastqs!$B:$B, 0), 1)</f>
        <v>GET</v>
      </c>
      <c r="O226" s="44" t="str">
        <f aca="false">INDEX(samples!$B:$B, MATCH(B226, samples!$A:$A, 0), 1)</f>
        <v>par0140</v>
      </c>
      <c r="P226" s="44" t="e">
        <f aca="false">INDEX(participants!$I:$I, MATCH(O226, participants!$A:$A, 0), 1)</f>
        <v>#N/A</v>
      </c>
      <c r="Q226" s="44" t="n">
        <f aca="false">INDEX(samples!$F:$F, MATCH(B226, samples!$A:$A, 0), 1)</f>
        <v>0</v>
      </c>
      <c r="R226" s="49" t="str">
        <f aca="false">INDEX(samples!$C:$C, MATCH(B226, samples!$A:$A, 0), 1)</f>
        <v>2019-06-27</v>
      </c>
      <c r="S226" s="50" t="str">
        <f aca="false">INDEX(samples!$D:$D,MATCH(B226, samples!$A:$A,0),1)</f>
        <v>blood</v>
      </c>
      <c r="T226" s="51" t="s">
        <v>427</v>
      </c>
      <c r="V226" s="33" t="s">
        <v>427</v>
      </c>
      <c r="X226" s="8"/>
      <c r="Y226" s="8" t="s">
        <v>1002</v>
      </c>
      <c r="Z226" s="8" t="n">
        <v>0</v>
      </c>
      <c r="AA226" s="8" t="n">
        <v>0</v>
      </c>
      <c r="AB226" s="8" t="n">
        <v>0</v>
      </c>
    </row>
    <row r="227" customFormat="false" ht="13.8" hidden="false" customHeight="false" outlineLevel="0" collapsed="false">
      <c r="A227" s="48" t="s">
        <v>3381</v>
      </c>
      <c r="B227" s="41" t="s">
        <v>2080</v>
      </c>
      <c r="C227" s="0" t="s">
        <v>3147</v>
      </c>
      <c r="D227" s="0" t="s">
        <v>3148</v>
      </c>
      <c r="H227" s="0" t="s">
        <v>3272</v>
      </c>
      <c r="I227" s="0" t="s">
        <v>3150</v>
      </c>
      <c r="J227" s="0" t="s">
        <v>427</v>
      </c>
      <c r="K227" s="0" t="n">
        <v>12</v>
      </c>
      <c r="M227" s="44" t="str">
        <f aca="false">INDEX(fastqs!$A:$A, MATCH(A227, fastqs!$B:$B, 0), 1)</f>
        <v>74_JS0086CD082116_R1.fastq.gz</v>
      </c>
      <c r="N227" s="44" t="str">
        <f aca="false">INDEX(fastqs!$C:$C, MATCH(A227, fastqs!$B:$B, 0), 1)</f>
        <v>GET</v>
      </c>
      <c r="O227" s="44" t="str">
        <f aca="false">INDEX(samples!$B:$B, MATCH(B227, samples!$A:$A, 0), 1)</f>
        <v>par0145</v>
      </c>
      <c r="P227" s="44" t="e">
        <f aca="false">INDEX(participants!$I:$I, MATCH(O227, participants!$A:$A, 0), 1)</f>
        <v>#N/A</v>
      </c>
      <c r="Q227" s="44" t="n">
        <f aca="false">INDEX(samples!$F:$F, MATCH(B227, samples!$A:$A, 0), 1)</f>
        <v>0</v>
      </c>
      <c r="R227" s="49" t="str">
        <f aca="false">INDEX(samples!$C:$C, MATCH(B227, samples!$A:$A, 0), 1)</f>
        <v>2016-08-21</v>
      </c>
      <c r="S227" s="50" t="str">
        <f aca="false">INDEX(samples!$D:$D,MATCH(B227, samples!$A:$A,0),1)</f>
        <v>blood</v>
      </c>
      <c r="T227" s="51" t="s">
        <v>427</v>
      </c>
      <c r="V227" s="33" t="s">
        <v>427</v>
      </c>
      <c r="X227" s="8"/>
      <c r="Y227" s="8" t="s">
        <v>1002</v>
      </c>
      <c r="Z227" s="8" t="n">
        <v>0</v>
      </c>
      <c r="AA227" s="8" t="n">
        <v>0</v>
      </c>
      <c r="AB227" s="8" t="n">
        <v>0</v>
      </c>
    </row>
    <row r="228" customFormat="false" ht="13.8" hidden="false" customHeight="false" outlineLevel="0" collapsed="false">
      <c r="A228" s="48" t="s">
        <v>3382</v>
      </c>
      <c r="B228" s="41" t="s">
        <v>2083</v>
      </c>
      <c r="C228" s="0" t="s">
        <v>3147</v>
      </c>
      <c r="D228" s="0" t="s">
        <v>3148</v>
      </c>
      <c r="H228" s="0" t="s">
        <v>3272</v>
      </c>
      <c r="I228" s="0" t="s">
        <v>3150</v>
      </c>
      <c r="J228" s="0" t="s">
        <v>427</v>
      </c>
      <c r="K228" s="0" t="s">
        <v>427</v>
      </c>
      <c r="M228" s="44" t="str">
        <f aca="false">INDEX(fastqs!$A:$A, MATCH(A228, fastqs!$B:$B, 0), 1)</f>
        <v>7_JS0053CD062119_R1.fastq.gz</v>
      </c>
      <c r="N228" s="44" t="str">
        <f aca="false">INDEX(fastqs!$C:$C, MATCH(A228, fastqs!$B:$B, 0), 1)</f>
        <v>GET</v>
      </c>
      <c r="O228" s="44" t="str">
        <f aca="false">INDEX(samples!$B:$B, MATCH(B228, samples!$A:$A, 0), 1)</f>
        <v>par0010</v>
      </c>
      <c r="P228" s="44" t="str">
        <f aca="false">INDEX(participants!$I:$I, MATCH(O228, participants!$A:$A, 0), 1)</f>
        <v>js0053</v>
      </c>
      <c r="Q228" s="44" t="n">
        <f aca="false">INDEX(samples!$F:$F, MATCH(B228, samples!$A:$A, 0), 1)</f>
        <v>0</v>
      </c>
      <c r="R228" s="49" t="str">
        <f aca="false">INDEX(samples!$C:$C, MATCH(B228, samples!$A:$A, 0), 1)</f>
        <v>2019-06-21</v>
      </c>
      <c r="S228" s="50" t="str">
        <f aca="false">INDEX(samples!$D:$D,MATCH(B228, samples!$A:$A,0),1)</f>
        <v>blood</v>
      </c>
      <c r="T228" s="51" t="s">
        <v>427</v>
      </c>
      <c r="V228" s="33" t="s">
        <v>427</v>
      </c>
      <c r="X228" s="8"/>
      <c r="Y228" s="8" t="s">
        <v>1002</v>
      </c>
      <c r="Z228" s="8" t="n">
        <v>0</v>
      </c>
      <c r="AA228" s="8" t="n">
        <v>0</v>
      </c>
      <c r="AB228" s="8" t="n">
        <v>0</v>
      </c>
    </row>
    <row r="229" customFormat="false" ht="13.8" hidden="false" customHeight="false" outlineLevel="0" collapsed="false">
      <c r="A229" s="48" t="s">
        <v>3383</v>
      </c>
      <c r="B229" s="41" t="s">
        <v>2085</v>
      </c>
      <c r="C229" s="0" t="s">
        <v>3147</v>
      </c>
      <c r="D229" s="0" t="s">
        <v>3148</v>
      </c>
      <c r="H229" s="0" t="s">
        <v>3272</v>
      </c>
      <c r="I229" s="0" t="s">
        <v>3150</v>
      </c>
      <c r="J229" s="0" t="s">
        <v>427</v>
      </c>
      <c r="K229" s="0" t="s">
        <v>427</v>
      </c>
      <c r="M229" s="44" t="str">
        <f aca="false">INDEX(fastqs!$A:$A, MATCH(A229, fastqs!$B:$B, 0), 1)</f>
        <v>8_JS0053CD062319_R1.fastq.gz</v>
      </c>
      <c r="N229" s="44" t="str">
        <f aca="false">INDEX(fastqs!$C:$C, MATCH(A229, fastqs!$B:$B, 0), 1)</f>
        <v>GET</v>
      </c>
      <c r="O229" s="44" t="str">
        <f aca="false">INDEX(samples!$B:$B, MATCH(B229, samples!$A:$A, 0), 1)</f>
        <v>par0010</v>
      </c>
      <c r="P229" s="44" t="str">
        <f aca="false">INDEX(participants!$I:$I, MATCH(O229, participants!$A:$A, 0), 1)</f>
        <v>js0053</v>
      </c>
      <c r="Q229" s="44" t="n">
        <f aca="false">INDEX(samples!$F:$F, MATCH(B229, samples!$A:$A, 0), 1)</f>
        <v>0</v>
      </c>
      <c r="R229" s="49" t="str">
        <f aca="false">INDEX(samples!$C:$C, MATCH(B229, samples!$A:$A, 0), 1)</f>
        <v>2019-06-23</v>
      </c>
      <c r="S229" s="50" t="str">
        <f aca="false">INDEX(samples!$D:$D,MATCH(B229, samples!$A:$A,0),1)</f>
        <v>blood</v>
      </c>
      <c r="T229" s="51" t="s">
        <v>427</v>
      </c>
      <c r="V229" s="33" t="s">
        <v>427</v>
      </c>
      <c r="X229" s="8"/>
      <c r="Y229" s="8" t="s">
        <v>1002</v>
      </c>
      <c r="Z229" s="8" t="n">
        <v>0</v>
      </c>
      <c r="AA229" s="8" t="n">
        <v>0</v>
      </c>
      <c r="AB229" s="8" t="n">
        <v>0</v>
      </c>
    </row>
    <row r="230" customFormat="false" ht="13.8" hidden="false" customHeight="false" outlineLevel="0" collapsed="false">
      <c r="A230" s="48" t="s">
        <v>3384</v>
      </c>
      <c r="B230" s="41" t="s">
        <v>2087</v>
      </c>
      <c r="C230" s="0" t="s">
        <v>3147</v>
      </c>
      <c r="D230" s="0" t="s">
        <v>3148</v>
      </c>
      <c r="H230" s="0" t="s">
        <v>3272</v>
      </c>
      <c r="I230" s="0" t="s">
        <v>3150</v>
      </c>
      <c r="J230" s="0" t="s">
        <v>427</v>
      </c>
      <c r="K230" s="0" t="s">
        <v>427</v>
      </c>
      <c r="M230" s="44" t="str">
        <f aca="false">INDEX(fastqs!$A:$A, MATCH(A230, fastqs!$B:$B, 0), 1)</f>
        <v>9_JS0105CD081017_R1.fastq.gz</v>
      </c>
      <c r="N230" s="44" t="str">
        <f aca="false">INDEX(fastqs!$C:$C, MATCH(A230, fastqs!$B:$B, 0), 1)</f>
        <v>GET</v>
      </c>
      <c r="O230" s="44" t="str">
        <f aca="false">INDEX(samples!$B:$B, MATCH(B230, samples!$A:$A, 0), 1)</f>
        <v>par0011</v>
      </c>
      <c r="P230" s="44" t="str">
        <f aca="false">INDEX(participants!$I:$I, MATCH(O230, participants!$A:$A, 0), 1)</f>
        <v>js0105</v>
      </c>
      <c r="Q230" s="44" t="n">
        <f aca="false">INDEX(samples!$F:$F, MATCH(B230, samples!$A:$A, 0), 1)</f>
        <v>0</v>
      </c>
      <c r="R230" s="49" t="str">
        <f aca="false">INDEX(samples!$C:$C, MATCH(B230, samples!$A:$A, 0), 1)</f>
        <v>2017-08-10</v>
      </c>
      <c r="S230" s="50" t="str">
        <f aca="false">INDEX(samples!$D:$D,MATCH(B230, samples!$A:$A,0),1)</f>
        <v>blood</v>
      </c>
      <c r="T230" s="51" t="s">
        <v>427</v>
      </c>
      <c r="V230" s="33" t="s">
        <v>427</v>
      </c>
      <c r="X230" s="8"/>
      <c r="Y230" s="8" t="s">
        <v>1002</v>
      </c>
      <c r="Z230" s="8" t="n">
        <v>0</v>
      </c>
      <c r="AA230" s="8" t="n">
        <v>0</v>
      </c>
      <c r="AB230" s="8" t="n">
        <v>0</v>
      </c>
    </row>
    <row r="231" customFormat="false" ht="13.8" hidden="false" customHeight="false" outlineLevel="0" collapsed="false">
      <c r="A231" s="48" t="s">
        <v>3385</v>
      </c>
      <c r="B231" s="41" t="s">
        <v>2089</v>
      </c>
      <c r="C231" s="0" t="s">
        <v>1824</v>
      </c>
      <c r="D231" s="0" t="s">
        <v>3271</v>
      </c>
      <c r="H231" s="0" t="s">
        <v>3272</v>
      </c>
      <c r="I231" s="0" t="s">
        <v>1002</v>
      </c>
      <c r="J231" s="0" t="s">
        <v>427</v>
      </c>
      <c r="K231" s="0" t="s">
        <v>427</v>
      </c>
      <c r="M231" s="44" t="str">
        <f aca="false">INDEX(fastqs!$A:$A, MATCH(A231, fastqs!$B:$B, 0), 1)</f>
        <v>new_HiSeqW72_Undetermined_R6000482_L001_R1_ATCG.fastq.gz</v>
      </c>
      <c r="N231" s="44" t="n">
        <f aca="false">INDEX(fastqs!$C:$C, MATCH(A231, fastqs!$B:$B, 0), 1)</f>
        <v>0</v>
      </c>
      <c r="O231" s="44" t="str">
        <f aca="false">INDEX(samples!$B:$B, MATCH(B231, samples!$A:$A, 0), 1)</f>
        <v>par0146</v>
      </c>
      <c r="P231" s="44" t="e">
        <f aca="false">INDEX(participants!$I:$I, MATCH(O231, participants!$A:$A, 0), 1)</f>
        <v>#N/A</v>
      </c>
      <c r="Q231" s="44" t="n">
        <f aca="false">INDEX(samples!$F:$F, MATCH(B231, samples!$A:$A, 0), 1)</f>
        <v>0</v>
      </c>
      <c r="R231" s="49" t="str">
        <f aca="false">INDEX(samples!$C:$C, MATCH(B231, samples!$A:$A, 0), 1)</f>
        <v>2020-05-05</v>
      </c>
      <c r="S231" s="50" t="str">
        <f aca="false">INDEX(samples!$D:$D,MATCH(B231, samples!$A:$A,0),1)</f>
        <v>tumor</v>
      </c>
      <c r="T231" s="51"/>
      <c r="V231" s="33" t="s">
        <v>427</v>
      </c>
      <c r="X231" s="8"/>
      <c r="Y231" s="8" t="s">
        <v>1002</v>
      </c>
      <c r="Z231" s="8" t="n">
        <v>0</v>
      </c>
      <c r="AA231" s="8" t="n">
        <v>0</v>
      </c>
      <c r="AB231" s="8" t="n">
        <v>0</v>
      </c>
    </row>
    <row r="232" customFormat="false" ht="13.8" hidden="false" customHeight="false" outlineLevel="0" collapsed="false">
      <c r="A232" s="48" t="s">
        <v>3386</v>
      </c>
      <c r="B232" s="41" t="s">
        <v>2092</v>
      </c>
      <c r="C232" s="0" t="s">
        <v>3215</v>
      </c>
      <c r="D232" s="0" t="s">
        <v>3271</v>
      </c>
      <c r="H232" s="0" t="s">
        <v>3272</v>
      </c>
      <c r="I232" s="0" t="s">
        <v>1002</v>
      </c>
      <c r="J232" s="0" t="s">
        <v>427</v>
      </c>
      <c r="K232" s="0" t="s">
        <v>427</v>
      </c>
      <c r="M232" s="44" t="str">
        <f aca="false">INDEX(fastqs!$A:$A, MATCH(A232, fastqs!$B:$B, 0), 1)</f>
        <v>new_HiSeqW72_Undetermined_R6000482_L001_R1_GTGT.fastq.gz</v>
      </c>
      <c r="N232" s="44" t="n">
        <f aca="false">INDEX(fastqs!$C:$C, MATCH(A232, fastqs!$B:$B, 0), 1)</f>
        <v>0</v>
      </c>
      <c r="O232" s="44" t="str">
        <f aca="false">INDEX(samples!$B:$B, MATCH(B232, samples!$A:$A, 0), 1)</f>
        <v>par0146</v>
      </c>
      <c r="P232" s="44" t="e">
        <f aca="false">INDEX(participants!$I:$I, MATCH(O232, participants!$A:$A, 0), 1)</f>
        <v>#N/A</v>
      </c>
      <c r="Q232" s="44" t="n">
        <f aca="false">INDEX(samples!$F:$F, MATCH(B232, samples!$A:$A, 0), 1)</f>
        <v>0</v>
      </c>
      <c r="R232" s="49" t="str">
        <f aca="false">INDEX(samples!$C:$C, MATCH(B232, samples!$A:$A, 0), 1)</f>
        <v>2020-05-05</v>
      </c>
      <c r="S232" s="50" t="str">
        <f aca="false">INDEX(samples!$D:$D,MATCH(B232, samples!$A:$A,0),1)</f>
        <v>blood</v>
      </c>
      <c r="T232" s="51"/>
      <c r="V232" s="33" t="s">
        <v>427</v>
      </c>
      <c r="X232" s="8"/>
      <c r="Y232" s="8" t="s">
        <v>1002</v>
      </c>
      <c r="Z232" s="8" t="n">
        <v>0</v>
      </c>
      <c r="AA232" s="8" t="n">
        <v>0</v>
      </c>
      <c r="AB232" s="8" t="n">
        <v>0</v>
      </c>
    </row>
    <row r="233" customFormat="false" ht="13.8" hidden="false" customHeight="false" outlineLevel="0" collapsed="false">
      <c r="A233" s="48" t="s">
        <v>3387</v>
      </c>
      <c r="B233" s="41" t="s">
        <v>2093</v>
      </c>
      <c r="C233" s="0" t="s">
        <v>3147</v>
      </c>
      <c r="D233" s="0" t="s">
        <v>3271</v>
      </c>
      <c r="H233" s="0" t="s">
        <v>3272</v>
      </c>
      <c r="I233" s="0" t="s">
        <v>1002</v>
      </c>
      <c r="J233" s="0" t="s">
        <v>427</v>
      </c>
      <c r="K233" s="0" t="s">
        <v>427</v>
      </c>
      <c r="M233" s="44" t="str">
        <f aca="false">INDEX(fastqs!$A:$A, MATCH(A233, fastqs!$B:$B, 0), 1)</f>
        <v>new_HiSeqW72_Undetermined_R6000482_L001_R1_TAGC.fastq.gz</v>
      </c>
      <c r="N233" s="44" t="n">
        <f aca="false">INDEX(fastqs!$C:$C, MATCH(A233, fastqs!$B:$B, 0), 1)</f>
        <v>0</v>
      </c>
      <c r="O233" s="44" t="str">
        <f aca="false">INDEX(samples!$B:$B, MATCH(B233, samples!$A:$A, 0), 1)</f>
        <v>par0147</v>
      </c>
      <c r="P233" s="44" t="e">
        <f aca="false">INDEX(participants!$I:$I, MATCH(O233, participants!$A:$A, 0), 1)</f>
        <v>#N/A</v>
      </c>
      <c r="Q233" s="44" t="n">
        <f aca="false">INDEX(samples!$F:$F, MATCH(B233, samples!$A:$A, 0), 1)</f>
        <v>0</v>
      </c>
      <c r="R233" s="49" t="str">
        <f aca="false">INDEX(samples!$C:$C, MATCH(B233, samples!$A:$A, 0), 1)</f>
        <v>2020-06-15</v>
      </c>
      <c r="S233" s="50" t="str">
        <f aca="false">INDEX(samples!$D:$D,MATCH(B233, samples!$A:$A,0),1)</f>
        <v>blood</v>
      </c>
      <c r="T233" s="51" t="s">
        <v>427</v>
      </c>
      <c r="V233" s="33" t="s">
        <v>427</v>
      </c>
      <c r="X233" s="8"/>
      <c r="Y233" s="8" t="s">
        <v>1002</v>
      </c>
      <c r="Z233" s="8" t="n">
        <v>0</v>
      </c>
      <c r="AA233" s="8" t="n">
        <v>0</v>
      </c>
      <c r="AB233" s="8" t="n">
        <v>0</v>
      </c>
    </row>
    <row r="234" customFormat="false" ht="13.8" hidden="false" customHeight="false" outlineLevel="0" collapsed="false">
      <c r="A234" s="48" t="s">
        <v>3388</v>
      </c>
      <c r="B234" s="41" t="s">
        <v>2096</v>
      </c>
      <c r="C234" s="0" t="s">
        <v>3147</v>
      </c>
      <c r="D234" s="0" t="s">
        <v>3271</v>
      </c>
      <c r="H234" s="0" t="s">
        <v>3272</v>
      </c>
      <c r="I234" s="0" t="s">
        <v>1002</v>
      </c>
      <c r="J234" s="0" t="s">
        <v>427</v>
      </c>
      <c r="K234" s="0" t="s">
        <v>427</v>
      </c>
      <c r="M234" s="44" t="str">
        <f aca="false">INDEX(fastqs!$A:$A, MATCH(A234, fastqs!$B:$B, 0), 1)</f>
        <v>new_HiSeqW72_Undetermined_R6000482_L001_R1_ACAC.fastq.gz</v>
      </c>
      <c r="N234" s="44" t="n">
        <f aca="false">INDEX(fastqs!$C:$C, MATCH(A234, fastqs!$B:$B, 0), 1)</f>
        <v>0</v>
      </c>
      <c r="O234" s="44" t="str">
        <f aca="false">INDEX(samples!$B:$B, MATCH(B234, samples!$A:$A, 0), 1)</f>
        <v>par0148</v>
      </c>
      <c r="P234" s="44" t="e">
        <f aca="false">INDEX(participants!$I:$I, MATCH(O234, participants!$A:$A, 0), 1)</f>
        <v>#N/A</v>
      </c>
      <c r="Q234" s="44" t="n">
        <f aca="false">INDEX(samples!$F:$F, MATCH(B234, samples!$A:$A, 0), 1)</f>
        <v>0</v>
      </c>
      <c r="R234" s="49" t="str">
        <f aca="false">INDEX(samples!$C:$C, MATCH(B234, samples!$A:$A, 0), 1)</f>
        <v>2020-06-09</v>
      </c>
      <c r="S234" s="50" t="str">
        <f aca="false">INDEX(samples!$D:$D,MATCH(B234, samples!$A:$A,0),1)</f>
        <v>blood</v>
      </c>
      <c r="T234" s="51" t="s">
        <v>427</v>
      </c>
      <c r="V234" s="33" t="s">
        <v>427</v>
      </c>
      <c r="X234" s="8"/>
      <c r="Y234" s="8" t="s">
        <v>1002</v>
      </c>
      <c r="Z234" s="8" t="n">
        <v>0</v>
      </c>
      <c r="AA234" s="8" t="n">
        <v>0</v>
      </c>
      <c r="AB234" s="8" t="n">
        <v>0</v>
      </c>
    </row>
    <row r="235" customFormat="false" ht="13.8" hidden="false" customHeight="false" outlineLevel="0" collapsed="false">
      <c r="A235" s="48" t="s">
        <v>3389</v>
      </c>
      <c r="B235" s="41" t="s">
        <v>2099</v>
      </c>
      <c r="C235" s="0" t="s">
        <v>3147</v>
      </c>
      <c r="D235" s="0" t="s">
        <v>3271</v>
      </c>
      <c r="H235" s="0" t="s">
        <v>3272</v>
      </c>
      <c r="I235" s="0" t="s">
        <v>1002</v>
      </c>
      <c r="J235" s="0" t="s">
        <v>427</v>
      </c>
      <c r="K235" s="0" t="s">
        <v>427</v>
      </c>
      <c r="M235" s="44" t="str">
        <f aca="false">INDEX(fastqs!$A:$A, MATCH(A235, fastqs!$B:$B, 0), 1)</f>
        <v>new_HiSeqW72_Undetermined_R6000482_L001_R1_GAAG.fastq.gz</v>
      </c>
      <c r="N235" s="44" t="n">
        <f aca="false">INDEX(fastqs!$C:$C, MATCH(A235, fastqs!$B:$B, 0), 1)</f>
        <v>0</v>
      </c>
      <c r="O235" s="44" t="str">
        <f aca="false">INDEX(samples!$B:$B, MATCH(B235, samples!$A:$A, 0), 1)</f>
        <v>par0149</v>
      </c>
      <c r="P235" s="44" t="e">
        <f aca="false">INDEX(participants!$I:$I, MATCH(O235, participants!$A:$A, 0), 1)</f>
        <v>#N/A</v>
      </c>
      <c r="Q235" s="44" t="n">
        <f aca="false">INDEX(samples!$F:$F, MATCH(B235, samples!$A:$A, 0), 1)</f>
        <v>0</v>
      </c>
      <c r="R235" s="49" t="str">
        <f aca="false">INDEX(samples!$C:$C, MATCH(B235, samples!$A:$A, 0), 1)</f>
        <v>2020-04-28</v>
      </c>
      <c r="S235" s="50" t="str">
        <f aca="false">INDEX(samples!$D:$D,MATCH(B235, samples!$A:$A,0),1)</f>
        <v>blood</v>
      </c>
      <c r="T235" s="51" t="s">
        <v>427</v>
      </c>
      <c r="V235" s="33" t="s">
        <v>427</v>
      </c>
      <c r="X235" s="8"/>
      <c r="Y235" s="8" t="s">
        <v>1002</v>
      </c>
      <c r="Z235" s="8" t="n">
        <v>0</v>
      </c>
      <c r="AA235" s="8" t="n">
        <v>0</v>
      </c>
      <c r="AB235" s="8" t="n">
        <v>0</v>
      </c>
    </row>
    <row r="236" customFormat="false" ht="13.8" hidden="false" customHeight="false" outlineLevel="0" collapsed="false">
      <c r="A236" s="48" t="s">
        <v>3390</v>
      </c>
      <c r="B236" s="41" t="s">
        <v>2102</v>
      </c>
      <c r="C236" s="0" t="s">
        <v>3147</v>
      </c>
      <c r="D236" s="0" t="s">
        <v>3271</v>
      </c>
      <c r="H236" s="0" t="s">
        <v>3272</v>
      </c>
      <c r="I236" s="0" t="s">
        <v>1002</v>
      </c>
      <c r="J236" s="0" t="s">
        <v>427</v>
      </c>
      <c r="K236" s="0" t="s">
        <v>427</v>
      </c>
      <c r="M236" s="44" t="str">
        <f aca="false">INDEX(fastqs!$A:$A, MATCH(A236, fastqs!$B:$B, 0), 1)</f>
        <v>new_HiSeqW72_Undetermined_R6000482_L001_R1_CGAT.fastq.gz</v>
      </c>
      <c r="N236" s="44" t="n">
        <f aca="false">INDEX(fastqs!$C:$C, MATCH(A236, fastqs!$B:$B, 0), 1)</f>
        <v>0</v>
      </c>
      <c r="O236" s="44" t="str">
        <f aca="false">INDEX(samples!$B:$B, MATCH(B236, samples!$A:$A, 0), 1)</f>
        <v>par0085</v>
      </c>
      <c r="P236" s="44" t="str">
        <f aca="false">INDEX(participants!$I:$I, MATCH(O236, participants!$A:$A, 0), 1)</f>
        <v>nf589</v>
      </c>
      <c r="Q236" s="44" t="n">
        <f aca="false">INDEX(samples!$F:$F, MATCH(B236, samples!$A:$A, 0), 1)</f>
        <v>0</v>
      </c>
      <c r="R236" s="49" t="str">
        <f aca="false">INDEX(samples!$C:$C, MATCH(B236, samples!$A:$A, 0), 1)</f>
        <v>2020-06-19</v>
      </c>
      <c r="S236" s="50" t="str">
        <f aca="false">INDEX(samples!$D:$D,MATCH(B236, samples!$A:$A,0),1)</f>
        <v>blood</v>
      </c>
      <c r="T236" s="51" t="s">
        <v>427</v>
      </c>
      <c r="V236" s="33" t="s">
        <v>427</v>
      </c>
      <c r="X236" s="8"/>
      <c r="Y236" s="8" t="s">
        <v>1002</v>
      </c>
      <c r="Z236" s="8" t="n">
        <v>0</v>
      </c>
      <c r="AA236" s="8" t="n">
        <v>0</v>
      </c>
      <c r="AB236" s="8" t="n">
        <v>0</v>
      </c>
    </row>
    <row r="237" customFormat="false" ht="13.8" hidden="false" customHeight="false" outlineLevel="0" collapsed="false">
      <c r="A237" s="48" t="s">
        <v>3391</v>
      </c>
      <c r="B237" s="41" t="s">
        <v>2104</v>
      </c>
      <c r="C237" s="0" t="s">
        <v>3147</v>
      </c>
      <c r="D237" s="0" t="s">
        <v>3271</v>
      </c>
      <c r="H237" s="0" t="s">
        <v>3272</v>
      </c>
      <c r="I237" s="0" t="s">
        <v>1002</v>
      </c>
      <c r="J237" s="0" t="s">
        <v>427</v>
      </c>
      <c r="K237" s="0" t="s">
        <v>427</v>
      </c>
      <c r="M237" s="44" t="str">
        <f aca="false">INDEX(fastqs!$A:$A, MATCH(A237, fastqs!$B:$B, 0), 1)</f>
        <v>new_HiSeqW72_Undetermined_R6000482_L001_R1_TGTG.fastq.gz</v>
      </c>
      <c r="N237" s="44" t="n">
        <f aca="false">INDEX(fastqs!$C:$C, MATCH(A237, fastqs!$B:$B, 0), 1)</f>
        <v>0</v>
      </c>
      <c r="O237" s="44" t="str">
        <f aca="false">INDEX(samples!$B:$B, MATCH(B237, samples!$A:$A, 0), 1)</f>
        <v>par0146</v>
      </c>
      <c r="P237" s="44" t="e">
        <f aca="false">INDEX(participants!$I:$I, MATCH(O237, participants!$A:$A, 0), 1)</f>
        <v>#N/A</v>
      </c>
      <c r="Q237" s="44" t="n">
        <f aca="false">INDEX(samples!$F:$F, MATCH(B237, samples!$A:$A, 0), 1)</f>
        <v>0</v>
      </c>
      <c r="R237" s="49" t="str">
        <f aca="false">INDEX(samples!$C:$C, MATCH(B237, samples!$A:$A, 0), 1)</f>
        <v>2020-05-05</v>
      </c>
      <c r="S237" s="50" t="str">
        <f aca="false">INDEX(samples!$D:$D,MATCH(B237, samples!$A:$A,0),1)</f>
        <v>blood</v>
      </c>
      <c r="T237" s="51" t="s">
        <v>427</v>
      </c>
      <c r="V237" s="33" t="s">
        <v>427</v>
      </c>
      <c r="X237" s="8"/>
      <c r="Y237" s="8" t="s">
        <v>1002</v>
      </c>
      <c r="Z237" s="8" t="n">
        <v>0</v>
      </c>
      <c r="AA237" s="8" t="n">
        <v>0</v>
      </c>
      <c r="AB237" s="8" t="n">
        <v>0</v>
      </c>
    </row>
    <row r="238" customFormat="false" ht="13.8" hidden="false" customHeight="false" outlineLevel="0" collapsed="false">
      <c r="A238" s="48" t="s">
        <v>3392</v>
      </c>
      <c r="B238" s="41" t="s">
        <v>2105</v>
      </c>
      <c r="C238" s="0" t="s">
        <v>3147</v>
      </c>
      <c r="D238" s="0" t="s">
        <v>3271</v>
      </c>
      <c r="H238" s="0" t="s">
        <v>3272</v>
      </c>
      <c r="I238" s="0" t="s">
        <v>1002</v>
      </c>
      <c r="J238" s="0" t="s">
        <v>427</v>
      </c>
      <c r="K238" s="0" t="s">
        <v>427</v>
      </c>
      <c r="M238" s="44" t="str">
        <f aca="false">INDEX(fastqs!$A:$A, MATCH(A238, fastqs!$B:$B, 0), 1)</f>
        <v>new_HiSeqW72_Undetermined_R6000482_L001_R1_GCTA.fastq.gz</v>
      </c>
      <c r="N238" s="44" t="n">
        <f aca="false">INDEX(fastqs!$C:$C, MATCH(A238, fastqs!$B:$B, 0), 1)</f>
        <v>0</v>
      </c>
      <c r="O238" s="44" t="str">
        <f aca="false">INDEX(samples!$B:$B, MATCH(B238, samples!$A:$A, 0), 1)</f>
        <v>par0107</v>
      </c>
      <c r="P238" s="44" t="e">
        <f aca="false">INDEX(participants!$I:$I, MATCH(O238, participants!$A:$A, 0), 1)</f>
        <v>#N/A</v>
      </c>
      <c r="Q238" s="44" t="n">
        <f aca="false">INDEX(samples!$F:$F, MATCH(B238, samples!$A:$A, 0), 1)</f>
        <v>0</v>
      </c>
      <c r="R238" s="49" t="str">
        <f aca="false">INDEX(samples!$C:$C, MATCH(B238, samples!$A:$A, 0), 1)</f>
        <v>2020-04-18</v>
      </c>
      <c r="S238" s="50" t="str">
        <f aca="false">INDEX(samples!$D:$D,MATCH(B238, samples!$A:$A,0),1)</f>
        <v>blood</v>
      </c>
      <c r="T238" s="51" t="s">
        <v>427</v>
      </c>
      <c r="V238" s="33" t="s">
        <v>427</v>
      </c>
      <c r="X238" s="8"/>
      <c r="Y238" s="8" t="s">
        <v>1002</v>
      </c>
      <c r="Z238" s="8" t="n">
        <v>0</v>
      </c>
      <c r="AA238" s="8" t="n">
        <v>0</v>
      </c>
      <c r="AB238" s="8" t="n">
        <v>0</v>
      </c>
    </row>
    <row r="239" customFormat="false" ht="13.8" hidden="false" customHeight="false" outlineLevel="0" collapsed="false">
      <c r="A239" s="48" t="s">
        <v>3393</v>
      </c>
      <c r="B239" s="41" t="s">
        <v>2107</v>
      </c>
      <c r="C239" s="0" t="s">
        <v>3147</v>
      </c>
      <c r="D239" s="0" t="s">
        <v>3271</v>
      </c>
      <c r="H239" s="0" t="s">
        <v>3272</v>
      </c>
      <c r="I239" s="0" t="s">
        <v>1002</v>
      </c>
      <c r="J239" s="0" t="s">
        <v>427</v>
      </c>
      <c r="K239" s="0" t="s">
        <v>427</v>
      </c>
      <c r="M239" s="44" t="str">
        <f aca="false">INDEX(fastqs!$A:$A, MATCH(A239, fastqs!$B:$B, 0), 1)</f>
        <v>new_HiSeqW72_Undetermined_R6000482_L001_R1_CACA.fastq.gz</v>
      </c>
      <c r="N239" s="44" t="n">
        <f aca="false">INDEX(fastqs!$C:$C, MATCH(A239, fastqs!$B:$B, 0), 1)</f>
        <v>0</v>
      </c>
      <c r="O239" s="44" t="str">
        <f aca="false">INDEX(samples!$B:$B, MATCH(B239, samples!$A:$A, 0), 1)</f>
        <v>par0102</v>
      </c>
      <c r="P239" s="44" t="e">
        <f aca="false">INDEX(participants!$I:$I, MATCH(O239, participants!$A:$A, 0), 1)</f>
        <v>#N/A</v>
      </c>
      <c r="Q239" s="44" t="n">
        <f aca="false">INDEX(samples!$F:$F, MATCH(B239, samples!$A:$A, 0), 1)</f>
        <v>0</v>
      </c>
      <c r="R239" s="49" t="str">
        <f aca="false">INDEX(samples!$C:$C, MATCH(B239, samples!$A:$A, 0), 1)</f>
        <v>2020-03-31</v>
      </c>
      <c r="S239" s="50" t="str">
        <f aca="false">INDEX(samples!$D:$D,MATCH(B239, samples!$A:$A,0),1)</f>
        <v>blood</v>
      </c>
      <c r="T239" s="51" t="s">
        <v>427</v>
      </c>
      <c r="V239" s="33" t="s">
        <v>427</v>
      </c>
      <c r="X239" s="8"/>
      <c r="Y239" s="8" t="s">
        <v>1002</v>
      </c>
      <c r="Z239" s="8" t="n">
        <v>0</v>
      </c>
      <c r="AA239" s="8" t="n">
        <v>0</v>
      </c>
      <c r="AB239" s="8" t="n">
        <v>0</v>
      </c>
    </row>
    <row r="240" customFormat="false" ht="13.8" hidden="false" customHeight="false" outlineLevel="0" collapsed="false">
      <c r="A240" s="48" t="s">
        <v>3394</v>
      </c>
      <c r="B240" s="41" t="s">
        <v>2109</v>
      </c>
      <c r="C240" s="0" t="s">
        <v>3147</v>
      </c>
      <c r="D240" s="0" t="s">
        <v>3271</v>
      </c>
      <c r="H240" s="0" t="s">
        <v>3272</v>
      </c>
      <c r="I240" s="0" t="s">
        <v>1002</v>
      </c>
      <c r="J240" s="0" t="s">
        <v>427</v>
      </c>
      <c r="K240" s="0" t="s">
        <v>427</v>
      </c>
      <c r="M240" s="44" t="str">
        <f aca="false">INDEX(fastqs!$A:$A, MATCH(A240, fastqs!$B:$B, 0), 1)</f>
        <v>new_HiSeqW72_Undetermined_R6000482_L001_R1_CTTC.fastq.gz</v>
      </c>
      <c r="N240" s="44" t="n">
        <f aca="false">INDEX(fastqs!$C:$C, MATCH(A240, fastqs!$B:$B, 0), 1)</f>
        <v>0</v>
      </c>
      <c r="O240" s="44" t="str">
        <f aca="false">INDEX(samples!$B:$B, MATCH(B240, samples!$A:$A, 0), 1)</f>
        <v>par0102</v>
      </c>
      <c r="P240" s="44" t="e">
        <f aca="false">INDEX(participants!$I:$I, MATCH(O240, participants!$A:$A, 0), 1)</f>
        <v>#N/A</v>
      </c>
      <c r="Q240" s="44" t="n">
        <f aca="false">INDEX(samples!$F:$F, MATCH(B240, samples!$A:$A, 0), 1)</f>
        <v>0</v>
      </c>
      <c r="R240" s="49" t="str">
        <f aca="false">INDEX(samples!$C:$C, MATCH(B240, samples!$A:$A, 0), 1)</f>
        <v>2020-04-21</v>
      </c>
      <c r="S240" s="50" t="str">
        <f aca="false">INDEX(samples!$D:$D,MATCH(B240, samples!$A:$A,0),1)</f>
        <v>blood</v>
      </c>
      <c r="T240" s="51" t="s">
        <v>427</v>
      </c>
      <c r="V240" s="33" t="s">
        <v>427</v>
      </c>
      <c r="X240" s="8"/>
      <c r="Y240" s="8" t="s">
        <v>1002</v>
      </c>
      <c r="Z240" s="8" t="n">
        <v>0</v>
      </c>
      <c r="AA240" s="8" t="n">
        <v>0</v>
      </c>
      <c r="AB240" s="8" t="n">
        <v>0</v>
      </c>
    </row>
    <row r="241" customFormat="false" ht="13.8" hidden="false" customHeight="false" outlineLevel="0" collapsed="false">
      <c r="A241" s="48" t="s">
        <v>3395</v>
      </c>
      <c r="B241" s="41" t="s">
        <v>2111</v>
      </c>
      <c r="C241" s="0" t="s">
        <v>3147</v>
      </c>
      <c r="D241" s="0" t="s">
        <v>3271</v>
      </c>
      <c r="H241" s="0" t="s">
        <v>3272</v>
      </c>
      <c r="I241" s="0" t="s">
        <v>1002</v>
      </c>
      <c r="J241" s="0" t="s">
        <v>427</v>
      </c>
      <c r="K241" s="0" t="s">
        <v>427</v>
      </c>
      <c r="M241" s="44" t="str">
        <f aca="false">INDEX(fastqs!$A:$A, MATCH(A241, fastqs!$B:$B, 0), 1)</f>
        <v>new_HiSeqW72_Undetermined_R6000482_L001_R1_AGGT.fastq.gz</v>
      </c>
      <c r="N241" s="44" t="n">
        <f aca="false">INDEX(fastqs!$C:$C, MATCH(A241, fastqs!$B:$B, 0), 1)</f>
        <v>0</v>
      </c>
      <c r="O241" s="44" t="str">
        <f aca="false">INDEX(samples!$B:$B, MATCH(B241, samples!$A:$A, 0), 1)</f>
        <v>par0102</v>
      </c>
      <c r="P241" s="44" t="e">
        <f aca="false">INDEX(participants!$I:$I, MATCH(O241, participants!$A:$A, 0), 1)</f>
        <v>#N/A</v>
      </c>
      <c r="Q241" s="44" t="n">
        <f aca="false">INDEX(samples!$F:$F, MATCH(B241, samples!$A:$A, 0), 1)</f>
        <v>0</v>
      </c>
      <c r="R241" s="49" t="str">
        <f aca="false">INDEX(samples!$C:$C, MATCH(B241, samples!$A:$A, 0), 1)</f>
        <v>2020-05-28</v>
      </c>
      <c r="S241" s="50" t="str">
        <f aca="false">INDEX(samples!$D:$D,MATCH(B241, samples!$A:$A,0),1)</f>
        <v>blood</v>
      </c>
      <c r="T241" s="51" t="s">
        <v>427</v>
      </c>
      <c r="V241" s="33" t="s">
        <v>427</v>
      </c>
      <c r="X241" s="8"/>
      <c r="Y241" s="8" t="s">
        <v>1002</v>
      </c>
      <c r="Z241" s="8" t="n">
        <v>0</v>
      </c>
      <c r="AA241" s="8" t="n">
        <v>0</v>
      </c>
      <c r="AB241" s="8" t="n">
        <v>0</v>
      </c>
    </row>
    <row r="242" customFormat="false" ht="13.8" hidden="false" customHeight="false" outlineLevel="0" collapsed="false">
      <c r="A242" s="48" t="s">
        <v>3396</v>
      </c>
      <c r="B242" s="41" t="s">
        <v>2113</v>
      </c>
      <c r="C242" s="0" t="s">
        <v>3147</v>
      </c>
      <c r="D242" s="0" t="s">
        <v>3271</v>
      </c>
      <c r="H242" s="0" t="s">
        <v>3272</v>
      </c>
      <c r="I242" s="0" t="s">
        <v>1002</v>
      </c>
      <c r="J242" s="0" t="s">
        <v>427</v>
      </c>
      <c r="K242" s="0" t="s">
        <v>427</v>
      </c>
      <c r="M242" s="44" t="str">
        <f aca="false">INDEX(fastqs!$A:$A, MATCH(A242, fastqs!$B:$B, 0), 1)</f>
        <v>new_HiSeqW72_Undetermined_R6000482_L001_R1_TCCT.fastq.gz</v>
      </c>
      <c r="N242" s="44" t="n">
        <f aca="false">INDEX(fastqs!$C:$C, MATCH(A242, fastqs!$B:$B, 0), 1)</f>
        <v>0</v>
      </c>
      <c r="O242" s="44" t="str">
        <f aca="false">INDEX(samples!$B:$B, MATCH(B242, samples!$A:$A, 0), 1)</f>
        <v>par0102</v>
      </c>
      <c r="P242" s="44" t="e">
        <f aca="false">INDEX(participants!$I:$I, MATCH(O242, participants!$A:$A, 0), 1)</f>
        <v>#N/A</v>
      </c>
      <c r="Q242" s="44" t="n">
        <f aca="false">INDEX(samples!$F:$F, MATCH(B242, samples!$A:$A, 0), 1)</f>
        <v>0</v>
      </c>
      <c r="R242" s="49" t="str">
        <f aca="false">INDEX(samples!$C:$C, MATCH(B242, samples!$A:$A, 0), 1)</f>
        <v>2019-09-03</v>
      </c>
      <c r="S242" s="50" t="str">
        <f aca="false">INDEX(samples!$D:$D,MATCH(B242, samples!$A:$A,0),1)</f>
        <v>blood</v>
      </c>
      <c r="T242" s="51" t="s">
        <v>427</v>
      </c>
      <c r="V242" s="33" t="s">
        <v>427</v>
      </c>
      <c r="X242" s="8"/>
      <c r="Y242" s="8" t="s">
        <v>1002</v>
      </c>
      <c r="Z242" s="8" t="n">
        <v>0</v>
      </c>
      <c r="AA242" s="8" t="n">
        <v>0</v>
      </c>
      <c r="AB242" s="8" t="n">
        <v>0</v>
      </c>
    </row>
    <row r="243" customFormat="false" ht="13.8" hidden="false" customHeight="false" outlineLevel="0" collapsed="false">
      <c r="A243" s="48" t="s">
        <v>3397</v>
      </c>
      <c r="B243" s="41" t="s">
        <v>2114</v>
      </c>
      <c r="C243" s="0" t="s">
        <v>3147</v>
      </c>
      <c r="D243" s="0" t="s">
        <v>3398</v>
      </c>
      <c r="H243" s="0" t="s">
        <v>3272</v>
      </c>
      <c r="I243" s="0" t="s">
        <v>1002</v>
      </c>
      <c r="J243" s="0" t="s">
        <v>3150</v>
      </c>
      <c r="K243" s="0" t="n">
        <v>8</v>
      </c>
      <c r="M243" s="44" t="str">
        <f aca="false">INDEX(fastqs!$A:$A, MATCH(A243, fastqs!$B:$B, 0), 1)</f>
        <v>NCI001_R1.fastq.gz</v>
      </c>
      <c r="N243" s="44" t="n">
        <f aca="false">INDEX(fastqs!$C:$C, MATCH(A243, fastqs!$B:$B, 0), 1)</f>
        <v>0</v>
      </c>
      <c r="O243" s="44" t="str">
        <f aca="false">INDEX(samples!$B:$B, MATCH(B243, samples!$A:$A, 0), 1)</f>
        <v>par0079</v>
      </c>
      <c r="P243" s="44" t="str">
        <f aca="false">INDEX(participants!$I:$I, MATCH(O243, participants!$A:$A, 0), 1)</f>
        <v>nf487</v>
      </c>
      <c r="Q243" s="44" t="n">
        <f aca="false">INDEX(samples!$F:$F, MATCH(B243, samples!$A:$A, 0), 1)</f>
        <v>0</v>
      </c>
      <c r="R243" s="49" t="str">
        <f aca="false">INDEX(samples!$C:$C, MATCH(B243, samples!$A:$A, 0), 1)</f>
        <v>2019-06-25</v>
      </c>
      <c r="S243" s="50" t="str">
        <f aca="false">INDEX(samples!$D:$D,MATCH(B243, samples!$A:$A,0),1)</f>
        <v>blood</v>
      </c>
      <c r="T243" s="51" t="s">
        <v>427</v>
      </c>
      <c r="V243" s="33" t="n">
        <v>15</v>
      </c>
      <c r="X243" s="8"/>
      <c r="Y243" s="8" t="s">
        <v>1002</v>
      </c>
      <c r="Z243" s="8" t="n">
        <v>0</v>
      </c>
      <c r="AA243" s="8" t="n">
        <v>0</v>
      </c>
      <c r="AB243" s="8" t="n">
        <v>0</v>
      </c>
    </row>
    <row r="244" customFormat="false" ht="13.8" hidden="false" customHeight="false" outlineLevel="0" collapsed="false">
      <c r="A244" s="48" t="s">
        <v>3399</v>
      </c>
      <c r="B244" s="41" t="s">
        <v>2115</v>
      </c>
      <c r="C244" s="0" t="s">
        <v>3147</v>
      </c>
      <c r="D244" s="0" t="s">
        <v>3398</v>
      </c>
      <c r="H244" s="0" t="s">
        <v>3272</v>
      </c>
      <c r="I244" s="0" t="s">
        <v>1002</v>
      </c>
      <c r="J244" s="0" t="s">
        <v>3150</v>
      </c>
      <c r="K244" s="0" t="n">
        <v>8</v>
      </c>
      <c r="M244" s="44" t="str">
        <f aca="false">INDEX(fastqs!$A:$A, MATCH(A244, fastqs!$B:$B, 0), 1)</f>
        <v>NCI002_R1.fastq.gz</v>
      </c>
      <c r="N244" s="44" t="n">
        <f aca="false">INDEX(fastqs!$C:$C, MATCH(A244, fastqs!$B:$B, 0), 1)</f>
        <v>0</v>
      </c>
      <c r="O244" s="44" t="str">
        <f aca="false">INDEX(samples!$B:$B, MATCH(B244, samples!$A:$A, 0), 1)</f>
        <v>par0154</v>
      </c>
      <c r="P244" s="44" t="e">
        <f aca="false">INDEX(participants!$I:$I, MATCH(O244, participants!$A:$A, 0), 1)</f>
        <v>#N/A</v>
      </c>
      <c r="Q244" s="44" t="n">
        <f aca="false">INDEX(samples!$F:$F, MATCH(B244, samples!$A:$A, 0), 1)</f>
        <v>0</v>
      </c>
      <c r="R244" s="49" t="str">
        <f aca="false">INDEX(samples!$C:$C, MATCH(B244, samples!$A:$A, 0), 1)</f>
        <v>2019-10-25</v>
      </c>
      <c r="S244" s="50" t="str">
        <f aca="false">INDEX(samples!$D:$D,MATCH(B244, samples!$A:$A,0),1)</f>
        <v>blood</v>
      </c>
      <c r="T244" s="51" t="s">
        <v>427</v>
      </c>
      <c r="V244" s="33" t="n">
        <v>15</v>
      </c>
      <c r="X244" s="8"/>
      <c r="Y244" s="8" t="s">
        <v>1002</v>
      </c>
      <c r="Z244" s="8" t="n">
        <v>0</v>
      </c>
      <c r="AA244" s="8" t="n">
        <v>0</v>
      </c>
      <c r="AB244" s="8" t="n">
        <v>0</v>
      </c>
    </row>
    <row r="245" customFormat="false" ht="13.8" hidden="false" customHeight="false" outlineLevel="0" collapsed="false">
      <c r="A245" s="48" t="s">
        <v>3400</v>
      </c>
      <c r="B245" s="41" t="s">
        <v>2117</v>
      </c>
      <c r="C245" s="0" t="s">
        <v>3147</v>
      </c>
      <c r="D245" s="0" t="s">
        <v>3398</v>
      </c>
      <c r="H245" s="0" t="s">
        <v>3272</v>
      </c>
      <c r="I245" s="0" t="s">
        <v>1002</v>
      </c>
      <c r="J245" s="0" t="s">
        <v>1002</v>
      </c>
      <c r="K245" s="0" t="n">
        <v>8</v>
      </c>
      <c r="M245" s="44" t="str">
        <f aca="false">INDEX(fastqs!$A:$A, MATCH(A245, fastqs!$B:$B, 0), 1)</f>
        <v>NCI003_R1.fastq.gz</v>
      </c>
      <c r="N245" s="44" t="n">
        <f aca="false">INDEX(fastqs!$C:$C, MATCH(A245, fastqs!$B:$B, 0), 1)</f>
        <v>0</v>
      </c>
      <c r="O245" s="44" t="str">
        <f aca="false">INDEX(samples!$B:$B, MATCH(B245, samples!$A:$A, 0), 1)</f>
        <v>par0155</v>
      </c>
      <c r="P245" s="44" t="e">
        <f aca="false">INDEX(participants!$I:$I, MATCH(O245, participants!$A:$A, 0), 1)</f>
        <v>#N/A</v>
      </c>
      <c r="Q245" s="44" t="n">
        <f aca="false">INDEX(samples!$F:$F, MATCH(B245, samples!$A:$A, 0), 1)</f>
        <v>0</v>
      </c>
      <c r="R245" s="49" t="str">
        <f aca="false">INDEX(samples!$C:$C, MATCH(B245, samples!$A:$A, 0), 1)</f>
        <v>2019-09-26</v>
      </c>
      <c r="S245" s="50" t="str">
        <f aca="false">INDEX(samples!$D:$D,MATCH(B245, samples!$A:$A,0),1)</f>
        <v>blood</v>
      </c>
      <c r="T245" s="51" t="s">
        <v>427</v>
      </c>
      <c r="V245" s="33" t="n">
        <v>15</v>
      </c>
      <c r="X245" s="8"/>
      <c r="Y245" s="8" t="s">
        <v>1002</v>
      </c>
      <c r="Z245" s="8" t="n">
        <v>0</v>
      </c>
      <c r="AA245" s="8" t="n">
        <v>0</v>
      </c>
      <c r="AB245" s="8" t="n">
        <v>0</v>
      </c>
    </row>
    <row r="246" customFormat="false" ht="13.8" hidden="false" customHeight="false" outlineLevel="0" collapsed="false">
      <c r="A246" s="48" t="s">
        <v>3401</v>
      </c>
      <c r="B246" s="41" t="s">
        <v>2120</v>
      </c>
      <c r="C246" s="0" t="s">
        <v>3147</v>
      </c>
      <c r="D246" s="0" t="s">
        <v>3398</v>
      </c>
      <c r="H246" s="0" t="s">
        <v>3272</v>
      </c>
      <c r="I246" s="0" t="s">
        <v>1002</v>
      </c>
      <c r="J246" s="0" t="s">
        <v>1002</v>
      </c>
      <c r="K246" s="0" t="n">
        <v>8</v>
      </c>
      <c r="M246" s="44" t="str">
        <f aca="false">INDEX(fastqs!$A:$A, MATCH(A246, fastqs!$B:$B, 0), 1)</f>
        <v>NCI004_R1.fastq.gz</v>
      </c>
      <c r="N246" s="44" t="n">
        <f aca="false">INDEX(fastqs!$C:$C, MATCH(A246, fastqs!$B:$B, 0), 1)</f>
        <v>0</v>
      </c>
      <c r="O246" s="44" t="str">
        <f aca="false">INDEX(samples!$B:$B, MATCH(B246, samples!$A:$A, 0), 1)</f>
        <v>par0157</v>
      </c>
      <c r="P246" s="44" t="e">
        <f aca="false">INDEX(participants!$I:$I, MATCH(O246, participants!$A:$A, 0), 1)</f>
        <v>#N/A</v>
      </c>
      <c r="Q246" s="44" t="n">
        <f aca="false">INDEX(samples!$F:$F, MATCH(B246, samples!$A:$A, 0), 1)</f>
        <v>0</v>
      </c>
      <c r="R246" s="49" t="str">
        <f aca="false">INDEX(samples!$C:$C, MATCH(B246, samples!$A:$A, 0), 1)</f>
        <v>2021-08-31</v>
      </c>
      <c r="S246" s="50" t="str">
        <f aca="false">INDEX(samples!$D:$D,MATCH(B246, samples!$A:$A,0),1)</f>
        <v>blood</v>
      </c>
      <c r="T246" s="51" t="s">
        <v>427</v>
      </c>
      <c r="V246" s="33" t="n">
        <v>15</v>
      </c>
      <c r="X246" s="8"/>
      <c r="Y246" s="8" t="s">
        <v>1002</v>
      </c>
      <c r="Z246" s="8" t="n">
        <v>0</v>
      </c>
      <c r="AA246" s="8" t="n">
        <v>0</v>
      </c>
      <c r="AB246" s="8" t="n">
        <v>0</v>
      </c>
    </row>
    <row r="247" customFormat="false" ht="13.8" hidden="false" customHeight="false" outlineLevel="0" collapsed="false">
      <c r="A247" s="48" t="s">
        <v>3402</v>
      </c>
      <c r="B247" s="41" t="s">
        <v>2123</v>
      </c>
      <c r="C247" s="0" t="s">
        <v>3147</v>
      </c>
      <c r="D247" s="0" t="s">
        <v>3398</v>
      </c>
      <c r="H247" s="0" t="s">
        <v>3272</v>
      </c>
      <c r="I247" s="0" t="s">
        <v>1002</v>
      </c>
      <c r="J247" s="0" t="s">
        <v>3150</v>
      </c>
      <c r="K247" s="0" t="n">
        <v>8</v>
      </c>
      <c r="M247" s="44" t="str">
        <f aca="false">INDEX(fastqs!$A:$A, MATCH(A247, fastqs!$B:$B, 0), 1)</f>
        <v>NCI005_R1.fastq.gz</v>
      </c>
      <c r="N247" s="44" t="n">
        <f aca="false">INDEX(fastqs!$C:$C, MATCH(A247, fastqs!$B:$B, 0), 1)</f>
        <v>0</v>
      </c>
      <c r="O247" s="44" t="str">
        <f aca="false">INDEX(samples!$B:$B, MATCH(B247, samples!$A:$A, 0), 1)</f>
        <v>par0213</v>
      </c>
      <c r="P247" s="44" t="e">
        <f aca="false">INDEX(participants!$I:$I, MATCH(O247, participants!$A:$A, 0), 1)</f>
        <v>#N/A</v>
      </c>
      <c r="Q247" s="44" t="n">
        <f aca="false">INDEX(samples!$F:$F, MATCH(B247, samples!$A:$A, 0), 1)</f>
        <v>0</v>
      </c>
      <c r="R247" s="49" t="str">
        <f aca="false">INDEX(samples!$C:$C, MATCH(B247, samples!$A:$A, 0), 1)</f>
        <v>2021-03-16</v>
      </c>
      <c r="S247" s="50" t="str">
        <f aca="false">INDEX(samples!$D:$D,MATCH(B247, samples!$A:$A,0),1)</f>
        <v>blood</v>
      </c>
      <c r="T247" s="51" t="s">
        <v>427</v>
      </c>
      <c r="V247" s="33" t="n">
        <v>15</v>
      </c>
      <c r="X247" s="8"/>
      <c r="Y247" s="8" t="s">
        <v>1002</v>
      </c>
      <c r="Z247" s="8" t="n">
        <v>0</v>
      </c>
      <c r="AA247" s="8" t="n">
        <v>0</v>
      </c>
      <c r="AB247" s="8" t="n">
        <v>0</v>
      </c>
    </row>
    <row r="248" customFormat="false" ht="13.8" hidden="false" customHeight="false" outlineLevel="0" collapsed="false">
      <c r="A248" s="48" t="s">
        <v>3403</v>
      </c>
      <c r="B248" s="41" t="s">
        <v>2126</v>
      </c>
      <c r="C248" s="0" t="s">
        <v>3147</v>
      </c>
      <c r="D248" s="0" t="s">
        <v>3398</v>
      </c>
      <c r="H248" s="0" t="s">
        <v>3272</v>
      </c>
      <c r="I248" s="0" t="s">
        <v>1002</v>
      </c>
      <c r="J248" s="0" t="s">
        <v>3150</v>
      </c>
      <c r="K248" s="0" t="n">
        <v>8</v>
      </c>
      <c r="M248" s="44" t="str">
        <f aca="false">INDEX(fastqs!$A:$A, MATCH(A248, fastqs!$B:$B, 0), 1)</f>
        <v>NCI006_R1.fastq.gz</v>
      </c>
      <c r="N248" s="44" t="n">
        <f aca="false">INDEX(fastqs!$C:$C, MATCH(A248, fastqs!$B:$B, 0), 1)</f>
        <v>0</v>
      </c>
      <c r="O248" s="44" t="str">
        <f aca="false">INDEX(samples!$B:$B, MATCH(B248, samples!$A:$A, 0), 1)</f>
        <v>par0159</v>
      </c>
      <c r="P248" s="44" t="e">
        <f aca="false">INDEX(participants!$I:$I, MATCH(O248, participants!$A:$A, 0), 1)</f>
        <v>#N/A</v>
      </c>
      <c r="Q248" s="44" t="n">
        <f aca="false">INDEX(samples!$F:$F, MATCH(B248, samples!$A:$A, 0), 1)</f>
        <v>0</v>
      </c>
      <c r="R248" s="49" t="str">
        <f aca="false">INDEX(samples!$C:$C, MATCH(B248, samples!$A:$A, 0), 1)</f>
        <v>2021-11-15</v>
      </c>
      <c r="S248" s="50" t="str">
        <f aca="false">INDEX(samples!$D:$D,MATCH(B248, samples!$A:$A,0),1)</f>
        <v>blood</v>
      </c>
      <c r="T248" s="51" t="s">
        <v>427</v>
      </c>
      <c r="V248" s="33" t="n">
        <v>15</v>
      </c>
      <c r="X248" s="8"/>
      <c r="Y248" s="8" t="s">
        <v>1002</v>
      </c>
      <c r="Z248" s="8" t="n">
        <v>0</v>
      </c>
      <c r="AA248" s="8" t="n">
        <v>0</v>
      </c>
      <c r="AB248" s="8" t="n">
        <v>0</v>
      </c>
    </row>
    <row r="249" customFormat="false" ht="13.8" hidden="false" customHeight="false" outlineLevel="0" collapsed="false">
      <c r="A249" s="48" t="s">
        <v>3404</v>
      </c>
      <c r="B249" s="41" t="s">
        <v>2129</v>
      </c>
      <c r="C249" s="0" t="s">
        <v>3147</v>
      </c>
      <c r="D249" s="0" t="s">
        <v>3398</v>
      </c>
      <c r="H249" s="0" t="s">
        <v>3272</v>
      </c>
      <c r="I249" s="0" t="s">
        <v>1002</v>
      </c>
      <c r="J249" s="0" t="s">
        <v>3150</v>
      </c>
      <c r="K249" s="0" t="n">
        <v>8</v>
      </c>
      <c r="M249" s="44" t="str">
        <f aca="false">INDEX(fastqs!$A:$A, MATCH(A249, fastqs!$B:$B, 0), 1)</f>
        <v>NCI007_R1.fastq.gz</v>
      </c>
      <c r="N249" s="44" t="n">
        <f aca="false">INDEX(fastqs!$C:$C, MATCH(A249, fastqs!$B:$B, 0), 1)</f>
        <v>0</v>
      </c>
      <c r="O249" s="44" t="str">
        <f aca="false">INDEX(samples!$B:$B, MATCH(B249, samples!$A:$A, 0), 1)</f>
        <v>par0011</v>
      </c>
      <c r="P249" s="44" t="str">
        <f aca="false">INDEX(participants!$I:$I, MATCH(O249, participants!$A:$A, 0), 1)</f>
        <v>js0105</v>
      </c>
      <c r="Q249" s="44" t="n">
        <f aca="false">INDEX(samples!$F:$F, MATCH(B249, samples!$A:$A, 0), 1)</f>
        <v>0</v>
      </c>
      <c r="R249" s="49" t="str">
        <f aca="false">INDEX(samples!$C:$C, MATCH(B249, samples!$A:$A, 0), 1)</f>
        <v>2022-04-14</v>
      </c>
      <c r="S249" s="50" t="str">
        <f aca="false">INDEX(samples!$D:$D,MATCH(B249, samples!$A:$A,0),1)</f>
        <v>blood</v>
      </c>
      <c r="T249" s="51" t="s">
        <v>427</v>
      </c>
      <c r="V249" s="33" t="n">
        <v>15</v>
      </c>
      <c r="X249" s="8"/>
      <c r="Y249" s="8" t="s">
        <v>1002</v>
      </c>
      <c r="Z249" s="8" t="n">
        <v>0</v>
      </c>
      <c r="AA249" s="8" t="n">
        <v>0</v>
      </c>
      <c r="AB249" s="8" t="n">
        <v>0</v>
      </c>
    </row>
    <row r="250" customFormat="false" ht="13.8" hidden="false" customHeight="false" outlineLevel="0" collapsed="false">
      <c r="A250" s="48" t="s">
        <v>3405</v>
      </c>
      <c r="B250" s="41" t="s">
        <v>2131</v>
      </c>
      <c r="C250" s="0" t="s">
        <v>3147</v>
      </c>
      <c r="D250" s="0" t="s">
        <v>3398</v>
      </c>
      <c r="H250" s="0" t="s">
        <v>3272</v>
      </c>
      <c r="I250" s="0" t="s">
        <v>1002</v>
      </c>
      <c r="J250" s="0" t="s">
        <v>3150</v>
      </c>
      <c r="K250" s="0" t="n">
        <v>8</v>
      </c>
      <c r="M250" s="44" t="str">
        <f aca="false">INDEX(fastqs!$A:$A, MATCH(A250, fastqs!$B:$B, 0), 1)</f>
        <v>NCI008_R1.fastq.gz</v>
      </c>
      <c r="N250" s="44" t="n">
        <f aca="false">INDEX(fastqs!$C:$C, MATCH(A250, fastqs!$B:$B, 0), 1)</f>
        <v>0</v>
      </c>
      <c r="O250" s="44" t="str">
        <f aca="false">INDEX(samples!$B:$B, MATCH(B250, samples!$A:$A, 0), 1)</f>
        <v>par0161</v>
      </c>
      <c r="P250" s="44" t="e">
        <f aca="false">INDEX(participants!$I:$I, MATCH(O250, participants!$A:$A, 0), 1)</f>
        <v>#N/A</v>
      </c>
      <c r="Q250" s="44" t="n">
        <f aca="false">INDEX(samples!$F:$F, MATCH(B250, samples!$A:$A, 0), 1)</f>
        <v>0</v>
      </c>
      <c r="R250" s="49" t="str">
        <f aca="false">INDEX(samples!$C:$C, MATCH(B250, samples!$A:$A, 0), 1)</f>
        <v>2020-12-11</v>
      </c>
      <c r="S250" s="50" t="str">
        <f aca="false">INDEX(samples!$D:$D,MATCH(B250, samples!$A:$A,0),1)</f>
        <v>blood</v>
      </c>
      <c r="T250" s="51" t="s">
        <v>427</v>
      </c>
      <c r="V250" s="33" t="n">
        <v>10</v>
      </c>
      <c r="X250" s="8"/>
      <c r="Y250" s="8" t="s">
        <v>1002</v>
      </c>
      <c r="Z250" s="8" t="n">
        <v>0</v>
      </c>
      <c r="AA250" s="8" t="n">
        <v>0</v>
      </c>
      <c r="AB250" s="8" t="n">
        <v>0</v>
      </c>
    </row>
    <row r="251" customFormat="false" ht="13.8" hidden="false" customHeight="false" outlineLevel="0" collapsed="false">
      <c r="A251" s="48" t="s">
        <v>3406</v>
      </c>
      <c r="B251" s="41" t="s">
        <v>2134</v>
      </c>
      <c r="C251" s="0" t="s">
        <v>3147</v>
      </c>
      <c r="D251" s="0" t="s">
        <v>3398</v>
      </c>
      <c r="H251" s="0" t="s">
        <v>3272</v>
      </c>
      <c r="I251" s="0" t="s">
        <v>1002</v>
      </c>
      <c r="J251" s="0" t="s">
        <v>3234</v>
      </c>
      <c r="K251" s="0" t="n">
        <v>8</v>
      </c>
      <c r="M251" s="44" t="str">
        <f aca="false">INDEX(fastqs!$A:$A, MATCH(A251, fastqs!$B:$B, 0), 1)</f>
        <v>NCI009_R1.fastq.gz</v>
      </c>
      <c r="N251" s="44" t="n">
        <f aca="false">INDEX(fastqs!$C:$C, MATCH(A251, fastqs!$B:$B, 0), 1)</f>
        <v>0</v>
      </c>
      <c r="O251" s="44" t="str">
        <f aca="false">INDEX(samples!$B:$B, MATCH(B251, samples!$A:$A, 0), 1)</f>
        <v>par0162</v>
      </c>
      <c r="P251" s="44" t="e">
        <f aca="false">INDEX(participants!$I:$I, MATCH(O251, participants!$A:$A, 0), 1)</f>
        <v>#N/A</v>
      </c>
      <c r="Q251" s="44" t="n">
        <f aca="false">INDEX(samples!$F:$F, MATCH(B251, samples!$A:$A, 0), 1)</f>
        <v>0</v>
      </c>
      <c r="R251" s="49" t="str">
        <f aca="false">INDEX(samples!$C:$C, MATCH(B251, samples!$A:$A, 0), 1)</f>
        <v>2020-01-14</v>
      </c>
      <c r="S251" s="50" t="str">
        <f aca="false">INDEX(samples!$D:$D,MATCH(B251, samples!$A:$A,0),1)</f>
        <v>blood</v>
      </c>
      <c r="T251" s="51" t="s">
        <v>427</v>
      </c>
      <c r="V251" s="33" t="n">
        <v>12</v>
      </c>
      <c r="X251" s="8"/>
      <c r="Y251" s="8" t="s">
        <v>1002</v>
      </c>
      <c r="Z251" s="8" t="n">
        <v>0</v>
      </c>
      <c r="AA251" s="8" t="n">
        <v>0</v>
      </c>
      <c r="AB251" s="8" t="n">
        <v>0</v>
      </c>
    </row>
    <row r="252" customFormat="false" ht="13.8" hidden="false" customHeight="false" outlineLevel="0" collapsed="false">
      <c r="A252" s="48" t="s">
        <v>3407</v>
      </c>
      <c r="B252" s="41" t="s">
        <v>2137</v>
      </c>
      <c r="C252" s="0" t="s">
        <v>3147</v>
      </c>
      <c r="D252" s="0" t="s">
        <v>3398</v>
      </c>
      <c r="H252" s="0" t="s">
        <v>3272</v>
      </c>
      <c r="I252" s="0" t="s">
        <v>1002</v>
      </c>
      <c r="J252" s="0" t="s">
        <v>3234</v>
      </c>
      <c r="K252" s="0" t="n">
        <v>8</v>
      </c>
      <c r="M252" s="44" t="str">
        <f aca="false">INDEX(fastqs!$A:$A, MATCH(A252, fastqs!$B:$B, 0), 1)</f>
        <v>NCI010_R1.fastq.gz</v>
      </c>
      <c r="N252" s="44" t="n">
        <f aca="false">INDEX(fastqs!$C:$C, MATCH(A252, fastqs!$B:$B, 0), 1)</f>
        <v>0</v>
      </c>
      <c r="O252" s="44" t="str">
        <f aca="false">INDEX(samples!$B:$B, MATCH(B252, samples!$A:$A, 0), 1)</f>
        <v>par0211</v>
      </c>
      <c r="P252" s="44" t="e">
        <f aca="false">INDEX(participants!$I:$I, MATCH(O252, participants!$A:$A, 0), 1)</f>
        <v>#N/A</v>
      </c>
      <c r="Q252" s="44" t="n">
        <f aca="false">INDEX(samples!$F:$F, MATCH(B252, samples!$A:$A, 0), 1)</f>
        <v>0</v>
      </c>
      <c r="R252" s="49" t="str">
        <f aca="false">INDEX(samples!$C:$C, MATCH(B252, samples!$A:$A, 0), 1)</f>
        <v>2021-03-09</v>
      </c>
      <c r="S252" s="50" t="str">
        <f aca="false">INDEX(samples!$D:$D,MATCH(B252, samples!$A:$A,0),1)</f>
        <v>blood</v>
      </c>
      <c r="T252" s="51" t="s">
        <v>427</v>
      </c>
      <c r="V252" s="33" t="n">
        <v>12</v>
      </c>
      <c r="X252" s="8"/>
      <c r="Y252" s="8" t="s">
        <v>1002</v>
      </c>
      <c r="Z252" s="8" t="n">
        <v>0</v>
      </c>
      <c r="AA252" s="8" t="n">
        <v>0</v>
      </c>
      <c r="AB252" s="8" t="n">
        <v>0</v>
      </c>
    </row>
    <row r="253" customFormat="false" ht="13.8" hidden="false" customHeight="false" outlineLevel="0" collapsed="false">
      <c r="A253" s="48" t="s">
        <v>3408</v>
      </c>
      <c r="B253" s="41" t="s">
        <v>2140</v>
      </c>
      <c r="C253" s="0" t="s">
        <v>3147</v>
      </c>
      <c r="D253" s="0" t="s">
        <v>3398</v>
      </c>
      <c r="H253" s="0" t="s">
        <v>3272</v>
      </c>
      <c r="I253" s="0" t="s">
        <v>1002</v>
      </c>
      <c r="J253" s="0" t="s">
        <v>3409</v>
      </c>
      <c r="K253" s="0" t="n">
        <v>8</v>
      </c>
      <c r="M253" s="44" t="str">
        <f aca="false">INDEX(fastqs!$A:$A, MATCH(A253, fastqs!$B:$B, 0), 1)</f>
        <v>NCI011_R1.fastq.gz</v>
      </c>
      <c r="N253" s="44" t="n">
        <f aca="false">INDEX(fastqs!$C:$C, MATCH(A253, fastqs!$B:$B, 0), 1)</f>
        <v>0</v>
      </c>
      <c r="O253" s="44" t="str">
        <f aca="false">INDEX(samples!$B:$B, MATCH(B253, samples!$A:$A, 0), 1)</f>
        <v>par0164</v>
      </c>
      <c r="P253" s="44" t="e">
        <f aca="false">INDEX(participants!$I:$I, MATCH(O253, participants!$A:$A, 0), 1)</f>
        <v>#N/A</v>
      </c>
      <c r="Q253" s="44" t="n">
        <f aca="false">INDEX(samples!$F:$F, MATCH(B253, samples!$A:$A, 0), 1)</f>
        <v>0</v>
      </c>
      <c r="R253" s="49" t="str">
        <f aca="false">INDEX(samples!$C:$C, MATCH(B253, samples!$A:$A, 0), 1)</f>
        <v>2020-09-15</v>
      </c>
      <c r="S253" s="50" t="str">
        <f aca="false">INDEX(samples!$D:$D,MATCH(B253, samples!$A:$A,0),1)</f>
        <v>blood</v>
      </c>
      <c r="T253" s="51" t="s">
        <v>427</v>
      </c>
      <c r="V253" s="33" t="n">
        <v>9</v>
      </c>
      <c r="X253" s="8"/>
      <c r="Y253" s="8" t="s">
        <v>1002</v>
      </c>
      <c r="Z253" s="8" t="n">
        <v>0</v>
      </c>
      <c r="AA253" s="8" t="n">
        <v>0</v>
      </c>
      <c r="AB253" s="8" t="n">
        <v>0</v>
      </c>
    </row>
    <row r="254" customFormat="false" ht="13.8" hidden="false" customHeight="false" outlineLevel="0" collapsed="false">
      <c r="A254" s="48" t="s">
        <v>3410</v>
      </c>
      <c r="B254" s="41" t="s">
        <v>2143</v>
      </c>
      <c r="C254" s="0" t="s">
        <v>3147</v>
      </c>
      <c r="D254" s="0" t="s">
        <v>3398</v>
      </c>
      <c r="H254" s="0" t="s">
        <v>3272</v>
      </c>
      <c r="I254" s="0" t="s">
        <v>1002</v>
      </c>
      <c r="J254" s="0" t="s">
        <v>3409</v>
      </c>
      <c r="K254" s="0" t="n">
        <v>8</v>
      </c>
      <c r="M254" s="44" t="str">
        <f aca="false">INDEX(fastqs!$A:$A, MATCH(A254, fastqs!$B:$B, 0), 1)</f>
        <v>NCI012_R1.fastq.gz</v>
      </c>
      <c r="N254" s="44" t="n">
        <f aca="false">INDEX(fastqs!$C:$C, MATCH(A254, fastqs!$B:$B, 0), 1)</f>
        <v>0</v>
      </c>
      <c r="O254" s="44" t="str">
        <f aca="false">INDEX(samples!$B:$B, MATCH(B254, samples!$A:$A, 0), 1)</f>
        <v>par0129</v>
      </c>
      <c r="P254" s="44" t="e">
        <f aca="false">INDEX(participants!$I:$I, MATCH(O254, participants!$A:$A, 0), 1)</f>
        <v>#N/A</v>
      </c>
      <c r="Q254" s="44" t="n">
        <f aca="false">INDEX(samples!$F:$F, MATCH(B254, samples!$A:$A, 0), 1)</f>
        <v>0</v>
      </c>
      <c r="R254" s="49" t="str">
        <f aca="false">INDEX(samples!$C:$C, MATCH(B254, samples!$A:$A, 0), 1)</f>
        <v>2021-02-01</v>
      </c>
      <c r="S254" s="50" t="str">
        <f aca="false">INDEX(samples!$D:$D,MATCH(B254, samples!$A:$A,0),1)</f>
        <v>blood</v>
      </c>
      <c r="T254" s="51" t="s">
        <v>427</v>
      </c>
      <c r="V254" s="33" t="n">
        <v>6</v>
      </c>
      <c r="X254" s="8"/>
      <c r="Y254" s="8" t="s">
        <v>1002</v>
      </c>
      <c r="Z254" s="8" t="n">
        <v>0</v>
      </c>
      <c r="AA254" s="8" t="n">
        <v>0</v>
      </c>
      <c r="AB254" s="8" t="n">
        <v>0</v>
      </c>
    </row>
    <row r="255" customFormat="false" ht="13.8" hidden="false" customHeight="false" outlineLevel="0" collapsed="false">
      <c r="A255" s="48" t="s">
        <v>3411</v>
      </c>
      <c r="B255" s="41" t="s">
        <v>2145</v>
      </c>
      <c r="C255" s="0" t="s">
        <v>3147</v>
      </c>
      <c r="D255" s="0" t="s">
        <v>3398</v>
      </c>
      <c r="H255" s="0" t="s">
        <v>3272</v>
      </c>
      <c r="I255" s="0" t="s">
        <v>1002</v>
      </c>
      <c r="J255" s="0" t="s">
        <v>3234</v>
      </c>
      <c r="K255" s="0" t="n">
        <v>8</v>
      </c>
      <c r="M255" s="44" t="str">
        <f aca="false">INDEX(fastqs!$A:$A, MATCH(A255, fastqs!$B:$B, 0), 1)</f>
        <v>NCI013_R1.fastq.gz</v>
      </c>
      <c r="N255" s="44" t="n">
        <f aca="false">INDEX(fastqs!$C:$C, MATCH(A255, fastqs!$B:$B, 0), 1)</f>
        <v>0</v>
      </c>
      <c r="O255" s="44" t="str">
        <f aca="false">INDEX(samples!$B:$B, MATCH(B255, samples!$A:$A, 0), 1)</f>
        <v>par0166</v>
      </c>
      <c r="P255" s="44" t="e">
        <f aca="false">INDEX(participants!$I:$I, MATCH(O255, participants!$A:$A, 0), 1)</f>
        <v>#N/A</v>
      </c>
      <c r="Q255" s="44" t="n">
        <f aca="false">INDEX(samples!$F:$F, MATCH(B255, samples!$A:$A, 0), 1)</f>
        <v>0</v>
      </c>
      <c r="R255" s="49" t="str">
        <f aca="false">INDEX(samples!$C:$C, MATCH(B255, samples!$A:$A, 0), 1)</f>
        <v>2021-10-18</v>
      </c>
      <c r="S255" s="50" t="str">
        <f aca="false">INDEX(samples!$D:$D,MATCH(B255, samples!$A:$A,0),1)</f>
        <v>blood</v>
      </c>
      <c r="T255" s="51" t="s">
        <v>427</v>
      </c>
      <c r="V255" s="33" t="n">
        <v>8</v>
      </c>
      <c r="X255" s="8"/>
      <c r="Y255" s="8" t="s">
        <v>1002</v>
      </c>
      <c r="Z255" s="8" t="n">
        <v>0</v>
      </c>
      <c r="AA255" s="8" t="n">
        <v>0</v>
      </c>
      <c r="AB255" s="8" t="n">
        <v>0</v>
      </c>
    </row>
    <row r="256" customFormat="false" ht="13.8" hidden="false" customHeight="false" outlineLevel="0" collapsed="false">
      <c r="A256" s="48" t="s">
        <v>3412</v>
      </c>
      <c r="B256" s="41" t="s">
        <v>2148</v>
      </c>
      <c r="C256" s="0" t="s">
        <v>3147</v>
      </c>
      <c r="D256" s="0" t="s">
        <v>3398</v>
      </c>
      <c r="H256" s="0" t="s">
        <v>3272</v>
      </c>
      <c r="I256" s="0" t="s">
        <v>1002</v>
      </c>
      <c r="J256" s="0" t="s">
        <v>3234</v>
      </c>
      <c r="K256" s="0" t="n">
        <v>8</v>
      </c>
      <c r="M256" s="44" t="str">
        <f aca="false">INDEX(fastqs!$A:$A, MATCH(A256, fastqs!$B:$B, 0), 1)</f>
        <v>NCI014_R1.fastq.gz</v>
      </c>
      <c r="N256" s="44" t="n">
        <f aca="false">INDEX(fastqs!$C:$C, MATCH(A256, fastqs!$B:$B, 0), 1)</f>
        <v>0</v>
      </c>
      <c r="O256" s="44" t="str">
        <f aca="false">INDEX(samples!$B:$B, MATCH(B256, samples!$A:$A, 0), 1)</f>
        <v>par0167</v>
      </c>
      <c r="P256" s="44" t="e">
        <f aca="false">INDEX(participants!$I:$I, MATCH(O256, participants!$A:$A, 0), 1)</f>
        <v>#N/A</v>
      </c>
      <c r="Q256" s="44" t="n">
        <f aca="false">INDEX(samples!$F:$F, MATCH(B256, samples!$A:$A, 0), 1)</f>
        <v>0</v>
      </c>
      <c r="R256" s="49" t="str">
        <f aca="false">INDEX(samples!$C:$C, MATCH(B256, samples!$A:$A, 0), 1)</f>
        <v>2022-03-17</v>
      </c>
      <c r="S256" s="50" t="str">
        <f aca="false">INDEX(samples!$D:$D,MATCH(B256, samples!$A:$A,0),1)</f>
        <v>blood</v>
      </c>
      <c r="T256" s="51" t="s">
        <v>427</v>
      </c>
      <c r="V256" s="33" t="n">
        <v>7</v>
      </c>
      <c r="X256" s="8"/>
      <c r="Y256" s="8" t="s">
        <v>1002</v>
      </c>
      <c r="Z256" s="8" t="n">
        <v>0</v>
      </c>
      <c r="AA256" s="8" t="n">
        <v>0</v>
      </c>
      <c r="AB256" s="8" t="n">
        <v>0</v>
      </c>
    </row>
    <row r="257" customFormat="false" ht="13.8" hidden="false" customHeight="false" outlineLevel="0" collapsed="false">
      <c r="A257" s="48" t="s">
        <v>3413</v>
      </c>
      <c r="B257" s="41" t="s">
        <v>2151</v>
      </c>
      <c r="C257" s="0" t="s">
        <v>3147</v>
      </c>
      <c r="D257" s="0" t="s">
        <v>3398</v>
      </c>
      <c r="H257" s="0" t="s">
        <v>3272</v>
      </c>
      <c r="I257" s="0" t="s">
        <v>1002</v>
      </c>
      <c r="J257" s="0" t="s">
        <v>3409</v>
      </c>
      <c r="K257" s="0" t="n">
        <v>8</v>
      </c>
      <c r="M257" s="44" t="str">
        <f aca="false">INDEX(fastqs!$A:$A, MATCH(A257, fastqs!$B:$B, 0), 1)</f>
        <v>NCI015_R1.fastq.gz</v>
      </c>
      <c r="N257" s="44" t="n">
        <f aca="false">INDEX(fastqs!$C:$C, MATCH(A257, fastqs!$B:$B, 0), 1)</f>
        <v>0</v>
      </c>
      <c r="O257" s="44" t="str">
        <f aca="false">INDEX(samples!$B:$B, MATCH(B257, samples!$A:$A, 0), 1)</f>
        <v>par0003</v>
      </c>
      <c r="P257" s="44" t="str">
        <f aca="false">INDEX(participants!$I:$I, MATCH(O257, participants!$A:$A, 0), 1)</f>
        <v>2055j</v>
      </c>
      <c r="Q257" s="44" t="n">
        <f aca="false">INDEX(samples!$F:$F, MATCH(B257, samples!$A:$A, 0), 1)</f>
        <v>0</v>
      </c>
      <c r="R257" s="49" t="str">
        <f aca="false">INDEX(samples!$C:$C, MATCH(B257, samples!$A:$A, 0), 1)</f>
        <v>UNK</v>
      </c>
      <c r="S257" s="50" t="str">
        <f aca="false">INDEX(samples!$D:$D,MATCH(B257, samples!$A:$A,0),1)</f>
        <v>blood</v>
      </c>
      <c r="T257" s="51" t="s">
        <v>427</v>
      </c>
      <c r="V257" s="33" t="n">
        <v>10</v>
      </c>
      <c r="X257" s="8"/>
      <c r="Y257" s="8" t="s">
        <v>1002</v>
      </c>
      <c r="Z257" s="8" t="n">
        <v>0</v>
      </c>
      <c r="AA257" s="8" t="n">
        <v>0</v>
      </c>
      <c r="AB257" s="8" t="n">
        <v>0</v>
      </c>
    </row>
    <row r="258" customFormat="false" ht="13.8" hidden="false" customHeight="false" outlineLevel="0" collapsed="false">
      <c r="A258" s="48" t="s">
        <v>3414</v>
      </c>
      <c r="B258" s="41" t="s">
        <v>2152</v>
      </c>
      <c r="C258" s="0" t="s">
        <v>3147</v>
      </c>
      <c r="D258" s="0" t="s">
        <v>3398</v>
      </c>
      <c r="H258" s="0" t="s">
        <v>3272</v>
      </c>
      <c r="I258" s="0" t="s">
        <v>1002</v>
      </c>
      <c r="J258" s="0" t="s">
        <v>3409</v>
      </c>
      <c r="K258" s="0" t="n">
        <v>8</v>
      </c>
      <c r="M258" s="44" t="str">
        <f aca="false">INDEX(fastqs!$A:$A, MATCH(A258, fastqs!$B:$B, 0), 1)</f>
        <v>NCI016_R1.fastq.gz</v>
      </c>
      <c r="N258" s="44" t="n">
        <f aca="false">INDEX(fastqs!$C:$C, MATCH(A258, fastqs!$B:$B, 0), 1)</f>
        <v>0</v>
      </c>
      <c r="O258" s="44" t="str">
        <f aca="false">INDEX(samples!$B:$B, MATCH(B258, samples!$A:$A, 0), 1)</f>
        <v>par0169</v>
      </c>
      <c r="P258" s="44" t="e">
        <f aca="false">INDEX(participants!$I:$I, MATCH(O258, participants!$A:$A, 0), 1)</f>
        <v>#N/A</v>
      </c>
      <c r="Q258" s="44" t="n">
        <f aca="false">INDEX(samples!$F:$F, MATCH(B258, samples!$A:$A, 0), 1)</f>
        <v>0</v>
      </c>
      <c r="R258" s="49" t="str">
        <f aca="false">INDEX(samples!$C:$C, MATCH(B258, samples!$A:$A, 0), 1)</f>
        <v>2021-03-10</v>
      </c>
      <c r="S258" s="50" t="str">
        <f aca="false">INDEX(samples!$D:$D,MATCH(B258, samples!$A:$A,0),1)</f>
        <v>blood</v>
      </c>
      <c r="T258" s="51" t="s">
        <v>427</v>
      </c>
      <c r="V258" s="33" t="n">
        <v>10</v>
      </c>
      <c r="X258" s="8"/>
      <c r="Y258" s="8" t="s">
        <v>1002</v>
      </c>
      <c r="Z258" s="8" t="n">
        <v>0</v>
      </c>
      <c r="AA258" s="8" t="n">
        <v>0</v>
      </c>
      <c r="AB258" s="8" t="n">
        <v>0</v>
      </c>
    </row>
    <row r="259" customFormat="false" ht="13.8" hidden="false" customHeight="false" outlineLevel="0" collapsed="false">
      <c r="A259" s="48" t="s">
        <v>3415</v>
      </c>
      <c r="B259" s="41" t="s">
        <v>2155</v>
      </c>
      <c r="C259" s="0" t="s">
        <v>3147</v>
      </c>
      <c r="D259" s="0" t="s">
        <v>3398</v>
      </c>
      <c r="H259" s="0" t="s">
        <v>3272</v>
      </c>
      <c r="I259" s="0" t="s">
        <v>1002</v>
      </c>
      <c r="J259" s="0" t="s">
        <v>3409</v>
      </c>
      <c r="K259" s="0" t="n">
        <v>8</v>
      </c>
      <c r="M259" s="44" t="str">
        <f aca="false">INDEX(fastqs!$A:$A, MATCH(A259, fastqs!$B:$B, 0), 1)</f>
        <v>NCI017_R1.fastq.gz</v>
      </c>
      <c r="N259" s="44" t="n">
        <f aca="false">INDEX(fastqs!$C:$C, MATCH(A259, fastqs!$B:$B, 0), 1)</f>
        <v>0</v>
      </c>
      <c r="O259" s="44" t="str">
        <f aca="false">INDEX(samples!$B:$B, MATCH(B259, samples!$A:$A, 0), 1)</f>
        <v>par0170</v>
      </c>
      <c r="P259" s="44" t="e">
        <f aca="false">INDEX(participants!$I:$I, MATCH(O259, participants!$A:$A, 0), 1)</f>
        <v>#N/A</v>
      </c>
      <c r="Q259" s="44" t="n">
        <f aca="false">INDEX(samples!$F:$F, MATCH(B259, samples!$A:$A, 0), 1)</f>
        <v>0</v>
      </c>
      <c r="R259" s="49" t="str">
        <f aca="false">INDEX(samples!$C:$C, MATCH(B259, samples!$A:$A, 0), 1)</f>
        <v>2018-09-09</v>
      </c>
      <c r="S259" s="50" t="str">
        <f aca="false">INDEX(samples!$D:$D,MATCH(B259, samples!$A:$A,0),1)</f>
        <v>blood</v>
      </c>
      <c r="T259" s="51" t="s">
        <v>427</v>
      </c>
      <c r="V259" s="33" t="n">
        <v>15</v>
      </c>
      <c r="X259" s="8"/>
      <c r="Y259" s="8" t="s">
        <v>1002</v>
      </c>
      <c r="Z259" s="8" t="n">
        <v>0</v>
      </c>
      <c r="AA259" s="8" t="n">
        <v>0</v>
      </c>
      <c r="AB259" s="8" t="n">
        <v>0</v>
      </c>
    </row>
    <row r="260" customFormat="false" ht="13.8" hidden="false" customHeight="false" outlineLevel="0" collapsed="false">
      <c r="A260" s="48" t="s">
        <v>3416</v>
      </c>
      <c r="B260" s="41" t="s">
        <v>2158</v>
      </c>
      <c r="C260" s="0" t="s">
        <v>3147</v>
      </c>
      <c r="D260" s="0" t="s">
        <v>3398</v>
      </c>
      <c r="H260" s="0" t="s">
        <v>3272</v>
      </c>
      <c r="I260" s="0" t="s">
        <v>1002</v>
      </c>
      <c r="J260" s="0" t="s">
        <v>3409</v>
      </c>
      <c r="K260" s="0" t="n">
        <v>8</v>
      </c>
      <c r="M260" s="44" t="str">
        <f aca="false">INDEX(fastqs!$A:$A, MATCH(A260, fastqs!$B:$B, 0), 1)</f>
        <v>NCI018_R1.fastq.gz</v>
      </c>
      <c r="N260" s="44" t="n">
        <f aca="false">INDEX(fastqs!$C:$C, MATCH(A260, fastqs!$B:$B, 0), 1)</f>
        <v>0</v>
      </c>
      <c r="O260" s="44" t="str">
        <f aca="false">INDEX(samples!$B:$B, MATCH(B260, samples!$A:$A, 0), 1)</f>
        <v>par0012</v>
      </c>
      <c r="P260" s="44" t="str">
        <f aca="false">INDEX(participants!$I:$I, MATCH(O260, participants!$A:$A, 0), 1)</f>
        <v>js0003</v>
      </c>
      <c r="Q260" s="44" t="n">
        <f aca="false">INDEX(samples!$F:$F, MATCH(B260, samples!$A:$A, 0), 1)</f>
        <v>0</v>
      </c>
      <c r="R260" s="49" t="str">
        <f aca="false">INDEX(samples!$C:$C, MATCH(B260, samples!$A:$A, 0), 1)</f>
        <v>2022-04-25</v>
      </c>
      <c r="S260" s="50" t="str">
        <f aca="false">INDEX(samples!$D:$D,MATCH(B260, samples!$A:$A,0),1)</f>
        <v>blood</v>
      </c>
      <c r="T260" s="51" t="s">
        <v>427</v>
      </c>
      <c r="V260" s="33" t="n">
        <v>8</v>
      </c>
      <c r="X260" s="8"/>
      <c r="Y260" s="8" t="s">
        <v>1002</v>
      </c>
      <c r="Z260" s="8" t="n">
        <v>0</v>
      </c>
      <c r="AA260" s="8" t="n">
        <v>0</v>
      </c>
      <c r="AB260" s="8" t="n">
        <v>0</v>
      </c>
    </row>
    <row r="261" customFormat="false" ht="13.8" hidden="false" customHeight="false" outlineLevel="0" collapsed="false">
      <c r="A261" s="48" t="s">
        <v>3417</v>
      </c>
      <c r="B261" s="41" t="s">
        <v>2160</v>
      </c>
      <c r="C261" s="0" t="s">
        <v>3147</v>
      </c>
      <c r="D261" s="0" t="s">
        <v>3398</v>
      </c>
      <c r="H261" s="0" t="s">
        <v>3272</v>
      </c>
      <c r="I261" s="0" t="s">
        <v>1002</v>
      </c>
      <c r="J261" s="0" t="s">
        <v>3409</v>
      </c>
      <c r="K261" s="0" t="n">
        <v>8</v>
      </c>
      <c r="M261" s="44" t="str">
        <f aca="false">INDEX(fastqs!$A:$A, MATCH(A261, fastqs!$B:$B, 0), 1)</f>
        <v>NCI019_R1.fastq.gz</v>
      </c>
      <c r="N261" s="44" t="n">
        <f aca="false">INDEX(fastqs!$C:$C, MATCH(A261, fastqs!$B:$B, 0), 1)</f>
        <v>0</v>
      </c>
      <c r="O261" s="44" t="str">
        <f aca="false">INDEX(samples!$B:$B, MATCH(B261, samples!$A:$A, 0), 1)</f>
        <v>par0172</v>
      </c>
      <c r="P261" s="44" t="e">
        <f aca="false">INDEX(participants!$I:$I, MATCH(O261, participants!$A:$A, 0), 1)</f>
        <v>#N/A</v>
      </c>
      <c r="Q261" s="44" t="n">
        <f aca="false">INDEX(samples!$F:$F, MATCH(B261, samples!$A:$A, 0), 1)</f>
        <v>0</v>
      </c>
      <c r="R261" s="49" t="str">
        <f aca="false">INDEX(samples!$C:$C, MATCH(B261, samples!$A:$A, 0), 1)</f>
        <v>UNK</v>
      </c>
      <c r="S261" s="50" t="str">
        <f aca="false">INDEX(samples!$D:$D,MATCH(B261, samples!$A:$A,0),1)</f>
        <v>blood</v>
      </c>
      <c r="T261" s="51" t="s">
        <v>427</v>
      </c>
      <c r="V261" s="33" t="n">
        <v>8</v>
      </c>
      <c r="X261" s="8"/>
      <c r="Y261" s="8" t="s">
        <v>1002</v>
      </c>
      <c r="Z261" s="8" t="n">
        <v>0</v>
      </c>
      <c r="AA261" s="8" t="n">
        <v>0</v>
      </c>
      <c r="AB261" s="8" t="n">
        <v>0</v>
      </c>
    </row>
    <row r="262" customFormat="false" ht="13.8" hidden="false" customHeight="false" outlineLevel="0" collapsed="false">
      <c r="A262" s="48" t="s">
        <v>3418</v>
      </c>
      <c r="B262" s="41" t="s">
        <v>2162</v>
      </c>
      <c r="C262" s="0" t="s">
        <v>3147</v>
      </c>
      <c r="D262" s="0" t="s">
        <v>3398</v>
      </c>
      <c r="H262" s="0" t="s">
        <v>3272</v>
      </c>
      <c r="I262" s="0" t="s">
        <v>1002</v>
      </c>
      <c r="J262" s="0" t="s">
        <v>3409</v>
      </c>
      <c r="K262" s="0" t="n">
        <v>8</v>
      </c>
      <c r="M262" s="44" t="str">
        <f aca="false">INDEX(fastqs!$A:$A, MATCH(A262, fastqs!$B:$B, 0), 1)</f>
        <v>NCI020_R1.fastq.gz</v>
      </c>
      <c r="N262" s="44" t="n">
        <f aca="false">INDEX(fastqs!$C:$C, MATCH(A262, fastqs!$B:$B, 0), 1)</f>
        <v>0</v>
      </c>
      <c r="O262" s="44" t="str">
        <f aca="false">INDEX(samples!$B:$B, MATCH(B262, samples!$A:$A, 0), 1)</f>
        <v>par0173</v>
      </c>
      <c r="P262" s="44" t="e">
        <f aca="false">INDEX(participants!$I:$I, MATCH(O262, participants!$A:$A, 0), 1)</f>
        <v>#N/A</v>
      </c>
      <c r="Q262" s="44" t="n">
        <f aca="false">INDEX(samples!$F:$F, MATCH(B262, samples!$A:$A, 0), 1)</f>
        <v>0</v>
      </c>
      <c r="R262" s="49" t="str">
        <f aca="false">INDEX(samples!$C:$C, MATCH(B262, samples!$A:$A, 0), 1)</f>
        <v>2018-03-06</v>
      </c>
      <c r="S262" s="50" t="str">
        <f aca="false">INDEX(samples!$D:$D,MATCH(B262, samples!$A:$A,0),1)</f>
        <v>blood</v>
      </c>
      <c r="T262" s="51" t="s">
        <v>427</v>
      </c>
      <c r="V262" s="33" t="n">
        <v>8</v>
      </c>
      <c r="X262" s="8"/>
      <c r="Y262" s="8" t="s">
        <v>1002</v>
      </c>
      <c r="Z262" s="8" t="n">
        <v>0</v>
      </c>
      <c r="AA262" s="8" t="n">
        <v>0</v>
      </c>
      <c r="AB262" s="8" t="n">
        <v>0</v>
      </c>
    </row>
    <row r="263" customFormat="false" ht="13.8" hidden="false" customHeight="false" outlineLevel="0" collapsed="false">
      <c r="A263" s="48" t="s">
        <v>3419</v>
      </c>
      <c r="B263" s="41" t="s">
        <v>2165</v>
      </c>
      <c r="C263" s="0" t="s">
        <v>3147</v>
      </c>
      <c r="D263" s="0" t="s">
        <v>3398</v>
      </c>
      <c r="H263" s="0" t="s">
        <v>3272</v>
      </c>
      <c r="I263" s="0" t="s">
        <v>1002</v>
      </c>
      <c r="J263" s="0" t="s">
        <v>3409</v>
      </c>
      <c r="K263" s="0" t="n">
        <v>8</v>
      </c>
      <c r="M263" s="44" t="str">
        <f aca="false">INDEX(fastqs!$A:$A, MATCH(A263, fastqs!$B:$B, 0), 1)</f>
        <v>NCI021_R1.fastq.gz</v>
      </c>
      <c r="N263" s="44" t="n">
        <f aca="false">INDEX(fastqs!$C:$C, MATCH(A263, fastqs!$B:$B, 0), 1)</f>
        <v>0</v>
      </c>
      <c r="O263" s="44" t="str">
        <f aca="false">INDEX(samples!$B:$B, MATCH(B263, samples!$A:$A, 0), 1)</f>
        <v>par0174</v>
      </c>
      <c r="P263" s="44" t="e">
        <f aca="false">INDEX(participants!$I:$I, MATCH(O263, participants!$A:$A, 0), 1)</f>
        <v>#N/A</v>
      </c>
      <c r="Q263" s="44" t="n">
        <f aca="false">INDEX(samples!$F:$F, MATCH(B263, samples!$A:$A, 0), 1)</f>
        <v>0</v>
      </c>
      <c r="R263" s="49" t="str">
        <f aca="false">INDEX(samples!$C:$C, MATCH(B263, samples!$A:$A, 0), 1)</f>
        <v>2017-11-26</v>
      </c>
      <c r="S263" s="50" t="str">
        <f aca="false">INDEX(samples!$D:$D,MATCH(B263, samples!$A:$A,0),1)</f>
        <v>blood</v>
      </c>
      <c r="T263" s="51" t="s">
        <v>427</v>
      </c>
      <c r="V263" s="33" t="n">
        <v>6</v>
      </c>
      <c r="X263" s="8"/>
      <c r="Y263" s="8" t="s">
        <v>1002</v>
      </c>
      <c r="Z263" s="8" t="n">
        <v>0</v>
      </c>
      <c r="AA263" s="8" t="n">
        <v>0</v>
      </c>
      <c r="AB263" s="8" t="n">
        <v>0</v>
      </c>
    </row>
    <row r="264" customFormat="false" ht="13.8" hidden="false" customHeight="false" outlineLevel="0" collapsed="false">
      <c r="A264" s="48" t="s">
        <v>3420</v>
      </c>
      <c r="B264" s="41" t="s">
        <v>2168</v>
      </c>
      <c r="C264" s="0" t="s">
        <v>3147</v>
      </c>
      <c r="D264" s="0" t="s">
        <v>3398</v>
      </c>
      <c r="H264" s="0" t="s">
        <v>3272</v>
      </c>
      <c r="I264" s="0" t="s">
        <v>1002</v>
      </c>
      <c r="J264" s="0" t="s">
        <v>3409</v>
      </c>
      <c r="K264" s="0" t="n">
        <v>8</v>
      </c>
      <c r="M264" s="44" t="str">
        <f aca="false">INDEX(fastqs!$A:$A, MATCH(A264, fastqs!$B:$B, 0), 1)</f>
        <v>NCI022_R1.fastq.gz</v>
      </c>
      <c r="N264" s="44" t="n">
        <f aca="false">INDEX(fastqs!$C:$C, MATCH(A264, fastqs!$B:$B, 0), 1)</f>
        <v>0</v>
      </c>
      <c r="O264" s="44" t="str">
        <f aca="false">INDEX(samples!$B:$B, MATCH(B264, samples!$A:$A, 0), 1)</f>
        <v>par0175</v>
      </c>
      <c r="P264" s="44" t="e">
        <f aca="false">INDEX(participants!$I:$I, MATCH(O264, participants!$A:$A, 0), 1)</f>
        <v>#N/A</v>
      </c>
      <c r="Q264" s="44" t="n">
        <f aca="false">INDEX(samples!$F:$F, MATCH(B264, samples!$A:$A, 0), 1)</f>
        <v>0</v>
      </c>
      <c r="R264" s="49" t="str">
        <f aca="false">INDEX(samples!$C:$C, MATCH(B264, samples!$A:$A, 0), 1)</f>
        <v>2019-10-08</v>
      </c>
      <c r="S264" s="50" t="str">
        <f aca="false">INDEX(samples!$D:$D,MATCH(B264, samples!$A:$A,0),1)</f>
        <v>blood</v>
      </c>
      <c r="T264" s="51" t="s">
        <v>427</v>
      </c>
      <c r="V264" s="33" t="n">
        <v>6</v>
      </c>
      <c r="X264" s="8"/>
      <c r="Y264" s="8" t="s">
        <v>1002</v>
      </c>
      <c r="Z264" s="8" t="n">
        <v>0</v>
      </c>
      <c r="AA264" s="8" t="n">
        <v>0</v>
      </c>
      <c r="AB264" s="8" t="n">
        <v>0</v>
      </c>
    </row>
    <row r="265" customFormat="false" ht="13.8" hidden="false" customHeight="false" outlineLevel="0" collapsed="false">
      <c r="A265" s="48" t="s">
        <v>3421</v>
      </c>
      <c r="B265" s="41" t="s">
        <v>2170</v>
      </c>
      <c r="C265" s="0" t="s">
        <v>3147</v>
      </c>
      <c r="D265" s="0" t="s">
        <v>3398</v>
      </c>
      <c r="H265" s="0" t="s">
        <v>3272</v>
      </c>
      <c r="I265" s="0" t="s">
        <v>1002</v>
      </c>
      <c r="J265" s="0" t="s">
        <v>3409</v>
      </c>
      <c r="K265" s="0" t="n">
        <v>8</v>
      </c>
      <c r="M265" s="44" t="str">
        <f aca="false">INDEX(fastqs!$A:$A, MATCH(A265, fastqs!$B:$B, 0), 1)</f>
        <v>NCI023_R1.fastq.gz</v>
      </c>
      <c r="N265" s="44" t="n">
        <f aca="false">INDEX(fastqs!$C:$C, MATCH(A265, fastqs!$B:$B, 0), 1)</f>
        <v>0</v>
      </c>
      <c r="O265" s="44" t="str">
        <f aca="false">INDEX(samples!$B:$B, MATCH(B265, samples!$A:$A, 0), 1)</f>
        <v>par0176</v>
      </c>
      <c r="P265" s="44" t="e">
        <f aca="false">INDEX(participants!$I:$I, MATCH(O265, participants!$A:$A, 0), 1)</f>
        <v>#N/A</v>
      </c>
      <c r="Q265" s="44" t="n">
        <f aca="false">INDEX(samples!$F:$F, MATCH(B265, samples!$A:$A, 0), 1)</f>
        <v>0</v>
      </c>
      <c r="R265" s="49" t="str">
        <f aca="false">INDEX(samples!$C:$C, MATCH(B265, samples!$A:$A, 0), 1)</f>
        <v>2018-02-22</v>
      </c>
      <c r="S265" s="50" t="str">
        <f aca="false">INDEX(samples!$D:$D,MATCH(B265, samples!$A:$A,0),1)</f>
        <v>blood</v>
      </c>
      <c r="T265" s="51" t="s">
        <v>427</v>
      </c>
      <c r="V265" s="33" t="n">
        <v>6</v>
      </c>
      <c r="X265" s="8"/>
      <c r="Y265" s="8" t="s">
        <v>1002</v>
      </c>
      <c r="Z265" s="8" t="n">
        <v>0</v>
      </c>
      <c r="AA265" s="8" t="n">
        <v>0</v>
      </c>
      <c r="AB265" s="8" t="n">
        <v>0</v>
      </c>
    </row>
    <row r="266" customFormat="false" ht="13.8" hidden="false" customHeight="false" outlineLevel="0" collapsed="false">
      <c r="A266" s="48" t="s">
        <v>3422</v>
      </c>
      <c r="B266" s="41" t="s">
        <v>2173</v>
      </c>
      <c r="C266" s="0" t="s">
        <v>3147</v>
      </c>
      <c r="D266" s="0" t="s">
        <v>3398</v>
      </c>
      <c r="H266" s="0" t="s">
        <v>3272</v>
      </c>
      <c r="I266" s="0" t="s">
        <v>1002</v>
      </c>
      <c r="J266" s="0" t="s">
        <v>3409</v>
      </c>
      <c r="K266" s="0" t="n">
        <v>8</v>
      </c>
      <c r="M266" s="44" t="str">
        <f aca="false">INDEX(fastqs!$A:$A, MATCH(A266, fastqs!$B:$B, 0), 1)</f>
        <v>NCI024_R1.fastq.gz</v>
      </c>
      <c r="N266" s="44" t="n">
        <f aca="false">INDEX(fastqs!$C:$C, MATCH(A266, fastqs!$B:$B, 0), 1)</f>
        <v>0</v>
      </c>
      <c r="O266" s="44" t="str">
        <f aca="false">INDEX(samples!$B:$B, MATCH(B266, samples!$A:$A, 0), 1)</f>
        <v>par0177</v>
      </c>
      <c r="P266" s="44" t="e">
        <f aca="false">INDEX(participants!$I:$I, MATCH(O266, participants!$A:$A, 0), 1)</f>
        <v>#N/A</v>
      </c>
      <c r="Q266" s="44" t="n">
        <f aca="false">INDEX(samples!$F:$F, MATCH(B266, samples!$A:$A, 0), 1)</f>
        <v>0</v>
      </c>
      <c r="R266" s="49" t="str">
        <f aca="false">INDEX(samples!$C:$C, MATCH(B266, samples!$A:$A, 0), 1)</f>
        <v>2019-01-13</v>
      </c>
      <c r="S266" s="50" t="str">
        <f aca="false">INDEX(samples!$D:$D,MATCH(B266, samples!$A:$A,0),1)</f>
        <v>blood</v>
      </c>
      <c r="T266" s="51" t="s">
        <v>427</v>
      </c>
      <c r="V266" s="33" t="n">
        <v>5</v>
      </c>
      <c r="X266" s="8"/>
      <c r="Y266" s="8" t="s">
        <v>1002</v>
      </c>
      <c r="Z266" s="8" t="n">
        <v>0</v>
      </c>
      <c r="AA266" s="8" t="n">
        <v>0</v>
      </c>
      <c r="AB266" s="8" t="n">
        <v>0</v>
      </c>
    </row>
    <row r="267" customFormat="false" ht="13.8" hidden="false" customHeight="false" outlineLevel="0" collapsed="false">
      <c r="A267" s="48" t="s">
        <v>3423</v>
      </c>
      <c r="B267" s="41" t="s">
        <v>2176</v>
      </c>
      <c r="C267" s="0" t="s">
        <v>3147</v>
      </c>
      <c r="D267" s="0" t="s">
        <v>3398</v>
      </c>
      <c r="H267" s="0" t="s">
        <v>3272</v>
      </c>
      <c r="I267" s="0" t="s">
        <v>1002</v>
      </c>
      <c r="J267" s="0" t="s">
        <v>3409</v>
      </c>
      <c r="K267" s="0" t="n">
        <v>8</v>
      </c>
      <c r="M267" s="44" t="str">
        <f aca="false">INDEX(fastqs!$A:$A, MATCH(A267, fastqs!$B:$B, 0), 1)</f>
        <v>NCI025_R1.fastq.gz</v>
      </c>
      <c r="N267" s="44" t="n">
        <f aca="false">INDEX(fastqs!$C:$C, MATCH(A267, fastqs!$B:$B, 0), 1)</f>
        <v>0</v>
      </c>
      <c r="O267" s="44" t="str">
        <f aca="false">INDEX(samples!$B:$B, MATCH(B267, samples!$A:$A, 0), 1)</f>
        <v>par0178</v>
      </c>
      <c r="P267" s="44" t="e">
        <f aca="false">INDEX(participants!$I:$I, MATCH(O267, participants!$A:$A, 0), 1)</f>
        <v>#N/A</v>
      </c>
      <c r="Q267" s="44" t="n">
        <f aca="false">INDEX(samples!$F:$F, MATCH(B267, samples!$A:$A, 0), 1)</f>
        <v>0</v>
      </c>
      <c r="R267" s="49" t="str">
        <f aca="false">INDEX(samples!$C:$C, MATCH(B267, samples!$A:$A, 0), 1)</f>
        <v>2021-03-08</v>
      </c>
      <c r="S267" s="50" t="str">
        <f aca="false">INDEX(samples!$D:$D,MATCH(B267, samples!$A:$A,0),1)</f>
        <v>blood</v>
      </c>
      <c r="T267" s="51" t="s">
        <v>427</v>
      </c>
      <c r="V267" s="33" t="n">
        <v>5</v>
      </c>
      <c r="X267" s="8"/>
      <c r="Y267" s="8" t="s">
        <v>1002</v>
      </c>
      <c r="Z267" s="8" t="n">
        <v>0</v>
      </c>
      <c r="AA267" s="8" t="n">
        <v>0</v>
      </c>
      <c r="AB267" s="8" t="n">
        <v>0</v>
      </c>
    </row>
    <row r="268" customFormat="false" ht="13.8" hidden="false" customHeight="false" outlineLevel="0" collapsed="false">
      <c r="A268" s="48" t="s">
        <v>3424</v>
      </c>
      <c r="B268" s="41" t="s">
        <v>2179</v>
      </c>
      <c r="C268" s="0" t="s">
        <v>3147</v>
      </c>
      <c r="D268" s="0" t="s">
        <v>3398</v>
      </c>
      <c r="H268" s="0" t="s">
        <v>3272</v>
      </c>
      <c r="I268" s="0" t="s">
        <v>1002</v>
      </c>
      <c r="J268" s="0" t="s">
        <v>3409</v>
      </c>
      <c r="K268" s="0" t="n">
        <v>8</v>
      </c>
      <c r="M268" s="44" t="str">
        <f aca="false">INDEX(fastqs!$A:$A, MATCH(A268, fastqs!$B:$B, 0), 1)</f>
        <v>NCI026_R1.fastq.gz</v>
      </c>
      <c r="N268" s="44" t="n">
        <f aca="false">INDEX(fastqs!$C:$C, MATCH(A268, fastqs!$B:$B, 0), 1)</f>
        <v>0</v>
      </c>
      <c r="O268" s="44" t="str">
        <f aca="false">INDEX(samples!$B:$B, MATCH(B268, samples!$A:$A, 0), 1)</f>
        <v>par0180</v>
      </c>
      <c r="P268" s="44" t="e">
        <f aca="false">INDEX(participants!$I:$I, MATCH(O268, participants!$A:$A, 0), 1)</f>
        <v>#N/A</v>
      </c>
      <c r="Q268" s="44" t="n">
        <f aca="false">INDEX(samples!$F:$F, MATCH(B268, samples!$A:$A, 0), 1)</f>
        <v>0</v>
      </c>
      <c r="R268" s="49" t="str">
        <f aca="false">INDEX(samples!$C:$C, MATCH(B268, samples!$A:$A, 0), 1)</f>
        <v>2018-09-26</v>
      </c>
      <c r="S268" s="50" t="str">
        <f aca="false">INDEX(samples!$D:$D,MATCH(B268, samples!$A:$A,0),1)</f>
        <v>blood</v>
      </c>
      <c r="T268" s="51" t="s">
        <v>427</v>
      </c>
      <c r="V268" s="33" t="n">
        <v>5</v>
      </c>
      <c r="X268" s="8"/>
      <c r="Y268" s="8" t="s">
        <v>1002</v>
      </c>
      <c r="Z268" s="8" t="n">
        <v>0</v>
      </c>
      <c r="AA268" s="8" t="n">
        <v>0</v>
      </c>
      <c r="AB268" s="8" t="n">
        <v>0</v>
      </c>
    </row>
    <row r="269" customFormat="false" ht="13.8" hidden="false" customHeight="false" outlineLevel="0" collapsed="false">
      <c r="A269" s="48" t="s">
        <v>3425</v>
      </c>
      <c r="B269" s="41" t="s">
        <v>2182</v>
      </c>
      <c r="C269" s="0" t="s">
        <v>3147</v>
      </c>
      <c r="D269" s="0" t="s">
        <v>3398</v>
      </c>
      <c r="H269" s="0" t="s">
        <v>3272</v>
      </c>
      <c r="I269" s="0" t="s">
        <v>1002</v>
      </c>
      <c r="J269" s="0" t="s">
        <v>3409</v>
      </c>
      <c r="K269" s="0" t="n">
        <v>8</v>
      </c>
      <c r="M269" s="44" t="str">
        <f aca="false">INDEX(fastqs!$A:$A, MATCH(A269, fastqs!$B:$B, 0), 1)</f>
        <v>NCI027_R1.fastq.gz</v>
      </c>
      <c r="N269" s="44" t="n">
        <f aca="false">INDEX(fastqs!$C:$C, MATCH(A269, fastqs!$B:$B, 0), 1)</f>
        <v>0</v>
      </c>
      <c r="O269" s="44" t="str">
        <f aca="false">INDEX(samples!$B:$B, MATCH(B269, samples!$A:$A, 0), 1)</f>
        <v>par0181</v>
      </c>
      <c r="P269" s="44" t="e">
        <f aca="false">INDEX(participants!$I:$I, MATCH(O269, participants!$A:$A, 0), 1)</f>
        <v>#N/A</v>
      </c>
      <c r="Q269" s="44" t="n">
        <f aca="false">INDEX(samples!$F:$F, MATCH(B269, samples!$A:$A, 0), 1)</f>
        <v>0</v>
      </c>
      <c r="R269" s="49" t="str">
        <f aca="false">INDEX(samples!$C:$C, MATCH(B269, samples!$A:$A, 0), 1)</f>
        <v>2015-05-15</v>
      </c>
      <c r="S269" s="50" t="str">
        <f aca="false">INDEX(samples!$D:$D,MATCH(B269, samples!$A:$A,0),1)</f>
        <v>blood</v>
      </c>
      <c r="T269" s="51" t="s">
        <v>427</v>
      </c>
      <c r="V269" s="33" t="n">
        <v>5</v>
      </c>
      <c r="X269" s="8"/>
      <c r="Y269" s="8" t="s">
        <v>1002</v>
      </c>
      <c r="Z269" s="8" t="n">
        <v>0</v>
      </c>
      <c r="AA269" s="8" t="n">
        <v>0</v>
      </c>
      <c r="AB269" s="8" t="n">
        <v>0</v>
      </c>
    </row>
    <row r="270" customFormat="false" ht="13.8" hidden="false" customHeight="false" outlineLevel="0" collapsed="false">
      <c r="A270" s="48" t="s">
        <v>3426</v>
      </c>
      <c r="B270" s="41" t="s">
        <v>2185</v>
      </c>
      <c r="C270" s="0" t="s">
        <v>3147</v>
      </c>
      <c r="D270" s="0" t="s">
        <v>3398</v>
      </c>
      <c r="H270" s="0" t="s">
        <v>3272</v>
      </c>
      <c r="I270" s="0" t="s">
        <v>1002</v>
      </c>
      <c r="J270" s="0" t="s">
        <v>3409</v>
      </c>
      <c r="K270" s="0" t="n">
        <v>8</v>
      </c>
      <c r="M270" s="44" t="str">
        <f aca="false">INDEX(fastqs!$A:$A, MATCH(A270, fastqs!$B:$B, 0), 1)</f>
        <v>NCI028_R1.fastq.gz</v>
      </c>
      <c r="N270" s="44" t="n">
        <f aca="false">INDEX(fastqs!$C:$C, MATCH(A270, fastqs!$B:$B, 0), 1)</f>
        <v>0</v>
      </c>
      <c r="O270" s="44" t="str">
        <f aca="false">INDEX(samples!$B:$B, MATCH(B270, samples!$A:$A, 0), 1)</f>
        <v>par0182</v>
      </c>
      <c r="P270" s="44" t="e">
        <f aca="false">INDEX(participants!$I:$I, MATCH(O270, participants!$A:$A, 0), 1)</f>
        <v>#N/A</v>
      </c>
      <c r="Q270" s="44" t="n">
        <f aca="false">INDEX(samples!$F:$F, MATCH(B270, samples!$A:$A, 0), 1)</f>
        <v>0</v>
      </c>
      <c r="R270" s="49" t="str">
        <f aca="false">INDEX(samples!$C:$C, MATCH(B270, samples!$A:$A, 0), 1)</f>
        <v>2017-05-09</v>
      </c>
      <c r="S270" s="50" t="str">
        <f aca="false">INDEX(samples!$D:$D,MATCH(B270, samples!$A:$A,0),1)</f>
        <v>blood</v>
      </c>
      <c r="T270" s="51" t="s">
        <v>427</v>
      </c>
      <c r="V270" s="33" t="n">
        <v>5</v>
      </c>
      <c r="X270" s="8"/>
      <c r="Y270" s="8" t="s">
        <v>1002</v>
      </c>
      <c r="Z270" s="8" t="n">
        <v>0</v>
      </c>
      <c r="AA270" s="8" t="n">
        <v>0</v>
      </c>
      <c r="AB270" s="8" t="n">
        <v>0</v>
      </c>
    </row>
    <row r="271" customFormat="false" ht="13.8" hidden="false" customHeight="false" outlineLevel="0" collapsed="false">
      <c r="A271" s="48" t="s">
        <v>3427</v>
      </c>
      <c r="B271" s="41" t="s">
        <v>2188</v>
      </c>
      <c r="C271" s="0" t="s">
        <v>3147</v>
      </c>
      <c r="D271" s="0" t="s">
        <v>3398</v>
      </c>
      <c r="H271" s="0" t="s">
        <v>3272</v>
      </c>
      <c r="I271" s="0" t="s">
        <v>1002</v>
      </c>
      <c r="J271" s="0" t="s">
        <v>3409</v>
      </c>
      <c r="K271" s="0" t="n">
        <v>8</v>
      </c>
      <c r="M271" s="44" t="str">
        <f aca="false">INDEX(fastqs!$A:$A, MATCH(A271, fastqs!$B:$B, 0), 1)</f>
        <v>NCI029_R1.fastq.gz</v>
      </c>
      <c r="N271" s="44" t="n">
        <f aca="false">INDEX(fastqs!$C:$C, MATCH(A271, fastqs!$B:$B, 0), 1)</f>
        <v>0</v>
      </c>
      <c r="O271" s="44" t="str">
        <f aca="false">INDEX(samples!$B:$B, MATCH(B271, samples!$A:$A, 0), 1)</f>
        <v>par0030</v>
      </c>
      <c r="P271" s="44" t="str">
        <f aca="false">INDEX(participants!$I:$I, MATCH(O271, participants!$A:$A, 0), 1)</f>
        <v>js0048</v>
      </c>
      <c r="Q271" s="44" t="n">
        <f aca="false">INDEX(samples!$F:$F, MATCH(B271, samples!$A:$A, 0), 1)</f>
        <v>0</v>
      </c>
      <c r="R271" s="49" t="str">
        <f aca="false">INDEX(samples!$C:$C, MATCH(B271, samples!$A:$A, 0), 1)</f>
        <v>2021-10-21</v>
      </c>
      <c r="S271" s="50" t="str">
        <f aca="false">INDEX(samples!$D:$D,MATCH(B271, samples!$A:$A,0),1)</f>
        <v>blood</v>
      </c>
      <c r="T271" s="51" t="s">
        <v>427</v>
      </c>
      <c r="V271" s="33" t="n">
        <v>5</v>
      </c>
      <c r="X271" s="8"/>
      <c r="Y271" s="8" t="s">
        <v>1002</v>
      </c>
      <c r="Z271" s="8" t="n">
        <v>0</v>
      </c>
      <c r="AA271" s="8" t="n">
        <v>0</v>
      </c>
      <c r="AB271" s="8" t="n">
        <v>0</v>
      </c>
    </row>
    <row r="272" customFormat="false" ht="13.8" hidden="false" customHeight="false" outlineLevel="0" collapsed="false">
      <c r="A272" s="48" t="s">
        <v>3428</v>
      </c>
      <c r="B272" s="41" t="s">
        <v>2190</v>
      </c>
      <c r="C272" s="0" t="s">
        <v>3147</v>
      </c>
      <c r="D272" s="0" t="s">
        <v>3398</v>
      </c>
      <c r="H272" s="0" t="s">
        <v>3272</v>
      </c>
      <c r="I272" s="0" t="s">
        <v>1002</v>
      </c>
      <c r="J272" s="0" t="s">
        <v>3409</v>
      </c>
      <c r="K272" s="0" t="n">
        <v>8</v>
      </c>
      <c r="M272" s="44" t="str">
        <f aca="false">INDEX(fastqs!$A:$A, MATCH(A272, fastqs!$B:$B, 0), 1)</f>
        <v>NCI030_R1.fastq.gz</v>
      </c>
      <c r="N272" s="44" t="n">
        <f aca="false">INDEX(fastqs!$C:$C, MATCH(A272, fastqs!$B:$B, 0), 1)</f>
        <v>0</v>
      </c>
      <c r="O272" s="44" t="str">
        <f aca="false">INDEX(samples!$B:$B, MATCH(B272, samples!$A:$A, 0), 1)</f>
        <v>par0184</v>
      </c>
      <c r="P272" s="44" t="e">
        <f aca="false">INDEX(participants!$I:$I, MATCH(O272, participants!$A:$A, 0), 1)</f>
        <v>#N/A</v>
      </c>
      <c r="Q272" s="44" t="n">
        <f aca="false">INDEX(samples!$F:$F, MATCH(B272, samples!$A:$A, 0), 1)</f>
        <v>0</v>
      </c>
      <c r="R272" s="49" t="str">
        <f aca="false">INDEX(samples!$C:$C, MATCH(B272, samples!$A:$A, 0), 1)</f>
        <v>2019-01-02</v>
      </c>
      <c r="S272" s="50" t="str">
        <f aca="false">INDEX(samples!$D:$D,MATCH(B272, samples!$A:$A,0),1)</f>
        <v>blood</v>
      </c>
      <c r="T272" s="51" t="s">
        <v>427</v>
      </c>
      <c r="V272" s="33" t="n">
        <v>5</v>
      </c>
      <c r="X272" s="8"/>
      <c r="Y272" s="8" t="s">
        <v>1002</v>
      </c>
      <c r="Z272" s="8" t="n">
        <v>0</v>
      </c>
      <c r="AA272" s="8" t="n">
        <v>0</v>
      </c>
      <c r="AB272" s="8" t="n">
        <v>0</v>
      </c>
    </row>
    <row r="273" customFormat="false" ht="13.8" hidden="false" customHeight="false" outlineLevel="0" collapsed="false">
      <c r="A273" s="48" t="s">
        <v>3429</v>
      </c>
      <c r="B273" s="41" t="s">
        <v>2193</v>
      </c>
      <c r="C273" s="0" t="s">
        <v>3147</v>
      </c>
      <c r="D273" s="0" t="s">
        <v>3398</v>
      </c>
      <c r="H273" s="0" t="s">
        <v>3272</v>
      </c>
      <c r="I273" s="0" t="s">
        <v>1002</v>
      </c>
      <c r="J273" s="0" t="s">
        <v>3409</v>
      </c>
      <c r="K273" s="0" t="n">
        <v>8</v>
      </c>
      <c r="M273" s="44" t="str">
        <f aca="false">INDEX(fastqs!$A:$A, MATCH(A273, fastqs!$B:$B, 0), 1)</f>
        <v>NCI031_R1.fastq.gz</v>
      </c>
      <c r="N273" s="44" t="n">
        <f aca="false">INDEX(fastqs!$C:$C, MATCH(A273, fastqs!$B:$B, 0), 1)</f>
        <v>0</v>
      </c>
      <c r="O273" s="44" t="str">
        <f aca="false">INDEX(samples!$B:$B, MATCH(B273, samples!$A:$A, 0), 1)</f>
        <v>par0185</v>
      </c>
      <c r="P273" s="44" t="e">
        <f aca="false">INDEX(participants!$I:$I, MATCH(O273, participants!$A:$A, 0), 1)</f>
        <v>#N/A</v>
      </c>
      <c r="Q273" s="44" t="n">
        <f aca="false">INDEX(samples!$F:$F, MATCH(B273, samples!$A:$A, 0), 1)</f>
        <v>0</v>
      </c>
      <c r="R273" s="49" t="str">
        <f aca="false">INDEX(samples!$C:$C, MATCH(B273, samples!$A:$A, 0), 1)</f>
        <v>2022-03-16</v>
      </c>
      <c r="S273" s="50" t="str">
        <f aca="false">INDEX(samples!$D:$D,MATCH(B273, samples!$A:$A,0),1)</f>
        <v>blood</v>
      </c>
      <c r="T273" s="51" t="s">
        <v>427</v>
      </c>
      <c r="V273" s="33" t="n">
        <v>5</v>
      </c>
      <c r="X273" s="8"/>
      <c r="Y273" s="8" t="s">
        <v>1002</v>
      </c>
      <c r="Z273" s="8" t="n">
        <v>0</v>
      </c>
      <c r="AA273" s="8" t="n">
        <v>0</v>
      </c>
      <c r="AB273" s="8" t="n">
        <v>0</v>
      </c>
    </row>
    <row r="274" customFormat="false" ht="13.8" hidden="false" customHeight="false" outlineLevel="0" collapsed="false">
      <c r="A274" s="48" t="s">
        <v>3430</v>
      </c>
      <c r="B274" s="41" t="s">
        <v>2196</v>
      </c>
      <c r="C274" s="0" t="s">
        <v>3147</v>
      </c>
      <c r="D274" s="0" t="s">
        <v>3398</v>
      </c>
      <c r="H274" s="0" t="s">
        <v>3272</v>
      </c>
      <c r="I274" s="0" t="s">
        <v>1002</v>
      </c>
      <c r="J274" s="0" t="s">
        <v>3409</v>
      </c>
      <c r="K274" s="0" t="n">
        <v>8</v>
      </c>
      <c r="M274" s="44" t="str">
        <f aca="false">INDEX(fastqs!$A:$A, MATCH(A274, fastqs!$B:$B, 0), 1)</f>
        <v>NCI032_R1.fastq.gz</v>
      </c>
      <c r="N274" s="44" t="n">
        <f aca="false">INDEX(fastqs!$C:$C, MATCH(A274, fastqs!$B:$B, 0), 1)</f>
        <v>0</v>
      </c>
      <c r="O274" s="44" t="str">
        <f aca="false">INDEX(samples!$B:$B, MATCH(B274, samples!$A:$A, 0), 1)</f>
        <v>par0238</v>
      </c>
      <c r="P274" s="44" t="e">
        <f aca="false">INDEX(participants!$I:$I, MATCH(O274, participants!$A:$A, 0), 1)</f>
        <v>#N/A</v>
      </c>
      <c r="Q274" s="44" t="n">
        <f aca="false">INDEX(samples!$F:$F, MATCH(B274, samples!$A:$A, 0), 1)</f>
        <v>0</v>
      </c>
      <c r="R274" s="49" t="str">
        <f aca="false">INDEX(samples!$C:$C, MATCH(B274, samples!$A:$A, 0), 1)</f>
        <v>2021-12-14</v>
      </c>
      <c r="S274" s="50" t="str">
        <f aca="false">INDEX(samples!$D:$D,MATCH(B274, samples!$A:$A,0),1)</f>
        <v>blood</v>
      </c>
      <c r="T274" s="51" t="s">
        <v>427</v>
      </c>
      <c r="V274" s="33" t="n">
        <v>5</v>
      </c>
      <c r="X274" s="8"/>
      <c r="Y274" s="8" t="s">
        <v>1002</v>
      </c>
      <c r="Z274" s="8" t="n">
        <v>0</v>
      </c>
      <c r="AA274" s="8" t="n">
        <v>0</v>
      </c>
      <c r="AB274" s="8" t="n">
        <v>0</v>
      </c>
    </row>
    <row r="275" customFormat="false" ht="13.8" hidden="false" customHeight="false" outlineLevel="0" collapsed="false">
      <c r="A275" s="48" t="s">
        <v>3431</v>
      </c>
      <c r="B275" s="41" t="s">
        <v>2199</v>
      </c>
      <c r="C275" s="0" t="s">
        <v>3147</v>
      </c>
      <c r="D275" s="0" t="s">
        <v>3398</v>
      </c>
      <c r="H275" s="0" t="s">
        <v>3272</v>
      </c>
      <c r="I275" s="0" t="s">
        <v>1002</v>
      </c>
      <c r="J275" s="0" t="s">
        <v>3234</v>
      </c>
      <c r="K275" s="0" t="n">
        <v>8</v>
      </c>
      <c r="M275" s="44" t="str">
        <f aca="false">INDEX(fastqs!$A:$A, MATCH(A275, fastqs!$B:$B, 0), 1)</f>
        <v>NCI033_R1.fastq.gz</v>
      </c>
      <c r="N275" s="44" t="n">
        <f aca="false">INDEX(fastqs!$C:$C, MATCH(A275, fastqs!$B:$B, 0), 1)</f>
        <v>0</v>
      </c>
      <c r="O275" s="44" t="str">
        <f aca="false">INDEX(samples!$B:$B, MATCH(B275, samples!$A:$A, 0), 1)</f>
        <v>par0027</v>
      </c>
      <c r="P275" s="44" t="str">
        <f aca="false">INDEX(participants!$I:$I, MATCH(O275, participants!$A:$A, 0), 1)</f>
        <v>js0044</v>
      </c>
      <c r="Q275" s="44" t="n">
        <f aca="false">INDEX(samples!$F:$F, MATCH(B275, samples!$A:$A, 0), 1)</f>
        <v>0</v>
      </c>
      <c r="R275" s="49" t="str">
        <f aca="false">INDEX(samples!$C:$C, MATCH(B275, samples!$A:$A, 0), 1)</f>
        <v>2021-05-04</v>
      </c>
      <c r="S275" s="50" t="str">
        <f aca="false">INDEX(samples!$D:$D,MATCH(B275, samples!$A:$A,0),1)</f>
        <v>blood</v>
      </c>
      <c r="T275" s="51" t="s">
        <v>427</v>
      </c>
      <c r="V275" s="33" t="n">
        <v>15</v>
      </c>
      <c r="X275" s="8"/>
      <c r="Y275" s="8" t="s">
        <v>1002</v>
      </c>
      <c r="Z275" s="8" t="n">
        <v>0</v>
      </c>
      <c r="AA275" s="8" t="n">
        <v>0</v>
      </c>
      <c r="AB275" s="8" t="n">
        <v>0</v>
      </c>
    </row>
    <row r="276" customFormat="false" ht="13.8" hidden="false" customHeight="false" outlineLevel="0" collapsed="false">
      <c r="A276" s="48" t="s">
        <v>3432</v>
      </c>
      <c r="B276" s="41" t="s">
        <v>2201</v>
      </c>
      <c r="C276" s="0" t="s">
        <v>3147</v>
      </c>
      <c r="D276" s="0" t="s">
        <v>3398</v>
      </c>
      <c r="H276" s="0" t="s">
        <v>3272</v>
      </c>
      <c r="I276" s="0" t="s">
        <v>1002</v>
      </c>
      <c r="J276" s="0" t="s">
        <v>3409</v>
      </c>
      <c r="K276" s="0" t="n">
        <v>8</v>
      </c>
      <c r="M276" s="44" t="str">
        <f aca="false">INDEX(fastqs!$A:$A, MATCH(A276, fastqs!$B:$B, 0), 1)</f>
        <v>NCI034_R1.fastq.gz</v>
      </c>
      <c r="N276" s="44" t="n">
        <f aca="false">INDEX(fastqs!$C:$C, MATCH(A276, fastqs!$B:$B, 0), 1)</f>
        <v>0</v>
      </c>
      <c r="O276" s="44" t="str">
        <f aca="false">INDEX(samples!$B:$B, MATCH(B276, samples!$A:$A, 0), 1)</f>
        <v>par0035</v>
      </c>
      <c r="P276" s="44" t="str">
        <f aca="false">INDEX(participants!$I:$I, MATCH(O276, participants!$A:$A, 0), 1)</f>
        <v>js0054</v>
      </c>
      <c r="Q276" s="44" t="n">
        <f aca="false">INDEX(samples!$F:$F, MATCH(B276, samples!$A:$A, 0), 1)</f>
        <v>0</v>
      </c>
      <c r="R276" s="49" t="str">
        <f aca="false">INDEX(samples!$C:$C, MATCH(B276, samples!$A:$A, 0), 1)</f>
        <v>2016-01-08</v>
      </c>
      <c r="S276" s="50" t="str">
        <f aca="false">INDEX(samples!$D:$D,MATCH(B276, samples!$A:$A,0),1)</f>
        <v>blood</v>
      </c>
      <c r="T276" s="51" t="s">
        <v>427</v>
      </c>
      <c r="V276" s="33" t="n">
        <v>5</v>
      </c>
      <c r="X276" s="8"/>
      <c r="Y276" s="8" t="s">
        <v>1002</v>
      </c>
      <c r="Z276" s="8" t="n">
        <v>0</v>
      </c>
      <c r="AA276" s="8" t="n">
        <v>0</v>
      </c>
      <c r="AB276" s="8" t="n">
        <v>0</v>
      </c>
    </row>
    <row r="277" customFormat="false" ht="13.8" hidden="false" customHeight="false" outlineLevel="0" collapsed="false">
      <c r="A277" s="48" t="s">
        <v>3433</v>
      </c>
      <c r="B277" s="41" t="s">
        <v>2203</v>
      </c>
      <c r="C277" s="0" t="s">
        <v>3147</v>
      </c>
      <c r="D277" s="0" t="s">
        <v>3398</v>
      </c>
      <c r="H277" s="0" t="s">
        <v>3272</v>
      </c>
      <c r="I277" s="0" t="s">
        <v>1002</v>
      </c>
      <c r="J277" s="0" t="s">
        <v>3409</v>
      </c>
      <c r="K277" s="0" t="n">
        <v>8</v>
      </c>
      <c r="M277" s="44" t="str">
        <f aca="false">INDEX(fastqs!$A:$A, MATCH(A277, fastqs!$B:$B, 0), 1)</f>
        <v>NCI035_R1.fastq.gz</v>
      </c>
      <c r="N277" s="44" t="n">
        <f aca="false">INDEX(fastqs!$C:$C, MATCH(A277, fastqs!$B:$B, 0), 1)</f>
        <v>0</v>
      </c>
      <c r="O277" s="44" t="str">
        <f aca="false">INDEX(samples!$B:$B, MATCH(B277, samples!$A:$A, 0), 1)</f>
        <v>par0189</v>
      </c>
      <c r="P277" s="44" t="e">
        <f aca="false">INDEX(participants!$I:$I, MATCH(O277, participants!$A:$A, 0), 1)</f>
        <v>#N/A</v>
      </c>
      <c r="Q277" s="44" t="n">
        <f aca="false">INDEX(samples!$F:$F, MATCH(B277, samples!$A:$A, 0), 1)</f>
        <v>0</v>
      </c>
      <c r="R277" s="49" t="str">
        <f aca="false">INDEX(samples!$C:$C, MATCH(B277, samples!$A:$A, 0), 1)</f>
        <v>2022-01-24</v>
      </c>
      <c r="S277" s="50" t="str">
        <f aca="false">INDEX(samples!$D:$D,MATCH(B277, samples!$A:$A,0),1)</f>
        <v>blood</v>
      </c>
      <c r="T277" s="51" t="s">
        <v>427</v>
      </c>
      <c r="V277" s="33" t="n">
        <v>8</v>
      </c>
      <c r="X277" s="8"/>
      <c r="Y277" s="8" t="s">
        <v>1002</v>
      </c>
      <c r="Z277" s="8" t="n">
        <v>0</v>
      </c>
      <c r="AA277" s="8" t="n">
        <v>0</v>
      </c>
      <c r="AB277" s="8" t="n">
        <v>0</v>
      </c>
    </row>
    <row r="278" customFormat="false" ht="13.8" hidden="false" customHeight="false" outlineLevel="0" collapsed="false">
      <c r="A278" s="48" t="s">
        <v>3434</v>
      </c>
      <c r="B278" s="41" t="s">
        <v>2206</v>
      </c>
      <c r="C278" s="0" t="s">
        <v>3147</v>
      </c>
      <c r="D278" s="0" t="s">
        <v>3398</v>
      </c>
      <c r="H278" s="0" t="s">
        <v>3272</v>
      </c>
      <c r="I278" s="0" t="s">
        <v>1002</v>
      </c>
      <c r="J278" s="0" t="s">
        <v>3409</v>
      </c>
      <c r="K278" s="0" t="n">
        <v>8</v>
      </c>
      <c r="M278" s="44" t="str">
        <f aca="false">INDEX(fastqs!$A:$A, MATCH(A278, fastqs!$B:$B, 0), 1)</f>
        <v>NCI036_R1.fastq.gz</v>
      </c>
      <c r="N278" s="44" t="n">
        <f aca="false">INDEX(fastqs!$C:$C, MATCH(A278, fastqs!$B:$B, 0), 1)</f>
        <v>0</v>
      </c>
      <c r="O278" s="44" t="str">
        <f aca="false">INDEX(samples!$B:$B, MATCH(B278, samples!$A:$A, 0), 1)</f>
        <v>par0190</v>
      </c>
      <c r="P278" s="44" t="e">
        <f aca="false">INDEX(participants!$I:$I, MATCH(O278, participants!$A:$A, 0), 1)</f>
        <v>#N/A</v>
      </c>
      <c r="Q278" s="44" t="n">
        <f aca="false">INDEX(samples!$F:$F, MATCH(B278, samples!$A:$A, 0), 1)</f>
        <v>0</v>
      </c>
      <c r="R278" s="49" t="str">
        <f aca="false">INDEX(samples!$C:$C, MATCH(B278, samples!$A:$A, 0), 1)</f>
        <v>2017-12-11</v>
      </c>
      <c r="S278" s="50" t="str">
        <f aca="false">INDEX(samples!$D:$D,MATCH(B278, samples!$A:$A,0),1)</f>
        <v>blood</v>
      </c>
      <c r="T278" s="51" t="s">
        <v>427</v>
      </c>
      <c r="V278" s="33" t="n">
        <v>8</v>
      </c>
      <c r="X278" s="8"/>
      <c r="Y278" s="8" t="s">
        <v>1002</v>
      </c>
      <c r="Z278" s="8" t="n">
        <v>0</v>
      </c>
      <c r="AA278" s="8" t="n">
        <v>0</v>
      </c>
      <c r="AB278" s="8" t="n">
        <v>0</v>
      </c>
    </row>
    <row r="279" customFormat="false" ht="13.8" hidden="false" customHeight="false" outlineLevel="0" collapsed="false">
      <c r="A279" s="48" t="s">
        <v>3435</v>
      </c>
      <c r="B279" s="41" t="s">
        <v>2209</v>
      </c>
      <c r="C279" s="0" t="s">
        <v>3147</v>
      </c>
      <c r="D279" s="0" t="s">
        <v>3398</v>
      </c>
      <c r="H279" s="0" t="s">
        <v>3272</v>
      </c>
      <c r="I279" s="0" t="s">
        <v>1002</v>
      </c>
      <c r="J279" s="0" t="s">
        <v>3409</v>
      </c>
      <c r="K279" s="0" t="n">
        <v>8</v>
      </c>
      <c r="M279" s="44" t="str">
        <f aca="false">INDEX(fastqs!$A:$A, MATCH(A279, fastqs!$B:$B, 0), 1)</f>
        <v>NCI037_R1.fastq.gz</v>
      </c>
      <c r="N279" s="44" t="n">
        <f aca="false">INDEX(fastqs!$C:$C, MATCH(A279, fastqs!$B:$B, 0), 1)</f>
        <v>0</v>
      </c>
      <c r="O279" s="44" t="str">
        <f aca="false">INDEX(samples!$B:$B, MATCH(B279, samples!$A:$A, 0), 1)</f>
        <v>par0191</v>
      </c>
      <c r="P279" s="44" t="e">
        <f aca="false">INDEX(participants!$I:$I, MATCH(O279, participants!$A:$A, 0), 1)</f>
        <v>#N/A</v>
      </c>
      <c r="Q279" s="44" t="n">
        <f aca="false">INDEX(samples!$F:$F, MATCH(B279, samples!$A:$A, 0), 1)</f>
        <v>0</v>
      </c>
      <c r="R279" s="49" t="str">
        <f aca="false">INDEX(samples!$C:$C, MATCH(B279, samples!$A:$A, 0), 1)</f>
        <v>2020-01-13</v>
      </c>
      <c r="S279" s="50" t="str">
        <f aca="false">INDEX(samples!$D:$D,MATCH(B279, samples!$A:$A,0),1)</f>
        <v>blood</v>
      </c>
      <c r="T279" s="51" t="s">
        <v>427</v>
      </c>
      <c r="V279" s="33" t="n">
        <v>5</v>
      </c>
      <c r="X279" s="8"/>
      <c r="Y279" s="8" t="s">
        <v>1002</v>
      </c>
      <c r="Z279" s="8" t="n">
        <v>0</v>
      </c>
      <c r="AA279" s="8" t="n">
        <v>0</v>
      </c>
      <c r="AB279" s="8" t="n">
        <v>0</v>
      </c>
    </row>
    <row r="280" customFormat="false" ht="13.8" hidden="false" customHeight="false" outlineLevel="0" collapsed="false">
      <c r="A280" s="48" t="s">
        <v>3436</v>
      </c>
      <c r="B280" s="41" t="s">
        <v>2212</v>
      </c>
      <c r="C280" s="0" t="s">
        <v>3147</v>
      </c>
      <c r="D280" s="0" t="s">
        <v>3398</v>
      </c>
      <c r="H280" s="0" t="s">
        <v>3272</v>
      </c>
      <c r="I280" s="0" t="s">
        <v>1002</v>
      </c>
      <c r="J280" s="0" t="s">
        <v>3409</v>
      </c>
      <c r="K280" s="0" t="n">
        <v>8</v>
      </c>
      <c r="M280" s="44" t="str">
        <f aca="false">INDEX(fastqs!$A:$A, MATCH(A280, fastqs!$B:$B, 0), 1)</f>
        <v>NCI038_R1.fastq.gz</v>
      </c>
      <c r="N280" s="44" t="n">
        <f aca="false">INDEX(fastqs!$C:$C, MATCH(A280, fastqs!$B:$B, 0), 1)</f>
        <v>0</v>
      </c>
      <c r="O280" s="44" t="str">
        <f aca="false">INDEX(samples!$B:$B, MATCH(B280, samples!$A:$A, 0), 1)</f>
        <v>par0080</v>
      </c>
      <c r="P280" s="44" t="str">
        <f aca="false">INDEX(participants!$I:$I, MATCH(O280, participants!$A:$A, 0), 1)</f>
        <v>nf561</v>
      </c>
      <c r="Q280" s="44" t="n">
        <f aca="false">INDEX(samples!$F:$F, MATCH(B280, samples!$A:$A, 0), 1)</f>
        <v>0</v>
      </c>
      <c r="R280" s="49" t="str">
        <f aca="false">INDEX(samples!$C:$C, MATCH(B280, samples!$A:$A, 0), 1)</f>
        <v>2021-03-30</v>
      </c>
      <c r="S280" s="50" t="str">
        <f aca="false">INDEX(samples!$D:$D,MATCH(B280, samples!$A:$A,0),1)</f>
        <v>blood</v>
      </c>
      <c r="T280" s="51" t="s">
        <v>427</v>
      </c>
      <c r="V280" s="33" t="n">
        <v>5</v>
      </c>
      <c r="X280" s="8"/>
      <c r="Y280" s="8" t="s">
        <v>1002</v>
      </c>
      <c r="Z280" s="8" t="n">
        <v>0</v>
      </c>
      <c r="AA280" s="8" t="n">
        <v>0</v>
      </c>
      <c r="AB280" s="8" t="n">
        <v>0</v>
      </c>
    </row>
    <row r="281" customFormat="false" ht="13.8" hidden="false" customHeight="false" outlineLevel="0" collapsed="false">
      <c r="A281" s="48" t="s">
        <v>3437</v>
      </c>
      <c r="B281" s="41" t="s">
        <v>2214</v>
      </c>
      <c r="C281" s="0" t="s">
        <v>3147</v>
      </c>
      <c r="D281" s="0" t="s">
        <v>3398</v>
      </c>
      <c r="H281" s="0" t="s">
        <v>3272</v>
      </c>
      <c r="I281" s="0" t="s">
        <v>1002</v>
      </c>
      <c r="J281" s="0" t="s">
        <v>3409</v>
      </c>
      <c r="K281" s="0" t="n">
        <v>8</v>
      </c>
      <c r="M281" s="44" t="str">
        <f aca="false">INDEX(fastqs!$A:$A, MATCH(A281, fastqs!$B:$B, 0), 1)</f>
        <v>NCI039_R1.fastq.gz</v>
      </c>
      <c r="N281" s="44" t="n">
        <f aca="false">INDEX(fastqs!$C:$C, MATCH(A281, fastqs!$B:$B, 0), 1)</f>
        <v>0</v>
      </c>
      <c r="O281" s="44" t="str">
        <f aca="false">INDEX(samples!$B:$B, MATCH(B281, samples!$A:$A, 0), 1)</f>
        <v>par0193</v>
      </c>
      <c r="P281" s="44" t="e">
        <f aca="false">INDEX(participants!$I:$I, MATCH(O281, participants!$A:$A, 0), 1)</f>
        <v>#N/A</v>
      </c>
      <c r="Q281" s="44" t="n">
        <f aca="false">INDEX(samples!$F:$F, MATCH(B281, samples!$A:$A, 0), 1)</f>
        <v>0</v>
      </c>
      <c r="R281" s="49" t="str">
        <f aca="false">INDEX(samples!$C:$C, MATCH(B281, samples!$A:$A, 0), 1)</f>
        <v>2021-08-24</v>
      </c>
      <c r="S281" s="50" t="str">
        <f aca="false">INDEX(samples!$D:$D,MATCH(B281, samples!$A:$A,0),1)</f>
        <v>blood</v>
      </c>
      <c r="T281" s="51" t="s">
        <v>427</v>
      </c>
      <c r="V281" s="33" t="n">
        <v>5</v>
      </c>
      <c r="X281" s="8"/>
      <c r="Y281" s="8" t="s">
        <v>1002</v>
      </c>
      <c r="Z281" s="8" t="n">
        <v>0</v>
      </c>
      <c r="AA281" s="8" t="n">
        <v>0</v>
      </c>
      <c r="AB281" s="8" t="n">
        <v>0</v>
      </c>
    </row>
    <row r="282" customFormat="false" ht="13.8" hidden="false" customHeight="false" outlineLevel="0" collapsed="false">
      <c r="A282" s="48" t="s">
        <v>3438</v>
      </c>
      <c r="B282" s="41" t="s">
        <v>2217</v>
      </c>
      <c r="C282" s="0" t="s">
        <v>3147</v>
      </c>
      <c r="D282" s="0" t="s">
        <v>3398</v>
      </c>
      <c r="H282" s="0" t="s">
        <v>3272</v>
      </c>
      <c r="I282" s="0" t="s">
        <v>1002</v>
      </c>
      <c r="J282" s="0" t="s">
        <v>3409</v>
      </c>
      <c r="K282" s="0" t="n">
        <v>8</v>
      </c>
      <c r="M282" s="44" t="str">
        <f aca="false">INDEX(fastqs!$A:$A, MATCH(A282, fastqs!$B:$B, 0), 1)</f>
        <v>NCI040_R1.fastq.gz</v>
      </c>
      <c r="N282" s="44" t="n">
        <f aca="false">INDEX(fastqs!$C:$C, MATCH(A282, fastqs!$B:$B, 0), 1)</f>
        <v>0</v>
      </c>
      <c r="O282" s="44" t="str">
        <f aca="false">INDEX(samples!$B:$B, MATCH(B282, samples!$A:$A, 0), 1)</f>
        <v>par0218</v>
      </c>
      <c r="P282" s="44" t="e">
        <f aca="false">INDEX(participants!$I:$I, MATCH(O282, participants!$A:$A, 0), 1)</f>
        <v>#N/A</v>
      </c>
      <c r="Q282" s="44" t="n">
        <f aca="false">INDEX(samples!$F:$F, MATCH(B282, samples!$A:$A, 0), 1)</f>
        <v>0</v>
      </c>
      <c r="R282" s="49" t="str">
        <f aca="false">INDEX(samples!$C:$C, MATCH(B282, samples!$A:$A, 0), 1)</f>
        <v>2021-10-26</v>
      </c>
      <c r="S282" s="50" t="str">
        <f aca="false">INDEX(samples!$D:$D,MATCH(B282, samples!$A:$A,0),1)</f>
        <v>blood</v>
      </c>
      <c r="T282" s="51" t="s">
        <v>427</v>
      </c>
      <c r="V282" s="33" t="n">
        <v>5</v>
      </c>
      <c r="X282" s="8"/>
      <c r="Y282" s="8" t="s">
        <v>1002</v>
      </c>
      <c r="Z282" s="8" t="n">
        <v>0</v>
      </c>
      <c r="AA282" s="8" t="n">
        <v>0</v>
      </c>
      <c r="AB282" s="8" t="n">
        <v>0</v>
      </c>
    </row>
    <row r="283" customFormat="false" ht="13.8" hidden="false" customHeight="false" outlineLevel="0" collapsed="false">
      <c r="A283" s="48" t="s">
        <v>3439</v>
      </c>
      <c r="B283" s="41" t="s">
        <v>2220</v>
      </c>
      <c r="C283" s="0" t="s">
        <v>3147</v>
      </c>
      <c r="D283" s="0" t="s">
        <v>3398</v>
      </c>
      <c r="H283" s="0" t="s">
        <v>3272</v>
      </c>
      <c r="I283" s="0" t="s">
        <v>1002</v>
      </c>
      <c r="J283" s="0" t="s">
        <v>427</v>
      </c>
      <c r="K283" s="0" t="n">
        <v>8</v>
      </c>
      <c r="M283" s="44" t="str">
        <f aca="false">INDEX(fastqs!$A:$A, MATCH(A283, fastqs!$B:$B, 0), 1)</f>
        <v>WUSTL.178_R1.fastq.gz</v>
      </c>
      <c r="N283" s="44" t="n">
        <f aca="false">INDEX(fastqs!$C:$C, MATCH(A283, fastqs!$B:$B, 0), 1)</f>
        <v>0</v>
      </c>
      <c r="O283" s="44" t="str">
        <f aca="false">INDEX(samples!$B:$B, MATCH(B283, samples!$A:$A, 0), 1)</f>
        <v>par0202</v>
      </c>
      <c r="P283" s="44" t="e">
        <f aca="false">INDEX(participants!$I:$I, MATCH(O283, participants!$A:$A, 0), 1)</f>
        <v>#N/A</v>
      </c>
      <c r="Q283" s="44" t="n">
        <f aca="false">INDEX(samples!$F:$F, MATCH(B283, samples!$A:$A, 0), 1)</f>
        <v>0</v>
      </c>
      <c r="R283" s="49" t="str">
        <f aca="false">INDEX(samples!$C:$C, MATCH(B283, samples!$A:$A, 0), 1)</f>
        <v>2021-10-29</v>
      </c>
      <c r="S283" s="50" t="str">
        <f aca="false">INDEX(samples!$D:$D,MATCH(B283, samples!$A:$A,0),1)</f>
        <v>blood</v>
      </c>
      <c r="T283" s="51" t="s">
        <v>427</v>
      </c>
      <c r="V283" s="33" t="s">
        <v>427</v>
      </c>
      <c r="X283" s="8"/>
      <c r="Y283" s="8" t="s">
        <v>1002</v>
      </c>
      <c r="Z283" s="8" t="n">
        <v>0</v>
      </c>
      <c r="AA283" s="8" t="n">
        <v>0</v>
      </c>
      <c r="AB283" s="8" t="n">
        <v>0</v>
      </c>
    </row>
    <row r="284" customFormat="false" ht="13.8" hidden="false" customHeight="false" outlineLevel="0" collapsed="false">
      <c r="A284" s="48" t="s">
        <v>3440</v>
      </c>
      <c r="B284" s="41" t="s">
        <v>2223</v>
      </c>
      <c r="C284" s="0" t="s">
        <v>3147</v>
      </c>
      <c r="D284" s="0" t="s">
        <v>3398</v>
      </c>
      <c r="H284" s="0" t="s">
        <v>3272</v>
      </c>
      <c r="I284" s="0" t="s">
        <v>1002</v>
      </c>
      <c r="J284" s="0" t="s">
        <v>427</v>
      </c>
      <c r="K284" s="0" t="n">
        <v>8</v>
      </c>
      <c r="M284" s="44" t="str">
        <f aca="false">INDEX(fastqs!$A:$A, MATCH(A284, fastqs!$B:$B, 0), 1)</f>
        <v>WUSTL.245_R1.fastq.gz</v>
      </c>
      <c r="N284" s="44" t="n">
        <f aca="false">INDEX(fastqs!$C:$C, MATCH(A284, fastqs!$B:$B, 0), 1)</f>
        <v>0</v>
      </c>
      <c r="O284" s="44" t="str">
        <f aca="false">INDEX(samples!$B:$B, MATCH(B284, samples!$A:$A, 0), 1)</f>
        <v>par0201</v>
      </c>
      <c r="P284" s="44" t="e">
        <f aca="false">INDEX(participants!$I:$I, MATCH(O284, participants!$A:$A, 0), 1)</f>
        <v>#N/A</v>
      </c>
      <c r="Q284" s="44" t="n">
        <f aca="false">INDEX(samples!$F:$F, MATCH(B284, samples!$A:$A, 0), 1)</f>
        <v>0</v>
      </c>
      <c r="R284" s="49" t="str">
        <f aca="false">INDEX(samples!$C:$C, MATCH(B284, samples!$A:$A, 0), 1)</f>
        <v>2021-09-28</v>
      </c>
      <c r="S284" s="50" t="str">
        <f aca="false">INDEX(samples!$D:$D,MATCH(B284, samples!$A:$A,0),1)</f>
        <v>blood</v>
      </c>
      <c r="T284" s="51" t="s">
        <v>427</v>
      </c>
      <c r="V284" s="33" t="s">
        <v>427</v>
      </c>
      <c r="X284" s="8"/>
      <c r="Y284" s="8" t="s">
        <v>1002</v>
      </c>
      <c r="Z284" s="8" t="n">
        <v>0</v>
      </c>
      <c r="AA284" s="8" t="n">
        <v>0</v>
      </c>
      <c r="AB284" s="8" t="n">
        <v>0</v>
      </c>
    </row>
    <row r="285" customFormat="false" ht="13.8" hidden="false" customHeight="false" outlineLevel="0" collapsed="false">
      <c r="A285" s="48" t="s">
        <v>3441</v>
      </c>
      <c r="B285" s="41" t="s">
        <v>2226</v>
      </c>
      <c r="C285" s="0" t="s">
        <v>3147</v>
      </c>
      <c r="D285" s="0" t="s">
        <v>3398</v>
      </c>
      <c r="H285" s="0" t="s">
        <v>3272</v>
      </c>
      <c r="I285" s="0" t="s">
        <v>1002</v>
      </c>
      <c r="J285" s="0" t="s">
        <v>427</v>
      </c>
      <c r="K285" s="0" t="n">
        <v>8</v>
      </c>
      <c r="M285" s="44" t="str">
        <f aca="false">INDEX(fastqs!$A:$A, MATCH(A285, fastqs!$B:$B, 0), 1)</f>
        <v>WUSTL.402_R1.fastq.gz</v>
      </c>
      <c r="N285" s="44" t="n">
        <f aca="false">INDEX(fastqs!$C:$C, MATCH(A285, fastqs!$B:$B, 0), 1)</f>
        <v>0</v>
      </c>
      <c r="O285" s="44" t="str">
        <f aca="false">INDEX(samples!$B:$B, MATCH(B285, samples!$A:$A, 0), 1)</f>
        <v>par0200</v>
      </c>
      <c r="P285" s="44" t="e">
        <f aca="false">INDEX(participants!$I:$I, MATCH(O285, participants!$A:$A, 0), 1)</f>
        <v>#N/A</v>
      </c>
      <c r="Q285" s="44" t="n">
        <f aca="false">INDEX(samples!$F:$F, MATCH(B285, samples!$A:$A, 0), 1)</f>
        <v>0</v>
      </c>
      <c r="R285" s="49" t="str">
        <f aca="false">INDEX(samples!$C:$C, MATCH(B285, samples!$A:$A, 0), 1)</f>
        <v>2021-10-19</v>
      </c>
      <c r="S285" s="50" t="str">
        <f aca="false">INDEX(samples!$D:$D,MATCH(B285, samples!$A:$A,0),1)</f>
        <v>blood</v>
      </c>
      <c r="T285" s="51" t="s">
        <v>427</v>
      </c>
      <c r="V285" s="33" t="s">
        <v>427</v>
      </c>
      <c r="X285" s="8"/>
      <c r="Y285" s="8" t="s">
        <v>1002</v>
      </c>
      <c r="Z285" s="8" t="n">
        <v>0</v>
      </c>
      <c r="AA285" s="8" t="n">
        <v>0</v>
      </c>
      <c r="AB285" s="8" t="n">
        <v>0</v>
      </c>
    </row>
    <row r="286" customFormat="false" ht="13.8" hidden="false" customHeight="false" outlineLevel="0" collapsed="false">
      <c r="A286" s="48" t="s">
        <v>3442</v>
      </c>
      <c r="B286" s="41" t="s">
        <v>2229</v>
      </c>
      <c r="C286" s="0" t="s">
        <v>3147</v>
      </c>
      <c r="D286" s="0" t="s">
        <v>3398</v>
      </c>
      <c r="H286" s="0" t="s">
        <v>3272</v>
      </c>
      <c r="I286" s="0" t="s">
        <v>1002</v>
      </c>
      <c r="J286" s="0" t="s">
        <v>427</v>
      </c>
      <c r="K286" s="0" t="n">
        <v>8</v>
      </c>
      <c r="M286" s="44" t="str">
        <f aca="false">INDEX(fastqs!$A:$A, MATCH(A286, fastqs!$B:$B, 0), 1)</f>
        <v>WUSTL.509_R1.fastq.gz</v>
      </c>
      <c r="N286" s="44" t="n">
        <f aca="false">INDEX(fastqs!$C:$C, MATCH(A286, fastqs!$B:$B, 0), 1)</f>
        <v>0</v>
      </c>
      <c r="O286" s="44" t="str">
        <f aca="false">INDEX(samples!$B:$B, MATCH(B286, samples!$A:$A, 0), 1)</f>
        <v>par0089</v>
      </c>
      <c r="P286" s="44" t="str">
        <f aca="false">INDEX(participants!$I:$I, MATCH(O286, participants!$A:$A, 0), 1)</f>
        <v>nf509</v>
      </c>
      <c r="Q286" s="44" t="n">
        <f aca="false">INDEX(samples!$F:$F, MATCH(B286, samples!$A:$A, 0), 1)</f>
        <v>0</v>
      </c>
      <c r="R286" s="49" t="str">
        <f aca="false">INDEX(samples!$C:$C, MATCH(B286, samples!$A:$A, 0), 1)</f>
        <v>2020-02-04</v>
      </c>
      <c r="S286" s="50" t="str">
        <f aca="false">INDEX(samples!$D:$D,MATCH(B286, samples!$A:$A,0),1)</f>
        <v>blood</v>
      </c>
      <c r="T286" s="51" t="s">
        <v>427</v>
      </c>
      <c r="V286" s="33" t="s">
        <v>427</v>
      </c>
      <c r="X286" s="8"/>
      <c r="Y286" s="8" t="s">
        <v>1002</v>
      </c>
      <c r="Z286" s="8" t="n">
        <v>0</v>
      </c>
      <c r="AA286" s="8" t="n">
        <v>0</v>
      </c>
      <c r="AB286" s="8" t="n">
        <v>0</v>
      </c>
    </row>
    <row r="287" customFormat="false" ht="13.8" hidden="false" customHeight="false" outlineLevel="0" collapsed="false">
      <c r="A287" s="48" t="s">
        <v>3443</v>
      </c>
      <c r="B287" s="41" t="s">
        <v>2230</v>
      </c>
      <c r="C287" s="0" t="s">
        <v>3147</v>
      </c>
      <c r="D287" s="0" t="s">
        <v>3398</v>
      </c>
      <c r="H287" s="0" t="s">
        <v>3272</v>
      </c>
      <c r="I287" s="0" t="s">
        <v>1002</v>
      </c>
      <c r="J287" s="0" t="s">
        <v>427</v>
      </c>
      <c r="K287" s="0" t="n">
        <v>8</v>
      </c>
      <c r="M287" s="44" t="str">
        <f aca="false">INDEX(fastqs!$A:$A, MATCH(A287, fastqs!$B:$B, 0), 1)</f>
        <v>WUSTL.510_R1.fastq.gz</v>
      </c>
      <c r="N287" s="44" t="n">
        <f aca="false">INDEX(fastqs!$C:$C, MATCH(A287, fastqs!$B:$B, 0), 1)</f>
        <v>0</v>
      </c>
      <c r="O287" s="44" t="str">
        <f aca="false">INDEX(samples!$B:$B, MATCH(B287, samples!$A:$A, 0), 1)</f>
        <v>par0090</v>
      </c>
      <c r="P287" s="44" t="str">
        <f aca="false">INDEX(participants!$I:$I, MATCH(O287, participants!$A:$A, 0), 1)</f>
        <v>nf510</v>
      </c>
      <c r="Q287" s="44" t="n">
        <f aca="false">INDEX(samples!$F:$F, MATCH(B287, samples!$A:$A, 0), 1)</f>
        <v>0</v>
      </c>
      <c r="R287" s="49" t="str">
        <f aca="false">INDEX(samples!$C:$C, MATCH(B287, samples!$A:$A, 0), 1)</f>
        <v>2021-07-13</v>
      </c>
      <c r="S287" s="50" t="str">
        <f aca="false">INDEX(samples!$D:$D,MATCH(B287, samples!$A:$A,0),1)</f>
        <v>blood</v>
      </c>
      <c r="T287" s="51" t="s">
        <v>427</v>
      </c>
      <c r="V287" s="33" t="s">
        <v>427</v>
      </c>
      <c r="X287" s="8"/>
      <c r="Y287" s="8" t="s">
        <v>1002</v>
      </c>
      <c r="Z287" s="8" t="n">
        <v>0</v>
      </c>
      <c r="AA287" s="8" t="n">
        <v>0</v>
      </c>
      <c r="AB287" s="8" t="n">
        <v>0</v>
      </c>
    </row>
    <row r="288" customFormat="false" ht="13.8" hidden="false" customHeight="false" outlineLevel="0" collapsed="false">
      <c r="A288" s="48" t="s">
        <v>3444</v>
      </c>
      <c r="B288" s="41" t="s">
        <v>2232</v>
      </c>
      <c r="C288" s="0" t="s">
        <v>3147</v>
      </c>
      <c r="D288" s="0" t="s">
        <v>3398</v>
      </c>
      <c r="H288" s="0" t="s">
        <v>3272</v>
      </c>
      <c r="I288" s="0" t="s">
        <v>1002</v>
      </c>
      <c r="J288" s="0" t="s">
        <v>427</v>
      </c>
      <c r="K288" s="0" t="n">
        <v>8</v>
      </c>
      <c r="M288" s="44" t="str">
        <f aca="false">INDEX(fastqs!$A:$A, MATCH(A288, fastqs!$B:$B, 0), 1)</f>
        <v>WUSTL.536_R1.fastq.gz</v>
      </c>
      <c r="N288" s="44" t="n">
        <f aca="false">INDEX(fastqs!$C:$C, MATCH(A288, fastqs!$B:$B, 0), 1)</f>
        <v>0</v>
      </c>
      <c r="O288" s="44" t="str">
        <f aca="false">INDEX(samples!$B:$B, MATCH(B288, samples!$A:$A, 0), 1)</f>
        <v>par0093</v>
      </c>
      <c r="P288" s="44" t="str">
        <f aca="false">INDEX(participants!$I:$I, MATCH(O288, participants!$A:$A, 0), 1)</f>
        <v>nf536</v>
      </c>
      <c r="Q288" s="44" t="n">
        <f aca="false">INDEX(samples!$F:$F, MATCH(B288, samples!$A:$A, 0), 1)</f>
        <v>0</v>
      </c>
      <c r="R288" s="49" t="str">
        <f aca="false">INDEX(samples!$C:$C, MATCH(B288, samples!$A:$A, 0), 1)</f>
        <v>2019-06-26</v>
      </c>
      <c r="S288" s="50" t="str">
        <f aca="false">INDEX(samples!$D:$D,MATCH(B288, samples!$A:$A,0),1)</f>
        <v>blood</v>
      </c>
      <c r="T288" s="51" t="s">
        <v>427</v>
      </c>
      <c r="V288" s="33" t="s">
        <v>427</v>
      </c>
      <c r="X288" s="8"/>
      <c r="Y288" s="8" t="s">
        <v>1002</v>
      </c>
      <c r="Z288" s="8" t="n">
        <v>0</v>
      </c>
      <c r="AA288" s="8" t="n">
        <v>0</v>
      </c>
      <c r="AB288" s="8" t="n">
        <v>0</v>
      </c>
    </row>
    <row r="289" customFormat="false" ht="13.8" hidden="false" customHeight="false" outlineLevel="0" collapsed="false">
      <c r="A289" s="48" t="s">
        <v>3445</v>
      </c>
      <c r="B289" s="41" t="s">
        <v>2233</v>
      </c>
      <c r="C289" s="0" t="s">
        <v>3147</v>
      </c>
      <c r="D289" s="0" t="s">
        <v>3398</v>
      </c>
      <c r="H289" s="0" t="s">
        <v>3272</v>
      </c>
      <c r="I289" s="0" t="s">
        <v>1002</v>
      </c>
      <c r="J289" s="0" t="s">
        <v>427</v>
      </c>
      <c r="K289" s="0" t="n">
        <v>8</v>
      </c>
      <c r="M289" s="44" t="str">
        <f aca="false">INDEX(fastqs!$A:$A, MATCH(A289, fastqs!$B:$B, 0), 1)</f>
        <v>WUSTL.540_R1.fastq.gz</v>
      </c>
      <c r="N289" s="44" t="n">
        <f aca="false">INDEX(fastqs!$C:$C, MATCH(A289, fastqs!$B:$B, 0), 1)</f>
        <v>0</v>
      </c>
      <c r="O289" s="44" t="str">
        <f aca="false">INDEX(samples!$B:$B, MATCH(B289, samples!$A:$A, 0), 1)</f>
        <v>par0199</v>
      </c>
      <c r="P289" s="44" t="e">
        <f aca="false">INDEX(participants!$I:$I, MATCH(O289, participants!$A:$A, 0), 1)</f>
        <v>#N/A</v>
      </c>
      <c r="Q289" s="44" t="n">
        <f aca="false">INDEX(samples!$F:$F, MATCH(B289, samples!$A:$A, 0), 1)</f>
        <v>0</v>
      </c>
      <c r="R289" s="49" t="str">
        <f aca="false">INDEX(samples!$C:$C, MATCH(B289, samples!$A:$A, 0), 1)</f>
        <v>2021-10-12</v>
      </c>
      <c r="S289" s="50" t="str">
        <f aca="false">INDEX(samples!$D:$D,MATCH(B289, samples!$A:$A,0),1)</f>
        <v>blood</v>
      </c>
      <c r="T289" s="51" t="s">
        <v>427</v>
      </c>
      <c r="V289" s="33" t="s">
        <v>427</v>
      </c>
      <c r="X289" s="8"/>
      <c r="Y289" s="8" t="s">
        <v>1002</v>
      </c>
      <c r="Z289" s="8" t="n">
        <v>0</v>
      </c>
      <c r="AA289" s="8" t="n">
        <v>0</v>
      </c>
      <c r="AB289" s="8" t="n">
        <v>0</v>
      </c>
    </row>
    <row r="290" customFormat="false" ht="13.8" hidden="false" customHeight="false" outlineLevel="0" collapsed="false">
      <c r="A290" s="48" t="s">
        <v>3446</v>
      </c>
      <c r="B290" s="41" t="s">
        <v>2236</v>
      </c>
      <c r="C290" s="0" t="s">
        <v>3147</v>
      </c>
      <c r="D290" s="0" t="s">
        <v>3398</v>
      </c>
      <c r="H290" s="0" t="s">
        <v>3272</v>
      </c>
      <c r="I290" s="0" t="s">
        <v>1002</v>
      </c>
      <c r="J290" s="0" t="s">
        <v>427</v>
      </c>
      <c r="K290" s="0" t="n">
        <v>8</v>
      </c>
      <c r="M290" s="44" t="str">
        <f aca="false">INDEX(fastqs!$A:$A, MATCH(A290, fastqs!$B:$B, 0), 1)</f>
        <v>WUSTL.541_R1.fastq.gz</v>
      </c>
      <c r="N290" s="44" t="n">
        <f aca="false">INDEX(fastqs!$C:$C, MATCH(A290, fastqs!$B:$B, 0), 1)</f>
        <v>0</v>
      </c>
      <c r="O290" s="44" t="str">
        <f aca="false">INDEX(samples!$B:$B, MATCH(B290, samples!$A:$A, 0), 1)</f>
        <v>par0092</v>
      </c>
      <c r="P290" s="44" t="str">
        <f aca="false">INDEX(participants!$I:$I, MATCH(O290, participants!$A:$A, 0), 1)</f>
        <v>nf531</v>
      </c>
      <c r="Q290" s="44" t="n">
        <f aca="false">INDEX(samples!$F:$F, MATCH(B290, samples!$A:$A, 0), 1)</f>
        <v>0</v>
      </c>
      <c r="R290" s="49" t="str">
        <f aca="false">INDEX(samples!$C:$C, MATCH(B290, samples!$A:$A, 0), 1)</f>
        <v>2019-06-26</v>
      </c>
      <c r="S290" s="50" t="str">
        <f aca="false">INDEX(samples!$D:$D,MATCH(B290, samples!$A:$A,0),1)</f>
        <v>blood</v>
      </c>
      <c r="T290" s="51" t="s">
        <v>427</v>
      </c>
      <c r="V290" s="33" t="s">
        <v>427</v>
      </c>
      <c r="X290" s="8"/>
      <c r="Y290" s="8" t="s">
        <v>1002</v>
      </c>
      <c r="Z290" s="8" t="n">
        <v>0</v>
      </c>
      <c r="AA290" s="8" t="n">
        <v>0</v>
      </c>
      <c r="AB290" s="8" t="n">
        <v>0</v>
      </c>
    </row>
    <row r="291" customFormat="false" ht="13.8" hidden="false" customHeight="false" outlineLevel="0" collapsed="false">
      <c r="A291" s="48" t="s">
        <v>3447</v>
      </c>
      <c r="B291" s="41" t="s">
        <v>2237</v>
      </c>
      <c r="C291" s="0" t="s">
        <v>3147</v>
      </c>
      <c r="D291" s="0" t="s">
        <v>3398</v>
      </c>
      <c r="H291" s="0" t="s">
        <v>3272</v>
      </c>
      <c r="I291" s="0" t="s">
        <v>1002</v>
      </c>
      <c r="J291" s="0" t="s">
        <v>427</v>
      </c>
      <c r="K291" s="0" t="n">
        <v>8</v>
      </c>
      <c r="M291" s="44" t="str">
        <f aca="false">INDEX(fastqs!$A:$A, MATCH(A291, fastqs!$B:$B, 0), 1)</f>
        <v>WUSTL.547_R1.fastq.gz</v>
      </c>
      <c r="N291" s="44" t="n">
        <f aca="false">INDEX(fastqs!$C:$C, MATCH(A291, fastqs!$B:$B, 0), 1)</f>
        <v>0</v>
      </c>
      <c r="O291" s="44" t="str">
        <f aca="false">INDEX(samples!$B:$B, MATCH(B291, samples!$A:$A, 0), 1)</f>
        <v>par0197</v>
      </c>
      <c r="P291" s="44" t="e">
        <f aca="false">INDEX(participants!$I:$I, MATCH(O291, participants!$A:$A, 0), 1)</f>
        <v>#N/A</v>
      </c>
      <c r="Q291" s="44" t="n">
        <f aca="false">INDEX(samples!$F:$F, MATCH(B291, samples!$A:$A, 0), 1)</f>
        <v>0</v>
      </c>
      <c r="R291" s="49" t="str">
        <f aca="false">INDEX(samples!$C:$C, MATCH(B291, samples!$A:$A, 0), 1)</f>
        <v>2021-09-17</v>
      </c>
      <c r="S291" s="50" t="str">
        <f aca="false">INDEX(samples!$D:$D,MATCH(B291, samples!$A:$A,0),1)</f>
        <v>blood</v>
      </c>
      <c r="T291" s="51" t="s">
        <v>427</v>
      </c>
      <c r="V291" s="33" t="s">
        <v>427</v>
      </c>
      <c r="X291" s="8"/>
      <c r="Y291" s="8" t="s">
        <v>1002</v>
      </c>
      <c r="Z291" s="8" t="n">
        <v>0</v>
      </c>
      <c r="AA291" s="8" t="n">
        <v>0</v>
      </c>
      <c r="AB291" s="8" t="n">
        <v>0</v>
      </c>
    </row>
    <row r="292" customFormat="false" ht="13.8" hidden="false" customHeight="false" outlineLevel="0" collapsed="false">
      <c r="A292" s="48" t="s">
        <v>3448</v>
      </c>
      <c r="B292" s="41" t="s">
        <v>2240</v>
      </c>
      <c r="C292" s="0" t="s">
        <v>3147</v>
      </c>
      <c r="D292" s="0" t="s">
        <v>3398</v>
      </c>
      <c r="H292" s="0" t="s">
        <v>3272</v>
      </c>
      <c r="I292" s="0" t="s">
        <v>1002</v>
      </c>
      <c r="J292" s="0" t="s">
        <v>427</v>
      </c>
      <c r="K292" s="0" t="n">
        <v>8</v>
      </c>
      <c r="M292" s="44" t="str">
        <f aca="false">INDEX(fastqs!$A:$A, MATCH(A292, fastqs!$B:$B, 0), 1)</f>
        <v>WUSTL.581_R1.fastq.gz</v>
      </c>
      <c r="N292" s="44" t="n">
        <f aca="false">INDEX(fastqs!$C:$C, MATCH(A292, fastqs!$B:$B, 0), 1)</f>
        <v>0</v>
      </c>
      <c r="O292" s="44" t="str">
        <f aca="false">INDEX(samples!$B:$B, MATCH(B292, samples!$A:$A, 0), 1)</f>
        <v>par0196</v>
      </c>
      <c r="P292" s="44" t="e">
        <f aca="false">INDEX(participants!$I:$I, MATCH(O292, participants!$A:$A, 0), 1)</f>
        <v>#N/A</v>
      </c>
      <c r="Q292" s="44" t="n">
        <f aca="false">INDEX(samples!$F:$F, MATCH(B292, samples!$A:$A, 0), 1)</f>
        <v>0</v>
      </c>
      <c r="R292" s="49" t="str">
        <f aca="false">INDEX(samples!$C:$C, MATCH(B292, samples!$A:$A, 0), 1)</f>
        <v>2022-05-03</v>
      </c>
      <c r="S292" s="50" t="str">
        <f aca="false">INDEX(samples!$D:$D,MATCH(B292, samples!$A:$A,0),1)</f>
        <v>blood</v>
      </c>
      <c r="T292" s="51" t="s">
        <v>427</v>
      </c>
      <c r="V292" s="33" t="s">
        <v>427</v>
      </c>
      <c r="X292" s="8"/>
      <c r="Y292" s="8" t="s">
        <v>1002</v>
      </c>
      <c r="Z292" s="8" t="n">
        <v>0</v>
      </c>
      <c r="AA292" s="8" t="n">
        <v>0</v>
      </c>
      <c r="AB292" s="8" t="n">
        <v>0</v>
      </c>
    </row>
    <row r="293" customFormat="false" ht="13.8" hidden="false" customHeight="false" outlineLevel="0" collapsed="false">
      <c r="A293" s="48" t="s">
        <v>3449</v>
      </c>
      <c r="B293" s="41" t="s">
        <v>2243</v>
      </c>
      <c r="C293" s="0" t="s">
        <v>3147</v>
      </c>
      <c r="D293" s="0" t="s">
        <v>3398</v>
      </c>
      <c r="H293" s="0" t="s">
        <v>3272</v>
      </c>
      <c r="I293" s="0" t="s">
        <v>1002</v>
      </c>
      <c r="J293" s="0" t="s">
        <v>427</v>
      </c>
      <c r="K293" s="0" t="n">
        <v>8</v>
      </c>
      <c r="M293" s="44" t="str">
        <f aca="false">INDEX(fastqs!$A:$A, MATCH(A293, fastqs!$B:$B, 0), 1)</f>
        <v>WUSTL.582_R1.fastq.gz</v>
      </c>
      <c r="N293" s="44" t="n">
        <f aca="false">INDEX(fastqs!$C:$C, MATCH(A293, fastqs!$B:$B, 0), 1)</f>
        <v>0</v>
      </c>
      <c r="O293" s="44" t="str">
        <f aca="false">INDEX(samples!$B:$B, MATCH(B293, samples!$A:$A, 0), 1)</f>
        <v>par0103</v>
      </c>
      <c r="P293" s="44" t="e">
        <f aca="false">INDEX(participants!$I:$I, MATCH(O293, participants!$A:$A, 0), 1)</f>
        <v>#N/A</v>
      </c>
      <c r="Q293" s="44" t="n">
        <f aca="false">INDEX(samples!$F:$F, MATCH(B293, samples!$A:$A, 0), 1)</f>
        <v>0</v>
      </c>
      <c r="R293" s="49" t="str">
        <f aca="false">INDEX(samples!$C:$C, MATCH(B293, samples!$A:$A, 0), 1)</f>
        <v>2021-06-29</v>
      </c>
      <c r="S293" s="50" t="str">
        <f aca="false">INDEX(samples!$D:$D,MATCH(B293, samples!$A:$A,0),1)</f>
        <v>blood</v>
      </c>
      <c r="T293" s="51" t="s">
        <v>427</v>
      </c>
      <c r="V293" s="33" t="s">
        <v>427</v>
      </c>
      <c r="X293" s="8"/>
      <c r="Y293" s="8" t="s">
        <v>1002</v>
      </c>
      <c r="Z293" s="8" t="n">
        <v>0</v>
      </c>
      <c r="AA293" s="8" t="n">
        <v>0</v>
      </c>
      <c r="AB293" s="8" t="n">
        <v>0</v>
      </c>
    </row>
    <row r="294" customFormat="false" ht="13.8" hidden="false" customHeight="false" outlineLevel="0" collapsed="false">
      <c r="A294" s="48" t="s">
        <v>3450</v>
      </c>
      <c r="B294" s="41" t="s">
        <v>2245</v>
      </c>
      <c r="C294" s="0" t="s">
        <v>3147</v>
      </c>
      <c r="D294" s="0" t="s">
        <v>3398</v>
      </c>
      <c r="H294" s="0" t="s">
        <v>3272</v>
      </c>
      <c r="I294" s="0" t="s">
        <v>1002</v>
      </c>
      <c r="J294" s="0" t="s">
        <v>427</v>
      </c>
      <c r="K294" s="0" t="n">
        <v>8</v>
      </c>
      <c r="M294" s="44" t="str">
        <f aca="false">INDEX(fastqs!$A:$A, MATCH(A294, fastqs!$B:$B, 0), 1)</f>
        <v>WUSTL.591_R1.fastq.gz</v>
      </c>
      <c r="N294" s="44" t="n">
        <f aca="false">INDEX(fastqs!$C:$C, MATCH(A294, fastqs!$B:$B, 0), 1)</f>
        <v>0</v>
      </c>
      <c r="O294" s="44" t="str">
        <f aca="false">INDEX(samples!$B:$B, MATCH(B294, samples!$A:$A, 0), 1)</f>
        <v>par0106</v>
      </c>
      <c r="P294" s="44" t="e">
        <f aca="false">INDEX(participants!$I:$I, MATCH(O294, participants!$A:$A, 0), 1)</f>
        <v>#N/A</v>
      </c>
      <c r="Q294" s="44" t="n">
        <f aca="false">INDEX(samples!$F:$F, MATCH(B294, samples!$A:$A, 0), 1)</f>
        <v>0</v>
      </c>
      <c r="R294" s="49" t="str">
        <f aca="false">INDEX(samples!$C:$C, MATCH(B294, samples!$A:$A, 0), 1)</f>
        <v>2019-11-21</v>
      </c>
      <c r="S294" s="50" t="str">
        <f aca="false">INDEX(samples!$D:$D,MATCH(B294, samples!$A:$A,0),1)</f>
        <v>blood</v>
      </c>
      <c r="T294" s="51" t="s">
        <v>427</v>
      </c>
      <c r="V294" s="33" t="s">
        <v>427</v>
      </c>
      <c r="X294" s="8"/>
      <c r="Y294" s="8" t="s">
        <v>1002</v>
      </c>
      <c r="Z294" s="8" t="n">
        <v>0</v>
      </c>
      <c r="AA294" s="8" t="n">
        <v>0</v>
      </c>
      <c r="AB294" s="8" t="n">
        <v>0</v>
      </c>
    </row>
    <row r="295" customFormat="false" ht="13.8" hidden="false" customHeight="false" outlineLevel="0" collapsed="false">
      <c r="A295" s="48" t="s">
        <v>3451</v>
      </c>
      <c r="B295" s="41" t="s">
        <v>2246</v>
      </c>
      <c r="C295" s="0" t="s">
        <v>3147</v>
      </c>
      <c r="D295" s="0" t="s">
        <v>3398</v>
      </c>
      <c r="H295" s="0" t="s">
        <v>3272</v>
      </c>
      <c r="I295" s="0" t="s">
        <v>1002</v>
      </c>
      <c r="J295" s="0" t="s">
        <v>427</v>
      </c>
      <c r="K295" s="0" t="n">
        <v>8</v>
      </c>
      <c r="M295" s="44" t="str">
        <f aca="false">INDEX(fastqs!$A:$A, MATCH(A295, fastqs!$B:$B, 0), 1)</f>
        <v>WUSTL.603_R1.fastq.gz</v>
      </c>
      <c r="N295" s="44" t="n">
        <f aca="false">INDEX(fastqs!$C:$C, MATCH(A295, fastqs!$B:$B, 0), 1)</f>
        <v>0</v>
      </c>
      <c r="O295" s="44" t="str">
        <f aca="false">INDEX(samples!$B:$B, MATCH(B295, samples!$A:$A, 0), 1)</f>
        <v>par0134</v>
      </c>
      <c r="P295" s="44" t="e">
        <f aca="false">INDEX(participants!$I:$I, MATCH(O295, participants!$A:$A, 0), 1)</f>
        <v>#N/A</v>
      </c>
      <c r="Q295" s="44" t="n">
        <f aca="false">INDEX(samples!$F:$F, MATCH(B295, samples!$A:$A, 0), 1)</f>
        <v>0</v>
      </c>
      <c r="R295" s="49" t="str">
        <f aca="false">INDEX(samples!$C:$C, MATCH(B295, samples!$A:$A, 0), 1)</f>
        <v>2022-03-01</v>
      </c>
      <c r="S295" s="50" t="str">
        <f aca="false">INDEX(samples!$D:$D,MATCH(B295, samples!$A:$A,0),1)</f>
        <v>blood</v>
      </c>
      <c r="T295" s="51" t="s">
        <v>427</v>
      </c>
      <c r="V295" s="33" t="s">
        <v>427</v>
      </c>
      <c r="X295" s="8"/>
      <c r="Y295" s="8" t="s">
        <v>1002</v>
      </c>
      <c r="Z295" s="8" t="n">
        <v>0</v>
      </c>
      <c r="AA295" s="8" t="n">
        <v>0</v>
      </c>
      <c r="AB295" s="8" t="n">
        <v>0</v>
      </c>
    </row>
    <row r="296" customFormat="false" ht="13.8" hidden="false" customHeight="false" outlineLevel="0" collapsed="false">
      <c r="A296" s="48" t="s">
        <v>3452</v>
      </c>
      <c r="B296" s="41" t="s">
        <v>2249</v>
      </c>
      <c r="C296" s="0" t="s">
        <v>3147</v>
      </c>
      <c r="D296" s="0" t="s">
        <v>3398</v>
      </c>
      <c r="H296" s="0" t="s">
        <v>3272</v>
      </c>
      <c r="I296" s="0" t="s">
        <v>1002</v>
      </c>
      <c r="J296" s="0" t="s">
        <v>427</v>
      </c>
      <c r="K296" s="0" t="n">
        <v>8</v>
      </c>
      <c r="M296" s="44" t="str">
        <f aca="false">INDEX(fastqs!$A:$A, MATCH(A296, fastqs!$B:$B, 0), 1)</f>
        <v>WUSTL.604_R1.fastq.gz</v>
      </c>
      <c r="N296" s="44" t="n">
        <f aca="false">INDEX(fastqs!$C:$C, MATCH(A296, fastqs!$B:$B, 0), 1)</f>
        <v>0</v>
      </c>
      <c r="O296" s="44" t="str">
        <f aca="false">INDEX(samples!$B:$B, MATCH(B296, samples!$A:$A, 0), 1)</f>
        <v>par0195</v>
      </c>
      <c r="P296" s="44" t="e">
        <f aca="false">INDEX(participants!$I:$I, MATCH(O296, participants!$A:$A, 0), 1)</f>
        <v>#N/A</v>
      </c>
      <c r="Q296" s="44" t="n">
        <f aca="false">INDEX(samples!$F:$F, MATCH(B296, samples!$A:$A, 0), 1)</f>
        <v>0</v>
      </c>
      <c r="R296" s="49" t="str">
        <f aca="false">INDEX(samples!$C:$C, MATCH(B296, samples!$A:$A, 0), 1)</f>
        <v>2020-03-12</v>
      </c>
      <c r="S296" s="50" t="str">
        <f aca="false">INDEX(samples!$D:$D,MATCH(B296, samples!$A:$A,0),1)</f>
        <v>blood</v>
      </c>
      <c r="T296" s="51" t="s">
        <v>427</v>
      </c>
      <c r="V296" s="33" t="s">
        <v>427</v>
      </c>
      <c r="X296" s="8"/>
      <c r="Y296" s="8" t="s">
        <v>1002</v>
      </c>
      <c r="Z296" s="8" t="n">
        <v>0</v>
      </c>
      <c r="AA296" s="8" t="n">
        <v>0</v>
      </c>
      <c r="AB296" s="8" t="n">
        <v>0</v>
      </c>
    </row>
    <row r="297" customFormat="false" ht="13.8" hidden="false" customHeight="false" outlineLevel="0" collapsed="false">
      <c r="A297" s="48" t="s">
        <v>3453</v>
      </c>
      <c r="B297" s="41" t="s">
        <v>2251</v>
      </c>
      <c r="C297" s="0" t="s">
        <v>3147</v>
      </c>
      <c r="D297" s="0" t="s">
        <v>3398</v>
      </c>
      <c r="H297" s="0" t="s">
        <v>3272</v>
      </c>
      <c r="I297" s="0" t="s">
        <v>1002</v>
      </c>
      <c r="J297" s="0" t="s">
        <v>427</v>
      </c>
      <c r="K297" s="0" t="n">
        <v>8</v>
      </c>
      <c r="M297" s="44" t="str">
        <f aca="false">INDEX(fastqs!$A:$A, MATCH(A297, fastqs!$B:$B, 0), 1)</f>
        <v>WUSTL.609_R1.fastq.gz</v>
      </c>
      <c r="N297" s="44" t="n">
        <f aca="false">INDEX(fastqs!$C:$C, MATCH(A297, fastqs!$B:$B, 0), 1)</f>
        <v>0</v>
      </c>
      <c r="O297" s="44" t="str">
        <f aca="false">INDEX(samples!$B:$B, MATCH(B297, samples!$A:$A, 0), 1)</f>
        <v>par0147</v>
      </c>
      <c r="P297" s="44" t="e">
        <f aca="false">INDEX(participants!$I:$I, MATCH(O297, participants!$A:$A, 0), 1)</f>
        <v>#N/A</v>
      </c>
      <c r="Q297" s="44" t="n">
        <f aca="false">INDEX(samples!$F:$F, MATCH(B297, samples!$A:$A, 0), 1)</f>
        <v>0</v>
      </c>
      <c r="R297" s="49" t="str">
        <f aca="false">INDEX(samples!$C:$C, MATCH(B297, samples!$A:$A, 0), 1)</f>
        <v>2020-06-16</v>
      </c>
      <c r="S297" s="50" t="str">
        <f aca="false">INDEX(samples!$D:$D,MATCH(B297, samples!$A:$A,0),1)</f>
        <v>blood</v>
      </c>
      <c r="T297" s="51" t="s">
        <v>427</v>
      </c>
      <c r="V297" s="33" t="s">
        <v>427</v>
      </c>
      <c r="X297" s="8"/>
      <c r="Y297" s="8" t="s">
        <v>1002</v>
      </c>
      <c r="Z297" s="8" t="n">
        <v>0</v>
      </c>
      <c r="AA297" s="8" t="n">
        <v>0</v>
      </c>
      <c r="AB297" s="8" t="n">
        <v>0</v>
      </c>
    </row>
    <row r="298" customFormat="false" ht="13.8" hidden="false" customHeight="false" outlineLevel="0" collapsed="false">
      <c r="A298" s="48" t="s">
        <v>3454</v>
      </c>
      <c r="B298" s="41" t="s">
        <v>2253</v>
      </c>
      <c r="C298" s="0" t="s">
        <v>3147</v>
      </c>
      <c r="D298" s="0" t="s">
        <v>3398</v>
      </c>
      <c r="H298" s="0" t="s">
        <v>3272</v>
      </c>
      <c r="I298" s="0" t="s">
        <v>1002</v>
      </c>
      <c r="J298" s="0" t="s">
        <v>427</v>
      </c>
      <c r="K298" s="0" t="n">
        <v>8</v>
      </c>
      <c r="M298" s="44" t="str">
        <f aca="false">INDEX(fastqs!$A:$A, MATCH(A298, fastqs!$B:$B, 0), 1)</f>
        <v>WUSTL.610_R1.fastq.gz</v>
      </c>
      <c r="N298" s="44" t="n">
        <f aca="false">INDEX(fastqs!$C:$C, MATCH(A298, fastqs!$B:$B, 0), 1)</f>
        <v>0</v>
      </c>
      <c r="O298" s="44" t="str">
        <f aca="false">INDEX(samples!$B:$B, MATCH(B298, samples!$A:$A, 0), 1)</f>
        <v>par0204</v>
      </c>
      <c r="P298" s="44" t="e">
        <f aca="false">INDEX(participants!$I:$I, MATCH(O298, participants!$A:$A, 0), 1)</f>
        <v>#N/A</v>
      </c>
      <c r="Q298" s="44" t="n">
        <f aca="false">INDEX(samples!$F:$F, MATCH(B298, samples!$A:$A, 0), 1)</f>
        <v>0</v>
      </c>
      <c r="R298" s="49" t="str">
        <f aca="false">INDEX(samples!$C:$C, MATCH(B298, samples!$A:$A, 0), 1)</f>
        <v>2021-08-24</v>
      </c>
      <c r="S298" s="50" t="str">
        <f aca="false">INDEX(samples!$D:$D,MATCH(B298, samples!$A:$A,0),1)</f>
        <v>blood</v>
      </c>
      <c r="T298" s="51" t="s">
        <v>427</v>
      </c>
      <c r="V298" s="33" t="s">
        <v>427</v>
      </c>
      <c r="X298" s="8"/>
      <c r="Y298" s="8" t="s">
        <v>1002</v>
      </c>
      <c r="Z298" s="8" t="n">
        <v>0</v>
      </c>
      <c r="AA298" s="8" t="n">
        <v>0</v>
      </c>
      <c r="AB298" s="8" t="n">
        <v>0</v>
      </c>
    </row>
    <row r="299" customFormat="false" ht="13.8" hidden="false" customHeight="false" outlineLevel="0" collapsed="false">
      <c r="A299" s="48" t="s">
        <v>3455</v>
      </c>
      <c r="B299" s="41" t="s">
        <v>2255</v>
      </c>
      <c r="C299" s="0" t="s">
        <v>3147</v>
      </c>
      <c r="D299" s="0" t="s">
        <v>3398</v>
      </c>
      <c r="H299" s="0" t="s">
        <v>3272</v>
      </c>
      <c r="I299" s="0" t="s">
        <v>1002</v>
      </c>
      <c r="J299" s="0" t="s">
        <v>427</v>
      </c>
      <c r="K299" s="0" t="n">
        <v>8</v>
      </c>
      <c r="M299" s="44" t="str">
        <f aca="false">INDEX(fastqs!$A:$A, MATCH(A299, fastqs!$B:$B, 0), 1)</f>
        <v>WUSTL.612_R1.fastq.gz</v>
      </c>
      <c r="N299" s="44" t="n">
        <f aca="false">INDEX(fastqs!$C:$C, MATCH(A299, fastqs!$B:$B, 0), 1)</f>
        <v>0</v>
      </c>
      <c r="O299" s="44" t="str">
        <f aca="false">INDEX(samples!$B:$B, MATCH(B299, samples!$A:$A, 0), 1)</f>
        <v>par0205</v>
      </c>
      <c r="P299" s="44" t="e">
        <f aca="false">INDEX(participants!$I:$I, MATCH(O299, participants!$A:$A, 0), 1)</f>
        <v>#N/A</v>
      </c>
      <c r="Q299" s="44" t="n">
        <f aca="false">INDEX(samples!$F:$F, MATCH(B299, samples!$A:$A, 0), 1)</f>
        <v>0</v>
      </c>
      <c r="R299" s="49" t="str">
        <f aca="false">INDEX(samples!$C:$C, MATCH(B299, samples!$A:$A, 0), 1)</f>
        <v>2022-09-27</v>
      </c>
      <c r="S299" s="50" t="str">
        <f aca="false">INDEX(samples!$D:$D,MATCH(B299, samples!$A:$A,0),1)</f>
        <v>blood</v>
      </c>
      <c r="T299" s="51" t="s">
        <v>427</v>
      </c>
      <c r="V299" s="33" t="s">
        <v>427</v>
      </c>
      <c r="X299" s="8"/>
      <c r="Y299" s="8" t="s">
        <v>1002</v>
      </c>
      <c r="Z299" s="8" t="n">
        <v>0</v>
      </c>
      <c r="AA299" s="8" t="n">
        <v>0</v>
      </c>
      <c r="AB299" s="8" t="n">
        <v>0</v>
      </c>
    </row>
    <row r="300" customFormat="false" ht="13.8" hidden="false" customHeight="false" outlineLevel="0" collapsed="false">
      <c r="A300" s="48" t="s">
        <v>3456</v>
      </c>
      <c r="B300" s="41" t="s">
        <v>2258</v>
      </c>
      <c r="C300" s="0" t="s">
        <v>3147</v>
      </c>
      <c r="D300" s="0" t="s">
        <v>3398</v>
      </c>
      <c r="H300" s="0" t="s">
        <v>3272</v>
      </c>
      <c r="I300" s="0" t="s">
        <v>1002</v>
      </c>
      <c r="J300" s="0" t="s">
        <v>427</v>
      </c>
      <c r="K300" s="0" t="n">
        <v>8</v>
      </c>
      <c r="M300" s="44" t="str">
        <f aca="false">INDEX(fastqs!$A:$A, MATCH(A300, fastqs!$B:$B, 0), 1)</f>
        <v>WUSTL.615_R1.fastq.gz</v>
      </c>
      <c r="N300" s="44" t="n">
        <f aca="false">INDEX(fastqs!$C:$C, MATCH(A300, fastqs!$B:$B, 0), 1)</f>
        <v>0</v>
      </c>
      <c r="O300" s="44" t="str">
        <f aca="false">INDEX(samples!$B:$B, MATCH(B300, samples!$A:$A, 0), 1)</f>
        <v>par0206</v>
      </c>
      <c r="P300" s="44" t="e">
        <f aca="false">INDEX(participants!$I:$I, MATCH(O300, participants!$A:$A, 0), 1)</f>
        <v>#N/A</v>
      </c>
      <c r="Q300" s="44" t="n">
        <f aca="false">INDEX(samples!$F:$F, MATCH(B300, samples!$A:$A, 0), 1)</f>
        <v>0</v>
      </c>
      <c r="R300" s="49" t="str">
        <f aca="false">INDEX(samples!$C:$C, MATCH(B300, samples!$A:$A, 0), 1)</f>
        <v>2020-09-03</v>
      </c>
      <c r="S300" s="50" t="str">
        <f aca="false">INDEX(samples!$D:$D,MATCH(B300, samples!$A:$A,0),1)</f>
        <v>blood</v>
      </c>
      <c r="T300" s="51" t="s">
        <v>427</v>
      </c>
      <c r="V300" s="33" t="s">
        <v>427</v>
      </c>
      <c r="X300" s="8"/>
      <c r="Y300" s="8" t="s">
        <v>1002</v>
      </c>
      <c r="Z300" s="8" t="n">
        <v>0</v>
      </c>
      <c r="AA300" s="8" t="n">
        <v>0</v>
      </c>
      <c r="AB300" s="8" t="n">
        <v>0</v>
      </c>
    </row>
    <row r="301" customFormat="false" ht="13.8" hidden="false" customHeight="false" outlineLevel="0" collapsed="false">
      <c r="A301" s="48" t="s">
        <v>3457</v>
      </c>
      <c r="B301" s="41" t="s">
        <v>2261</v>
      </c>
      <c r="C301" s="0" t="s">
        <v>3147</v>
      </c>
      <c r="D301" s="0" t="s">
        <v>3398</v>
      </c>
      <c r="H301" s="0" t="s">
        <v>3272</v>
      </c>
      <c r="I301" s="0" t="s">
        <v>1002</v>
      </c>
      <c r="J301" s="0" t="s">
        <v>427</v>
      </c>
      <c r="K301" s="0" t="n">
        <v>8</v>
      </c>
      <c r="M301" s="44" t="str">
        <f aca="false">INDEX(fastqs!$A:$A, MATCH(A301, fastqs!$B:$B, 0), 1)</f>
        <v>WUSTL.616_R1.fastq.gz</v>
      </c>
      <c r="N301" s="44" t="n">
        <f aca="false">INDEX(fastqs!$C:$C, MATCH(A301, fastqs!$B:$B, 0), 1)</f>
        <v>0</v>
      </c>
      <c r="O301" s="44" t="str">
        <f aca="false">INDEX(samples!$B:$B, MATCH(B301, samples!$A:$A, 0), 1)</f>
        <v>par0207</v>
      </c>
      <c r="P301" s="44" t="e">
        <f aca="false">INDEX(participants!$I:$I, MATCH(O301, participants!$A:$A, 0), 1)</f>
        <v>#N/A</v>
      </c>
      <c r="Q301" s="44" t="n">
        <f aca="false">INDEX(samples!$F:$F, MATCH(B301, samples!$A:$A, 0), 1)</f>
        <v>0</v>
      </c>
      <c r="R301" s="49" t="str">
        <f aca="false">INDEX(samples!$C:$C, MATCH(B301, samples!$A:$A, 0), 1)</f>
        <v>2020-08-25</v>
      </c>
      <c r="S301" s="50" t="str">
        <f aca="false">INDEX(samples!$D:$D,MATCH(B301, samples!$A:$A,0),1)</f>
        <v>blood</v>
      </c>
      <c r="T301" s="51" t="s">
        <v>427</v>
      </c>
      <c r="V301" s="33" t="s">
        <v>427</v>
      </c>
      <c r="X301" s="8"/>
      <c r="Y301" s="8" t="s">
        <v>1002</v>
      </c>
      <c r="Z301" s="8" t="n">
        <v>0</v>
      </c>
      <c r="AA301" s="8" t="n">
        <v>0</v>
      </c>
      <c r="AB301" s="8" t="n">
        <v>0</v>
      </c>
    </row>
    <row r="302" customFormat="false" ht="13.8" hidden="false" customHeight="false" outlineLevel="0" collapsed="false">
      <c r="A302" s="48" t="s">
        <v>3458</v>
      </c>
      <c r="B302" s="41" t="s">
        <v>2264</v>
      </c>
      <c r="C302" s="0" t="s">
        <v>3147</v>
      </c>
      <c r="D302" s="0" t="s">
        <v>3398</v>
      </c>
      <c r="H302" s="0" t="s">
        <v>3272</v>
      </c>
      <c r="I302" s="0" t="s">
        <v>1002</v>
      </c>
      <c r="J302" s="0" t="s">
        <v>427</v>
      </c>
      <c r="K302" s="0" t="n">
        <v>8</v>
      </c>
      <c r="M302" s="44" t="str">
        <f aca="false">INDEX(fastqs!$A:$A, MATCH(A302, fastqs!$B:$B, 0), 1)</f>
        <v>WUSTL.617_R1.fastq.gz</v>
      </c>
      <c r="N302" s="44" t="n">
        <f aca="false">INDEX(fastqs!$C:$C, MATCH(A302, fastqs!$B:$B, 0), 1)</f>
        <v>0</v>
      </c>
      <c r="O302" s="44" t="str">
        <f aca="false">INDEX(samples!$B:$B, MATCH(B302, samples!$A:$A, 0), 1)</f>
        <v>par0208</v>
      </c>
      <c r="P302" s="44" t="e">
        <f aca="false">INDEX(participants!$I:$I, MATCH(O302, participants!$A:$A, 0), 1)</f>
        <v>#N/A</v>
      </c>
      <c r="Q302" s="44" t="n">
        <f aca="false">INDEX(samples!$F:$F, MATCH(B302, samples!$A:$A, 0), 1)</f>
        <v>0</v>
      </c>
      <c r="R302" s="49" t="str">
        <f aca="false">INDEX(samples!$C:$C, MATCH(B302, samples!$A:$A, 0), 1)</f>
        <v>2020-09-01</v>
      </c>
      <c r="S302" s="50" t="str">
        <f aca="false">INDEX(samples!$D:$D,MATCH(B302, samples!$A:$A,0),1)</f>
        <v>blood</v>
      </c>
      <c r="T302" s="51" t="s">
        <v>427</v>
      </c>
      <c r="V302" s="33" t="s">
        <v>427</v>
      </c>
      <c r="X302" s="8"/>
      <c r="Y302" s="8" t="s">
        <v>1002</v>
      </c>
      <c r="Z302" s="8" t="n">
        <v>0</v>
      </c>
      <c r="AA302" s="8" t="n">
        <v>0</v>
      </c>
      <c r="AB302" s="8" t="n">
        <v>0</v>
      </c>
    </row>
    <row r="303" customFormat="false" ht="13.8" hidden="false" customHeight="false" outlineLevel="0" collapsed="false">
      <c r="A303" s="48" t="s">
        <v>3459</v>
      </c>
      <c r="B303" s="41" t="s">
        <v>2267</v>
      </c>
      <c r="C303" s="0" t="s">
        <v>3147</v>
      </c>
      <c r="D303" s="0" t="s">
        <v>3398</v>
      </c>
      <c r="H303" s="0" t="s">
        <v>3272</v>
      </c>
      <c r="I303" s="0" t="s">
        <v>1002</v>
      </c>
      <c r="J303" s="0" t="s">
        <v>427</v>
      </c>
      <c r="K303" s="0" t="n">
        <v>8</v>
      </c>
      <c r="M303" s="44" t="str">
        <f aca="false">INDEX(fastqs!$A:$A, MATCH(A303, fastqs!$B:$B, 0), 1)</f>
        <v>WUSTL.618_R1.fastq.gz</v>
      </c>
      <c r="N303" s="44" t="n">
        <f aca="false">INDEX(fastqs!$C:$C, MATCH(A303, fastqs!$B:$B, 0), 1)</f>
        <v>0</v>
      </c>
      <c r="O303" s="44" t="str">
        <f aca="false">INDEX(samples!$B:$B, MATCH(B303, samples!$A:$A, 0), 1)</f>
        <v>par0209</v>
      </c>
      <c r="P303" s="44" t="e">
        <f aca="false">INDEX(participants!$I:$I, MATCH(O303, participants!$A:$A, 0), 1)</f>
        <v>#N/A</v>
      </c>
      <c r="Q303" s="44" t="n">
        <f aca="false">INDEX(samples!$F:$F, MATCH(B303, samples!$A:$A, 0), 1)</f>
        <v>0</v>
      </c>
      <c r="R303" s="49" t="str">
        <f aca="false">INDEX(samples!$C:$C, MATCH(B303, samples!$A:$A, 0), 1)</f>
        <v>2020-09-29</v>
      </c>
      <c r="S303" s="50" t="str">
        <f aca="false">INDEX(samples!$D:$D,MATCH(B303, samples!$A:$A,0),1)</f>
        <v>blood</v>
      </c>
      <c r="T303" s="51" t="s">
        <v>427</v>
      </c>
      <c r="V303" s="33" t="s">
        <v>427</v>
      </c>
      <c r="X303" s="8"/>
      <c r="Y303" s="8" t="s">
        <v>1002</v>
      </c>
      <c r="Z303" s="8" t="n">
        <v>0</v>
      </c>
      <c r="AA303" s="8" t="n">
        <v>0</v>
      </c>
      <c r="AB303" s="8" t="n">
        <v>0</v>
      </c>
    </row>
    <row r="304" customFormat="false" ht="13.8" hidden="false" customHeight="false" outlineLevel="0" collapsed="false">
      <c r="A304" s="48" t="s">
        <v>3460</v>
      </c>
      <c r="B304" s="41" t="s">
        <v>2270</v>
      </c>
      <c r="C304" s="0" t="s">
        <v>3147</v>
      </c>
      <c r="D304" s="0" t="s">
        <v>3398</v>
      </c>
      <c r="H304" s="0" t="s">
        <v>3272</v>
      </c>
      <c r="I304" s="0" t="s">
        <v>1002</v>
      </c>
      <c r="J304" s="0" t="s">
        <v>427</v>
      </c>
      <c r="K304" s="0" t="n">
        <v>8</v>
      </c>
      <c r="M304" s="44" t="str">
        <f aca="false">INDEX(fastqs!$A:$A, MATCH(A304, fastqs!$B:$B, 0), 1)</f>
        <v>WUSTL.623_R1.fastq.gz</v>
      </c>
      <c r="N304" s="44" t="n">
        <f aca="false">INDEX(fastqs!$C:$C, MATCH(A304, fastqs!$B:$B, 0), 1)</f>
        <v>0</v>
      </c>
      <c r="O304" s="44" t="str">
        <f aca="false">INDEX(samples!$B:$B, MATCH(B304, samples!$A:$A, 0), 1)</f>
        <v>par0210</v>
      </c>
      <c r="P304" s="44" t="e">
        <f aca="false">INDEX(participants!$I:$I, MATCH(O304, participants!$A:$A, 0), 1)</f>
        <v>#N/A</v>
      </c>
      <c r="Q304" s="44" t="n">
        <f aca="false">INDEX(samples!$F:$F, MATCH(B304, samples!$A:$A, 0), 1)</f>
        <v>0</v>
      </c>
      <c r="R304" s="49" t="str">
        <f aca="false">INDEX(samples!$C:$C, MATCH(B304, samples!$A:$A, 0), 1)</f>
        <v>2020-12-08</v>
      </c>
      <c r="S304" s="50" t="str">
        <f aca="false">INDEX(samples!$D:$D,MATCH(B304, samples!$A:$A,0),1)</f>
        <v>blood</v>
      </c>
      <c r="T304" s="51" t="s">
        <v>427</v>
      </c>
      <c r="V304" s="33" t="s">
        <v>427</v>
      </c>
      <c r="X304" s="8"/>
      <c r="Y304" s="8" t="s">
        <v>1002</v>
      </c>
      <c r="Z304" s="8" t="n">
        <v>0</v>
      </c>
      <c r="AA304" s="8" t="n">
        <v>0</v>
      </c>
      <c r="AB304" s="8" t="n">
        <v>0</v>
      </c>
    </row>
    <row r="305" customFormat="false" ht="13.8" hidden="false" customHeight="false" outlineLevel="0" collapsed="false">
      <c r="A305" s="48" t="s">
        <v>3461</v>
      </c>
      <c r="B305" s="41" t="s">
        <v>2273</v>
      </c>
      <c r="C305" s="0" t="s">
        <v>3147</v>
      </c>
      <c r="D305" s="0" t="s">
        <v>3398</v>
      </c>
      <c r="H305" s="0" t="s">
        <v>3272</v>
      </c>
      <c r="I305" s="0" t="s">
        <v>1002</v>
      </c>
      <c r="J305" s="0" t="s">
        <v>427</v>
      </c>
      <c r="K305" s="0" t="n">
        <v>8</v>
      </c>
      <c r="M305" s="44" t="str">
        <f aca="false">INDEX(fastqs!$A:$A, MATCH(A305, fastqs!$B:$B, 0), 1)</f>
        <v>WUSTL.624_R1.fastq.gz</v>
      </c>
      <c r="N305" s="44" t="n">
        <f aca="false">INDEX(fastqs!$C:$C, MATCH(A305, fastqs!$B:$B, 0), 1)</f>
        <v>0</v>
      </c>
      <c r="O305" s="44" t="str">
        <f aca="false">INDEX(samples!$B:$B, MATCH(B305, samples!$A:$A, 0), 1)</f>
        <v>par0211</v>
      </c>
      <c r="P305" s="44" t="e">
        <f aca="false">INDEX(participants!$I:$I, MATCH(O305, participants!$A:$A, 0), 1)</f>
        <v>#N/A</v>
      </c>
      <c r="Q305" s="44" t="n">
        <f aca="false">INDEX(samples!$F:$F, MATCH(B305, samples!$A:$A, 0), 1)</f>
        <v>0</v>
      </c>
      <c r="R305" s="49" t="str">
        <f aca="false">INDEX(samples!$C:$C, MATCH(B305, samples!$A:$A, 0), 1)</f>
        <v>2020-12-22</v>
      </c>
      <c r="S305" s="50" t="str">
        <f aca="false">INDEX(samples!$D:$D,MATCH(B305, samples!$A:$A,0),1)</f>
        <v>blood</v>
      </c>
      <c r="T305" s="51" t="s">
        <v>427</v>
      </c>
      <c r="V305" s="33" t="s">
        <v>427</v>
      </c>
      <c r="X305" s="8"/>
      <c r="Y305" s="8" t="s">
        <v>1002</v>
      </c>
      <c r="Z305" s="8" t="n">
        <v>0</v>
      </c>
      <c r="AA305" s="8" t="n">
        <v>0</v>
      </c>
      <c r="AB305" s="8" t="n">
        <v>0</v>
      </c>
    </row>
    <row r="306" customFormat="false" ht="13.8" hidden="false" customHeight="false" outlineLevel="0" collapsed="false">
      <c r="A306" s="48" t="s">
        <v>3462</v>
      </c>
      <c r="B306" s="41" t="s">
        <v>2275</v>
      </c>
      <c r="C306" s="0" t="s">
        <v>3147</v>
      </c>
      <c r="D306" s="0" t="s">
        <v>3398</v>
      </c>
      <c r="H306" s="0" t="s">
        <v>3272</v>
      </c>
      <c r="I306" s="0" t="s">
        <v>1002</v>
      </c>
      <c r="J306" s="0" t="s">
        <v>427</v>
      </c>
      <c r="K306" s="0" t="n">
        <v>8</v>
      </c>
      <c r="M306" s="44" t="str">
        <f aca="false">INDEX(fastqs!$A:$A, MATCH(A306, fastqs!$B:$B, 0), 1)</f>
        <v>WUSTL.625_R1.fastq.gz</v>
      </c>
      <c r="N306" s="44" t="n">
        <f aca="false">INDEX(fastqs!$C:$C, MATCH(A306, fastqs!$B:$B, 0), 1)</f>
        <v>0</v>
      </c>
      <c r="O306" s="44" t="str">
        <f aca="false">INDEX(samples!$B:$B, MATCH(B306, samples!$A:$A, 0), 1)</f>
        <v>par0212</v>
      </c>
      <c r="P306" s="44" t="e">
        <f aca="false">INDEX(participants!$I:$I, MATCH(O306, participants!$A:$A, 0), 1)</f>
        <v>#N/A</v>
      </c>
      <c r="Q306" s="44" t="n">
        <f aca="false">INDEX(samples!$F:$F, MATCH(B306, samples!$A:$A, 0), 1)</f>
        <v>0</v>
      </c>
      <c r="R306" s="49" t="str">
        <f aca="false">INDEX(samples!$C:$C, MATCH(B306, samples!$A:$A, 0), 1)</f>
        <v>2021-03-11</v>
      </c>
      <c r="S306" s="50" t="str">
        <f aca="false">INDEX(samples!$D:$D,MATCH(B306, samples!$A:$A,0),1)</f>
        <v>blood</v>
      </c>
      <c r="T306" s="51" t="s">
        <v>427</v>
      </c>
      <c r="V306" s="33" t="s">
        <v>427</v>
      </c>
      <c r="X306" s="8"/>
      <c r="Y306" s="8" t="s">
        <v>1002</v>
      </c>
      <c r="Z306" s="8" t="n">
        <v>0</v>
      </c>
      <c r="AA306" s="8" t="n">
        <v>0</v>
      </c>
      <c r="AB306" s="8" t="n">
        <v>0</v>
      </c>
    </row>
    <row r="307" customFormat="false" ht="13.8" hidden="false" customHeight="false" outlineLevel="0" collapsed="false">
      <c r="A307" s="48" t="s">
        <v>3463</v>
      </c>
      <c r="B307" s="41" t="s">
        <v>2278</v>
      </c>
      <c r="C307" s="0" t="s">
        <v>3147</v>
      </c>
      <c r="D307" s="0" t="s">
        <v>3398</v>
      </c>
      <c r="H307" s="0" t="s">
        <v>3272</v>
      </c>
      <c r="I307" s="0" t="s">
        <v>1002</v>
      </c>
      <c r="J307" s="0" t="s">
        <v>427</v>
      </c>
      <c r="K307" s="0" t="n">
        <v>8</v>
      </c>
      <c r="M307" s="44" t="str">
        <f aca="false">INDEX(fastqs!$A:$A, MATCH(A307, fastqs!$B:$B, 0), 1)</f>
        <v>WUSTL.627_R1.fastq.gz</v>
      </c>
      <c r="N307" s="44" t="n">
        <f aca="false">INDEX(fastqs!$C:$C, MATCH(A307, fastqs!$B:$B, 0), 1)</f>
        <v>0</v>
      </c>
      <c r="O307" s="44" t="str">
        <f aca="false">INDEX(samples!$B:$B, MATCH(B307, samples!$A:$A, 0), 1)</f>
        <v>par0213</v>
      </c>
      <c r="P307" s="44" t="e">
        <f aca="false">INDEX(participants!$I:$I, MATCH(O307, participants!$A:$A, 0), 1)</f>
        <v>#N/A</v>
      </c>
      <c r="Q307" s="44" t="n">
        <f aca="false">INDEX(samples!$F:$F, MATCH(B307, samples!$A:$A, 0), 1)</f>
        <v>0</v>
      </c>
      <c r="R307" s="49" t="str">
        <f aca="false">INDEX(samples!$C:$C, MATCH(B307, samples!$A:$A, 0), 1)</f>
        <v>2021-03-16</v>
      </c>
      <c r="S307" s="50" t="str">
        <f aca="false">INDEX(samples!$D:$D,MATCH(B307, samples!$A:$A,0),1)</f>
        <v>blood</v>
      </c>
      <c r="T307" s="51" t="s">
        <v>427</v>
      </c>
      <c r="V307" s="33" t="s">
        <v>427</v>
      </c>
      <c r="X307" s="8"/>
      <c r="Y307" s="8" t="s">
        <v>1002</v>
      </c>
      <c r="Z307" s="8" t="n">
        <v>0</v>
      </c>
      <c r="AA307" s="8" t="n">
        <v>0</v>
      </c>
      <c r="AB307" s="8" t="n">
        <v>0</v>
      </c>
    </row>
    <row r="308" customFormat="false" ht="13.8" hidden="false" customHeight="false" outlineLevel="0" collapsed="false">
      <c r="A308" s="48" t="s">
        <v>3464</v>
      </c>
      <c r="B308" s="41" t="s">
        <v>2279</v>
      </c>
      <c r="C308" s="0" t="s">
        <v>3147</v>
      </c>
      <c r="D308" s="0" t="s">
        <v>3398</v>
      </c>
      <c r="H308" s="0" t="s">
        <v>3272</v>
      </c>
      <c r="I308" s="0" t="s">
        <v>1002</v>
      </c>
      <c r="J308" s="0" t="s">
        <v>427</v>
      </c>
      <c r="K308" s="0" t="n">
        <v>8</v>
      </c>
      <c r="M308" s="44" t="str">
        <f aca="false">INDEX(fastqs!$A:$A, MATCH(A308, fastqs!$B:$B, 0), 1)</f>
        <v>WUSTL.644_R1.fastq.gz</v>
      </c>
      <c r="N308" s="44" t="n">
        <f aca="false">INDEX(fastqs!$C:$C, MATCH(A308, fastqs!$B:$B, 0), 1)</f>
        <v>0</v>
      </c>
      <c r="O308" s="44" t="str">
        <f aca="false">INDEX(samples!$B:$B, MATCH(B308, samples!$A:$A, 0), 1)</f>
        <v>par0214</v>
      </c>
      <c r="P308" s="44" t="e">
        <f aca="false">INDEX(participants!$I:$I, MATCH(O308, participants!$A:$A, 0), 1)</f>
        <v>#N/A</v>
      </c>
      <c r="Q308" s="44" t="n">
        <f aca="false">INDEX(samples!$F:$F, MATCH(B308, samples!$A:$A, 0), 1)</f>
        <v>0</v>
      </c>
      <c r="R308" s="49" t="str">
        <f aca="false">INDEX(samples!$C:$C, MATCH(B308, samples!$A:$A, 0), 1)</f>
        <v>2021-07-06</v>
      </c>
      <c r="S308" s="50" t="str">
        <f aca="false">INDEX(samples!$D:$D,MATCH(B308, samples!$A:$A,0),1)</f>
        <v>blood</v>
      </c>
      <c r="T308" s="51" t="s">
        <v>427</v>
      </c>
      <c r="V308" s="33" t="s">
        <v>427</v>
      </c>
      <c r="X308" s="8"/>
      <c r="Y308" s="8" t="s">
        <v>1002</v>
      </c>
      <c r="Z308" s="8" t="n">
        <v>0</v>
      </c>
      <c r="AA308" s="8" t="n">
        <v>0</v>
      </c>
      <c r="AB308" s="8" t="n">
        <v>0</v>
      </c>
    </row>
    <row r="309" customFormat="false" ht="13.8" hidden="false" customHeight="false" outlineLevel="0" collapsed="false">
      <c r="A309" s="48" t="s">
        <v>3465</v>
      </c>
      <c r="B309" s="41" t="s">
        <v>2282</v>
      </c>
      <c r="C309" s="0" t="s">
        <v>3147</v>
      </c>
      <c r="D309" s="0" t="s">
        <v>3398</v>
      </c>
      <c r="H309" s="0" t="s">
        <v>3272</v>
      </c>
      <c r="I309" s="0" t="s">
        <v>1002</v>
      </c>
      <c r="J309" s="0" t="s">
        <v>427</v>
      </c>
      <c r="K309" s="0" t="n">
        <v>8</v>
      </c>
      <c r="M309" s="44" t="str">
        <f aca="false">INDEX(fastqs!$A:$A, MATCH(A309, fastqs!$B:$B, 0), 1)</f>
        <v>WUSTL.645_R1.fastq.gz</v>
      </c>
      <c r="N309" s="44" t="n">
        <f aca="false">INDEX(fastqs!$C:$C, MATCH(A309, fastqs!$B:$B, 0), 1)</f>
        <v>0</v>
      </c>
      <c r="O309" s="44" t="str">
        <f aca="false">INDEX(samples!$B:$B, MATCH(B309, samples!$A:$A, 0), 1)</f>
        <v>par0215</v>
      </c>
      <c r="P309" s="44" t="e">
        <f aca="false">INDEX(participants!$I:$I, MATCH(O309, participants!$A:$A, 0), 1)</f>
        <v>#N/A</v>
      </c>
      <c r="Q309" s="44" t="n">
        <f aca="false">INDEX(samples!$F:$F, MATCH(B309, samples!$A:$A, 0), 1)</f>
        <v>0</v>
      </c>
      <c r="R309" s="49" t="str">
        <f aca="false">INDEX(samples!$C:$C, MATCH(B309, samples!$A:$A, 0), 1)</f>
        <v>2021-08-03</v>
      </c>
      <c r="S309" s="50" t="str">
        <f aca="false">INDEX(samples!$D:$D,MATCH(B309, samples!$A:$A,0),1)</f>
        <v>blood</v>
      </c>
      <c r="T309" s="51" t="s">
        <v>427</v>
      </c>
      <c r="V309" s="33" t="s">
        <v>427</v>
      </c>
      <c r="X309" s="8"/>
      <c r="Y309" s="8" t="s">
        <v>1002</v>
      </c>
      <c r="Z309" s="8" t="n">
        <v>0</v>
      </c>
      <c r="AA309" s="8" t="n">
        <v>0</v>
      </c>
      <c r="AB309" s="8" t="n">
        <v>0</v>
      </c>
    </row>
    <row r="310" customFormat="false" ht="13.8" hidden="false" customHeight="false" outlineLevel="0" collapsed="false">
      <c r="A310" s="48" t="s">
        <v>3466</v>
      </c>
      <c r="B310" s="41" t="s">
        <v>2285</v>
      </c>
      <c r="C310" s="0" t="s">
        <v>3147</v>
      </c>
      <c r="D310" s="0" t="s">
        <v>3398</v>
      </c>
      <c r="H310" s="0" t="s">
        <v>3272</v>
      </c>
      <c r="I310" s="0" t="s">
        <v>1002</v>
      </c>
      <c r="J310" s="0" t="s">
        <v>427</v>
      </c>
      <c r="K310" s="0" t="n">
        <v>8</v>
      </c>
      <c r="M310" s="44" t="str">
        <f aca="false">INDEX(fastqs!$A:$A, MATCH(A310, fastqs!$B:$B, 0), 1)</f>
        <v>WUSTL.646_R1.fastq.gz</v>
      </c>
      <c r="N310" s="44" t="n">
        <f aca="false">INDEX(fastqs!$C:$C, MATCH(A310, fastqs!$B:$B, 0), 1)</f>
        <v>0</v>
      </c>
      <c r="O310" s="44" t="str">
        <f aca="false">INDEX(samples!$B:$B, MATCH(B310, samples!$A:$A, 0), 1)</f>
        <v>par0216</v>
      </c>
      <c r="P310" s="44" t="e">
        <f aca="false">INDEX(participants!$I:$I, MATCH(O310, participants!$A:$A, 0), 1)</f>
        <v>#N/A</v>
      </c>
      <c r="Q310" s="44" t="n">
        <f aca="false">INDEX(samples!$F:$F, MATCH(B310, samples!$A:$A, 0), 1)</f>
        <v>0</v>
      </c>
      <c r="R310" s="49" t="str">
        <f aca="false">INDEX(samples!$C:$C, MATCH(B310, samples!$A:$A, 0), 1)</f>
        <v>2021-08-03</v>
      </c>
      <c r="S310" s="50" t="str">
        <f aca="false">INDEX(samples!$D:$D,MATCH(B310, samples!$A:$A,0),1)</f>
        <v>blood</v>
      </c>
      <c r="T310" s="51" t="s">
        <v>427</v>
      </c>
      <c r="V310" s="33" t="s">
        <v>427</v>
      </c>
      <c r="X310" s="8"/>
      <c r="Y310" s="8" t="s">
        <v>1002</v>
      </c>
      <c r="Z310" s="8" t="n">
        <v>0</v>
      </c>
      <c r="AA310" s="8" t="n">
        <v>0</v>
      </c>
      <c r="AB310" s="8" t="n">
        <v>0</v>
      </c>
    </row>
    <row r="311" customFormat="false" ht="13.8" hidden="false" customHeight="false" outlineLevel="0" collapsed="false">
      <c r="A311" s="48" t="s">
        <v>3467</v>
      </c>
      <c r="B311" s="41" t="s">
        <v>2287</v>
      </c>
      <c r="C311" s="0" t="s">
        <v>3147</v>
      </c>
      <c r="D311" s="0" t="s">
        <v>3398</v>
      </c>
      <c r="H311" s="0" t="s">
        <v>3272</v>
      </c>
      <c r="I311" s="0" t="s">
        <v>1002</v>
      </c>
      <c r="J311" s="0" t="s">
        <v>427</v>
      </c>
      <c r="K311" s="0" t="n">
        <v>8</v>
      </c>
      <c r="M311" s="44" t="str">
        <f aca="false">INDEX(fastqs!$A:$A, MATCH(A311, fastqs!$B:$B, 0), 1)</f>
        <v>WUSTL.648_R1.fastq.gz</v>
      </c>
      <c r="N311" s="44" t="n">
        <f aca="false">INDEX(fastqs!$C:$C, MATCH(A311, fastqs!$B:$B, 0), 1)</f>
        <v>0</v>
      </c>
      <c r="O311" s="44" t="str">
        <f aca="false">INDEX(samples!$B:$B, MATCH(B311, samples!$A:$A, 0), 1)</f>
        <v>par0217</v>
      </c>
      <c r="P311" s="44" t="e">
        <f aca="false">INDEX(participants!$I:$I, MATCH(O311, participants!$A:$A, 0), 1)</f>
        <v>#N/A</v>
      </c>
      <c r="Q311" s="44" t="n">
        <f aca="false">INDEX(samples!$F:$F, MATCH(B311, samples!$A:$A, 0), 1)</f>
        <v>0</v>
      </c>
      <c r="R311" s="49" t="str">
        <f aca="false">INDEX(samples!$C:$C, MATCH(B311, samples!$A:$A, 0), 1)</f>
        <v>2021-04-06</v>
      </c>
      <c r="S311" s="50" t="str">
        <f aca="false">INDEX(samples!$D:$D,MATCH(B311, samples!$A:$A,0),1)</f>
        <v>blood</v>
      </c>
      <c r="T311" s="51" t="s">
        <v>427</v>
      </c>
      <c r="V311" s="33" t="s">
        <v>427</v>
      </c>
      <c r="X311" s="8"/>
      <c r="Y311" s="8" t="s">
        <v>1002</v>
      </c>
      <c r="Z311" s="8" t="n">
        <v>0</v>
      </c>
      <c r="AA311" s="8" t="n">
        <v>0</v>
      </c>
      <c r="AB311" s="8" t="n">
        <v>0</v>
      </c>
    </row>
    <row r="312" customFormat="false" ht="13.8" hidden="false" customHeight="false" outlineLevel="0" collapsed="false">
      <c r="A312" s="48" t="s">
        <v>3468</v>
      </c>
      <c r="B312" s="41" t="s">
        <v>2290</v>
      </c>
      <c r="C312" s="0" t="s">
        <v>3147</v>
      </c>
      <c r="D312" s="0" t="s">
        <v>3398</v>
      </c>
      <c r="H312" s="0" t="s">
        <v>3272</v>
      </c>
      <c r="I312" s="0" t="s">
        <v>1002</v>
      </c>
      <c r="J312" s="0" t="s">
        <v>427</v>
      </c>
      <c r="K312" s="0" t="n">
        <v>8</v>
      </c>
      <c r="M312" s="44" t="str">
        <f aca="false">INDEX(fastqs!$A:$A, MATCH(A312, fastqs!$B:$B, 0), 1)</f>
        <v>WUSTL.659_R1.fastq.gz</v>
      </c>
      <c r="N312" s="44" t="n">
        <f aca="false">INDEX(fastqs!$C:$C, MATCH(A312, fastqs!$B:$B, 0), 1)</f>
        <v>0</v>
      </c>
      <c r="O312" s="44" t="str">
        <f aca="false">INDEX(samples!$B:$B, MATCH(B312, samples!$A:$A, 0), 1)</f>
        <v>par0218</v>
      </c>
      <c r="P312" s="44" t="e">
        <f aca="false">INDEX(participants!$I:$I, MATCH(O312, participants!$A:$A, 0), 1)</f>
        <v>#N/A</v>
      </c>
      <c r="Q312" s="44" t="n">
        <f aca="false">INDEX(samples!$F:$F, MATCH(B312, samples!$A:$A, 0), 1)</f>
        <v>0</v>
      </c>
      <c r="R312" s="49" t="str">
        <f aca="false">INDEX(samples!$C:$C, MATCH(B312, samples!$A:$A, 0), 1)</f>
        <v>2021-10-12</v>
      </c>
      <c r="S312" s="50" t="str">
        <f aca="false">INDEX(samples!$D:$D,MATCH(B312, samples!$A:$A,0),1)</f>
        <v>blood</v>
      </c>
      <c r="T312" s="51" t="s">
        <v>427</v>
      </c>
      <c r="V312" s="33" t="s">
        <v>427</v>
      </c>
      <c r="X312" s="8"/>
      <c r="Y312" s="8" t="s">
        <v>1002</v>
      </c>
      <c r="Z312" s="8" t="n">
        <v>0</v>
      </c>
      <c r="AA312" s="8" t="n">
        <v>0</v>
      </c>
      <c r="AB312" s="8" t="n">
        <v>0</v>
      </c>
    </row>
    <row r="313" customFormat="false" ht="13.8" hidden="false" customHeight="false" outlineLevel="0" collapsed="false">
      <c r="A313" s="48" t="s">
        <v>3469</v>
      </c>
      <c r="B313" s="41" t="s">
        <v>2291</v>
      </c>
      <c r="C313" s="0" t="s">
        <v>3147</v>
      </c>
      <c r="D313" s="0" t="s">
        <v>3398</v>
      </c>
      <c r="H313" s="0" t="s">
        <v>3272</v>
      </c>
      <c r="I313" s="0" t="s">
        <v>1002</v>
      </c>
      <c r="J313" s="0" t="s">
        <v>427</v>
      </c>
      <c r="K313" s="0" t="n">
        <v>8</v>
      </c>
      <c r="M313" s="44" t="str">
        <f aca="false">INDEX(fastqs!$A:$A, MATCH(A313, fastqs!$B:$B, 0), 1)</f>
        <v>WUSTL.660_R1.fastq.gz</v>
      </c>
      <c r="N313" s="44" t="n">
        <f aca="false">INDEX(fastqs!$C:$C, MATCH(A313, fastqs!$B:$B, 0), 1)</f>
        <v>0</v>
      </c>
      <c r="O313" s="44" t="str">
        <f aca="false">INDEX(samples!$B:$B, MATCH(B313, samples!$A:$A, 0), 1)</f>
        <v>par0219</v>
      </c>
      <c r="P313" s="44" t="e">
        <f aca="false">INDEX(participants!$I:$I, MATCH(O313, participants!$A:$A, 0), 1)</f>
        <v>#N/A</v>
      </c>
      <c r="Q313" s="44" t="n">
        <f aca="false">INDEX(samples!$F:$F, MATCH(B313, samples!$A:$A, 0), 1)</f>
        <v>0</v>
      </c>
      <c r="R313" s="49" t="str">
        <f aca="false">INDEX(samples!$C:$C, MATCH(B313, samples!$A:$A, 0), 1)</f>
        <v>2021-10-05</v>
      </c>
      <c r="S313" s="50" t="str">
        <f aca="false">INDEX(samples!$D:$D,MATCH(B313, samples!$A:$A,0),1)</f>
        <v>blood</v>
      </c>
      <c r="T313" s="51" t="s">
        <v>427</v>
      </c>
      <c r="V313" s="33" t="s">
        <v>427</v>
      </c>
      <c r="X313" s="8"/>
      <c r="Y313" s="8" t="s">
        <v>1002</v>
      </c>
      <c r="Z313" s="8" t="n">
        <v>0</v>
      </c>
      <c r="AA313" s="8" t="n">
        <v>0</v>
      </c>
      <c r="AB313" s="8" t="n">
        <v>0</v>
      </c>
    </row>
    <row r="314" customFormat="false" ht="13.8" hidden="false" customHeight="false" outlineLevel="0" collapsed="false">
      <c r="A314" s="48" t="s">
        <v>3470</v>
      </c>
      <c r="B314" s="41" t="s">
        <v>2294</v>
      </c>
      <c r="C314" s="0" t="s">
        <v>3147</v>
      </c>
      <c r="D314" s="0" t="s">
        <v>3398</v>
      </c>
      <c r="H314" s="0" t="s">
        <v>3272</v>
      </c>
      <c r="I314" s="0" t="s">
        <v>1002</v>
      </c>
      <c r="J314" s="0" t="s">
        <v>427</v>
      </c>
      <c r="K314" s="0" t="n">
        <v>8</v>
      </c>
      <c r="M314" s="44" t="str">
        <f aca="false">INDEX(fastqs!$A:$A, MATCH(A314, fastqs!$B:$B, 0), 1)</f>
        <v>WUSTL.661_R1.fastq.gz</v>
      </c>
      <c r="N314" s="44" t="n">
        <f aca="false">INDEX(fastqs!$C:$C, MATCH(A314, fastqs!$B:$B, 0), 1)</f>
        <v>0</v>
      </c>
      <c r="O314" s="44" t="str">
        <f aca="false">INDEX(samples!$B:$B, MATCH(B314, samples!$A:$A, 0), 1)</f>
        <v>par0220</v>
      </c>
      <c r="P314" s="44" t="e">
        <f aca="false">INDEX(participants!$I:$I, MATCH(O314, participants!$A:$A, 0), 1)</f>
        <v>#N/A</v>
      </c>
      <c r="Q314" s="44" t="n">
        <f aca="false">INDEX(samples!$F:$F, MATCH(B314, samples!$A:$A, 0), 1)</f>
        <v>0</v>
      </c>
      <c r="R314" s="49" t="str">
        <f aca="false">INDEX(samples!$C:$C, MATCH(B314, samples!$A:$A, 0), 1)</f>
        <v>2021-10-07</v>
      </c>
      <c r="S314" s="50" t="str">
        <f aca="false">INDEX(samples!$D:$D,MATCH(B314, samples!$A:$A,0),1)</f>
        <v>blood</v>
      </c>
      <c r="T314" s="51" t="s">
        <v>427</v>
      </c>
      <c r="V314" s="33" t="s">
        <v>427</v>
      </c>
      <c r="X314" s="8"/>
      <c r="Y314" s="8" t="s">
        <v>1002</v>
      </c>
      <c r="Z314" s="8" t="n">
        <v>0</v>
      </c>
      <c r="AA314" s="8" t="n">
        <v>0</v>
      </c>
      <c r="AB314" s="8" t="n">
        <v>0</v>
      </c>
    </row>
    <row r="315" customFormat="false" ht="13.8" hidden="false" customHeight="false" outlineLevel="0" collapsed="false">
      <c r="A315" s="48" t="s">
        <v>3471</v>
      </c>
      <c r="B315" s="41" t="s">
        <v>2297</v>
      </c>
      <c r="C315" s="0" t="s">
        <v>3147</v>
      </c>
      <c r="D315" s="0" t="s">
        <v>3398</v>
      </c>
      <c r="H315" s="0" t="s">
        <v>3272</v>
      </c>
      <c r="I315" s="0" t="s">
        <v>1002</v>
      </c>
      <c r="J315" s="0" t="s">
        <v>427</v>
      </c>
      <c r="K315" s="0" t="n">
        <v>8</v>
      </c>
      <c r="M315" s="44" t="str">
        <f aca="false">INDEX(fastqs!$A:$A, MATCH(A315, fastqs!$B:$B, 0), 1)</f>
        <v>WUSTL.662_R1.fastq.gz</v>
      </c>
      <c r="N315" s="44" t="n">
        <f aca="false">INDEX(fastqs!$C:$C, MATCH(A315, fastqs!$B:$B, 0), 1)</f>
        <v>0</v>
      </c>
      <c r="O315" s="44" t="str">
        <f aca="false">INDEX(samples!$B:$B, MATCH(B315, samples!$A:$A, 0), 1)</f>
        <v>par0221</v>
      </c>
      <c r="P315" s="44" t="e">
        <f aca="false">INDEX(participants!$I:$I, MATCH(O315, participants!$A:$A, 0), 1)</f>
        <v>#N/A</v>
      </c>
      <c r="Q315" s="44" t="n">
        <f aca="false">INDEX(samples!$F:$F, MATCH(B315, samples!$A:$A, 0), 1)</f>
        <v>0</v>
      </c>
      <c r="R315" s="49" t="str">
        <f aca="false">INDEX(samples!$C:$C, MATCH(B315, samples!$A:$A, 0), 1)</f>
        <v>2021-10-12</v>
      </c>
      <c r="S315" s="50" t="str">
        <f aca="false">INDEX(samples!$D:$D,MATCH(B315, samples!$A:$A,0),1)</f>
        <v>blood</v>
      </c>
      <c r="T315" s="51" t="s">
        <v>427</v>
      </c>
      <c r="V315" s="33" t="s">
        <v>427</v>
      </c>
      <c r="X315" s="8"/>
      <c r="Y315" s="8" t="s">
        <v>1002</v>
      </c>
      <c r="Z315" s="8" t="n">
        <v>0</v>
      </c>
      <c r="AA315" s="8" t="n">
        <v>0</v>
      </c>
      <c r="AB315" s="8" t="n">
        <v>0</v>
      </c>
    </row>
    <row r="316" customFormat="false" ht="13.8" hidden="false" customHeight="false" outlineLevel="0" collapsed="false">
      <c r="A316" s="48" t="s">
        <v>3472</v>
      </c>
      <c r="B316" s="41" t="s">
        <v>2299</v>
      </c>
      <c r="C316" s="0" t="s">
        <v>3147</v>
      </c>
      <c r="D316" s="0" t="s">
        <v>3398</v>
      </c>
      <c r="H316" s="0" t="s">
        <v>3272</v>
      </c>
      <c r="I316" s="0" t="s">
        <v>1002</v>
      </c>
      <c r="J316" s="0" t="s">
        <v>427</v>
      </c>
      <c r="K316" s="0" t="n">
        <v>8</v>
      </c>
      <c r="M316" s="44" t="str">
        <f aca="false">INDEX(fastqs!$A:$A, MATCH(A316, fastqs!$B:$B, 0), 1)</f>
        <v>WUSTL.674_R1.fastq.gz</v>
      </c>
      <c r="N316" s="44" t="n">
        <f aca="false">INDEX(fastqs!$C:$C, MATCH(A316, fastqs!$B:$B, 0), 1)</f>
        <v>0</v>
      </c>
      <c r="O316" s="44" t="str">
        <f aca="false">INDEX(samples!$B:$B, MATCH(B316, samples!$A:$A, 0), 1)</f>
        <v>par0223</v>
      </c>
      <c r="P316" s="44" t="e">
        <f aca="false">INDEX(participants!$I:$I, MATCH(O316, participants!$A:$A, 0), 1)</f>
        <v>#N/A</v>
      </c>
      <c r="Q316" s="44" t="n">
        <f aca="false">INDEX(samples!$F:$F, MATCH(B316, samples!$A:$A, 0), 1)</f>
        <v>0</v>
      </c>
      <c r="R316" s="49" t="str">
        <f aca="false">INDEX(samples!$C:$C, MATCH(B316, samples!$A:$A, 0), 1)</f>
        <v>2021-12-28</v>
      </c>
      <c r="S316" s="50" t="str">
        <f aca="false">INDEX(samples!$D:$D,MATCH(B316, samples!$A:$A,0),1)</f>
        <v>blood</v>
      </c>
      <c r="T316" s="51" t="s">
        <v>427</v>
      </c>
      <c r="V316" s="33" t="s">
        <v>427</v>
      </c>
      <c r="X316" s="8"/>
      <c r="Y316" s="8" t="s">
        <v>1002</v>
      </c>
      <c r="Z316" s="8" t="n">
        <v>0</v>
      </c>
      <c r="AA316" s="8" t="n">
        <v>0</v>
      </c>
      <c r="AB316" s="8" t="n">
        <v>0</v>
      </c>
    </row>
    <row r="317" customFormat="false" ht="13.8" hidden="false" customHeight="false" outlineLevel="0" collapsed="false">
      <c r="A317" s="48" t="s">
        <v>3473</v>
      </c>
      <c r="B317" s="41" t="s">
        <v>2302</v>
      </c>
      <c r="C317" s="0" t="s">
        <v>3147</v>
      </c>
      <c r="D317" s="0" t="s">
        <v>3398</v>
      </c>
      <c r="H317" s="0" t="s">
        <v>3272</v>
      </c>
      <c r="I317" s="0" t="s">
        <v>1002</v>
      </c>
      <c r="J317" s="0" t="s">
        <v>427</v>
      </c>
      <c r="K317" s="0" t="n">
        <v>8</v>
      </c>
      <c r="M317" s="44" t="str">
        <f aca="false">INDEX(fastqs!$A:$A, MATCH(A317, fastqs!$B:$B, 0), 1)</f>
        <v>WUSTL.678_R1.fastq.gz</v>
      </c>
      <c r="N317" s="44" t="n">
        <f aca="false">INDEX(fastqs!$C:$C, MATCH(A317, fastqs!$B:$B, 0), 1)</f>
        <v>0</v>
      </c>
      <c r="O317" s="44" t="str">
        <f aca="false">INDEX(samples!$B:$B, MATCH(B317, samples!$A:$A, 0), 1)</f>
        <v>par0224</v>
      </c>
      <c r="P317" s="44" t="e">
        <f aca="false">INDEX(participants!$I:$I, MATCH(O317, participants!$A:$A, 0), 1)</f>
        <v>#N/A</v>
      </c>
      <c r="Q317" s="44" t="n">
        <f aca="false">INDEX(samples!$F:$F, MATCH(B317, samples!$A:$A, 0), 1)</f>
        <v>0</v>
      </c>
      <c r="R317" s="49" t="str">
        <f aca="false">INDEX(samples!$C:$C, MATCH(B317, samples!$A:$A, 0), 1)</f>
        <v>2022-03-01</v>
      </c>
      <c r="S317" s="50" t="str">
        <f aca="false">INDEX(samples!$D:$D,MATCH(B317, samples!$A:$A,0),1)</f>
        <v>blood</v>
      </c>
      <c r="T317" s="51" t="s">
        <v>427</v>
      </c>
      <c r="V317" s="33" t="s">
        <v>427</v>
      </c>
      <c r="X317" s="8"/>
      <c r="Y317" s="8" t="s">
        <v>1002</v>
      </c>
      <c r="Z317" s="8" t="n">
        <v>0</v>
      </c>
      <c r="AA317" s="8" t="n">
        <v>0</v>
      </c>
      <c r="AB317" s="8" t="n">
        <v>0</v>
      </c>
    </row>
    <row r="318" customFormat="false" ht="13.8" hidden="false" customHeight="false" outlineLevel="0" collapsed="false">
      <c r="A318" s="48" t="s">
        <v>3474</v>
      </c>
      <c r="B318" s="41" t="s">
        <v>2304</v>
      </c>
      <c r="C318" s="0" t="s">
        <v>3147</v>
      </c>
      <c r="D318" s="0" t="s">
        <v>3398</v>
      </c>
      <c r="H318" s="0" t="s">
        <v>3272</v>
      </c>
      <c r="I318" s="0" t="s">
        <v>1002</v>
      </c>
      <c r="J318" s="0" t="s">
        <v>427</v>
      </c>
      <c r="K318" s="0" t="n">
        <v>8</v>
      </c>
      <c r="M318" s="44" t="str">
        <f aca="false">INDEX(fastqs!$A:$A, MATCH(A318, fastqs!$B:$B, 0), 1)</f>
        <v>WUSTL.680_R1.fastq.gz</v>
      </c>
      <c r="N318" s="44" t="n">
        <f aca="false">INDEX(fastqs!$C:$C, MATCH(A318, fastqs!$B:$B, 0), 1)</f>
        <v>0</v>
      </c>
      <c r="O318" s="44" t="str">
        <f aca="false">INDEX(samples!$B:$B, MATCH(B318, samples!$A:$A, 0), 1)</f>
        <v>par0225</v>
      </c>
      <c r="P318" s="44" t="e">
        <f aca="false">INDEX(participants!$I:$I, MATCH(O318, participants!$A:$A, 0), 1)</f>
        <v>#N/A</v>
      </c>
      <c r="Q318" s="44" t="n">
        <f aca="false">INDEX(samples!$F:$F, MATCH(B318, samples!$A:$A, 0), 1)</f>
        <v>0</v>
      </c>
      <c r="R318" s="49" t="str">
        <f aca="false">INDEX(samples!$C:$C, MATCH(B318, samples!$A:$A, 0), 1)</f>
        <v>2022-04-05</v>
      </c>
      <c r="S318" s="50" t="str">
        <f aca="false">INDEX(samples!$D:$D,MATCH(B318, samples!$A:$A,0),1)</f>
        <v>blood</v>
      </c>
      <c r="T318" s="51" t="s">
        <v>427</v>
      </c>
      <c r="V318" s="33" t="s">
        <v>427</v>
      </c>
      <c r="X318" s="8"/>
      <c r="Y318" s="8" t="s">
        <v>1002</v>
      </c>
      <c r="Z318" s="8" t="n">
        <v>0</v>
      </c>
      <c r="AA318" s="8" t="n">
        <v>0</v>
      </c>
      <c r="AB318" s="8" t="n">
        <v>0</v>
      </c>
    </row>
    <row r="319" customFormat="false" ht="13.8" hidden="false" customHeight="false" outlineLevel="0" collapsed="false">
      <c r="A319" s="48" t="s">
        <v>3475</v>
      </c>
      <c r="B319" s="41" t="s">
        <v>2307</v>
      </c>
      <c r="C319" s="0" t="s">
        <v>3147</v>
      </c>
      <c r="D319" s="0" t="s">
        <v>3398</v>
      </c>
      <c r="H319" s="0" t="s">
        <v>3272</v>
      </c>
      <c r="I319" s="0" t="s">
        <v>1002</v>
      </c>
      <c r="J319" s="0" t="s">
        <v>427</v>
      </c>
      <c r="K319" s="0" t="n">
        <v>8</v>
      </c>
      <c r="M319" s="44" t="str">
        <f aca="false">INDEX(fastqs!$A:$A, MATCH(A319, fastqs!$B:$B, 0), 1)</f>
        <v>WUSTL.685_R1.fastq.gz</v>
      </c>
      <c r="N319" s="44" t="n">
        <f aca="false">INDEX(fastqs!$C:$C, MATCH(A319, fastqs!$B:$B, 0), 1)</f>
        <v>0</v>
      </c>
      <c r="O319" s="44" t="str">
        <f aca="false">INDEX(samples!$B:$B, MATCH(B319, samples!$A:$A, 0), 1)</f>
        <v>par0226</v>
      </c>
      <c r="P319" s="44" t="e">
        <f aca="false">INDEX(participants!$I:$I, MATCH(O319, participants!$A:$A, 0), 1)</f>
        <v>#N/A</v>
      </c>
      <c r="Q319" s="44" t="n">
        <f aca="false">INDEX(samples!$F:$F, MATCH(B319, samples!$A:$A, 0), 1)</f>
        <v>0</v>
      </c>
      <c r="R319" s="49" t="str">
        <f aca="false">INDEX(samples!$C:$C, MATCH(B319, samples!$A:$A, 0), 1)</f>
        <v>2022-04-19</v>
      </c>
      <c r="S319" s="50" t="str">
        <f aca="false">INDEX(samples!$D:$D,MATCH(B319, samples!$A:$A,0),1)</f>
        <v>blood</v>
      </c>
      <c r="T319" s="51" t="s">
        <v>427</v>
      </c>
      <c r="V319" s="33" t="s">
        <v>427</v>
      </c>
      <c r="X319" s="8"/>
      <c r="Y319" s="8" t="s">
        <v>1002</v>
      </c>
      <c r="Z319" s="8" t="n">
        <v>0</v>
      </c>
      <c r="AA319" s="8" t="n">
        <v>0</v>
      </c>
      <c r="AB319" s="8" t="n">
        <v>0</v>
      </c>
    </row>
    <row r="320" customFormat="false" ht="13.8" hidden="false" customHeight="false" outlineLevel="0" collapsed="false">
      <c r="A320" s="48" t="s">
        <v>3476</v>
      </c>
      <c r="B320" s="41" t="s">
        <v>2310</v>
      </c>
      <c r="C320" s="0" t="s">
        <v>3147</v>
      </c>
      <c r="D320" s="0" t="s">
        <v>3398</v>
      </c>
      <c r="H320" s="0" t="s">
        <v>3272</v>
      </c>
      <c r="I320" s="0" t="s">
        <v>1002</v>
      </c>
      <c r="J320" s="0" t="s">
        <v>427</v>
      </c>
      <c r="K320" s="0" t="n">
        <v>8</v>
      </c>
      <c r="M320" s="44" t="str">
        <f aca="false">INDEX(fastqs!$A:$A, MATCH(A320, fastqs!$B:$B, 0), 1)</f>
        <v>WUSTL.687_R1.fastq.gz</v>
      </c>
      <c r="N320" s="44" t="n">
        <f aca="false">INDEX(fastqs!$C:$C, MATCH(A320, fastqs!$B:$B, 0), 1)</f>
        <v>0</v>
      </c>
      <c r="O320" s="44" t="str">
        <f aca="false">INDEX(samples!$B:$B, MATCH(B320, samples!$A:$A, 0), 1)</f>
        <v>par0227</v>
      </c>
      <c r="P320" s="44" t="e">
        <f aca="false">INDEX(participants!$I:$I, MATCH(O320, participants!$A:$A, 0), 1)</f>
        <v>#N/A</v>
      </c>
      <c r="Q320" s="44" t="n">
        <f aca="false">INDEX(samples!$F:$F, MATCH(B320, samples!$A:$A, 0), 1)</f>
        <v>0</v>
      </c>
      <c r="R320" s="49" t="str">
        <f aca="false">INDEX(samples!$C:$C, MATCH(B320, samples!$A:$A, 0), 1)</f>
        <v>2022-10-03</v>
      </c>
      <c r="S320" s="50" t="str">
        <f aca="false">INDEX(samples!$D:$D,MATCH(B320, samples!$A:$A,0),1)</f>
        <v>blood</v>
      </c>
      <c r="T320" s="51" t="s">
        <v>427</v>
      </c>
      <c r="V320" s="33" t="s">
        <v>427</v>
      </c>
      <c r="X320" s="8"/>
      <c r="Y320" s="8" t="s">
        <v>1002</v>
      </c>
      <c r="Z320" s="8" t="n">
        <v>0</v>
      </c>
      <c r="AA320" s="8" t="n">
        <v>0</v>
      </c>
      <c r="AB320" s="8" t="n">
        <v>0</v>
      </c>
    </row>
    <row r="321" customFormat="false" ht="13.8" hidden="false" customHeight="false" outlineLevel="0" collapsed="false">
      <c r="A321" s="48" t="s">
        <v>3477</v>
      </c>
      <c r="B321" s="41" t="s">
        <v>2314</v>
      </c>
      <c r="C321" s="0" t="s">
        <v>3147</v>
      </c>
      <c r="D321" s="0" t="s">
        <v>3398</v>
      </c>
      <c r="H321" s="0" t="s">
        <v>3272</v>
      </c>
      <c r="I321" s="0" t="s">
        <v>1002</v>
      </c>
      <c r="J321" s="0" t="s">
        <v>427</v>
      </c>
      <c r="K321" s="0" t="n">
        <v>8</v>
      </c>
      <c r="M321" s="44" t="str">
        <f aca="false">INDEX(fastqs!$A:$A, MATCH(A321, fastqs!$B:$B, 0), 1)</f>
        <v>WUSTL.689_R1.fastq.gz</v>
      </c>
      <c r="N321" s="44" t="n">
        <f aca="false">INDEX(fastqs!$C:$C, MATCH(A321, fastqs!$B:$B, 0), 1)</f>
        <v>0</v>
      </c>
      <c r="O321" s="44" t="str">
        <f aca="false">INDEX(samples!$B:$B, MATCH(B321, samples!$A:$A, 0), 1)</f>
        <v>par0228</v>
      </c>
      <c r="P321" s="44" t="e">
        <f aca="false">INDEX(participants!$I:$I, MATCH(O321, participants!$A:$A, 0), 1)</f>
        <v>#N/A</v>
      </c>
      <c r="Q321" s="44" t="n">
        <f aca="false">INDEX(samples!$F:$F, MATCH(B321, samples!$A:$A, 0), 1)</f>
        <v>0</v>
      </c>
      <c r="R321" s="49" t="str">
        <f aca="false">INDEX(samples!$C:$C, MATCH(B321, samples!$A:$A, 0), 1)</f>
        <v>2022-05-03</v>
      </c>
      <c r="S321" s="50" t="str">
        <f aca="false">INDEX(samples!$D:$D,MATCH(B321, samples!$A:$A,0),1)</f>
        <v>blood</v>
      </c>
      <c r="T321" s="51" t="s">
        <v>427</v>
      </c>
      <c r="V321" s="33" t="s">
        <v>427</v>
      </c>
      <c r="X321" s="8"/>
      <c r="Y321" s="8" t="s">
        <v>1002</v>
      </c>
      <c r="Z321" s="8" t="n">
        <v>0</v>
      </c>
      <c r="AA321" s="8" t="n">
        <v>0</v>
      </c>
      <c r="AB321" s="8" t="n">
        <v>0</v>
      </c>
    </row>
    <row r="322" customFormat="false" ht="13.8" hidden="false" customHeight="false" outlineLevel="0" collapsed="false">
      <c r="A322" s="48" t="s">
        <v>3478</v>
      </c>
      <c r="B322" s="41" t="s">
        <v>2316</v>
      </c>
      <c r="C322" s="0" t="s">
        <v>3147</v>
      </c>
      <c r="D322" s="0" t="s">
        <v>3398</v>
      </c>
      <c r="H322" s="0" t="s">
        <v>3272</v>
      </c>
      <c r="I322" s="0" t="s">
        <v>1002</v>
      </c>
      <c r="J322" s="0" t="s">
        <v>427</v>
      </c>
      <c r="K322" s="0" t="n">
        <v>8</v>
      </c>
      <c r="M322" s="44" t="str">
        <f aca="false">INDEX(fastqs!$A:$A, MATCH(A322, fastqs!$B:$B, 0), 1)</f>
        <v>WUSTL.692_R1.fastq.gz</v>
      </c>
      <c r="N322" s="44" t="n">
        <f aca="false">INDEX(fastqs!$C:$C, MATCH(A322, fastqs!$B:$B, 0), 1)</f>
        <v>0</v>
      </c>
      <c r="O322" s="44" t="str">
        <f aca="false">INDEX(samples!$B:$B, MATCH(B322, samples!$A:$A, 0), 1)</f>
        <v>par0229</v>
      </c>
      <c r="P322" s="44" t="e">
        <f aca="false">INDEX(participants!$I:$I, MATCH(O322, participants!$A:$A, 0), 1)</f>
        <v>#N/A</v>
      </c>
      <c r="Q322" s="44" t="n">
        <f aca="false">INDEX(samples!$F:$F, MATCH(B322, samples!$A:$A, 0), 1)</f>
        <v>0</v>
      </c>
      <c r="R322" s="49" t="str">
        <f aca="false">INDEX(samples!$C:$C, MATCH(B322, samples!$A:$A, 0), 1)</f>
        <v>2022-05-17</v>
      </c>
      <c r="S322" s="50" t="str">
        <f aca="false">INDEX(samples!$D:$D,MATCH(B322, samples!$A:$A,0),1)</f>
        <v>blood</v>
      </c>
      <c r="T322" s="51" t="s">
        <v>427</v>
      </c>
      <c r="V322" s="33" t="s">
        <v>427</v>
      </c>
      <c r="X322" s="8"/>
      <c r="Y322" s="8" t="s">
        <v>1002</v>
      </c>
      <c r="Z322" s="8" t="n">
        <v>0</v>
      </c>
      <c r="AA322" s="8" t="n">
        <v>0</v>
      </c>
      <c r="AB322" s="8" t="n">
        <v>0</v>
      </c>
    </row>
    <row r="323" customFormat="false" ht="13.8" hidden="false" customHeight="false" outlineLevel="0" collapsed="false">
      <c r="A323" s="48" t="s">
        <v>3479</v>
      </c>
      <c r="B323" s="41" t="s">
        <v>2319</v>
      </c>
      <c r="C323" s="0" t="s">
        <v>3147</v>
      </c>
      <c r="D323" s="0" t="s">
        <v>3398</v>
      </c>
      <c r="H323" s="0" t="s">
        <v>3272</v>
      </c>
      <c r="I323" s="0" t="s">
        <v>1002</v>
      </c>
      <c r="J323" s="0" t="s">
        <v>427</v>
      </c>
      <c r="K323" s="0" t="n">
        <v>8</v>
      </c>
      <c r="M323" s="44" t="str">
        <f aca="false">INDEX(fastqs!$A:$A, MATCH(A323, fastqs!$B:$B, 0), 1)</f>
        <v>WUSTL.695_R1.fastq.gz</v>
      </c>
      <c r="N323" s="44" t="n">
        <f aca="false">INDEX(fastqs!$C:$C, MATCH(A323, fastqs!$B:$B, 0), 1)</f>
        <v>0</v>
      </c>
      <c r="O323" s="44" t="str">
        <f aca="false">INDEX(samples!$B:$B, MATCH(B323, samples!$A:$A, 0), 1)</f>
        <v>par0230</v>
      </c>
      <c r="P323" s="44" t="e">
        <f aca="false">INDEX(participants!$I:$I, MATCH(O323, participants!$A:$A, 0), 1)</f>
        <v>#N/A</v>
      </c>
      <c r="Q323" s="44" t="n">
        <f aca="false">INDEX(samples!$F:$F, MATCH(B323, samples!$A:$A, 0), 1)</f>
        <v>0</v>
      </c>
      <c r="R323" s="49" t="str">
        <f aca="false">INDEX(samples!$C:$C, MATCH(B323, samples!$A:$A, 0), 1)</f>
        <v>2022-06-28</v>
      </c>
      <c r="S323" s="50" t="str">
        <f aca="false">INDEX(samples!$D:$D,MATCH(B323, samples!$A:$A,0),1)</f>
        <v>blood</v>
      </c>
      <c r="T323" s="51" t="s">
        <v>427</v>
      </c>
      <c r="V323" s="33" t="s">
        <v>427</v>
      </c>
      <c r="X323" s="8"/>
      <c r="Y323" s="8" t="s">
        <v>1002</v>
      </c>
      <c r="Z323" s="8" t="n">
        <v>0</v>
      </c>
      <c r="AA323" s="8" t="n">
        <v>0</v>
      </c>
      <c r="AB323" s="8" t="n">
        <v>0</v>
      </c>
    </row>
    <row r="324" customFormat="false" ht="13.8" hidden="false" customHeight="false" outlineLevel="0" collapsed="false">
      <c r="A324" s="48" t="s">
        <v>3480</v>
      </c>
      <c r="B324" s="41" t="s">
        <v>2323</v>
      </c>
      <c r="C324" s="0" t="s">
        <v>3147</v>
      </c>
      <c r="D324" s="0" t="s">
        <v>3398</v>
      </c>
      <c r="H324" s="0" t="s">
        <v>3272</v>
      </c>
      <c r="I324" s="0" t="s">
        <v>1002</v>
      </c>
      <c r="J324" s="0" t="s">
        <v>427</v>
      </c>
      <c r="K324" s="0" t="n">
        <v>8</v>
      </c>
      <c r="M324" s="44" t="str">
        <f aca="false">INDEX(fastqs!$A:$A, MATCH(A324, fastqs!$B:$B, 0), 1)</f>
        <v>WUSTL.669_R1.fastq.gz</v>
      </c>
      <c r="N324" s="44" t="n">
        <f aca="false">INDEX(fastqs!$C:$C, MATCH(A324, fastqs!$B:$B, 0), 1)</f>
        <v>0</v>
      </c>
      <c r="O324" s="44" t="str">
        <f aca="false">INDEX(samples!$B:$B, MATCH(B324, samples!$A:$A, 0), 1)</f>
        <v>par0231</v>
      </c>
      <c r="P324" s="44" t="e">
        <f aca="false">INDEX(participants!$I:$I, MATCH(O324, participants!$A:$A, 0), 1)</f>
        <v>#N/A</v>
      </c>
      <c r="Q324" s="44" t="n">
        <f aca="false">INDEX(samples!$F:$F, MATCH(B324, samples!$A:$A, 0), 1)</f>
        <v>0</v>
      </c>
      <c r="R324" s="49" t="str">
        <f aca="false">INDEX(samples!$C:$C, MATCH(B324, samples!$A:$A, 0), 1)</f>
        <v>2021-11-30</v>
      </c>
      <c r="S324" s="50" t="str">
        <f aca="false">INDEX(samples!$D:$D,MATCH(B324, samples!$A:$A,0),1)</f>
        <v>blood</v>
      </c>
      <c r="T324" s="51" t="s">
        <v>427</v>
      </c>
      <c r="V324" s="33" t="s">
        <v>427</v>
      </c>
      <c r="X324" s="8"/>
      <c r="Y324" s="8" t="s">
        <v>1002</v>
      </c>
      <c r="Z324" s="8" t="n">
        <v>0</v>
      </c>
      <c r="AA324" s="8" t="n">
        <v>0</v>
      </c>
      <c r="AB324" s="8" t="n">
        <v>0</v>
      </c>
    </row>
    <row r="325" customFormat="false" ht="13.8" hidden="false" customHeight="false" outlineLevel="0" collapsed="false">
      <c r="A325" s="48" t="s">
        <v>3481</v>
      </c>
      <c r="B325" s="41" t="e">
        <f aca="false">#N/A</f>
        <v>#N/A</v>
      </c>
      <c r="C325" s="0" t="s">
        <v>427</v>
      </c>
      <c r="D325" s="0" t="s">
        <v>427</v>
      </c>
      <c r="H325" s="0" t="s">
        <v>427</v>
      </c>
      <c r="I325" s="0" t="s">
        <v>427</v>
      </c>
      <c r="J325" s="0" t="s">
        <v>36</v>
      </c>
      <c r="K325" s="0" t="s">
        <v>427</v>
      </c>
      <c r="M325" s="44" t="str">
        <f aca="false">INDEX(fastqs!$A:$A, MATCH(A325, fastqs!$B:$B, 0), 1)</f>
        <v>CLIB02795_merged_R1.fastq.gz</v>
      </c>
      <c r="N325" s="44" t="str">
        <f aca="false">INDEX(fastqs!$C:$C, MATCH(A325, fastqs!$B:$B, 0), 1)</f>
        <v>run0004</v>
      </c>
      <c r="O325" s="44" t="e">
        <f aca="false">INDEX(samples!$B:$B, MATCH(B325, samples!$A:$A, 0), 1)</f>
        <v>#N/A</v>
      </c>
      <c r="P325" s="44" t="e">
        <f aca="false">INDEX(participants!$I:$I, MATCH(O325, participants!$A:$A, 0), 1)</f>
        <v>#N/A</v>
      </c>
      <c r="Q325" s="44" t="e">
        <f aca="false">INDEX(samples!$F:$F, MATCH(B325, samples!$A:$A, 0), 1)</f>
        <v>#N/A</v>
      </c>
      <c r="R325" s="49" t="e">
        <f aca="false">INDEX(samples!$C:$C, MATCH(B325, samples!$A:$A, 0), 1)</f>
        <v>#N/A</v>
      </c>
      <c r="S325" s="50" t="e">
        <f aca="false">INDEX(samples!$D:$D,MATCH(B325, samples!$A:$A,0),1)</f>
        <v>#N/A</v>
      </c>
      <c r="T325" s="51" t="s">
        <v>427</v>
      </c>
      <c r="V325" s="33" t="s">
        <v>427</v>
      </c>
      <c r="X325" s="8"/>
      <c r="Y325" s="8" t="s">
        <v>1002</v>
      </c>
      <c r="Z325" s="8" t="n">
        <v>0</v>
      </c>
      <c r="AA325" s="8" t="n">
        <v>0</v>
      </c>
      <c r="AB325" s="8" t="n">
        <v>0</v>
      </c>
    </row>
    <row r="326" customFormat="false" ht="13.8" hidden="false" customHeight="false" outlineLevel="0" collapsed="false">
      <c r="A326" s="48" t="s">
        <v>3482</v>
      </c>
      <c r="B326" s="41" t="s">
        <v>1867</v>
      </c>
      <c r="C326" s="0" t="s">
        <v>3147</v>
      </c>
      <c r="D326" s="0" t="s">
        <v>427</v>
      </c>
      <c r="H326" s="0" t="s">
        <v>427</v>
      </c>
      <c r="I326" s="0" t="s">
        <v>427</v>
      </c>
      <c r="J326" s="0" t="s">
        <v>36</v>
      </c>
      <c r="K326" s="0" t="s">
        <v>427</v>
      </c>
      <c r="M326" s="44" t="str">
        <f aca="false">INDEX(fastqs!$A:$A, MATCH(A326, fastqs!$B:$B, 0), 1)</f>
        <v>CLIB02768_merged_R1.fastq.gz</v>
      </c>
      <c r="N326" s="44" t="str">
        <f aca="false">INDEX(fastqs!$C:$C, MATCH(A326, fastqs!$B:$B, 0), 1)</f>
        <v>run0004</v>
      </c>
      <c r="O326" s="44" t="str">
        <f aca="false">INDEX(samples!$B:$B, MATCH(B326, samples!$A:$A, 0), 1)</f>
        <v>par0079</v>
      </c>
      <c r="P326" s="44" t="str">
        <f aca="false">INDEX(participants!$I:$I, MATCH(O326, participants!$A:$A, 0), 1)</f>
        <v>nf487</v>
      </c>
      <c r="Q326" s="44" t="n">
        <f aca="false">INDEX(samples!$F:$F, MATCH(B326, samples!$A:$A, 0), 1)</f>
        <v>0</v>
      </c>
      <c r="R326" s="49" t="str">
        <f aca="false">INDEX(samples!$C:$C, MATCH(B326, samples!$A:$A, 0), 1)</f>
        <v>2019-05-08</v>
      </c>
      <c r="S326" s="50" t="str">
        <f aca="false">INDEX(samples!$D:$D,MATCH(B326, samples!$A:$A,0),1)</f>
        <v>blood</v>
      </c>
      <c r="T326" s="51" t="s">
        <v>427</v>
      </c>
      <c r="V326" s="33" t="s">
        <v>427</v>
      </c>
      <c r="X326" s="8"/>
      <c r="Y326" s="8" t="s">
        <v>1002</v>
      </c>
      <c r="Z326" s="8" t="n">
        <v>0</v>
      </c>
      <c r="AA326" s="8" t="n">
        <v>0</v>
      </c>
      <c r="AB326" s="8" t="n">
        <v>0</v>
      </c>
    </row>
    <row r="327" customFormat="false" ht="13.8" hidden="false" customHeight="false" outlineLevel="0" collapsed="false">
      <c r="A327" s="48" t="s">
        <v>3483</v>
      </c>
      <c r="B327" s="41" t="s">
        <v>1865</v>
      </c>
      <c r="C327" s="0" t="s">
        <v>3147</v>
      </c>
      <c r="D327" s="0" t="s">
        <v>427</v>
      </c>
      <c r="H327" s="0" t="s">
        <v>427</v>
      </c>
      <c r="I327" s="0" t="s">
        <v>427</v>
      </c>
      <c r="J327" s="0" t="s">
        <v>36</v>
      </c>
      <c r="K327" s="0" t="s">
        <v>427</v>
      </c>
      <c r="M327" s="44" t="str">
        <f aca="false">INDEX(fastqs!$A:$A, MATCH(A327, fastqs!$B:$B, 0), 1)</f>
        <v>CLIB02769_merged_R1.fastq.gz</v>
      </c>
      <c r="N327" s="44" t="str">
        <f aca="false">INDEX(fastqs!$C:$C, MATCH(A327, fastqs!$B:$B, 0), 1)</f>
        <v>run0004</v>
      </c>
      <c r="O327" s="44" t="str">
        <f aca="false">INDEX(samples!$B:$B, MATCH(B327, samples!$A:$A, 0), 1)</f>
        <v>par0079</v>
      </c>
      <c r="P327" s="44" t="str">
        <f aca="false">INDEX(participants!$I:$I, MATCH(O327, participants!$A:$A, 0), 1)</f>
        <v>nf487</v>
      </c>
      <c r="Q327" s="44" t="n">
        <f aca="false">INDEX(samples!$F:$F, MATCH(B327, samples!$A:$A, 0), 1)</f>
        <v>0</v>
      </c>
      <c r="R327" s="49" t="str">
        <f aca="false">INDEX(samples!$C:$C, MATCH(B327, samples!$A:$A, 0), 1)</f>
        <v>2019-05-14</v>
      </c>
      <c r="S327" s="50" t="str">
        <f aca="false">INDEX(samples!$D:$D,MATCH(B327, samples!$A:$A,0),1)</f>
        <v>blood</v>
      </c>
      <c r="T327" s="51" t="s">
        <v>427</v>
      </c>
      <c r="V327" s="33" t="s">
        <v>427</v>
      </c>
      <c r="X327" s="8"/>
      <c r="Y327" s="8" t="s">
        <v>1002</v>
      </c>
      <c r="Z327" s="8" t="n">
        <v>0</v>
      </c>
      <c r="AA327" s="8" t="n">
        <v>0</v>
      </c>
      <c r="AB327" s="8" t="n">
        <v>0</v>
      </c>
    </row>
    <row r="328" customFormat="false" ht="13.8" hidden="false" customHeight="false" outlineLevel="0" collapsed="false">
      <c r="A328" s="48" t="s">
        <v>3484</v>
      </c>
      <c r="B328" s="41" t="s">
        <v>2114</v>
      </c>
      <c r="C328" s="0" t="s">
        <v>3147</v>
      </c>
      <c r="D328" s="0" t="s">
        <v>427</v>
      </c>
      <c r="H328" s="0" t="s">
        <v>427</v>
      </c>
      <c r="I328" s="0" t="s">
        <v>427</v>
      </c>
      <c r="J328" s="0" t="s">
        <v>36</v>
      </c>
      <c r="K328" s="0" t="s">
        <v>427</v>
      </c>
      <c r="M328" s="44" t="str">
        <f aca="false">INDEX(fastqs!$A:$A, MATCH(A328, fastqs!$B:$B, 0), 1)</f>
        <v>CLIB02770_merged_R1.fastq.gz</v>
      </c>
      <c r="N328" s="44" t="str">
        <f aca="false">INDEX(fastqs!$C:$C, MATCH(A328, fastqs!$B:$B, 0), 1)</f>
        <v>run0004</v>
      </c>
      <c r="O328" s="44" t="str">
        <f aca="false">INDEX(samples!$B:$B, MATCH(B328, samples!$A:$A, 0), 1)</f>
        <v>par0079</v>
      </c>
      <c r="P328" s="44" t="str">
        <f aca="false">INDEX(participants!$I:$I, MATCH(O328, participants!$A:$A, 0), 1)</f>
        <v>nf487</v>
      </c>
      <c r="Q328" s="44" t="n">
        <f aca="false">INDEX(samples!$F:$F, MATCH(B328, samples!$A:$A, 0), 1)</f>
        <v>0</v>
      </c>
      <c r="R328" s="49" t="str">
        <f aca="false">INDEX(samples!$C:$C, MATCH(B328, samples!$A:$A, 0), 1)</f>
        <v>2019-06-25</v>
      </c>
      <c r="S328" s="50" t="str">
        <f aca="false">INDEX(samples!$D:$D,MATCH(B328, samples!$A:$A,0),1)</f>
        <v>blood</v>
      </c>
      <c r="T328" s="51" t="s">
        <v>427</v>
      </c>
      <c r="V328" s="33" t="s">
        <v>427</v>
      </c>
      <c r="X328" s="8"/>
      <c r="Y328" s="8" t="s">
        <v>1002</v>
      </c>
      <c r="Z328" s="8" t="n">
        <v>0</v>
      </c>
      <c r="AA328" s="8" t="n">
        <v>0</v>
      </c>
      <c r="AB328" s="8" t="n">
        <v>0</v>
      </c>
    </row>
    <row r="329" customFormat="false" ht="13.8" hidden="false" customHeight="false" outlineLevel="0" collapsed="false">
      <c r="A329" s="48" t="s">
        <v>3485</v>
      </c>
      <c r="B329" s="41" t="s">
        <v>1869</v>
      </c>
      <c r="C329" s="0" t="s">
        <v>3147</v>
      </c>
      <c r="D329" s="0" t="s">
        <v>427</v>
      </c>
      <c r="H329" s="0" t="s">
        <v>427</v>
      </c>
      <c r="I329" s="0" t="s">
        <v>427</v>
      </c>
      <c r="J329" s="0" t="s">
        <v>36</v>
      </c>
      <c r="K329" s="0" t="s">
        <v>427</v>
      </c>
      <c r="M329" s="44" t="str">
        <f aca="false">INDEX(fastqs!$A:$A, MATCH(A329, fastqs!$B:$B, 0), 1)</f>
        <v>CLIB02855_merged_R1.fastq.gz</v>
      </c>
      <c r="N329" s="44" t="str">
        <f aca="false">INDEX(fastqs!$C:$C, MATCH(A329, fastqs!$B:$B, 0), 1)</f>
        <v>run0004</v>
      </c>
      <c r="O329" s="44" t="str">
        <f aca="false">INDEX(samples!$B:$B, MATCH(B329, samples!$A:$A, 0), 1)</f>
        <v>par0079</v>
      </c>
      <c r="P329" s="44" t="str">
        <f aca="false">INDEX(participants!$I:$I, MATCH(O329, participants!$A:$A, 0), 1)</f>
        <v>nf487</v>
      </c>
      <c r="Q329" s="44" t="n">
        <f aca="false">INDEX(samples!$F:$F, MATCH(B329, samples!$A:$A, 0), 1)</f>
        <v>0</v>
      </c>
      <c r="R329" s="49" t="str">
        <f aca="false">INDEX(samples!$C:$C, MATCH(B329, samples!$A:$A, 0), 1)</f>
        <v>2019-10-22</v>
      </c>
      <c r="S329" s="50" t="str">
        <f aca="false">INDEX(samples!$D:$D,MATCH(B329, samples!$A:$A,0),1)</f>
        <v>blood</v>
      </c>
      <c r="T329" s="51" t="s">
        <v>427</v>
      </c>
      <c r="V329" s="33" t="s">
        <v>427</v>
      </c>
      <c r="X329" s="8"/>
      <c r="Y329" s="8" t="s">
        <v>1002</v>
      </c>
      <c r="Z329" s="8" t="n">
        <v>0</v>
      </c>
      <c r="AA329" s="8" t="n">
        <v>0</v>
      </c>
      <c r="AB329" s="8" t="n">
        <v>0</v>
      </c>
    </row>
    <row r="330" customFormat="false" ht="13.8" hidden="false" customHeight="false" outlineLevel="0" collapsed="false">
      <c r="A330" s="48" t="s">
        <v>3486</v>
      </c>
      <c r="B330" s="41" t="s">
        <v>1889</v>
      </c>
      <c r="C330" s="0" t="s">
        <v>3147</v>
      </c>
      <c r="D330" s="0" t="s">
        <v>427</v>
      </c>
      <c r="H330" s="0" t="s">
        <v>427</v>
      </c>
      <c r="I330" s="0" t="s">
        <v>427</v>
      </c>
      <c r="J330" s="0" t="s">
        <v>36</v>
      </c>
      <c r="K330" s="0" t="s">
        <v>427</v>
      </c>
      <c r="M330" s="44" t="str">
        <f aca="false">INDEX(fastqs!$A:$A, MATCH(A330, fastqs!$B:$B, 0), 1)</f>
        <v>CLIB02771_merged_R1.fastq.gz</v>
      </c>
      <c r="N330" s="44" t="str">
        <f aca="false">INDEX(fastqs!$C:$C, MATCH(A330, fastqs!$B:$B, 0), 1)</f>
        <v>run0004</v>
      </c>
      <c r="O330" s="44" t="str">
        <f aca="false">INDEX(samples!$B:$B, MATCH(B330, samples!$A:$A, 0), 1)</f>
        <v>par0080</v>
      </c>
      <c r="P330" s="44" t="str">
        <f aca="false">INDEX(participants!$I:$I, MATCH(O330, participants!$A:$A, 0), 1)</f>
        <v>nf561</v>
      </c>
      <c r="Q330" s="44" t="n">
        <f aca="false">INDEX(samples!$F:$F, MATCH(B330, samples!$A:$A, 0), 1)</f>
        <v>0</v>
      </c>
      <c r="R330" s="49" t="str">
        <f aca="false">INDEX(samples!$C:$C, MATCH(B330, samples!$A:$A, 0), 1)</f>
        <v>2019-05-29</v>
      </c>
      <c r="S330" s="50" t="str">
        <f aca="false">INDEX(samples!$D:$D,MATCH(B330, samples!$A:$A,0),1)</f>
        <v>blood</v>
      </c>
      <c r="T330" s="51" t="s">
        <v>427</v>
      </c>
      <c r="V330" s="33" t="s">
        <v>427</v>
      </c>
      <c r="X330" s="8"/>
      <c r="Y330" s="8" t="s">
        <v>1002</v>
      </c>
      <c r="Z330" s="8" t="n">
        <v>0</v>
      </c>
      <c r="AA330" s="8" t="n">
        <v>0</v>
      </c>
      <c r="AB330" s="8" t="n">
        <v>0</v>
      </c>
    </row>
    <row r="331" customFormat="false" ht="13.8" hidden="false" customHeight="false" outlineLevel="0" collapsed="false">
      <c r="A331" s="48" t="s">
        <v>3487</v>
      </c>
      <c r="B331" s="41" t="s">
        <v>1891</v>
      </c>
      <c r="C331" s="0" t="s">
        <v>3147</v>
      </c>
      <c r="D331" s="0" t="s">
        <v>427</v>
      </c>
      <c r="H331" s="0" t="s">
        <v>427</v>
      </c>
      <c r="I331" s="0" t="s">
        <v>427</v>
      </c>
      <c r="J331" s="0" t="s">
        <v>36</v>
      </c>
      <c r="K331" s="0" t="s">
        <v>427</v>
      </c>
      <c r="M331" s="44" t="str">
        <f aca="false">INDEX(fastqs!$A:$A, MATCH(A331, fastqs!$B:$B, 0), 1)</f>
        <v>CLIB02772_merged_R1.fastq.gz</v>
      </c>
      <c r="N331" s="44" t="str">
        <f aca="false">INDEX(fastqs!$C:$C, MATCH(A331, fastqs!$B:$B, 0), 1)</f>
        <v>run0004</v>
      </c>
      <c r="O331" s="44" t="str">
        <f aca="false">INDEX(samples!$B:$B, MATCH(B331, samples!$A:$A, 0), 1)</f>
        <v>par0080</v>
      </c>
      <c r="P331" s="44" t="str">
        <f aca="false">INDEX(participants!$I:$I, MATCH(O331, participants!$A:$A, 0), 1)</f>
        <v>nf561</v>
      </c>
      <c r="Q331" s="44" t="n">
        <f aca="false">INDEX(samples!$F:$F, MATCH(B331, samples!$A:$A, 0), 1)</f>
        <v>0</v>
      </c>
      <c r="R331" s="49" t="str">
        <f aca="false">INDEX(samples!$C:$C, MATCH(B331, samples!$A:$A, 0), 1)</f>
        <v>2019-07-25</v>
      </c>
      <c r="S331" s="50" t="str">
        <f aca="false">INDEX(samples!$D:$D,MATCH(B331, samples!$A:$A,0),1)</f>
        <v>blood</v>
      </c>
      <c r="T331" s="51" t="s">
        <v>427</v>
      </c>
      <c r="V331" s="33" t="s">
        <v>427</v>
      </c>
      <c r="X331" s="8"/>
      <c r="Y331" s="8" t="s">
        <v>1002</v>
      </c>
      <c r="Z331" s="8" t="n">
        <v>0</v>
      </c>
      <c r="AA331" s="8" t="n">
        <v>0</v>
      </c>
      <c r="AB331" s="8" t="n">
        <v>0</v>
      </c>
    </row>
    <row r="332" customFormat="false" ht="13.8" hidden="false" customHeight="false" outlineLevel="0" collapsed="false">
      <c r="A332" s="48" t="s">
        <v>3488</v>
      </c>
      <c r="B332" s="41" t="s">
        <v>1892</v>
      </c>
      <c r="C332" s="0" t="s">
        <v>3147</v>
      </c>
      <c r="D332" s="0" t="s">
        <v>427</v>
      </c>
      <c r="H332" s="0" t="s">
        <v>427</v>
      </c>
      <c r="I332" s="0" t="s">
        <v>427</v>
      </c>
      <c r="J332" s="0" t="s">
        <v>36</v>
      </c>
      <c r="K332" s="0" t="s">
        <v>427</v>
      </c>
      <c r="M332" s="44" t="str">
        <f aca="false">INDEX(fastqs!$A:$A, MATCH(A332, fastqs!$B:$B, 0), 1)</f>
        <v>CLIB02773_merged_R1.fastq.gz</v>
      </c>
      <c r="N332" s="44" t="str">
        <f aca="false">INDEX(fastqs!$C:$C, MATCH(A332, fastqs!$B:$B, 0), 1)</f>
        <v>run0004</v>
      </c>
      <c r="O332" s="44" t="str">
        <f aca="false">INDEX(samples!$B:$B, MATCH(B332, samples!$A:$A, 0), 1)</f>
        <v>par0080</v>
      </c>
      <c r="P332" s="44" t="str">
        <f aca="false">INDEX(participants!$I:$I, MATCH(O332, participants!$A:$A, 0), 1)</f>
        <v>nf561</v>
      </c>
      <c r="Q332" s="44" t="n">
        <f aca="false">INDEX(samples!$F:$F, MATCH(B332, samples!$A:$A, 0), 1)</f>
        <v>0</v>
      </c>
      <c r="R332" s="49" t="str">
        <f aca="false">INDEX(samples!$C:$C, MATCH(B332, samples!$A:$A, 0), 1)</f>
        <v>2019-09-05</v>
      </c>
      <c r="S332" s="50" t="str">
        <f aca="false">INDEX(samples!$D:$D,MATCH(B332, samples!$A:$A,0),1)</f>
        <v>blood</v>
      </c>
      <c r="T332" s="51" t="s">
        <v>427</v>
      </c>
      <c r="V332" s="33" t="s">
        <v>427</v>
      </c>
      <c r="X332" s="8"/>
      <c r="Y332" s="8" t="s">
        <v>1002</v>
      </c>
      <c r="Z332" s="8" t="n">
        <v>0</v>
      </c>
      <c r="AA332" s="8" t="n">
        <v>0</v>
      </c>
      <c r="AB332" s="8" t="n">
        <v>0</v>
      </c>
    </row>
    <row r="333" customFormat="false" ht="13.8" hidden="false" customHeight="false" outlineLevel="0" collapsed="false">
      <c r="A333" s="48" t="s">
        <v>3489</v>
      </c>
      <c r="B333" s="41" t="s">
        <v>1894</v>
      </c>
      <c r="C333" s="0" t="s">
        <v>3147</v>
      </c>
      <c r="D333" s="0" t="s">
        <v>427</v>
      </c>
      <c r="H333" s="0" t="s">
        <v>427</v>
      </c>
      <c r="I333" s="0" t="s">
        <v>427</v>
      </c>
      <c r="J333" s="0" t="s">
        <v>36</v>
      </c>
      <c r="K333" s="0" t="s">
        <v>427</v>
      </c>
      <c r="M333" s="44" t="str">
        <f aca="false">INDEX(fastqs!$A:$A, MATCH(A333, fastqs!$B:$B, 0), 1)</f>
        <v>CLIB02774_merged_R1.fastq.gz</v>
      </c>
      <c r="N333" s="44" t="str">
        <f aca="false">INDEX(fastqs!$C:$C, MATCH(A333, fastqs!$B:$B, 0), 1)</f>
        <v>run0004</v>
      </c>
      <c r="O333" s="44" t="str">
        <f aca="false">INDEX(samples!$B:$B, MATCH(B333, samples!$A:$A, 0), 1)</f>
        <v>par0080</v>
      </c>
      <c r="P333" s="44" t="str">
        <f aca="false">INDEX(participants!$I:$I, MATCH(O333, participants!$A:$A, 0), 1)</f>
        <v>nf561</v>
      </c>
      <c r="Q333" s="44" t="n">
        <f aca="false">INDEX(samples!$F:$F, MATCH(B333, samples!$A:$A, 0), 1)</f>
        <v>0</v>
      </c>
      <c r="R333" s="49" t="str">
        <f aca="false">INDEX(samples!$C:$C, MATCH(B333, samples!$A:$A, 0), 1)</f>
        <v>2019-10-04</v>
      </c>
      <c r="S333" s="50" t="str">
        <f aca="false">INDEX(samples!$D:$D,MATCH(B333, samples!$A:$A,0),1)</f>
        <v>blood</v>
      </c>
      <c r="T333" s="51" t="s">
        <v>427</v>
      </c>
      <c r="V333" s="33" t="s">
        <v>427</v>
      </c>
      <c r="X333" s="8"/>
      <c r="Y333" s="8" t="s">
        <v>1002</v>
      </c>
      <c r="Z333" s="8" t="n">
        <v>0</v>
      </c>
      <c r="AA333" s="8" t="n">
        <v>0</v>
      </c>
      <c r="AB333" s="8" t="n">
        <v>0</v>
      </c>
    </row>
    <row r="334" customFormat="false" ht="13.8" hidden="false" customHeight="false" outlineLevel="0" collapsed="false">
      <c r="A334" s="48" t="s">
        <v>3490</v>
      </c>
      <c r="B334" s="41" t="s">
        <v>1897</v>
      </c>
      <c r="C334" s="0" t="s">
        <v>1824</v>
      </c>
      <c r="D334" s="0" t="s">
        <v>427</v>
      </c>
      <c r="H334" s="0" t="s">
        <v>427</v>
      </c>
      <c r="I334" s="0" t="s">
        <v>427</v>
      </c>
      <c r="J334" s="0" t="s">
        <v>36</v>
      </c>
      <c r="K334" s="0" t="s">
        <v>427</v>
      </c>
      <c r="M334" s="44" t="str">
        <f aca="false">INDEX(fastqs!$A:$A, MATCH(A334, fastqs!$B:$B, 0), 1)</f>
        <v>CLIB02856_merged_R1.fastq.gz</v>
      </c>
      <c r="N334" s="44" t="str">
        <f aca="false">INDEX(fastqs!$C:$C, MATCH(A334, fastqs!$B:$B, 0), 1)</f>
        <v>run0004</v>
      </c>
      <c r="O334" s="44" t="str">
        <f aca="false">INDEX(samples!$B:$B, MATCH(B334, samples!$A:$A, 0), 1)</f>
        <v>par0080</v>
      </c>
      <c r="P334" s="44" t="str">
        <f aca="false">INDEX(participants!$I:$I, MATCH(O334, participants!$A:$A, 0), 1)</f>
        <v>nf561</v>
      </c>
      <c r="Q334" s="44" t="n">
        <f aca="false">INDEX(samples!$F:$F, MATCH(B334, samples!$A:$A, 0), 1)</f>
        <v>0</v>
      </c>
      <c r="R334" s="49" t="str">
        <f aca="false">INDEX(samples!$C:$C, MATCH(B334, samples!$A:$A, 0), 1)</f>
        <v>2019-12-05</v>
      </c>
      <c r="S334" s="50" t="str">
        <f aca="false">INDEX(samples!$D:$D,MATCH(B334, samples!$A:$A,0),1)</f>
        <v>tumor</v>
      </c>
      <c r="T334" s="51" t="s">
        <v>427</v>
      </c>
      <c r="V334" s="33" t="s">
        <v>427</v>
      </c>
      <c r="X334" s="8"/>
      <c r="Y334" s="8" t="s">
        <v>1002</v>
      </c>
      <c r="Z334" s="8" t="n">
        <v>0</v>
      </c>
      <c r="AA334" s="8" t="n">
        <v>0</v>
      </c>
      <c r="AB334" s="8" t="n">
        <v>0</v>
      </c>
    </row>
    <row r="335" customFormat="false" ht="13.8" hidden="false" customHeight="false" outlineLevel="0" collapsed="false">
      <c r="A335" s="48" t="s">
        <v>3491</v>
      </c>
      <c r="B335" s="41" t="s">
        <v>1903</v>
      </c>
      <c r="C335" s="0" t="s">
        <v>3147</v>
      </c>
      <c r="D335" s="0" t="s">
        <v>427</v>
      </c>
      <c r="H335" s="0" t="s">
        <v>427</v>
      </c>
      <c r="I335" s="0" t="s">
        <v>427</v>
      </c>
      <c r="J335" s="0" t="s">
        <v>36</v>
      </c>
      <c r="K335" s="0" t="s">
        <v>427</v>
      </c>
      <c r="M335" s="44" t="str">
        <f aca="false">INDEX(fastqs!$A:$A, MATCH(A335, fastqs!$B:$B, 0), 1)</f>
        <v>CLIB02775_merged_R1.fastq.gz</v>
      </c>
      <c r="N335" s="44" t="str">
        <f aca="false">INDEX(fastqs!$C:$C, MATCH(A335, fastqs!$B:$B, 0), 1)</f>
        <v>run0004</v>
      </c>
      <c r="O335" s="44" t="str">
        <f aca="false">INDEX(samples!$B:$B, MATCH(B335, samples!$A:$A, 0), 1)</f>
        <v>par0081</v>
      </c>
      <c r="P335" s="44" t="str">
        <f aca="false">INDEX(participants!$I:$I, MATCH(O335, participants!$A:$A, 0), 1)</f>
        <v>nf564</v>
      </c>
      <c r="Q335" s="44" t="n">
        <f aca="false">INDEX(samples!$F:$F, MATCH(B335, samples!$A:$A, 0), 1)</f>
        <v>0</v>
      </c>
      <c r="R335" s="49" t="str">
        <f aca="false">INDEX(samples!$C:$C, MATCH(B335, samples!$A:$A, 0), 1)</f>
        <v>2019-04-17</v>
      </c>
      <c r="S335" s="50" t="str">
        <f aca="false">INDEX(samples!$D:$D,MATCH(B335, samples!$A:$A,0),1)</f>
        <v>blood</v>
      </c>
      <c r="T335" s="51" t="s">
        <v>427</v>
      </c>
      <c r="V335" s="33" t="s">
        <v>427</v>
      </c>
      <c r="X335" s="8"/>
      <c r="Y335" s="8" t="s">
        <v>1002</v>
      </c>
      <c r="Z335" s="8" t="n">
        <v>0</v>
      </c>
      <c r="AA335" s="8" t="n">
        <v>0</v>
      </c>
      <c r="AB335" s="8" t="n">
        <v>0</v>
      </c>
    </row>
    <row r="336" customFormat="false" ht="13.8" hidden="false" customHeight="false" outlineLevel="0" collapsed="false">
      <c r="A336" s="48" t="s">
        <v>3492</v>
      </c>
      <c r="B336" s="41" t="s">
        <v>1905</v>
      </c>
      <c r="C336" s="0" t="s">
        <v>3147</v>
      </c>
      <c r="D336" s="0" t="s">
        <v>427</v>
      </c>
      <c r="H336" s="0" t="s">
        <v>427</v>
      </c>
      <c r="I336" s="0" t="s">
        <v>427</v>
      </c>
      <c r="J336" s="0" t="s">
        <v>36</v>
      </c>
      <c r="K336" s="0" t="s">
        <v>427</v>
      </c>
      <c r="M336" s="44" t="str">
        <f aca="false">INDEX(fastqs!$A:$A, MATCH(A336, fastqs!$B:$B, 0), 1)</f>
        <v>CLIB02784_merged_R1.fastq.gz</v>
      </c>
      <c r="N336" s="44" t="str">
        <f aca="false">INDEX(fastqs!$C:$C, MATCH(A336, fastqs!$B:$B, 0), 1)</f>
        <v>run0004</v>
      </c>
      <c r="O336" s="44" t="str">
        <f aca="false">INDEX(samples!$B:$B, MATCH(B336, samples!$A:$A, 0), 1)</f>
        <v>par0081</v>
      </c>
      <c r="P336" s="44" t="str">
        <f aca="false">INDEX(participants!$I:$I, MATCH(O336, participants!$A:$A, 0), 1)</f>
        <v>nf564</v>
      </c>
      <c r="Q336" s="44" t="n">
        <f aca="false">INDEX(samples!$F:$F, MATCH(B336, samples!$A:$A, 0), 1)</f>
        <v>0</v>
      </c>
      <c r="R336" s="49" t="str">
        <f aca="false">INDEX(samples!$C:$C, MATCH(B336, samples!$A:$A, 0), 1)</f>
        <v>2019-05-08</v>
      </c>
      <c r="S336" s="50" t="str">
        <f aca="false">INDEX(samples!$D:$D,MATCH(B336, samples!$A:$A,0),1)</f>
        <v>blood</v>
      </c>
      <c r="T336" s="51" t="s">
        <v>427</v>
      </c>
      <c r="V336" s="33" t="s">
        <v>427</v>
      </c>
      <c r="X336" s="8"/>
      <c r="Y336" s="8" t="s">
        <v>1002</v>
      </c>
      <c r="Z336" s="8" t="n">
        <v>0</v>
      </c>
      <c r="AA336" s="8" t="n">
        <v>0</v>
      </c>
      <c r="AB336" s="8" t="n">
        <v>0</v>
      </c>
    </row>
    <row r="337" customFormat="false" ht="13.8" hidden="false" customHeight="false" outlineLevel="0" collapsed="false">
      <c r="A337" s="48" t="s">
        <v>3493</v>
      </c>
      <c r="B337" s="41" t="s">
        <v>1906</v>
      </c>
      <c r="C337" s="0" t="s">
        <v>3147</v>
      </c>
      <c r="D337" s="0" t="s">
        <v>427</v>
      </c>
      <c r="H337" s="0" t="s">
        <v>427</v>
      </c>
      <c r="I337" s="0" t="s">
        <v>427</v>
      </c>
      <c r="J337" s="0" t="s">
        <v>36</v>
      </c>
      <c r="K337" s="0" t="s">
        <v>427</v>
      </c>
      <c r="M337" s="44" t="str">
        <f aca="false">INDEX(fastqs!$A:$A, MATCH(A337, fastqs!$B:$B, 0), 1)</f>
        <v>CLIB02785_merged_R1.fastq.gz</v>
      </c>
      <c r="N337" s="44" t="str">
        <f aca="false">INDEX(fastqs!$C:$C, MATCH(A337, fastqs!$B:$B, 0), 1)</f>
        <v>run0004</v>
      </c>
      <c r="O337" s="44" t="str">
        <f aca="false">INDEX(samples!$B:$B, MATCH(B337, samples!$A:$A, 0), 1)</f>
        <v>par0081</v>
      </c>
      <c r="P337" s="44" t="str">
        <f aca="false">INDEX(participants!$I:$I, MATCH(O337, participants!$A:$A, 0), 1)</f>
        <v>nf564</v>
      </c>
      <c r="Q337" s="44" t="n">
        <f aca="false">INDEX(samples!$F:$F, MATCH(B337, samples!$A:$A, 0), 1)</f>
        <v>0</v>
      </c>
      <c r="R337" s="49" t="str">
        <f aca="false">INDEX(samples!$C:$C, MATCH(B337, samples!$A:$A, 0), 1)</f>
        <v>2019-07-23</v>
      </c>
      <c r="S337" s="50" t="str">
        <f aca="false">INDEX(samples!$D:$D,MATCH(B337, samples!$A:$A,0),1)</f>
        <v>blood</v>
      </c>
      <c r="T337" s="51" t="s">
        <v>427</v>
      </c>
      <c r="V337" s="33" t="s">
        <v>427</v>
      </c>
      <c r="X337" s="8"/>
      <c r="Y337" s="8" t="s">
        <v>1002</v>
      </c>
      <c r="Z337" s="8" t="n">
        <v>0</v>
      </c>
      <c r="AA337" s="8" t="n">
        <v>0</v>
      </c>
      <c r="AB337" s="8" t="n">
        <v>0</v>
      </c>
    </row>
    <row r="338" customFormat="false" ht="13.8" hidden="false" customHeight="false" outlineLevel="0" collapsed="false">
      <c r="A338" s="48" t="s">
        <v>3494</v>
      </c>
      <c r="B338" s="41" t="s">
        <v>1908</v>
      </c>
      <c r="C338" s="0" t="s">
        <v>3147</v>
      </c>
      <c r="D338" s="0" t="s">
        <v>427</v>
      </c>
      <c r="H338" s="0" t="s">
        <v>427</v>
      </c>
      <c r="I338" s="0" t="s">
        <v>427</v>
      </c>
      <c r="J338" s="0" t="s">
        <v>36</v>
      </c>
      <c r="K338" s="0" t="s">
        <v>427</v>
      </c>
      <c r="M338" s="44" t="str">
        <f aca="false">INDEX(fastqs!$A:$A, MATCH(A338, fastqs!$B:$B, 0), 1)</f>
        <v>CLIB02786_merged_R1.fastq.gz</v>
      </c>
      <c r="N338" s="44" t="str">
        <f aca="false">INDEX(fastqs!$C:$C, MATCH(A338, fastqs!$B:$B, 0), 1)</f>
        <v>run0004</v>
      </c>
      <c r="O338" s="44" t="str">
        <f aca="false">INDEX(samples!$B:$B, MATCH(B338, samples!$A:$A, 0), 1)</f>
        <v>par0081</v>
      </c>
      <c r="P338" s="44" t="str">
        <f aca="false">INDEX(participants!$I:$I, MATCH(O338, participants!$A:$A, 0), 1)</f>
        <v>nf564</v>
      </c>
      <c r="Q338" s="44" t="n">
        <f aca="false">INDEX(samples!$F:$F, MATCH(B338, samples!$A:$A, 0), 1)</f>
        <v>0</v>
      </c>
      <c r="R338" s="49" t="str">
        <f aca="false">INDEX(samples!$C:$C, MATCH(B338, samples!$A:$A, 0), 1)</f>
        <v>2019-08-06</v>
      </c>
      <c r="S338" s="50" t="str">
        <f aca="false">INDEX(samples!$D:$D,MATCH(B338, samples!$A:$A,0),1)</f>
        <v>blood</v>
      </c>
      <c r="T338" s="51" t="s">
        <v>427</v>
      </c>
      <c r="V338" s="33" t="s">
        <v>427</v>
      </c>
      <c r="X338" s="8"/>
      <c r="Y338" s="8" t="s">
        <v>1002</v>
      </c>
      <c r="Z338" s="8" t="n">
        <v>0</v>
      </c>
      <c r="AA338" s="8" t="n">
        <v>0</v>
      </c>
      <c r="AB338" s="8" t="n">
        <v>0</v>
      </c>
    </row>
    <row r="339" customFormat="false" ht="13.8" hidden="false" customHeight="false" outlineLevel="0" collapsed="false">
      <c r="A339" s="48" t="s">
        <v>3495</v>
      </c>
      <c r="B339" s="41" t="s">
        <v>2036</v>
      </c>
      <c r="C339" s="0" t="s">
        <v>1824</v>
      </c>
      <c r="D339" s="0" t="s">
        <v>427</v>
      </c>
      <c r="H339" s="0" t="s">
        <v>427</v>
      </c>
      <c r="I339" s="0" t="s">
        <v>427</v>
      </c>
      <c r="J339" s="0" t="s">
        <v>36</v>
      </c>
      <c r="K339" s="0" t="s">
        <v>427</v>
      </c>
      <c r="M339" s="44" t="str">
        <f aca="false">INDEX(fastqs!$A:$A, MATCH(A339, fastqs!$B:$B, 0), 1)</f>
        <v>CLIB02857_merged_R1.fastq.gz</v>
      </c>
      <c r="N339" s="44" t="str">
        <f aca="false">INDEX(fastqs!$C:$C, MATCH(A339, fastqs!$B:$B, 0), 1)</f>
        <v>run0004</v>
      </c>
      <c r="O339" s="44" t="str">
        <f aca="false">INDEX(samples!$B:$B, MATCH(B339, samples!$A:$A, 0), 1)</f>
        <v>par0081</v>
      </c>
      <c r="P339" s="44" t="str">
        <f aca="false">INDEX(participants!$I:$I, MATCH(O339, participants!$A:$A, 0), 1)</f>
        <v>nf564</v>
      </c>
      <c r="Q339" s="44" t="n">
        <f aca="false">INDEX(samples!$F:$F, MATCH(B339, samples!$A:$A, 0), 1)</f>
        <v>0</v>
      </c>
      <c r="R339" s="49" t="str">
        <f aca="false">INDEX(samples!$C:$C, MATCH(B339, samples!$A:$A, 0), 1)</f>
        <v>GET</v>
      </c>
      <c r="S339" s="50" t="str">
        <f aca="false">INDEX(samples!$D:$D,MATCH(B339, samples!$A:$A,0),1)</f>
        <v>tumor</v>
      </c>
      <c r="T339" s="51" t="s">
        <v>427</v>
      </c>
      <c r="V339" s="33" t="s">
        <v>427</v>
      </c>
      <c r="X339" s="8"/>
      <c r="Y339" s="8" t="s">
        <v>1002</v>
      </c>
      <c r="Z339" s="8" t="n">
        <v>0</v>
      </c>
      <c r="AA339" s="8" t="n">
        <v>0</v>
      </c>
      <c r="AB339" s="8" t="n">
        <v>0</v>
      </c>
    </row>
    <row r="340" customFormat="false" ht="13.8" hidden="false" customHeight="false" outlineLevel="0" collapsed="false">
      <c r="A340" s="48" t="s">
        <v>3496</v>
      </c>
      <c r="B340" s="41" t="s">
        <v>1912</v>
      </c>
      <c r="C340" s="0" t="s">
        <v>3147</v>
      </c>
      <c r="D340" s="0" t="s">
        <v>427</v>
      </c>
      <c r="H340" s="0" t="s">
        <v>427</v>
      </c>
      <c r="I340" s="0" t="s">
        <v>427</v>
      </c>
      <c r="J340" s="0" t="s">
        <v>36</v>
      </c>
      <c r="K340" s="0" t="s">
        <v>427</v>
      </c>
      <c r="M340" s="44" t="str">
        <f aca="false">INDEX(fastqs!$A:$A, MATCH(A340, fastqs!$B:$B, 0), 1)</f>
        <v>CLIB02787_merged_R1.fastq.gz</v>
      </c>
      <c r="N340" s="44" t="str">
        <f aca="false">INDEX(fastqs!$C:$C, MATCH(A340, fastqs!$B:$B, 0), 1)</f>
        <v>run0004</v>
      </c>
      <c r="O340" s="44" t="str">
        <f aca="false">INDEX(samples!$B:$B, MATCH(B340, samples!$A:$A, 0), 1)</f>
        <v>par0082</v>
      </c>
      <c r="P340" s="44" t="str">
        <f aca="false">INDEX(participants!$I:$I, MATCH(O340, participants!$A:$A, 0), 1)</f>
        <v>nf570</v>
      </c>
      <c r="Q340" s="44" t="n">
        <f aca="false">INDEX(samples!$F:$F, MATCH(B340, samples!$A:$A, 0), 1)</f>
        <v>0</v>
      </c>
      <c r="R340" s="49" t="str">
        <f aca="false">INDEX(samples!$C:$C, MATCH(B340, samples!$A:$A, 0), 1)</f>
        <v>2019-06-11</v>
      </c>
      <c r="S340" s="50" t="str">
        <f aca="false">INDEX(samples!$D:$D,MATCH(B340, samples!$A:$A,0),1)</f>
        <v>blood</v>
      </c>
      <c r="T340" s="51" t="s">
        <v>427</v>
      </c>
      <c r="V340" s="33" t="s">
        <v>427</v>
      </c>
      <c r="X340" s="8"/>
      <c r="Y340" s="8" t="s">
        <v>1002</v>
      </c>
      <c r="Z340" s="8" t="n">
        <v>0</v>
      </c>
      <c r="AA340" s="8" t="n">
        <v>0</v>
      </c>
      <c r="AB340" s="8" t="n">
        <v>0</v>
      </c>
    </row>
    <row r="341" customFormat="false" ht="13.8" hidden="false" customHeight="false" outlineLevel="0" collapsed="false">
      <c r="A341" s="48" t="s">
        <v>3497</v>
      </c>
      <c r="B341" s="41" t="s">
        <v>1914</v>
      </c>
      <c r="C341" s="0" t="s">
        <v>3147</v>
      </c>
      <c r="D341" s="0" t="s">
        <v>427</v>
      </c>
      <c r="H341" s="0" t="s">
        <v>427</v>
      </c>
      <c r="I341" s="0" t="s">
        <v>427</v>
      </c>
      <c r="J341" s="0" t="s">
        <v>36</v>
      </c>
      <c r="K341" s="0" t="s">
        <v>427</v>
      </c>
      <c r="M341" s="44" t="str">
        <f aca="false">INDEX(fastqs!$A:$A, MATCH(A341, fastqs!$B:$B, 0), 1)</f>
        <v>CLIB02788_merged_R1.fastq.gz</v>
      </c>
      <c r="N341" s="44" t="str">
        <f aca="false">INDEX(fastqs!$C:$C, MATCH(A341, fastqs!$B:$B, 0), 1)</f>
        <v>run0004</v>
      </c>
      <c r="O341" s="44" t="str">
        <f aca="false">INDEX(samples!$B:$B, MATCH(B341, samples!$A:$A, 0), 1)</f>
        <v>par0082</v>
      </c>
      <c r="P341" s="44" t="str">
        <f aca="false">INDEX(participants!$I:$I, MATCH(O341, participants!$A:$A, 0), 1)</f>
        <v>nf570</v>
      </c>
      <c r="Q341" s="44" t="n">
        <f aca="false">INDEX(samples!$F:$F, MATCH(B341, samples!$A:$A, 0), 1)</f>
        <v>0</v>
      </c>
      <c r="R341" s="49" t="str">
        <f aca="false">INDEX(samples!$C:$C, MATCH(B341, samples!$A:$A, 0), 1)</f>
        <v>2019-07-23</v>
      </c>
      <c r="S341" s="50" t="str">
        <f aca="false">INDEX(samples!$D:$D,MATCH(B341, samples!$A:$A,0),1)</f>
        <v>blood</v>
      </c>
      <c r="T341" s="51" t="s">
        <v>427</v>
      </c>
      <c r="V341" s="33" t="s">
        <v>427</v>
      </c>
      <c r="X341" s="8"/>
      <c r="Y341" s="8" t="s">
        <v>1002</v>
      </c>
      <c r="Z341" s="8" t="n">
        <v>0</v>
      </c>
      <c r="AA341" s="8" t="n">
        <v>0</v>
      </c>
      <c r="AB341" s="8" t="n">
        <v>0</v>
      </c>
    </row>
    <row r="342" customFormat="false" ht="13.8" hidden="false" customHeight="false" outlineLevel="0" collapsed="false">
      <c r="A342" s="48" t="s">
        <v>3498</v>
      </c>
      <c r="B342" s="41" t="s">
        <v>1915</v>
      </c>
      <c r="C342" s="0" t="s">
        <v>3147</v>
      </c>
      <c r="D342" s="0" t="s">
        <v>427</v>
      </c>
      <c r="H342" s="0" t="s">
        <v>427</v>
      </c>
      <c r="I342" s="0" t="s">
        <v>427</v>
      </c>
      <c r="J342" s="0" t="s">
        <v>36</v>
      </c>
      <c r="K342" s="0" t="s">
        <v>427</v>
      </c>
      <c r="M342" s="44" t="str">
        <f aca="false">INDEX(fastqs!$A:$A, MATCH(A342, fastqs!$B:$B, 0), 1)</f>
        <v>CLIB02789_merged_R1.fastq.gz</v>
      </c>
      <c r="N342" s="44" t="str">
        <f aca="false">INDEX(fastqs!$C:$C, MATCH(A342, fastqs!$B:$B, 0), 1)</f>
        <v>run0004</v>
      </c>
      <c r="O342" s="44" t="str">
        <f aca="false">INDEX(samples!$B:$B, MATCH(B342, samples!$A:$A, 0), 1)</f>
        <v>par0082</v>
      </c>
      <c r="P342" s="44" t="str">
        <f aca="false">INDEX(participants!$I:$I, MATCH(O342, participants!$A:$A, 0), 1)</f>
        <v>nf570</v>
      </c>
      <c r="Q342" s="44" t="n">
        <f aca="false">INDEX(samples!$F:$F, MATCH(B342, samples!$A:$A, 0), 1)</f>
        <v>0</v>
      </c>
      <c r="R342" s="49" t="str">
        <f aca="false">INDEX(samples!$C:$C, MATCH(B342, samples!$A:$A, 0), 1)</f>
        <v>2019-08-06</v>
      </c>
      <c r="S342" s="50" t="str">
        <f aca="false">INDEX(samples!$D:$D,MATCH(B342, samples!$A:$A,0),1)</f>
        <v>blood</v>
      </c>
      <c r="T342" s="51" t="s">
        <v>427</v>
      </c>
      <c r="V342" s="33" t="s">
        <v>427</v>
      </c>
      <c r="X342" s="8"/>
      <c r="Y342" s="8" t="s">
        <v>1002</v>
      </c>
      <c r="Z342" s="8" t="n">
        <v>0</v>
      </c>
      <c r="AA342" s="8" t="n">
        <v>0</v>
      </c>
      <c r="AB342" s="8" t="n">
        <v>0</v>
      </c>
    </row>
    <row r="343" customFormat="false" ht="13.8" hidden="false" customHeight="false" outlineLevel="0" collapsed="false">
      <c r="A343" s="48" t="s">
        <v>3499</v>
      </c>
      <c r="B343" s="41" t="s">
        <v>1932</v>
      </c>
      <c r="C343" s="0" t="s">
        <v>3147</v>
      </c>
      <c r="D343" s="0" t="s">
        <v>427</v>
      </c>
      <c r="H343" s="0" t="s">
        <v>427</v>
      </c>
      <c r="I343" s="0" t="s">
        <v>427</v>
      </c>
      <c r="J343" s="0" t="s">
        <v>36</v>
      </c>
      <c r="K343" s="0" t="s">
        <v>427</v>
      </c>
      <c r="M343" s="44" t="str">
        <f aca="false">INDEX(fastqs!$A:$A, MATCH(A343, fastqs!$B:$B, 0), 1)</f>
        <v>CLIB02835_merged_R1.fastq.gz</v>
      </c>
      <c r="N343" s="44" t="str">
        <f aca="false">INDEX(fastqs!$C:$C, MATCH(A343, fastqs!$B:$B, 0), 1)</f>
        <v>run0004</v>
      </c>
      <c r="O343" s="44" t="str">
        <f aca="false">INDEX(samples!$B:$B, MATCH(B343, samples!$A:$A, 0), 1)</f>
        <v>par0084</v>
      </c>
      <c r="P343" s="44" t="str">
        <f aca="false">INDEX(participants!$I:$I, MATCH(O343, participants!$A:$A, 0), 1)</f>
        <v>nf585</v>
      </c>
      <c r="Q343" s="44" t="n">
        <f aca="false">INDEX(samples!$F:$F, MATCH(B343, samples!$A:$A, 0), 1)</f>
        <v>0</v>
      </c>
      <c r="R343" s="49" t="str">
        <f aca="false">INDEX(samples!$C:$C, MATCH(B343, samples!$A:$A, 0), 1)</f>
        <v>2019-10-08</v>
      </c>
      <c r="S343" s="50" t="str">
        <f aca="false">INDEX(samples!$D:$D,MATCH(B343, samples!$A:$A,0),1)</f>
        <v>blood</v>
      </c>
      <c r="T343" s="51" t="s">
        <v>427</v>
      </c>
      <c r="V343" s="33" t="s">
        <v>427</v>
      </c>
      <c r="X343" s="8"/>
      <c r="Y343" s="8" t="s">
        <v>1002</v>
      </c>
      <c r="Z343" s="8" t="n">
        <v>0</v>
      </c>
      <c r="AA343" s="8" t="n">
        <v>0</v>
      </c>
      <c r="AB343" s="8" t="n">
        <v>0</v>
      </c>
    </row>
    <row r="344" customFormat="false" ht="13.8" hidden="false" customHeight="false" outlineLevel="0" collapsed="false">
      <c r="A344" s="48" t="s">
        <v>3500</v>
      </c>
      <c r="B344" s="41" t="s">
        <v>1934</v>
      </c>
      <c r="C344" s="0" t="s">
        <v>3147</v>
      </c>
      <c r="D344" s="0" t="s">
        <v>427</v>
      </c>
      <c r="H344" s="0" t="s">
        <v>427</v>
      </c>
      <c r="I344" s="0" t="s">
        <v>427</v>
      </c>
      <c r="J344" s="0" t="s">
        <v>36</v>
      </c>
      <c r="K344" s="0" t="s">
        <v>427</v>
      </c>
      <c r="M344" s="44" t="str">
        <f aca="false">INDEX(fastqs!$A:$A, MATCH(A344, fastqs!$B:$B, 0), 1)</f>
        <v>CLIB02836_merged_R1.fastq.gz</v>
      </c>
      <c r="N344" s="44" t="str">
        <f aca="false">INDEX(fastqs!$C:$C, MATCH(A344, fastqs!$B:$B, 0), 1)</f>
        <v>run0004</v>
      </c>
      <c r="O344" s="44" t="str">
        <f aca="false">INDEX(samples!$B:$B, MATCH(B344, samples!$A:$A, 0), 1)</f>
        <v>par0084</v>
      </c>
      <c r="P344" s="44" t="str">
        <f aca="false">INDEX(participants!$I:$I, MATCH(O344, participants!$A:$A, 0), 1)</f>
        <v>nf585</v>
      </c>
      <c r="Q344" s="44" t="n">
        <f aca="false">INDEX(samples!$F:$F, MATCH(B344, samples!$A:$A, 0), 1)</f>
        <v>0</v>
      </c>
      <c r="R344" s="49" t="str">
        <f aca="false">INDEX(samples!$C:$C, MATCH(B344, samples!$A:$A, 0), 1)</f>
        <v>2019-12-10</v>
      </c>
      <c r="S344" s="50" t="str">
        <f aca="false">INDEX(samples!$D:$D,MATCH(B344, samples!$A:$A,0),1)</f>
        <v>blood</v>
      </c>
      <c r="T344" s="51" t="s">
        <v>427</v>
      </c>
      <c r="V344" s="33" t="s">
        <v>427</v>
      </c>
      <c r="X344" s="8"/>
      <c r="Y344" s="8" t="s">
        <v>1002</v>
      </c>
      <c r="Z344" s="8" t="n">
        <v>0</v>
      </c>
      <c r="AA344" s="8" t="n">
        <v>0</v>
      </c>
      <c r="AB344" s="8" t="n">
        <v>0</v>
      </c>
    </row>
    <row r="345" customFormat="false" ht="13.8" hidden="false" customHeight="false" outlineLevel="0" collapsed="false">
      <c r="A345" s="48" t="s">
        <v>3501</v>
      </c>
      <c r="B345" s="41" t="s">
        <v>1936</v>
      </c>
      <c r="C345" s="0" t="s">
        <v>3147</v>
      </c>
      <c r="D345" s="0" t="s">
        <v>427</v>
      </c>
      <c r="H345" s="0" t="s">
        <v>427</v>
      </c>
      <c r="I345" s="0" t="s">
        <v>427</v>
      </c>
      <c r="J345" s="0" t="s">
        <v>36</v>
      </c>
      <c r="K345" s="0" t="s">
        <v>427</v>
      </c>
      <c r="M345" s="44" t="str">
        <f aca="false">INDEX(fastqs!$A:$A, MATCH(A345, fastqs!$B:$B, 0), 1)</f>
        <v>CLIB02837_merged_R1.fastq.gz</v>
      </c>
      <c r="N345" s="44" t="str">
        <f aca="false">INDEX(fastqs!$C:$C, MATCH(A345, fastqs!$B:$B, 0), 1)</f>
        <v>run0004</v>
      </c>
      <c r="O345" s="44" t="str">
        <f aca="false">INDEX(samples!$B:$B, MATCH(B345, samples!$A:$A, 0), 1)</f>
        <v>par0084</v>
      </c>
      <c r="P345" s="44" t="str">
        <f aca="false">INDEX(participants!$I:$I, MATCH(O345, participants!$A:$A, 0), 1)</f>
        <v>nf585</v>
      </c>
      <c r="Q345" s="44" t="n">
        <f aca="false">INDEX(samples!$F:$F, MATCH(B345, samples!$A:$A, 0), 1)</f>
        <v>0</v>
      </c>
      <c r="R345" s="49" t="str">
        <f aca="false">INDEX(samples!$C:$C, MATCH(B345, samples!$A:$A, 0), 1)</f>
        <v>2019-12-31</v>
      </c>
      <c r="S345" s="50" t="str">
        <f aca="false">INDEX(samples!$D:$D,MATCH(B345, samples!$A:$A,0),1)</f>
        <v>blood</v>
      </c>
      <c r="T345" s="51" t="s">
        <v>427</v>
      </c>
      <c r="V345" s="33" t="s">
        <v>427</v>
      </c>
      <c r="X345" s="8"/>
      <c r="Y345" s="8" t="s">
        <v>1002</v>
      </c>
      <c r="Z345" s="8" t="n">
        <v>0</v>
      </c>
      <c r="AA345" s="8" t="n">
        <v>0</v>
      </c>
      <c r="AB345" s="8" t="n">
        <v>0</v>
      </c>
    </row>
    <row r="346" customFormat="false" ht="13.8" hidden="false" customHeight="false" outlineLevel="0" collapsed="false">
      <c r="A346" s="48" t="s">
        <v>3502</v>
      </c>
      <c r="B346" s="41" t="s">
        <v>1938</v>
      </c>
      <c r="C346" s="0" t="s">
        <v>3147</v>
      </c>
      <c r="D346" s="0" t="s">
        <v>427</v>
      </c>
      <c r="H346" s="0" t="s">
        <v>427</v>
      </c>
      <c r="I346" s="0" t="s">
        <v>427</v>
      </c>
      <c r="J346" s="0" t="s">
        <v>36</v>
      </c>
      <c r="K346" s="0" t="s">
        <v>427</v>
      </c>
      <c r="M346" s="44" t="str">
        <f aca="false">INDEX(fastqs!$A:$A, MATCH(A346, fastqs!$B:$B, 0), 1)</f>
        <v>CLIB02838_merged_R1.fastq.gz</v>
      </c>
      <c r="N346" s="44" t="str">
        <f aca="false">INDEX(fastqs!$C:$C, MATCH(A346, fastqs!$B:$B, 0), 1)</f>
        <v>run0004</v>
      </c>
      <c r="O346" s="44" t="str">
        <f aca="false">INDEX(samples!$B:$B, MATCH(B346, samples!$A:$A, 0), 1)</f>
        <v>par0084</v>
      </c>
      <c r="P346" s="44" t="str">
        <f aca="false">INDEX(participants!$I:$I, MATCH(O346, participants!$A:$A, 0), 1)</f>
        <v>nf585</v>
      </c>
      <c r="Q346" s="44" t="n">
        <f aca="false">INDEX(samples!$F:$F, MATCH(B346, samples!$A:$A, 0), 1)</f>
        <v>0</v>
      </c>
      <c r="R346" s="49" t="str">
        <f aca="false">INDEX(samples!$C:$C, MATCH(B346, samples!$A:$A, 0), 1)</f>
        <v>2020-02-25</v>
      </c>
      <c r="S346" s="50" t="str">
        <f aca="false">INDEX(samples!$D:$D,MATCH(B346, samples!$A:$A,0),1)</f>
        <v>blood</v>
      </c>
      <c r="T346" s="51" t="s">
        <v>427</v>
      </c>
      <c r="V346" s="33" t="s">
        <v>427</v>
      </c>
      <c r="X346" s="8"/>
      <c r="Y346" s="8" t="s">
        <v>1002</v>
      </c>
      <c r="Z346" s="8" t="n">
        <v>0</v>
      </c>
      <c r="AA346" s="8" t="n">
        <v>0</v>
      </c>
      <c r="AB346" s="8" t="n">
        <v>0</v>
      </c>
    </row>
    <row r="347" customFormat="false" ht="13.8" hidden="false" customHeight="false" outlineLevel="0" collapsed="false">
      <c r="A347" s="48" t="s">
        <v>3503</v>
      </c>
      <c r="B347" s="41" t="s">
        <v>1943</v>
      </c>
      <c r="C347" s="0" t="s">
        <v>3147</v>
      </c>
      <c r="D347" s="0" t="s">
        <v>427</v>
      </c>
      <c r="H347" s="0" t="s">
        <v>427</v>
      </c>
      <c r="I347" s="0" t="s">
        <v>427</v>
      </c>
      <c r="J347" s="0" t="s">
        <v>36</v>
      </c>
      <c r="K347" s="0" t="s">
        <v>427</v>
      </c>
      <c r="M347" s="44" t="str">
        <f aca="false">INDEX(fastqs!$A:$A, MATCH(A347, fastqs!$B:$B, 0), 1)</f>
        <v>CLIB02839_merged_R1.fastq.gz</v>
      </c>
      <c r="N347" s="44" t="str">
        <f aca="false">INDEX(fastqs!$C:$C, MATCH(A347, fastqs!$B:$B, 0), 1)</f>
        <v>run0004</v>
      </c>
      <c r="O347" s="44" t="str">
        <f aca="false">INDEX(samples!$B:$B, MATCH(B347, samples!$A:$A, 0), 1)</f>
        <v>par0085</v>
      </c>
      <c r="P347" s="44" t="str">
        <f aca="false">INDEX(participants!$I:$I, MATCH(O347, participants!$A:$A, 0), 1)</f>
        <v>nf589</v>
      </c>
      <c r="Q347" s="44" t="n">
        <f aca="false">INDEX(samples!$F:$F, MATCH(B347, samples!$A:$A, 0), 1)</f>
        <v>0</v>
      </c>
      <c r="R347" s="49" t="str">
        <f aca="false">INDEX(samples!$C:$C, MATCH(B347, samples!$A:$A, 0), 1)</f>
        <v>2019-10-25</v>
      </c>
      <c r="S347" s="50" t="str">
        <f aca="false">INDEX(samples!$D:$D,MATCH(B347, samples!$A:$A,0),1)</f>
        <v>blood</v>
      </c>
      <c r="T347" s="51" t="s">
        <v>427</v>
      </c>
      <c r="V347" s="33" t="s">
        <v>427</v>
      </c>
      <c r="X347" s="8"/>
      <c r="Y347" s="8" t="s">
        <v>1002</v>
      </c>
      <c r="Z347" s="8" t="n">
        <v>0</v>
      </c>
      <c r="AA347" s="8" t="n">
        <v>0</v>
      </c>
      <c r="AB347" s="8" t="n">
        <v>0</v>
      </c>
    </row>
    <row r="348" customFormat="false" ht="13.8" hidden="false" customHeight="false" outlineLevel="0" collapsed="false">
      <c r="A348" s="48" t="s">
        <v>3504</v>
      </c>
      <c r="B348" s="41" t="s">
        <v>1945</v>
      </c>
      <c r="C348" s="0" t="s">
        <v>3147</v>
      </c>
      <c r="D348" s="0" t="s">
        <v>427</v>
      </c>
      <c r="H348" s="0" t="s">
        <v>427</v>
      </c>
      <c r="I348" s="0" t="s">
        <v>427</v>
      </c>
      <c r="J348" s="0" t="s">
        <v>36</v>
      </c>
      <c r="K348" s="0" t="s">
        <v>427</v>
      </c>
      <c r="M348" s="44" t="str">
        <f aca="false">INDEX(fastqs!$A:$A, MATCH(A348, fastqs!$B:$B, 0), 1)</f>
        <v>CLIB02840_merged_R1.fastq.gz</v>
      </c>
      <c r="N348" s="44" t="str">
        <f aca="false">INDEX(fastqs!$C:$C, MATCH(A348, fastqs!$B:$B, 0), 1)</f>
        <v>run0004</v>
      </c>
      <c r="O348" s="44" t="str">
        <f aca="false">INDEX(samples!$B:$B, MATCH(B348, samples!$A:$A, 0), 1)</f>
        <v>par0085</v>
      </c>
      <c r="P348" s="44" t="str">
        <f aca="false">INDEX(participants!$I:$I, MATCH(O348, participants!$A:$A, 0), 1)</f>
        <v>nf589</v>
      </c>
      <c r="Q348" s="44" t="n">
        <f aca="false">INDEX(samples!$F:$F, MATCH(B348, samples!$A:$A, 0), 1)</f>
        <v>0</v>
      </c>
      <c r="R348" s="49" t="str">
        <f aca="false">INDEX(samples!$C:$C, MATCH(B348, samples!$A:$A, 0), 1)</f>
        <v>2019-12-26</v>
      </c>
      <c r="S348" s="50" t="str">
        <f aca="false">INDEX(samples!$D:$D,MATCH(B348, samples!$A:$A,0),1)</f>
        <v>blood</v>
      </c>
      <c r="T348" s="51" t="s">
        <v>427</v>
      </c>
      <c r="V348" s="33" t="s">
        <v>427</v>
      </c>
      <c r="X348" s="8"/>
      <c r="Y348" s="8" t="s">
        <v>1002</v>
      </c>
      <c r="Z348" s="8" t="n">
        <v>0</v>
      </c>
      <c r="AA348" s="8" t="n">
        <v>0</v>
      </c>
      <c r="AB348" s="8" t="n">
        <v>0</v>
      </c>
    </row>
    <row r="349" customFormat="false" ht="13.8" hidden="false" customHeight="false" outlineLevel="0" collapsed="false">
      <c r="A349" s="48" t="s">
        <v>3505</v>
      </c>
      <c r="B349" s="41" t="s">
        <v>1947</v>
      </c>
      <c r="C349" s="0" t="s">
        <v>3147</v>
      </c>
      <c r="D349" s="0" t="s">
        <v>427</v>
      </c>
      <c r="H349" s="0" t="s">
        <v>427</v>
      </c>
      <c r="I349" s="0" t="s">
        <v>427</v>
      </c>
      <c r="J349" s="0" t="s">
        <v>36</v>
      </c>
      <c r="K349" s="0" t="s">
        <v>427</v>
      </c>
      <c r="M349" s="44" t="str">
        <f aca="false">INDEX(fastqs!$A:$A, MATCH(A349, fastqs!$B:$B, 0), 1)</f>
        <v>CLIB02848_merged_R1.fastq.gz</v>
      </c>
      <c r="N349" s="44" t="str">
        <f aca="false">INDEX(fastqs!$C:$C, MATCH(A349, fastqs!$B:$B, 0), 1)</f>
        <v>run0004</v>
      </c>
      <c r="O349" s="44" t="str">
        <f aca="false">INDEX(samples!$B:$B, MATCH(B349, samples!$A:$A, 0), 1)</f>
        <v>par0085</v>
      </c>
      <c r="P349" s="44" t="str">
        <f aca="false">INDEX(participants!$I:$I, MATCH(O349, participants!$A:$A, 0), 1)</f>
        <v>nf589</v>
      </c>
      <c r="Q349" s="44" t="n">
        <f aca="false">INDEX(samples!$F:$F, MATCH(B349, samples!$A:$A, 0), 1)</f>
        <v>0</v>
      </c>
      <c r="R349" s="49" t="str">
        <f aca="false">INDEX(samples!$C:$C, MATCH(B349, samples!$A:$A, 0), 1)</f>
        <v>2020-01-02</v>
      </c>
      <c r="S349" s="50" t="str">
        <f aca="false">INDEX(samples!$D:$D,MATCH(B349, samples!$A:$A,0),1)</f>
        <v>blood</v>
      </c>
      <c r="T349" s="51" t="s">
        <v>427</v>
      </c>
      <c r="V349" s="33" t="s">
        <v>427</v>
      </c>
      <c r="X349" s="8"/>
      <c r="Y349" s="8" t="s">
        <v>1002</v>
      </c>
      <c r="Z349" s="8" t="n">
        <v>0</v>
      </c>
      <c r="AA349" s="8" t="n">
        <v>0</v>
      </c>
      <c r="AB349" s="8" t="n">
        <v>0</v>
      </c>
    </row>
    <row r="350" customFormat="false" ht="13.8" hidden="false" customHeight="false" outlineLevel="0" collapsed="false">
      <c r="A350" s="48" t="s">
        <v>3506</v>
      </c>
      <c r="B350" s="41" t="s">
        <v>1949</v>
      </c>
      <c r="C350" s="0" t="s">
        <v>3147</v>
      </c>
      <c r="D350" s="0" t="s">
        <v>427</v>
      </c>
      <c r="H350" s="0" t="s">
        <v>427</v>
      </c>
      <c r="I350" s="0" t="s">
        <v>427</v>
      </c>
      <c r="J350" s="0" t="s">
        <v>36</v>
      </c>
      <c r="K350" s="0" t="s">
        <v>427</v>
      </c>
      <c r="M350" s="44" t="str">
        <f aca="false">INDEX(fastqs!$A:$A, MATCH(A350, fastqs!$B:$B, 0), 1)</f>
        <v>CLIB02849_merged_R1.fastq.gz</v>
      </c>
      <c r="N350" s="44" t="str">
        <f aca="false">INDEX(fastqs!$C:$C, MATCH(A350, fastqs!$B:$B, 0), 1)</f>
        <v>run0004</v>
      </c>
      <c r="O350" s="44" t="str">
        <f aca="false">INDEX(samples!$B:$B, MATCH(B350, samples!$A:$A, 0), 1)</f>
        <v>par0085</v>
      </c>
      <c r="P350" s="44" t="str">
        <f aca="false">INDEX(participants!$I:$I, MATCH(O350, participants!$A:$A, 0), 1)</f>
        <v>nf589</v>
      </c>
      <c r="Q350" s="44" t="n">
        <f aca="false">INDEX(samples!$F:$F, MATCH(B350, samples!$A:$A, 0), 1)</f>
        <v>0</v>
      </c>
      <c r="R350" s="49" t="str">
        <f aca="false">INDEX(samples!$C:$C, MATCH(B350, samples!$A:$A, 0), 1)</f>
        <v>2020-02-20</v>
      </c>
      <c r="S350" s="50" t="str">
        <f aca="false">INDEX(samples!$D:$D,MATCH(B350, samples!$A:$A,0),1)</f>
        <v>blood</v>
      </c>
      <c r="T350" s="51" t="s">
        <v>427</v>
      </c>
      <c r="V350" s="33" t="s">
        <v>427</v>
      </c>
      <c r="X350" s="8"/>
      <c r="Y350" s="8" t="s">
        <v>1002</v>
      </c>
      <c r="Z350" s="8" t="n">
        <v>0</v>
      </c>
      <c r="AA350" s="8" t="n">
        <v>0</v>
      </c>
      <c r="AB350" s="8" t="n">
        <v>0</v>
      </c>
    </row>
    <row r="351" customFormat="false" ht="13.8" hidden="false" customHeight="false" outlineLevel="0" collapsed="false">
      <c r="A351" s="48" t="s">
        <v>3507</v>
      </c>
      <c r="B351" s="41" t="s">
        <v>1992</v>
      </c>
      <c r="C351" s="0" t="s">
        <v>3147</v>
      </c>
      <c r="D351" s="0" t="s">
        <v>427</v>
      </c>
      <c r="H351" s="0" t="s">
        <v>427</v>
      </c>
      <c r="I351" s="0" t="s">
        <v>427</v>
      </c>
      <c r="J351" s="0" t="s">
        <v>36</v>
      </c>
      <c r="K351" s="0" t="s">
        <v>427</v>
      </c>
      <c r="M351" s="44" t="str">
        <f aca="false">INDEX(fastqs!$A:$A, MATCH(A351, fastqs!$B:$B, 0), 1)</f>
        <v>CLIB02850_merged_R1.fastq.gz</v>
      </c>
      <c r="N351" s="44" t="str">
        <f aca="false">INDEX(fastqs!$C:$C, MATCH(A351, fastqs!$B:$B, 0), 1)</f>
        <v>run0004</v>
      </c>
      <c r="O351" s="44" t="str">
        <f aca="false">INDEX(samples!$B:$B, MATCH(B351, samples!$A:$A, 0), 1)</f>
        <v>par0085</v>
      </c>
      <c r="P351" s="44" t="str">
        <f aca="false">INDEX(participants!$I:$I, MATCH(O351, participants!$A:$A, 0), 1)</f>
        <v>nf589</v>
      </c>
      <c r="Q351" s="44" t="n">
        <f aca="false">INDEX(samples!$F:$F, MATCH(B351, samples!$A:$A, 0), 1)</f>
        <v>0</v>
      </c>
      <c r="R351" s="49" t="str">
        <f aca="false">INDEX(samples!$C:$C, MATCH(B351, samples!$A:$A, 0), 1)</f>
        <v>GET</v>
      </c>
      <c r="S351" s="50" t="str">
        <f aca="false">INDEX(samples!$D:$D,MATCH(B351, samples!$A:$A,0),1)</f>
        <v>blood</v>
      </c>
      <c r="T351" s="51" t="s">
        <v>427</v>
      </c>
      <c r="V351" s="33" t="s">
        <v>427</v>
      </c>
      <c r="X351" s="8"/>
      <c r="Y351" s="8" t="s">
        <v>1002</v>
      </c>
      <c r="Z351" s="8" t="n">
        <v>0</v>
      </c>
      <c r="AA351" s="8" t="n">
        <v>0</v>
      </c>
      <c r="AB351" s="8" t="n">
        <v>0</v>
      </c>
    </row>
    <row r="352" customFormat="false" ht="13.8" hidden="false" customHeight="false" outlineLevel="0" collapsed="false">
      <c r="A352" s="48" t="s">
        <v>3508</v>
      </c>
      <c r="B352" s="41" t="e">
        <f aca="false">#N/A</f>
        <v>#N/A</v>
      </c>
      <c r="C352" s="0" t="s">
        <v>427</v>
      </c>
      <c r="D352" s="0" t="s">
        <v>427</v>
      </c>
      <c r="H352" s="0" t="s">
        <v>427</v>
      </c>
      <c r="I352" s="0" t="s">
        <v>427</v>
      </c>
      <c r="J352" s="0" t="s">
        <v>36</v>
      </c>
      <c r="K352" s="0" t="s">
        <v>427</v>
      </c>
      <c r="M352" s="44" t="str">
        <f aca="false">INDEX(fastqs!$A:$A, MATCH(A352, fastqs!$B:$B, 0), 1)</f>
        <v>CLIB02859_merged_R1.fastq.gz</v>
      </c>
      <c r="N352" s="44" t="str">
        <f aca="false">INDEX(fastqs!$C:$C, MATCH(A352, fastqs!$B:$B, 0), 1)</f>
        <v>run0004</v>
      </c>
      <c r="O352" s="44" t="e">
        <f aca="false">INDEX(samples!$B:$B, MATCH(B352, samples!$A:$A, 0), 1)</f>
        <v>#N/A</v>
      </c>
      <c r="P352" s="44" t="e">
        <f aca="false">INDEX(participants!$I:$I, MATCH(O352, participants!$A:$A, 0), 1)</f>
        <v>#N/A</v>
      </c>
      <c r="Q352" s="44" t="e">
        <f aca="false">INDEX(samples!$F:$F, MATCH(B352, samples!$A:$A, 0), 1)</f>
        <v>#N/A</v>
      </c>
      <c r="R352" s="49" t="e">
        <f aca="false">INDEX(samples!$C:$C, MATCH(B352, samples!$A:$A, 0), 1)</f>
        <v>#N/A</v>
      </c>
      <c r="S352" s="50" t="e">
        <f aca="false">INDEX(samples!$D:$D,MATCH(B352, samples!$A:$A,0),1)</f>
        <v>#N/A</v>
      </c>
      <c r="T352" s="51" t="s">
        <v>427</v>
      </c>
      <c r="V352" s="33" t="s">
        <v>427</v>
      </c>
      <c r="X352" s="8"/>
      <c r="Y352" s="8" t="s">
        <v>1002</v>
      </c>
      <c r="Z352" s="8" t="n">
        <v>0</v>
      </c>
      <c r="AA352" s="8" t="n">
        <v>0</v>
      </c>
      <c r="AB352" s="8" t="n">
        <v>0</v>
      </c>
    </row>
    <row r="353" customFormat="false" ht="13.8" hidden="false" customHeight="false" outlineLevel="0" collapsed="false">
      <c r="A353" s="48" t="s">
        <v>3509</v>
      </c>
      <c r="B353" s="41" t="s">
        <v>1873</v>
      </c>
      <c r="C353" s="0" t="s">
        <v>3147</v>
      </c>
      <c r="D353" s="0" t="s">
        <v>427</v>
      </c>
      <c r="H353" s="0" t="s">
        <v>427</v>
      </c>
      <c r="I353" s="0" t="s">
        <v>427</v>
      </c>
      <c r="J353" s="0" t="s">
        <v>36</v>
      </c>
      <c r="K353" s="0" t="s">
        <v>427</v>
      </c>
      <c r="M353" s="44" t="str">
        <f aca="false">INDEX(fastqs!$A:$A, MATCH(A353, fastqs!$B:$B, 0), 1)</f>
        <v>CLIB02777_merged_R1.fastq.gz</v>
      </c>
      <c r="N353" s="44" t="str">
        <f aca="false">INDEX(fastqs!$C:$C, MATCH(A353, fastqs!$B:$B, 0), 1)</f>
        <v>run0004</v>
      </c>
      <c r="O353" s="44" t="str">
        <f aca="false">INDEX(samples!$B:$B, MATCH(B353, samples!$A:$A, 0), 1)</f>
        <v>par0090</v>
      </c>
      <c r="P353" s="44" t="str">
        <f aca="false">INDEX(participants!$I:$I, MATCH(O353, participants!$A:$A, 0), 1)</f>
        <v>nf510</v>
      </c>
      <c r="Q353" s="44" t="n">
        <f aca="false">INDEX(samples!$F:$F, MATCH(B353, samples!$A:$A, 0), 1)</f>
        <v>0</v>
      </c>
      <c r="R353" s="49" t="str">
        <f aca="false">INDEX(samples!$C:$C, MATCH(B353, samples!$A:$A, 0), 1)</f>
        <v>2019-07-17</v>
      </c>
      <c r="S353" s="50" t="str">
        <f aca="false">INDEX(samples!$D:$D,MATCH(B353, samples!$A:$A,0),1)</f>
        <v>blood</v>
      </c>
      <c r="T353" s="51" t="s">
        <v>427</v>
      </c>
      <c r="V353" s="33" t="s">
        <v>427</v>
      </c>
      <c r="X353" s="8"/>
      <c r="Y353" s="8" t="s">
        <v>1002</v>
      </c>
      <c r="Z353" s="8" t="n">
        <v>0</v>
      </c>
      <c r="AA353" s="8" t="n">
        <v>0</v>
      </c>
      <c r="AB353" s="8" t="n">
        <v>0</v>
      </c>
    </row>
    <row r="354" customFormat="false" ht="13.8" hidden="false" customHeight="false" outlineLevel="0" collapsed="false">
      <c r="A354" s="48" t="s">
        <v>3510</v>
      </c>
      <c r="B354" s="41" t="s">
        <v>1875</v>
      </c>
      <c r="C354" s="0" t="s">
        <v>3147</v>
      </c>
      <c r="D354" s="0" t="s">
        <v>427</v>
      </c>
      <c r="H354" s="0" t="s">
        <v>427</v>
      </c>
      <c r="I354" s="0" t="s">
        <v>427</v>
      </c>
      <c r="J354" s="0" t="s">
        <v>36</v>
      </c>
      <c r="K354" s="0" t="s">
        <v>427</v>
      </c>
      <c r="M354" s="44" t="str">
        <f aca="false">INDEX(fastqs!$A:$A, MATCH(A354, fastqs!$B:$B, 0), 1)</f>
        <v>CLIB02778_merged_R1.fastq.gz</v>
      </c>
      <c r="N354" s="44" t="str">
        <f aca="false">INDEX(fastqs!$C:$C, MATCH(A354, fastqs!$B:$B, 0), 1)</f>
        <v>run0004</v>
      </c>
      <c r="O354" s="44" t="str">
        <f aca="false">INDEX(samples!$B:$B, MATCH(B354, samples!$A:$A, 0), 1)</f>
        <v>par0091</v>
      </c>
      <c r="P354" s="44" t="str">
        <f aca="false">INDEX(participants!$I:$I, MATCH(O354, participants!$A:$A, 0), 1)</f>
        <v>nf514</v>
      </c>
      <c r="Q354" s="44" t="n">
        <f aca="false">INDEX(samples!$F:$F, MATCH(B354, samples!$A:$A, 0), 1)</f>
        <v>0</v>
      </c>
      <c r="R354" s="49" t="str">
        <f aca="false">INDEX(samples!$C:$C, MATCH(B354, samples!$A:$A, 0), 1)</f>
        <v>2019-09-10</v>
      </c>
      <c r="S354" s="50" t="str">
        <f aca="false">INDEX(samples!$D:$D,MATCH(B354, samples!$A:$A,0),1)</f>
        <v>blood</v>
      </c>
      <c r="T354" s="51" t="s">
        <v>427</v>
      </c>
      <c r="V354" s="33" t="s">
        <v>427</v>
      </c>
      <c r="X354" s="8"/>
      <c r="Y354" s="8" t="s">
        <v>1002</v>
      </c>
      <c r="Z354" s="8" t="n">
        <v>0</v>
      </c>
      <c r="AA354" s="8" t="n">
        <v>0</v>
      </c>
      <c r="AB354" s="8" t="n">
        <v>0</v>
      </c>
    </row>
    <row r="355" customFormat="false" ht="13.8" hidden="false" customHeight="false" outlineLevel="0" collapsed="false">
      <c r="A355" s="48" t="s">
        <v>3511</v>
      </c>
      <c r="B355" s="41" t="s">
        <v>1877</v>
      </c>
      <c r="C355" s="0" t="s">
        <v>3147</v>
      </c>
      <c r="D355" s="0" t="s">
        <v>427</v>
      </c>
      <c r="H355" s="0" t="s">
        <v>427</v>
      </c>
      <c r="I355" s="0" t="s">
        <v>427</v>
      </c>
      <c r="J355" s="0" t="s">
        <v>36</v>
      </c>
      <c r="K355" s="0" t="s">
        <v>427</v>
      </c>
      <c r="M355" s="44" t="str">
        <f aca="false">INDEX(fastqs!$A:$A, MATCH(A355, fastqs!$B:$B, 0), 1)</f>
        <v>CLIB02779_merged_R1.fastq.gz</v>
      </c>
      <c r="N355" s="44" t="str">
        <f aca="false">INDEX(fastqs!$C:$C, MATCH(A355, fastqs!$B:$B, 0), 1)</f>
        <v>run0004</v>
      </c>
      <c r="O355" s="44" t="str">
        <f aca="false">INDEX(samples!$B:$B, MATCH(B355, samples!$A:$A, 0), 1)</f>
        <v>par0092</v>
      </c>
      <c r="P355" s="44" t="str">
        <f aca="false">INDEX(participants!$I:$I, MATCH(O355, participants!$A:$A, 0), 1)</f>
        <v>nf531</v>
      </c>
      <c r="Q355" s="44" t="n">
        <f aca="false">INDEX(samples!$F:$F, MATCH(B355, samples!$A:$A, 0), 1)</f>
        <v>0</v>
      </c>
      <c r="R355" s="49" t="str">
        <f aca="false">INDEX(samples!$C:$C, MATCH(B355, samples!$A:$A, 0), 1)</f>
        <v>2019-06-13</v>
      </c>
      <c r="S355" s="50" t="str">
        <f aca="false">INDEX(samples!$D:$D,MATCH(B355, samples!$A:$A,0),1)</f>
        <v>blood</v>
      </c>
      <c r="T355" s="51" t="s">
        <v>427</v>
      </c>
      <c r="V355" s="33" t="s">
        <v>427</v>
      </c>
      <c r="X355" s="8"/>
      <c r="Y355" s="8" t="s">
        <v>1002</v>
      </c>
      <c r="Z355" s="8" t="n">
        <v>0</v>
      </c>
      <c r="AA355" s="8" t="n">
        <v>0</v>
      </c>
      <c r="AB355" s="8" t="n">
        <v>0</v>
      </c>
    </row>
    <row r="356" customFormat="false" ht="13.8" hidden="false" customHeight="false" outlineLevel="0" collapsed="false">
      <c r="A356" s="48" t="s">
        <v>3512</v>
      </c>
      <c r="B356" s="41" t="e">
        <f aca="false">#N/A</f>
        <v>#N/A</v>
      </c>
      <c r="C356" s="0" t="s">
        <v>427</v>
      </c>
      <c r="D356" s="0" t="s">
        <v>427</v>
      </c>
      <c r="H356" s="0" t="s">
        <v>427</v>
      </c>
      <c r="I356" s="0" t="s">
        <v>427</v>
      </c>
      <c r="J356" s="0" t="s">
        <v>36</v>
      </c>
      <c r="K356" s="0" t="s">
        <v>427</v>
      </c>
      <c r="M356" s="44" t="str">
        <f aca="false">INDEX(fastqs!$A:$A, MATCH(A356, fastqs!$B:$B, 0), 1)</f>
        <v>CLIB02780_merged_R1.fastq.gz</v>
      </c>
      <c r="N356" s="44" t="str">
        <f aca="false">INDEX(fastqs!$C:$C, MATCH(A356, fastqs!$B:$B, 0), 1)</f>
        <v>run0004</v>
      </c>
      <c r="O356" s="44" t="e">
        <f aca="false">INDEX(samples!$B:$B, MATCH(B356, samples!$A:$A, 0), 1)</f>
        <v>#N/A</v>
      </c>
      <c r="P356" s="44" t="e">
        <f aca="false">INDEX(participants!$I:$I, MATCH(O356, participants!$A:$A, 0), 1)</f>
        <v>#N/A</v>
      </c>
      <c r="Q356" s="44" t="e">
        <f aca="false">INDEX(samples!$F:$F, MATCH(B356, samples!$A:$A, 0), 1)</f>
        <v>#N/A</v>
      </c>
      <c r="R356" s="49" t="e">
        <f aca="false">INDEX(samples!$C:$C, MATCH(B356, samples!$A:$A, 0), 1)</f>
        <v>#N/A</v>
      </c>
      <c r="S356" s="50" t="e">
        <f aca="false">INDEX(samples!$D:$D,MATCH(B356, samples!$A:$A,0),1)</f>
        <v>#N/A</v>
      </c>
      <c r="T356" s="51" t="s">
        <v>427</v>
      </c>
      <c r="V356" s="33" t="s">
        <v>427</v>
      </c>
      <c r="X356" s="8"/>
      <c r="Y356" s="8" t="s">
        <v>1002</v>
      </c>
      <c r="Z356" s="8" t="n">
        <v>0</v>
      </c>
      <c r="AA356" s="8" t="n">
        <v>0</v>
      </c>
      <c r="AB356" s="8" t="n">
        <v>0</v>
      </c>
    </row>
    <row r="357" customFormat="false" ht="13.8" hidden="false" customHeight="false" outlineLevel="0" collapsed="false">
      <c r="A357" s="48" t="s">
        <v>3513</v>
      </c>
      <c r="B357" s="41" t="s">
        <v>1881</v>
      </c>
      <c r="C357" s="0" t="s">
        <v>3147</v>
      </c>
      <c r="D357" s="0" t="s">
        <v>427</v>
      </c>
      <c r="H357" s="0" t="s">
        <v>427</v>
      </c>
      <c r="I357" s="0" t="s">
        <v>427</v>
      </c>
      <c r="J357" s="0" t="s">
        <v>36</v>
      </c>
      <c r="K357" s="0" t="s">
        <v>427</v>
      </c>
      <c r="M357" s="44" t="str">
        <f aca="false">INDEX(fastqs!$A:$A, MATCH(A357, fastqs!$B:$B, 0), 1)</f>
        <v>CLIB02781_merged_R1.fastq.gz</v>
      </c>
      <c r="N357" s="44" t="str">
        <f aca="false">INDEX(fastqs!$C:$C, MATCH(A357, fastqs!$B:$B, 0), 1)</f>
        <v>run0004</v>
      </c>
      <c r="O357" s="44" t="str">
        <f aca="false">INDEX(samples!$B:$B, MATCH(B357, samples!$A:$A, 0), 1)</f>
        <v>par0094</v>
      </c>
      <c r="P357" s="44" t="str">
        <f aca="false">INDEX(participants!$I:$I, MATCH(O357, participants!$A:$A, 0), 1)</f>
        <v>nf539</v>
      </c>
      <c r="Q357" s="44" t="n">
        <f aca="false">INDEX(samples!$F:$F, MATCH(B357, samples!$A:$A, 0), 1)</f>
        <v>0</v>
      </c>
      <c r="R357" s="49" t="str">
        <f aca="false">INDEX(samples!$C:$C, MATCH(B357, samples!$A:$A, 0), 1)</f>
        <v>2019-08-13</v>
      </c>
      <c r="S357" s="50" t="str">
        <f aca="false">INDEX(samples!$D:$D,MATCH(B357, samples!$A:$A,0),1)</f>
        <v>blood</v>
      </c>
      <c r="T357" s="51" t="s">
        <v>427</v>
      </c>
      <c r="V357" s="33" t="s">
        <v>427</v>
      </c>
      <c r="X357" s="8"/>
      <c r="Y357" s="8" t="s">
        <v>1002</v>
      </c>
      <c r="Z357" s="8" t="n">
        <v>0</v>
      </c>
      <c r="AA357" s="8" t="n">
        <v>0</v>
      </c>
      <c r="AB357" s="8" t="n">
        <v>0</v>
      </c>
    </row>
    <row r="358" customFormat="false" ht="13.8" hidden="false" customHeight="false" outlineLevel="0" collapsed="false">
      <c r="A358" s="48" t="s">
        <v>3514</v>
      </c>
      <c r="B358" s="41" t="s">
        <v>1885</v>
      </c>
      <c r="C358" s="0" t="s">
        <v>3147</v>
      </c>
      <c r="D358" s="0" t="s">
        <v>427</v>
      </c>
      <c r="H358" s="0" t="s">
        <v>427</v>
      </c>
      <c r="I358" s="0" t="s">
        <v>427</v>
      </c>
      <c r="J358" s="0" t="s">
        <v>36</v>
      </c>
      <c r="K358" s="0" t="s">
        <v>427</v>
      </c>
      <c r="M358" s="44" t="str">
        <f aca="false">INDEX(fastqs!$A:$A, MATCH(A358, fastqs!$B:$B, 0), 1)</f>
        <v>CLIB02782_merged_R1.fastq.gz</v>
      </c>
      <c r="N358" s="44" t="str">
        <f aca="false">INDEX(fastqs!$C:$C, MATCH(A358, fastqs!$B:$B, 0), 1)</f>
        <v>run0004</v>
      </c>
      <c r="O358" s="44" t="str">
        <f aca="false">INDEX(samples!$B:$B, MATCH(B358, samples!$A:$A, 0), 1)</f>
        <v>par0095</v>
      </c>
      <c r="P358" s="44" t="str">
        <f aca="false">INDEX(participants!$I:$I, MATCH(O358, participants!$A:$A, 0), 1)</f>
        <v>nf544</v>
      </c>
      <c r="Q358" s="44" t="n">
        <f aca="false">INDEX(samples!$F:$F, MATCH(B358, samples!$A:$A, 0), 1)</f>
        <v>0</v>
      </c>
      <c r="R358" s="49" t="str">
        <f aca="false">INDEX(samples!$C:$C, MATCH(B358, samples!$A:$A, 0), 1)</f>
        <v>2019-07-25</v>
      </c>
      <c r="S358" s="50" t="str">
        <f aca="false">INDEX(samples!$D:$D,MATCH(B358, samples!$A:$A,0),1)</f>
        <v>blood</v>
      </c>
      <c r="T358" s="51" t="s">
        <v>427</v>
      </c>
      <c r="V358" s="33" t="s">
        <v>427</v>
      </c>
      <c r="X358" s="8"/>
      <c r="Y358" s="8" t="s">
        <v>1002</v>
      </c>
      <c r="Z358" s="8" t="n">
        <v>0</v>
      </c>
      <c r="AA358" s="8" t="n">
        <v>0</v>
      </c>
      <c r="AB358" s="8" t="n">
        <v>0</v>
      </c>
    </row>
    <row r="359" customFormat="false" ht="13.8" hidden="false" customHeight="false" outlineLevel="0" collapsed="false">
      <c r="A359" s="48" t="s">
        <v>3515</v>
      </c>
      <c r="B359" s="41" t="s">
        <v>1916</v>
      </c>
      <c r="C359" s="0" t="s">
        <v>3147</v>
      </c>
      <c r="D359" s="0" t="s">
        <v>427</v>
      </c>
      <c r="H359" s="0" t="s">
        <v>427</v>
      </c>
      <c r="I359" s="0" t="s">
        <v>427</v>
      </c>
      <c r="J359" s="0" t="s">
        <v>36</v>
      </c>
      <c r="K359" s="0" t="s">
        <v>427</v>
      </c>
      <c r="M359" s="44" t="str">
        <f aca="false">INDEX(fastqs!$A:$A, MATCH(A359, fastqs!$B:$B, 0), 1)</f>
        <v>CLIB02783_merged_R1.fastq.gz</v>
      </c>
      <c r="N359" s="44" t="str">
        <f aca="false">INDEX(fastqs!$C:$C, MATCH(A359, fastqs!$B:$B, 0), 1)</f>
        <v>run0004</v>
      </c>
      <c r="O359" s="44" t="str">
        <f aca="false">INDEX(samples!$B:$B, MATCH(B359, samples!$A:$A, 0), 1)</f>
        <v>par0098</v>
      </c>
      <c r="P359" s="44" t="str">
        <f aca="false">INDEX(participants!$I:$I, MATCH(O359, participants!$A:$A, 0), 1)</f>
        <v>nf574</v>
      </c>
      <c r="Q359" s="44" t="n">
        <f aca="false">INDEX(samples!$F:$F, MATCH(B359, samples!$A:$A, 0), 1)</f>
        <v>0</v>
      </c>
      <c r="R359" s="49" t="str">
        <f aca="false">INDEX(samples!$C:$C, MATCH(B359, samples!$A:$A, 0), 1)</f>
        <v>2019-06-27</v>
      </c>
      <c r="S359" s="50" t="str">
        <f aca="false">INDEX(samples!$D:$D,MATCH(B359, samples!$A:$A,0),1)</f>
        <v>blood</v>
      </c>
      <c r="T359" s="51" t="s">
        <v>427</v>
      </c>
      <c r="V359" s="33" t="s">
        <v>427</v>
      </c>
      <c r="X359" s="8"/>
      <c r="Y359" s="8" t="s">
        <v>1002</v>
      </c>
      <c r="Z359" s="8" t="n">
        <v>0</v>
      </c>
      <c r="AA359" s="8" t="n">
        <v>0</v>
      </c>
      <c r="AB359" s="8" t="n">
        <v>0</v>
      </c>
    </row>
    <row r="360" customFormat="false" ht="13.8" hidden="false" customHeight="false" outlineLevel="0" collapsed="false">
      <c r="A360" s="48" t="s">
        <v>3516</v>
      </c>
      <c r="B360" s="41" t="e">
        <f aca="false">#N/A</f>
        <v>#N/A</v>
      </c>
      <c r="C360" s="0" t="s">
        <v>427</v>
      </c>
      <c r="D360" s="0" t="s">
        <v>427</v>
      </c>
      <c r="H360" s="0" t="s">
        <v>427</v>
      </c>
      <c r="I360" s="0" t="s">
        <v>427</v>
      </c>
      <c r="J360" s="0" t="s">
        <v>36</v>
      </c>
      <c r="K360" s="0" t="s">
        <v>427</v>
      </c>
      <c r="M360" s="44" t="str">
        <f aca="false">INDEX(fastqs!$A:$A, MATCH(A360, fastqs!$B:$B, 0), 1)</f>
        <v>CLIB02858_merged_R1.fastq.gz</v>
      </c>
      <c r="N360" s="44" t="str">
        <f aca="false">INDEX(fastqs!$C:$C, MATCH(A360, fastqs!$B:$B, 0), 1)</f>
        <v>run0004</v>
      </c>
      <c r="O360" s="44" t="e">
        <f aca="false">INDEX(samples!$B:$B, MATCH(B360, samples!$A:$A, 0), 1)</f>
        <v>#N/A</v>
      </c>
      <c r="P360" s="44" t="e">
        <f aca="false">INDEX(participants!$I:$I, MATCH(O360, participants!$A:$A, 0), 1)</f>
        <v>#N/A</v>
      </c>
      <c r="Q360" s="44" t="e">
        <f aca="false">INDEX(samples!$F:$F, MATCH(B360, samples!$A:$A, 0), 1)</f>
        <v>#N/A</v>
      </c>
      <c r="R360" s="49" t="e">
        <f aca="false">INDEX(samples!$C:$C, MATCH(B360, samples!$A:$A, 0), 1)</f>
        <v>#N/A</v>
      </c>
      <c r="S360" s="50" t="e">
        <f aca="false">INDEX(samples!$D:$D,MATCH(B360, samples!$A:$A,0),1)</f>
        <v>#N/A</v>
      </c>
      <c r="T360" s="51" t="s">
        <v>427</v>
      </c>
      <c r="V360" s="33" t="s">
        <v>427</v>
      </c>
      <c r="X360" s="8"/>
      <c r="Y360" s="8" t="s">
        <v>1002</v>
      </c>
      <c r="Z360" s="8" t="n">
        <v>0</v>
      </c>
      <c r="AA360" s="8" t="n">
        <v>0</v>
      </c>
      <c r="AB360" s="8" t="n">
        <v>0</v>
      </c>
    </row>
    <row r="361" customFormat="false" ht="13.8" hidden="false" customHeight="false" outlineLevel="0" collapsed="false">
      <c r="A361" s="48" t="s">
        <v>3517</v>
      </c>
      <c r="B361" s="41" t="s">
        <v>1918</v>
      </c>
      <c r="C361" s="0" t="s">
        <v>3147</v>
      </c>
      <c r="D361" s="0" t="s">
        <v>427</v>
      </c>
      <c r="H361" s="0" t="s">
        <v>427</v>
      </c>
      <c r="I361" s="0" t="s">
        <v>427</v>
      </c>
      <c r="J361" s="0" t="s">
        <v>36</v>
      </c>
      <c r="K361" s="0" t="s">
        <v>427</v>
      </c>
      <c r="M361" s="44" t="str">
        <f aca="false">INDEX(fastqs!$A:$A, MATCH(A361, fastqs!$B:$B, 0), 1)</f>
        <v>CLIB02792_merged_R1.fastq.gz</v>
      </c>
      <c r="N361" s="44" t="str">
        <f aca="false">INDEX(fastqs!$C:$C, MATCH(A361, fastqs!$B:$B, 0), 1)</f>
        <v>run0004</v>
      </c>
      <c r="O361" s="44" t="str">
        <f aca="false">INDEX(samples!$B:$B, MATCH(B361, samples!$A:$A, 0), 1)</f>
        <v>par0099</v>
      </c>
      <c r="P361" s="44" t="str">
        <f aca="false">INDEX(participants!$I:$I, MATCH(O361, participants!$A:$A, 0), 1)</f>
        <v>nf575</v>
      </c>
      <c r="Q361" s="44" t="n">
        <f aca="false">INDEX(samples!$F:$F, MATCH(B361, samples!$A:$A, 0), 1)</f>
        <v>0</v>
      </c>
      <c r="R361" s="49" t="str">
        <f aca="false">INDEX(samples!$C:$C, MATCH(B361, samples!$A:$A, 0), 1)</f>
        <v>2019-07-25</v>
      </c>
      <c r="S361" s="50" t="str">
        <f aca="false">INDEX(samples!$D:$D,MATCH(B361, samples!$A:$A,0),1)</f>
        <v>blood</v>
      </c>
      <c r="T361" s="51" t="s">
        <v>427</v>
      </c>
      <c r="V361" s="33" t="s">
        <v>427</v>
      </c>
      <c r="X361" s="8"/>
      <c r="Y361" s="8" t="s">
        <v>1002</v>
      </c>
      <c r="Z361" s="8" t="n">
        <v>0</v>
      </c>
      <c r="AA361" s="8" t="n">
        <v>0</v>
      </c>
      <c r="AB361" s="8" t="n">
        <v>0</v>
      </c>
    </row>
    <row r="362" customFormat="false" ht="13.8" hidden="false" customHeight="false" outlineLevel="0" collapsed="false">
      <c r="A362" s="48" t="s">
        <v>3518</v>
      </c>
      <c r="B362" s="41" t="s">
        <v>1919</v>
      </c>
      <c r="C362" s="0" t="s">
        <v>3147</v>
      </c>
      <c r="D362" s="0" t="s">
        <v>427</v>
      </c>
      <c r="H362" s="0" t="s">
        <v>427</v>
      </c>
      <c r="I362" s="0" t="s">
        <v>427</v>
      </c>
      <c r="J362" s="0" t="s">
        <v>36</v>
      </c>
      <c r="K362" s="0" t="s">
        <v>427</v>
      </c>
      <c r="M362" s="44" t="str">
        <f aca="false">INDEX(fastqs!$A:$A, MATCH(A362, fastqs!$B:$B, 0), 1)</f>
        <v>CLIB02793_merged_R1.fastq.gz</v>
      </c>
      <c r="N362" s="44" t="str">
        <f aca="false">INDEX(fastqs!$C:$C, MATCH(A362, fastqs!$B:$B, 0), 1)</f>
        <v>run0004</v>
      </c>
      <c r="O362" s="44" t="str">
        <f aca="false">INDEX(samples!$B:$B, MATCH(B362, samples!$A:$A, 0), 1)</f>
        <v>par0100</v>
      </c>
      <c r="P362" s="44" t="e">
        <f aca="false">INDEX(participants!$I:$I, MATCH(O362, participants!$A:$A, 0), 1)</f>
        <v>#N/A</v>
      </c>
      <c r="Q362" s="44" t="n">
        <f aca="false">INDEX(samples!$F:$F, MATCH(B362, samples!$A:$A, 0), 1)</f>
        <v>0</v>
      </c>
      <c r="R362" s="49" t="str">
        <f aca="false">INDEX(samples!$C:$C, MATCH(B362, samples!$A:$A, 0), 1)</f>
        <v>2019-07-30</v>
      </c>
      <c r="S362" s="50" t="str">
        <f aca="false">INDEX(samples!$D:$D,MATCH(B362, samples!$A:$A,0),1)</f>
        <v>blood</v>
      </c>
      <c r="T362" s="51" t="s">
        <v>427</v>
      </c>
      <c r="V362" s="33" t="s">
        <v>427</v>
      </c>
      <c r="X362" s="8"/>
      <c r="Y362" s="8" t="s">
        <v>1002</v>
      </c>
      <c r="Z362" s="8" t="n">
        <v>0</v>
      </c>
      <c r="AA362" s="8" t="n">
        <v>0</v>
      </c>
      <c r="AB362" s="8" t="n">
        <v>0</v>
      </c>
    </row>
    <row r="363" customFormat="false" ht="13.8" hidden="false" customHeight="false" outlineLevel="0" collapsed="false">
      <c r="A363" s="48" t="s">
        <v>3519</v>
      </c>
      <c r="B363" s="41" t="s">
        <v>1922</v>
      </c>
      <c r="C363" s="0" t="s">
        <v>3147</v>
      </c>
      <c r="D363" s="0" t="s">
        <v>427</v>
      </c>
      <c r="H363" s="0" t="s">
        <v>427</v>
      </c>
      <c r="I363" s="0" t="s">
        <v>427</v>
      </c>
      <c r="J363" s="0" t="s">
        <v>36</v>
      </c>
      <c r="K363" s="0" t="s">
        <v>427</v>
      </c>
      <c r="M363" s="44" t="str">
        <f aca="false">INDEX(fastqs!$A:$A, MATCH(A363, fastqs!$B:$B, 0), 1)</f>
        <v>CLIB02794_merged_R1.fastq.gz</v>
      </c>
      <c r="N363" s="44" t="str">
        <f aca="false">INDEX(fastqs!$C:$C, MATCH(A363, fastqs!$B:$B, 0), 1)</f>
        <v>run0004</v>
      </c>
      <c r="O363" s="44" t="str">
        <f aca="false">INDEX(samples!$B:$B, MATCH(B363, samples!$A:$A, 0), 1)</f>
        <v>par0101</v>
      </c>
      <c r="P363" s="44" t="e">
        <f aca="false">INDEX(participants!$I:$I, MATCH(O363, participants!$A:$A, 0), 1)</f>
        <v>#N/A</v>
      </c>
      <c r="Q363" s="44" t="n">
        <f aca="false">INDEX(samples!$F:$F, MATCH(B363, samples!$A:$A, 0), 1)</f>
        <v>0</v>
      </c>
      <c r="R363" s="49" t="str">
        <f aca="false">INDEX(samples!$C:$C, MATCH(B363, samples!$A:$A, 0), 1)</f>
        <v>2019-08-20</v>
      </c>
      <c r="S363" s="50" t="str">
        <f aca="false">INDEX(samples!$D:$D,MATCH(B363, samples!$A:$A,0),1)</f>
        <v>blood</v>
      </c>
      <c r="T363" s="51" t="s">
        <v>427</v>
      </c>
      <c r="V363" s="33" t="s">
        <v>427</v>
      </c>
      <c r="X363" s="8"/>
      <c r="Y363" s="8" t="s">
        <v>1002</v>
      </c>
      <c r="Z363" s="8" t="n">
        <v>0</v>
      </c>
      <c r="AA363" s="8" t="n">
        <v>0</v>
      </c>
      <c r="AB363" s="8" t="n">
        <v>0</v>
      </c>
    </row>
    <row r="364" customFormat="false" ht="13.8" hidden="false" customHeight="false" outlineLevel="0" collapsed="false">
      <c r="A364" s="48" t="s">
        <v>3520</v>
      </c>
      <c r="B364" s="41" t="s">
        <v>1925</v>
      </c>
      <c r="C364" s="0" t="s">
        <v>3147</v>
      </c>
      <c r="D364" s="0" t="s">
        <v>427</v>
      </c>
      <c r="H364" s="0" t="s">
        <v>427</v>
      </c>
      <c r="I364" s="0" t="s">
        <v>427</v>
      </c>
      <c r="J364" s="0" t="s">
        <v>36</v>
      </c>
      <c r="K364" s="0" t="s">
        <v>427</v>
      </c>
      <c r="M364" s="44" t="str">
        <f aca="false">INDEX(fastqs!$A:$A, MATCH(A364, fastqs!$B:$B, 0), 1)</f>
        <v>CLIB02790_merged_R1.fastq.gz</v>
      </c>
      <c r="N364" s="44" t="str">
        <f aca="false">INDEX(fastqs!$C:$C, MATCH(A364, fastqs!$B:$B, 0), 1)</f>
        <v>run0004</v>
      </c>
      <c r="O364" s="44" t="str">
        <f aca="false">INDEX(samples!$B:$B, MATCH(B364, samples!$A:$A, 0), 1)</f>
        <v>par0102</v>
      </c>
      <c r="P364" s="44" t="e">
        <f aca="false">INDEX(participants!$I:$I, MATCH(O364, participants!$A:$A, 0), 1)</f>
        <v>#N/A</v>
      </c>
      <c r="Q364" s="44" t="n">
        <f aca="false">INDEX(samples!$F:$F, MATCH(B364, samples!$A:$A, 0), 1)</f>
        <v>0</v>
      </c>
      <c r="R364" s="49" t="str">
        <f aca="false">INDEX(samples!$C:$C, MATCH(B364, samples!$A:$A, 0), 1)</f>
        <v>2019-09-12</v>
      </c>
      <c r="S364" s="50" t="str">
        <f aca="false">INDEX(samples!$D:$D,MATCH(B364, samples!$A:$A,0),1)</f>
        <v>blood</v>
      </c>
      <c r="T364" s="51" t="s">
        <v>427</v>
      </c>
      <c r="V364" s="33" t="s">
        <v>427</v>
      </c>
      <c r="X364" s="8"/>
      <c r="Y364" s="8" t="s">
        <v>1002</v>
      </c>
      <c r="Z364" s="8" t="n">
        <v>0</v>
      </c>
      <c r="AA364" s="8" t="n">
        <v>0</v>
      </c>
      <c r="AB364" s="8" t="n">
        <v>0</v>
      </c>
    </row>
    <row r="365" customFormat="false" ht="13.8" hidden="false" customHeight="false" outlineLevel="0" collapsed="false">
      <c r="A365" s="48" t="s">
        <v>3521</v>
      </c>
      <c r="B365" s="41" t="s">
        <v>1928</v>
      </c>
      <c r="C365" s="0" t="s">
        <v>3147</v>
      </c>
      <c r="D365" s="0" t="s">
        <v>427</v>
      </c>
      <c r="H365" s="0" t="s">
        <v>427</v>
      </c>
      <c r="I365" s="0" t="s">
        <v>427</v>
      </c>
      <c r="J365" s="0" t="s">
        <v>36</v>
      </c>
      <c r="K365" s="0" t="s">
        <v>427</v>
      </c>
      <c r="M365" s="44" t="str">
        <f aca="false">INDEX(fastqs!$A:$A, MATCH(A365, fastqs!$B:$B, 0), 1)</f>
        <v>CLIB02791_merged_R1.fastq.gz</v>
      </c>
      <c r="N365" s="44" t="str">
        <f aca="false">INDEX(fastqs!$C:$C, MATCH(A365, fastqs!$B:$B, 0), 1)</f>
        <v>run0004</v>
      </c>
      <c r="O365" s="44" t="str">
        <f aca="false">INDEX(samples!$B:$B, MATCH(B365, samples!$A:$A, 0), 1)</f>
        <v>par0102</v>
      </c>
      <c r="P365" s="44" t="e">
        <f aca="false">INDEX(participants!$I:$I, MATCH(O365, participants!$A:$A, 0), 1)</f>
        <v>#N/A</v>
      </c>
      <c r="Q365" s="44" t="n">
        <f aca="false">INDEX(samples!$F:$F, MATCH(B365, samples!$A:$A, 0), 1)</f>
        <v>0</v>
      </c>
      <c r="R365" s="49" t="str">
        <f aca="false">INDEX(samples!$C:$C, MATCH(B365, samples!$A:$A, 0), 1)</f>
        <v>2019-10-31</v>
      </c>
      <c r="S365" s="50" t="str">
        <f aca="false">INDEX(samples!$D:$D,MATCH(B365, samples!$A:$A,0),1)</f>
        <v>blood</v>
      </c>
      <c r="T365" s="51" t="s">
        <v>427</v>
      </c>
      <c r="V365" s="33" t="s">
        <v>427</v>
      </c>
      <c r="X365" s="8"/>
      <c r="Y365" s="8" t="s">
        <v>1002</v>
      </c>
      <c r="Z365" s="8" t="n">
        <v>0</v>
      </c>
      <c r="AA365" s="8" t="n">
        <v>0</v>
      </c>
      <c r="AB365" s="8" t="n">
        <v>0</v>
      </c>
    </row>
    <row r="366" customFormat="false" ht="13.8" hidden="false" customHeight="false" outlineLevel="0" collapsed="false">
      <c r="A366" s="48" t="s">
        <v>3522</v>
      </c>
      <c r="B366" s="41" t="s">
        <v>1996</v>
      </c>
      <c r="C366" s="0" t="s">
        <v>3147</v>
      </c>
      <c r="D366" s="0" t="s">
        <v>427</v>
      </c>
      <c r="H366" s="0" t="s">
        <v>427</v>
      </c>
      <c r="I366" s="0" t="s">
        <v>427</v>
      </c>
      <c r="J366" s="0" t="s">
        <v>36</v>
      </c>
      <c r="K366" s="0" t="s">
        <v>427</v>
      </c>
      <c r="M366" s="44" t="str">
        <f aca="false">INDEX(fastqs!$A:$A, MATCH(A366, fastqs!$B:$B, 0), 1)</f>
        <v>CLIB02832_merged_R1.fastq.gz</v>
      </c>
      <c r="N366" s="44" t="str">
        <f aca="false">INDEX(fastqs!$C:$C, MATCH(A366, fastqs!$B:$B, 0), 1)</f>
        <v>run0004</v>
      </c>
      <c r="O366" s="44" t="str">
        <f aca="false">INDEX(samples!$B:$B, MATCH(B366, samples!$A:$A, 0), 1)</f>
        <v>par0102</v>
      </c>
      <c r="P366" s="44" t="e">
        <f aca="false">INDEX(participants!$I:$I, MATCH(O366, participants!$A:$A, 0), 1)</f>
        <v>#N/A</v>
      </c>
      <c r="Q366" s="44" t="n">
        <f aca="false">INDEX(samples!$F:$F, MATCH(B366, samples!$A:$A, 0), 1)</f>
        <v>0</v>
      </c>
      <c r="R366" s="49" t="str">
        <f aca="false">INDEX(samples!$C:$C, MATCH(B366, samples!$A:$A, 0), 1)</f>
        <v>GET</v>
      </c>
      <c r="S366" s="50" t="str">
        <f aca="false">INDEX(samples!$D:$D,MATCH(B366, samples!$A:$A,0),1)</f>
        <v>blood</v>
      </c>
      <c r="T366" s="51" t="s">
        <v>427</v>
      </c>
      <c r="V366" s="33" t="s">
        <v>427</v>
      </c>
      <c r="X366" s="8"/>
      <c r="Y366" s="8" t="s">
        <v>1002</v>
      </c>
      <c r="Z366" s="8" t="n">
        <v>0</v>
      </c>
      <c r="AA366" s="8" t="n">
        <v>0</v>
      </c>
      <c r="AB366" s="8" t="n">
        <v>0</v>
      </c>
    </row>
    <row r="367" customFormat="false" ht="13.8" hidden="false" customHeight="false" outlineLevel="0" collapsed="false">
      <c r="A367" s="48" t="s">
        <v>3523</v>
      </c>
      <c r="B367" s="41" t="s">
        <v>2107</v>
      </c>
      <c r="C367" s="0" t="s">
        <v>3147</v>
      </c>
      <c r="D367" s="0" t="s">
        <v>427</v>
      </c>
      <c r="H367" s="0" t="s">
        <v>427</v>
      </c>
      <c r="I367" s="0" t="s">
        <v>427</v>
      </c>
      <c r="J367" s="0" t="s">
        <v>36</v>
      </c>
      <c r="K367" s="0" t="s">
        <v>427</v>
      </c>
      <c r="M367" s="44" t="str">
        <f aca="false">INDEX(fastqs!$A:$A, MATCH(A367, fastqs!$B:$B, 0), 1)</f>
        <v>CLIB02833_merged_R1.fastq.gz</v>
      </c>
      <c r="N367" s="44" t="str">
        <f aca="false">INDEX(fastqs!$C:$C, MATCH(A367, fastqs!$B:$B, 0), 1)</f>
        <v>run0004</v>
      </c>
      <c r="O367" s="44" t="str">
        <f aca="false">INDEX(samples!$B:$B, MATCH(B367, samples!$A:$A, 0), 1)</f>
        <v>par0102</v>
      </c>
      <c r="P367" s="44" t="e">
        <f aca="false">INDEX(participants!$I:$I, MATCH(O367, participants!$A:$A, 0), 1)</f>
        <v>#N/A</v>
      </c>
      <c r="Q367" s="44" t="n">
        <f aca="false">INDEX(samples!$F:$F, MATCH(B367, samples!$A:$A, 0), 1)</f>
        <v>0</v>
      </c>
      <c r="R367" s="49" t="str">
        <f aca="false">INDEX(samples!$C:$C, MATCH(B367, samples!$A:$A, 0), 1)</f>
        <v>2020-03-31</v>
      </c>
      <c r="S367" s="50" t="str">
        <f aca="false">INDEX(samples!$D:$D,MATCH(B367, samples!$A:$A,0),1)</f>
        <v>blood</v>
      </c>
      <c r="T367" s="51" t="s">
        <v>427</v>
      </c>
      <c r="V367" s="33" t="s">
        <v>427</v>
      </c>
      <c r="X367" s="8"/>
      <c r="Y367" s="8" t="s">
        <v>1002</v>
      </c>
      <c r="Z367" s="8" t="n">
        <v>0</v>
      </c>
      <c r="AA367" s="8" t="n">
        <v>0</v>
      </c>
      <c r="AB367" s="8" t="n">
        <v>0</v>
      </c>
    </row>
    <row r="368" customFormat="false" ht="13.8" hidden="false" customHeight="false" outlineLevel="0" collapsed="false">
      <c r="A368" s="48" t="s">
        <v>3524</v>
      </c>
      <c r="B368" s="41" t="s">
        <v>2109</v>
      </c>
      <c r="C368" s="0" t="s">
        <v>3147</v>
      </c>
      <c r="D368" s="0" t="s">
        <v>427</v>
      </c>
      <c r="H368" s="0" t="s">
        <v>427</v>
      </c>
      <c r="I368" s="0" t="s">
        <v>427</v>
      </c>
      <c r="J368" s="0" t="s">
        <v>36</v>
      </c>
      <c r="K368" s="0" t="s">
        <v>427</v>
      </c>
      <c r="M368" s="44" t="str">
        <f aca="false">INDEX(fastqs!$A:$A, MATCH(A368, fastqs!$B:$B, 0), 1)</f>
        <v>CLIB02834_merged_R1.fastq.gz</v>
      </c>
      <c r="N368" s="44" t="str">
        <f aca="false">INDEX(fastqs!$C:$C, MATCH(A368, fastqs!$B:$B, 0), 1)</f>
        <v>run0004</v>
      </c>
      <c r="O368" s="44" t="str">
        <f aca="false">INDEX(samples!$B:$B, MATCH(B368, samples!$A:$A, 0), 1)</f>
        <v>par0102</v>
      </c>
      <c r="P368" s="44" t="e">
        <f aca="false">INDEX(participants!$I:$I, MATCH(O368, participants!$A:$A, 0), 1)</f>
        <v>#N/A</v>
      </c>
      <c r="Q368" s="44" t="n">
        <f aca="false">INDEX(samples!$F:$F, MATCH(B368, samples!$A:$A, 0), 1)</f>
        <v>0</v>
      </c>
      <c r="R368" s="49" t="str">
        <f aca="false">INDEX(samples!$C:$C, MATCH(B368, samples!$A:$A, 0), 1)</f>
        <v>2020-04-21</v>
      </c>
      <c r="S368" s="50" t="str">
        <f aca="false">INDEX(samples!$D:$D,MATCH(B368, samples!$A:$A,0),1)</f>
        <v>blood</v>
      </c>
      <c r="T368" s="51" t="s">
        <v>427</v>
      </c>
      <c r="V368" s="33" t="s">
        <v>427</v>
      </c>
      <c r="X368" s="8"/>
      <c r="Y368" s="8" t="s">
        <v>1002</v>
      </c>
      <c r="Z368" s="8" t="n">
        <v>0</v>
      </c>
      <c r="AA368" s="8" t="n">
        <v>0</v>
      </c>
      <c r="AB368" s="8" t="n">
        <v>0</v>
      </c>
    </row>
    <row r="369" customFormat="false" ht="13.8" hidden="false" customHeight="false" outlineLevel="0" collapsed="false">
      <c r="A369" s="48" t="s">
        <v>3525</v>
      </c>
      <c r="B369" s="41" t="s">
        <v>1940</v>
      </c>
      <c r="C369" s="0" t="s">
        <v>3147</v>
      </c>
      <c r="D369" s="0" t="s">
        <v>427</v>
      </c>
      <c r="H369" s="0" t="s">
        <v>427</v>
      </c>
      <c r="I369" s="0" t="s">
        <v>427</v>
      </c>
      <c r="J369" s="0" t="s">
        <v>36</v>
      </c>
      <c r="K369" s="0" t="s">
        <v>427</v>
      </c>
      <c r="M369" s="44" t="str">
        <f aca="false">INDEX(fastqs!$A:$A, MATCH(A369, fastqs!$B:$B, 0), 1)</f>
        <v>CLIB02796_merged_R1.fastq.gz</v>
      </c>
      <c r="N369" s="44" t="str">
        <f aca="false">INDEX(fastqs!$C:$C, MATCH(A369, fastqs!$B:$B, 0), 1)</f>
        <v>run0004</v>
      </c>
      <c r="O369" s="44" t="str">
        <f aca="false">INDEX(samples!$B:$B, MATCH(B369, samples!$A:$A, 0), 1)</f>
        <v>par0104</v>
      </c>
      <c r="P369" s="44" t="e">
        <f aca="false">INDEX(participants!$I:$I, MATCH(O369, participants!$A:$A, 0), 1)</f>
        <v>#N/A</v>
      </c>
      <c r="Q369" s="44" t="n">
        <f aca="false">INDEX(samples!$F:$F, MATCH(B369, samples!$A:$A, 0), 1)</f>
        <v>0</v>
      </c>
      <c r="R369" s="49" t="str">
        <f aca="false">INDEX(samples!$C:$C, MATCH(B369, samples!$A:$A, 0), 1)</f>
        <v>2019-10-10</v>
      </c>
      <c r="S369" s="50" t="str">
        <f aca="false">INDEX(samples!$D:$D,MATCH(B369, samples!$A:$A,0),1)</f>
        <v>blood</v>
      </c>
      <c r="T369" s="51" t="s">
        <v>427</v>
      </c>
      <c r="V369" s="33" t="s">
        <v>427</v>
      </c>
      <c r="X369" s="8"/>
      <c r="Y369" s="8" t="s">
        <v>1002</v>
      </c>
      <c r="Z369" s="8" t="n">
        <v>0</v>
      </c>
      <c r="AA369" s="8" t="n">
        <v>0</v>
      </c>
      <c r="AB369" s="8" t="n">
        <v>0</v>
      </c>
    </row>
    <row r="370" customFormat="false" ht="13.8" hidden="false" customHeight="false" outlineLevel="0" collapsed="false">
      <c r="A370" s="48" t="s">
        <v>3526</v>
      </c>
      <c r="B370" s="41" t="s">
        <v>1951</v>
      </c>
      <c r="C370" s="0" t="s">
        <v>3147</v>
      </c>
      <c r="D370" s="0" t="s">
        <v>427</v>
      </c>
      <c r="H370" s="0" t="s">
        <v>427</v>
      </c>
      <c r="I370" s="0" t="s">
        <v>427</v>
      </c>
      <c r="J370" s="0" t="s">
        <v>36</v>
      </c>
      <c r="K370" s="0" t="s">
        <v>427</v>
      </c>
      <c r="M370" s="44" t="str">
        <f aca="false">INDEX(fastqs!$A:$A, MATCH(A370, fastqs!$B:$B, 0), 1)</f>
        <v>CLIB02797_merged_R1.fastq.gz</v>
      </c>
      <c r="N370" s="44" t="str">
        <f aca="false">INDEX(fastqs!$C:$C, MATCH(A370, fastqs!$B:$B, 0), 1)</f>
        <v>run0004</v>
      </c>
      <c r="O370" s="44" t="str">
        <f aca="false">INDEX(samples!$B:$B, MATCH(B370, samples!$A:$A, 0), 1)</f>
        <v>par0105</v>
      </c>
      <c r="P370" s="44" t="e">
        <f aca="false">INDEX(participants!$I:$I, MATCH(O370, participants!$A:$A, 0), 1)</f>
        <v>#N/A</v>
      </c>
      <c r="Q370" s="44" t="n">
        <f aca="false">INDEX(samples!$F:$F, MATCH(B370, samples!$A:$A, 0), 1)</f>
        <v>0</v>
      </c>
      <c r="R370" s="49" t="str">
        <f aca="false">INDEX(samples!$C:$C, MATCH(B370, samples!$A:$A, 0), 1)</f>
        <v>2019-11-05</v>
      </c>
      <c r="S370" s="50" t="str">
        <f aca="false">INDEX(samples!$D:$D,MATCH(B370, samples!$A:$A,0),1)</f>
        <v>blood</v>
      </c>
      <c r="T370" s="51" t="s">
        <v>427</v>
      </c>
      <c r="V370" s="33" t="s">
        <v>427</v>
      </c>
      <c r="X370" s="8"/>
      <c r="Y370" s="8" t="s">
        <v>1002</v>
      </c>
      <c r="Z370" s="8" t="n">
        <v>0</v>
      </c>
      <c r="AA370" s="8" t="n">
        <v>0</v>
      </c>
      <c r="AB370" s="8" t="n">
        <v>0</v>
      </c>
    </row>
    <row r="371" customFormat="false" ht="13.8" hidden="false" customHeight="false" outlineLevel="0" collapsed="false">
      <c r="A371" s="48" t="s">
        <v>3527</v>
      </c>
      <c r="B371" s="41" t="s">
        <v>1954</v>
      </c>
      <c r="C371" s="0" t="s">
        <v>3147</v>
      </c>
      <c r="D371" s="0" t="s">
        <v>427</v>
      </c>
      <c r="H371" s="0" t="s">
        <v>427</v>
      </c>
      <c r="I371" s="0" t="s">
        <v>427</v>
      </c>
      <c r="J371" s="0" t="s">
        <v>36</v>
      </c>
      <c r="K371" s="0" t="s">
        <v>427</v>
      </c>
      <c r="M371" s="44" t="str">
        <f aca="false">INDEX(fastqs!$A:$A, MATCH(A371, fastqs!$B:$B, 0), 1)</f>
        <v>CLIB02798_merged_R1.fastq.gz</v>
      </c>
      <c r="N371" s="44" t="str">
        <f aca="false">INDEX(fastqs!$C:$C, MATCH(A371, fastqs!$B:$B, 0), 1)</f>
        <v>run0004</v>
      </c>
      <c r="O371" s="44" t="str">
        <f aca="false">INDEX(samples!$B:$B, MATCH(B371, samples!$A:$A, 0), 1)</f>
        <v>par0106</v>
      </c>
      <c r="P371" s="44" t="e">
        <f aca="false">INDEX(participants!$I:$I, MATCH(O371, participants!$A:$A, 0), 1)</f>
        <v>#N/A</v>
      </c>
      <c r="Q371" s="44" t="n">
        <f aca="false">INDEX(samples!$F:$F, MATCH(B371, samples!$A:$A, 0), 1)</f>
        <v>0</v>
      </c>
      <c r="R371" s="49" t="str">
        <f aca="false">INDEX(samples!$C:$C, MATCH(B371, samples!$A:$A, 0), 1)</f>
        <v>2019-11-21</v>
      </c>
      <c r="S371" s="50" t="str">
        <f aca="false">INDEX(samples!$D:$D,MATCH(B371, samples!$A:$A,0),1)</f>
        <v>blood</v>
      </c>
      <c r="T371" s="51" t="s">
        <v>427</v>
      </c>
      <c r="V371" s="33" t="s">
        <v>427</v>
      </c>
      <c r="X371" s="8"/>
      <c r="Y371" s="8" t="s">
        <v>1002</v>
      </c>
      <c r="Z371" s="8" t="n">
        <v>0</v>
      </c>
      <c r="AA371" s="8" t="n">
        <v>0</v>
      </c>
      <c r="AB371" s="8" t="n">
        <v>0</v>
      </c>
    </row>
    <row r="372" customFormat="false" ht="13.8" hidden="false" customHeight="false" outlineLevel="0" collapsed="false">
      <c r="A372" s="48" t="s">
        <v>3528</v>
      </c>
      <c r="B372" s="41" t="s">
        <v>1957</v>
      </c>
      <c r="C372" s="0" t="s">
        <v>3147</v>
      </c>
      <c r="D372" s="0" t="s">
        <v>427</v>
      </c>
      <c r="H372" s="0" t="s">
        <v>427</v>
      </c>
      <c r="I372" s="0" t="s">
        <v>427</v>
      </c>
      <c r="J372" s="0" t="s">
        <v>36</v>
      </c>
      <c r="K372" s="0" t="s">
        <v>427</v>
      </c>
      <c r="M372" s="44" t="str">
        <f aca="false">INDEX(fastqs!$A:$A, MATCH(A372, fastqs!$B:$B, 0), 1)</f>
        <v>CLIB02851_merged_R1.fastq.gz</v>
      </c>
      <c r="N372" s="44" t="str">
        <f aca="false">INDEX(fastqs!$C:$C, MATCH(A372, fastqs!$B:$B, 0), 1)</f>
        <v>run0004</v>
      </c>
      <c r="O372" s="44" t="str">
        <f aca="false">INDEX(samples!$B:$B, MATCH(B372, samples!$A:$A, 0), 1)</f>
        <v>par0107</v>
      </c>
      <c r="P372" s="44" t="e">
        <f aca="false">INDEX(participants!$I:$I, MATCH(O372, participants!$A:$A, 0), 1)</f>
        <v>#N/A</v>
      </c>
      <c r="Q372" s="44" t="n">
        <f aca="false">INDEX(samples!$F:$F, MATCH(B372, samples!$A:$A, 0), 1)</f>
        <v>0</v>
      </c>
      <c r="R372" s="49" t="str">
        <f aca="false">INDEX(samples!$C:$C, MATCH(B372, samples!$A:$A, 0), 1)</f>
        <v>2019-11-25</v>
      </c>
      <c r="S372" s="50" t="str">
        <f aca="false">INDEX(samples!$D:$D,MATCH(B372, samples!$A:$A,0),1)</f>
        <v>blood</v>
      </c>
      <c r="T372" s="51" t="s">
        <v>427</v>
      </c>
      <c r="V372" s="33" t="s">
        <v>427</v>
      </c>
      <c r="X372" s="8"/>
      <c r="Y372" s="8" t="s">
        <v>1002</v>
      </c>
      <c r="Z372" s="8" t="n">
        <v>0</v>
      </c>
      <c r="AA372" s="8" t="n">
        <v>0</v>
      </c>
      <c r="AB372" s="8" t="n">
        <v>0</v>
      </c>
    </row>
    <row r="373" customFormat="false" ht="13.8" hidden="false" customHeight="false" outlineLevel="0" collapsed="false">
      <c r="A373" s="48" t="s">
        <v>3529</v>
      </c>
      <c r="B373" s="41" t="s">
        <v>1960</v>
      </c>
      <c r="C373" s="0" t="s">
        <v>3147</v>
      </c>
      <c r="D373" s="0" t="s">
        <v>427</v>
      </c>
      <c r="H373" s="0" t="s">
        <v>427</v>
      </c>
      <c r="I373" s="0" t="s">
        <v>427</v>
      </c>
      <c r="J373" s="0" t="s">
        <v>36</v>
      </c>
      <c r="K373" s="0" t="s">
        <v>427</v>
      </c>
      <c r="M373" s="44" t="str">
        <f aca="false">INDEX(fastqs!$A:$A, MATCH(A373, fastqs!$B:$B, 0), 1)</f>
        <v>CLIB02852_merged_R1.fastq.gz</v>
      </c>
      <c r="N373" s="44" t="str">
        <f aca="false">INDEX(fastqs!$C:$C, MATCH(A373, fastqs!$B:$B, 0), 1)</f>
        <v>run0004</v>
      </c>
      <c r="O373" s="44" t="str">
        <f aca="false">INDEX(samples!$B:$B, MATCH(B373, samples!$A:$A, 0), 1)</f>
        <v>par0107</v>
      </c>
      <c r="P373" s="44" t="e">
        <f aca="false">INDEX(participants!$I:$I, MATCH(O373, participants!$A:$A, 0), 1)</f>
        <v>#N/A</v>
      </c>
      <c r="Q373" s="44" t="n">
        <f aca="false">INDEX(samples!$F:$F, MATCH(B373, samples!$A:$A, 0), 1)</f>
        <v>0</v>
      </c>
      <c r="R373" s="49" t="str">
        <f aca="false">INDEX(samples!$C:$C, MATCH(B373, samples!$A:$A, 0), 1)</f>
        <v>2020-02-25</v>
      </c>
      <c r="S373" s="50" t="str">
        <f aca="false">INDEX(samples!$D:$D,MATCH(B373, samples!$A:$A,0),1)</f>
        <v>blood</v>
      </c>
      <c r="T373" s="51" t="s">
        <v>427</v>
      </c>
      <c r="V373" s="33" t="s">
        <v>427</v>
      </c>
      <c r="X373" s="8"/>
      <c r="Y373" s="8" t="s">
        <v>1002</v>
      </c>
      <c r="Z373" s="8" t="n">
        <v>0</v>
      </c>
      <c r="AA373" s="8" t="n">
        <v>0</v>
      </c>
      <c r="AB373" s="8" t="n">
        <v>0</v>
      </c>
    </row>
    <row r="374" customFormat="false" ht="13.8" hidden="false" customHeight="false" outlineLevel="0" collapsed="false">
      <c r="A374" s="48" t="s">
        <v>3530</v>
      </c>
      <c r="B374" s="41" t="s">
        <v>2105</v>
      </c>
      <c r="C374" s="0" t="s">
        <v>3147</v>
      </c>
      <c r="D374" s="0" t="s">
        <v>427</v>
      </c>
      <c r="H374" s="0" t="s">
        <v>427</v>
      </c>
      <c r="I374" s="0" t="s">
        <v>427</v>
      </c>
      <c r="J374" s="0" t="s">
        <v>36</v>
      </c>
      <c r="K374" s="0" t="s">
        <v>427</v>
      </c>
      <c r="M374" s="44" t="str">
        <f aca="false">INDEX(fastqs!$A:$A, MATCH(A374, fastqs!$B:$B, 0), 1)</f>
        <v>CLIB02853_merged_R1.fastq.gz</v>
      </c>
      <c r="N374" s="44" t="str">
        <f aca="false">INDEX(fastqs!$C:$C, MATCH(A374, fastqs!$B:$B, 0), 1)</f>
        <v>run0004</v>
      </c>
      <c r="O374" s="44" t="str">
        <f aca="false">INDEX(samples!$B:$B, MATCH(B374, samples!$A:$A, 0), 1)</f>
        <v>par0107</v>
      </c>
      <c r="P374" s="44" t="e">
        <f aca="false">INDEX(participants!$I:$I, MATCH(O374, participants!$A:$A, 0), 1)</f>
        <v>#N/A</v>
      </c>
      <c r="Q374" s="44" t="n">
        <f aca="false">INDEX(samples!$F:$F, MATCH(B374, samples!$A:$A, 0), 1)</f>
        <v>0</v>
      </c>
      <c r="R374" s="49" t="str">
        <f aca="false">INDEX(samples!$C:$C, MATCH(B374, samples!$A:$A, 0), 1)</f>
        <v>2020-04-18</v>
      </c>
      <c r="S374" s="50" t="str">
        <f aca="false">INDEX(samples!$D:$D,MATCH(B374, samples!$A:$A,0),1)</f>
        <v>blood</v>
      </c>
      <c r="T374" s="51" t="s">
        <v>427</v>
      </c>
      <c r="V374" s="33" t="s">
        <v>427</v>
      </c>
      <c r="X374" s="8"/>
      <c r="Y374" s="8" t="s">
        <v>1002</v>
      </c>
      <c r="Z374" s="8" t="n">
        <v>0</v>
      </c>
      <c r="AA374" s="8" t="n">
        <v>0</v>
      </c>
      <c r="AB374" s="8" t="n">
        <v>0</v>
      </c>
    </row>
    <row r="375" customFormat="false" ht="13.8" hidden="false" customHeight="false" outlineLevel="0" collapsed="false">
      <c r="A375" s="48" t="s">
        <v>3531</v>
      </c>
      <c r="B375" s="41" t="e">
        <f aca="false">#N/A</f>
        <v>#N/A</v>
      </c>
      <c r="C375" s="0" t="s">
        <v>427</v>
      </c>
      <c r="D375" s="0" t="s">
        <v>427</v>
      </c>
      <c r="H375" s="0" t="s">
        <v>427</v>
      </c>
      <c r="I375" s="0" t="s">
        <v>427</v>
      </c>
      <c r="J375" s="0" t="s">
        <v>36</v>
      </c>
      <c r="K375" s="0" t="s">
        <v>427</v>
      </c>
      <c r="M375" s="44" t="str">
        <f aca="false">INDEX(fastqs!$A:$A, MATCH(A375, fastqs!$B:$B, 0), 1)</f>
        <v>CLIB02799_merged_R1.fastq.gz</v>
      </c>
      <c r="N375" s="44" t="str">
        <f aca="false">INDEX(fastqs!$C:$C, MATCH(A375, fastqs!$B:$B, 0), 1)</f>
        <v>run0004</v>
      </c>
      <c r="O375" s="44" t="e">
        <f aca="false">INDEX(samples!$B:$B, MATCH(B375, samples!$A:$A, 0), 1)</f>
        <v>#N/A</v>
      </c>
      <c r="P375" s="44" t="e">
        <f aca="false">INDEX(participants!$I:$I, MATCH(O375, participants!$A:$A, 0), 1)</f>
        <v>#N/A</v>
      </c>
      <c r="Q375" s="44" t="e">
        <f aca="false">INDEX(samples!$F:$F, MATCH(B375, samples!$A:$A, 0), 1)</f>
        <v>#N/A</v>
      </c>
      <c r="R375" s="49" t="e">
        <f aca="false">INDEX(samples!$C:$C, MATCH(B375, samples!$A:$A, 0), 1)</f>
        <v>#N/A</v>
      </c>
      <c r="S375" s="50" t="e">
        <f aca="false">INDEX(samples!$D:$D,MATCH(B375, samples!$A:$A,0),1)</f>
        <v>#N/A</v>
      </c>
      <c r="T375" s="51" t="s">
        <v>427</v>
      </c>
      <c r="V375" s="33" t="s">
        <v>427</v>
      </c>
      <c r="X375" s="8"/>
      <c r="Y375" s="8" t="s">
        <v>1002</v>
      </c>
      <c r="Z375" s="8" t="n">
        <v>0</v>
      </c>
      <c r="AA375" s="8" t="n">
        <v>0</v>
      </c>
      <c r="AB375" s="8" t="n">
        <v>0</v>
      </c>
    </row>
    <row r="376" customFormat="false" ht="13.8" hidden="false" customHeight="false" outlineLevel="0" collapsed="false">
      <c r="A376" s="48" t="s">
        <v>3532</v>
      </c>
      <c r="B376" s="41" t="s">
        <v>1978</v>
      </c>
      <c r="C376" s="0" t="s">
        <v>3147</v>
      </c>
      <c r="D376" s="0" t="s">
        <v>427</v>
      </c>
      <c r="H376" s="0" t="s">
        <v>427</v>
      </c>
      <c r="I376" s="0" t="s">
        <v>427</v>
      </c>
      <c r="J376" s="0" t="s">
        <v>36</v>
      </c>
      <c r="K376" s="0" t="s">
        <v>427</v>
      </c>
      <c r="M376" s="44" t="str">
        <f aca="false">INDEX(fastqs!$A:$A, MATCH(A376, fastqs!$B:$B, 0), 1)</f>
        <v>CLIB02854_merged_R1.fastq.gz</v>
      </c>
      <c r="N376" s="44" t="str">
        <f aca="false">INDEX(fastqs!$C:$C, MATCH(A376, fastqs!$B:$B, 0), 1)</f>
        <v>run0004</v>
      </c>
      <c r="O376" s="44" t="str">
        <f aca="false">INDEX(samples!$B:$B, MATCH(B376, samples!$A:$A, 0), 1)</f>
        <v>par0133</v>
      </c>
      <c r="P376" s="44" t="e">
        <f aca="false">INDEX(participants!$I:$I, MATCH(O376, participants!$A:$A, 0), 1)</f>
        <v>#N/A</v>
      </c>
      <c r="Q376" s="44" t="n">
        <f aca="false">INDEX(samples!$F:$F, MATCH(B376, samples!$A:$A, 0), 1)</f>
        <v>0</v>
      </c>
      <c r="R376" s="49" t="str">
        <f aca="false">INDEX(samples!$C:$C, MATCH(B376, samples!$A:$A, 0), 1)</f>
        <v>2020-02-20</v>
      </c>
      <c r="S376" s="50" t="str">
        <f aca="false">INDEX(samples!$D:$D,MATCH(B376, samples!$A:$A,0),1)</f>
        <v>blood</v>
      </c>
      <c r="T376" s="51" t="s">
        <v>427</v>
      </c>
      <c r="V376" s="33" t="s">
        <v>427</v>
      </c>
      <c r="X376" s="8"/>
      <c r="Y376" s="8" t="s">
        <v>1002</v>
      </c>
      <c r="Z376" s="8" t="n">
        <v>0</v>
      </c>
      <c r="AA376" s="8" t="n">
        <v>0</v>
      </c>
      <c r="AB376" s="8" t="n">
        <v>0</v>
      </c>
    </row>
    <row r="377" customFormat="false" ht="13.8" hidden="false" customHeight="false" outlineLevel="0" collapsed="false">
      <c r="A377" s="48" t="s">
        <v>3533</v>
      </c>
      <c r="B377" s="41" t="e">
        <f aca="false">#N/A</f>
        <v>#N/A</v>
      </c>
      <c r="C377" s="0" t="s">
        <v>427</v>
      </c>
      <c r="D377" s="0" t="s">
        <v>427</v>
      </c>
      <c r="H377" s="0" t="s">
        <v>427</v>
      </c>
      <c r="I377" s="0" t="s">
        <v>427</v>
      </c>
      <c r="J377" s="0" t="s">
        <v>36</v>
      </c>
      <c r="K377" s="0" t="s">
        <v>427</v>
      </c>
      <c r="M377" s="44" t="str">
        <f aca="false">INDEX(fastqs!$A:$A, MATCH(A377, fastqs!$B:$B, 0), 1)</f>
        <v>CLIB02860_merged_R1.fastq.gz</v>
      </c>
      <c r="N377" s="44" t="str">
        <f aca="false">INDEX(fastqs!$C:$C, MATCH(A377, fastqs!$B:$B, 0), 1)</f>
        <v>run0004</v>
      </c>
      <c r="O377" s="44" t="e">
        <f aca="false">INDEX(samples!$B:$B, MATCH(B377, samples!$A:$A, 0), 1)</f>
        <v>#N/A</v>
      </c>
      <c r="P377" s="44" t="e">
        <f aca="false">INDEX(participants!$I:$I, MATCH(O377, participants!$A:$A, 0), 1)</f>
        <v>#N/A</v>
      </c>
      <c r="Q377" s="44" t="e">
        <f aca="false">INDEX(samples!$F:$F, MATCH(B377, samples!$A:$A, 0), 1)</f>
        <v>#N/A</v>
      </c>
      <c r="R377" s="49" t="e">
        <f aca="false">INDEX(samples!$C:$C, MATCH(B377, samples!$A:$A, 0), 1)</f>
        <v>#N/A</v>
      </c>
      <c r="S377" s="50" t="e">
        <f aca="false">INDEX(samples!$D:$D,MATCH(B377, samples!$A:$A,0),1)</f>
        <v>#N/A</v>
      </c>
      <c r="T377" s="51" t="s">
        <v>427</v>
      </c>
      <c r="V377" s="33" t="s">
        <v>427</v>
      </c>
      <c r="X377" s="8"/>
      <c r="Y377" s="8" t="s">
        <v>1002</v>
      </c>
      <c r="Z377" s="8" t="n">
        <v>0</v>
      </c>
      <c r="AA377" s="8" t="n">
        <v>0</v>
      </c>
      <c r="AB377" s="8" t="n">
        <v>0</v>
      </c>
    </row>
    <row r="378" customFormat="false" ht="13.8" hidden="false" customHeight="false" outlineLevel="0" collapsed="false">
      <c r="A378" s="48" t="s">
        <v>3534</v>
      </c>
      <c r="B378" s="41" t="s">
        <v>1975</v>
      </c>
      <c r="C378" s="0" t="s">
        <v>3147</v>
      </c>
      <c r="D378" s="0" t="s">
        <v>427</v>
      </c>
      <c r="H378" s="0" t="s">
        <v>427</v>
      </c>
      <c r="I378" s="0" t="s">
        <v>427</v>
      </c>
      <c r="J378" s="0" t="s">
        <v>36</v>
      </c>
      <c r="K378" s="0" t="s">
        <v>427</v>
      </c>
      <c r="M378" s="44" t="str">
        <f aca="false">INDEX(fastqs!$A:$A, MATCH(A378, fastqs!$B:$B, 0), 1)</f>
        <v>CLIB02841_merged_R1.fastq.gz</v>
      </c>
      <c r="N378" s="44" t="str">
        <f aca="false">INDEX(fastqs!$C:$C, MATCH(A378, fastqs!$B:$B, 0), 1)</f>
        <v>run0004</v>
      </c>
      <c r="O378" s="44" t="str">
        <f aca="false">INDEX(samples!$B:$B, MATCH(B378, samples!$A:$A, 0), 1)</f>
        <v>par0132</v>
      </c>
      <c r="P378" s="44" t="e">
        <f aca="false">INDEX(participants!$I:$I, MATCH(O378, participants!$A:$A, 0), 1)</f>
        <v>#N/A</v>
      </c>
      <c r="Q378" s="44" t="n">
        <f aca="false">INDEX(samples!$F:$F, MATCH(B378, samples!$A:$A, 0), 1)</f>
        <v>0</v>
      </c>
      <c r="R378" s="49" t="str">
        <f aca="false">INDEX(samples!$C:$C, MATCH(B378, samples!$A:$A, 0), 1)</f>
        <v>2020-02-18</v>
      </c>
      <c r="S378" s="50" t="str">
        <f aca="false">INDEX(samples!$D:$D,MATCH(B378, samples!$A:$A,0),1)</f>
        <v>blood</v>
      </c>
      <c r="T378" s="51" t="s">
        <v>427</v>
      </c>
      <c r="V378" s="33" t="s">
        <v>427</v>
      </c>
      <c r="X378" s="8"/>
      <c r="Y378" s="8" t="s">
        <v>1002</v>
      </c>
      <c r="Z378" s="8" t="n">
        <v>0</v>
      </c>
      <c r="AA378" s="8" t="n">
        <v>0</v>
      </c>
      <c r="AB378" s="8" t="n">
        <v>0</v>
      </c>
    </row>
    <row r="379" customFormat="false" ht="13.8" hidden="false" customHeight="false" outlineLevel="0" collapsed="false">
      <c r="A379" s="48" t="s">
        <v>3535</v>
      </c>
      <c r="B379" s="41" t="s">
        <v>1980</v>
      </c>
      <c r="C379" s="0" t="s">
        <v>3147</v>
      </c>
      <c r="D379" s="0" t="s">
        <v>427</v>
      </c>
      <c r="H379" s="0" t="s">
        <v>427</v>
      </c>
      <c r="I379" s="0" t="s">
        <v>427</v>
      </c>
      <c r="J379" s="0" t="s">
        <v>36</v>
      </c>
      <c r="K379" s="0" t="s">
        <v>427</v>
      </c>
      <c r="M379" s="44" t="str">
        <f aca="false">INDEX(fastqs!$A:$A, MATCH(A379, fastqs!$B:$B, 0), 1)</f>
        <v>CLIB02843_merged_R1.fastq.gz</v>
      </c>
      <c r="N379" s="44" t="str">
        <f aca="false">INDEX(fastqs!$C:$C, MATCH(A379, fastqs!$B:$B, 0), 1)</f>
        <v>run0004</v>
      </c>
      <c r="O379" s="44" t="str">
        <f aca="false">INDEX(samples!$B:$B, MATCH(B379, samples!$A:$A, 0), 1)</f>
        <v>par0136</v>
      </c>
      <c r="P379" s="44" t="e">
        <f aca="false">INDEX(participants!$I:$I, MATCH(O379, participants!$A:$A, 0), 1)</f>
        <v>#N/A</v>
      </c>
      <c r="Q379" s="44" t="n">
        <f aca="false">INDEX(samples!$F:$F, MATCH(B379, samples!$A:$A, 0), 1)</f>
        <v>0</v>
      </c>
      <c r="R379" s="49" t="str">
        <f aca="false">INDEX(samples!$C:$C, MATCH(B379, samples!$A:$A, 0), 1)</f>
        <v>2020-03-12</v>
      </c>
      <c r="S379" s="50" t="str">
        <f aca="false">INDEX(samples!$D:$D,MATCH(B379, samples!$A:$A,0),1)</f>
        <v>blood</v>
      </c>
      <c r="T379" s="51" t="s">
        <v>427</v>
      </c>
      <c r="V379" s="33" t="s">
        <v>427</v>
      </c>
      <c r="X379" s="8"/>
      <c r="Y379" s="8" t="s">
        <v>1002</v>
      </c>
      <c r="Z379" s="8" t="n">
        <v>0</v>
      </c>
      <c r="AA379" s="8" t="n">
        <v>0</v>
      </c>
      <c r="AB379" s="8" t="n">
        <v>0</v>
      </c>
    </row>
    <row r="380" customFormat="false" ht="13.8" hidden="false" customHeight="false" outlineLevel="0" collapsed="false">
      <c r="A380" s="48" t="s">
        <v>3536</v>
      </c>
      <c r="B380" s="41" t="s">
        <v>2092</v>
      </c>
      <c r="C380" s="0" t="s">
        <v>3147</v>
      </c>
      <c r="D380" s="0" t="s">
        <v>427</v>
      </c>
      <c r="H380" s="0" t="s">
        <v>427</v>
      </c>
      <c r="I380" s="0" t="s">
        <v>427</v>
      </c>
      <c r="J380" s="0" t="s">
        <v>36</v>
      </c>
      <c r="K380" s="0" t="s">
        <v>427</v>
      </c>
      <c r="M380" s="44" t="str">
        <f aca="false">INDEX(fastqs!$A:$A, MATCH(A380, fastqs!$B:$B, 0), 1)</f>
        <v>CLIB02776_merged_R1.fastq.gz</v>
      </c>
      <c r="N380" s="44" t="str">
        <f aca="false">INDEX(fastqs!$C:$C, MATCH(A380, fastqs!$B:$B, 0), 1)</f>
        <v>run0004</v>
      </c>
      <c r="O380" s="44" t="str">
        <f aca="false">INDEX(samples!$B:$B, MATCH(B380, samples!$A:$A, 0), 1)</f>
        <v>par0146</v>
      </c>
      <c r="P380" s="44" t="e">
        <f aca="false">INDEX(participants!$I:$I, MATCH(O380, participants!$A:$A, 0), 1)</f>
        <v>#N/A</v>
      </c>
      <c r="Q380" s="44" t="n">
        <f aca="false">INDEX(samples!$F:$F, MATCH(B380, samples!$A:$A, 0), 1)</f>
        <v>0</v>
      </c>
      <c r="R380" s="49" t="str">
        <f aca="false">INDEX(samples!$C:$C, MATCH(B380, samples!$A:$A, 0), 1)</f>
        <v>2020-05-05</v>
      </c>
      <c r="S380" s="50" t="str">
        <f aca="false">INDEX(samples!$D:$D,MATCH(B380, samples!$A:$A,0),1)</f>
        <v>blood</v>
      </c>
      <c r="T380" s="51" t="s">
        <v>427</v>
      </c>
      <c r="V380" s="33" t="s">
        <v>427</v>
      </c>
      <c r="X380" s="8"/>
      <c r="Y380" s="8" t="s">
        <v>1002</v>
      </c>
      <c r="Z380" s="8" t="n">
        <v>0</v>
      </c>
      <c r="AA380" s="8" t="n">
        <v>0</v>
      </c>
      <c r="AB380" s="8" t="n">
        <v>0</v>
      </c>
    </row>
    <row r="381" customFormat="false" ht="13.8" hidden="false" customHeight="false" outlineLevel="0" collapsed="false">
      <c r="A381" s="48" t="s">
        <v>3537</v>
      </c>
      <c r="B381" s="41" t="s">
        <v>2249</v>
      </c>
      <c r="C381" s="0" t="s">
        <v>3147</v>
      </c>
      <c r="D381" s="0" t="s">
        <v>427</v>
      </c>
      <c r="H381" s="0" t="s">
        <v>427</v>
      </c>
      <c r="I381" s="0" t="s">
        <v>427</v>
      </c>
      <c r="J381" s="0" t="s">
        <v>36</v>
      </c>
      <c r="K381" s="0" t="s">
        <v>427</v>
      </c>
      <c r="M381" s="44" t="str">
        <f aca="false">INDEX(fastqs!$A:$A, MATCH(A381, fastqs!$B:$B, 0), 1)</f>
        <v>CLIB02842_merged_R1.fastq.gz</v>
      </c>
      <c r="N381" s="44" t="str">
        <f aca="false">INDEX(fastqs!$C:$C, MATCH(A381, fastqs!$B:$B, 0), 1)</f>
        <v>run0004</v>
      </c>
      <c r="O381" s="44" t="str">
        <f aca="false">INDEX(samples!$B:$B, MATCH(B381, samples!$A:$A, 0), 1)</f>
        <v>par0195</v>
      </c>
      <c r="P381" s="44" t="e">
        <f aca="false">INDEX(participants!$I:$I, MATCH(O381, participants!$A:$A, 0), 1)</f>
        <v>#N/A</v>
      </c>
      <c r="Q381" s="44" t="n">
        <f aca="false">INDEX(samples!$F:$F, MATCH(B381, samples!$A:$A, 0), 1)</f>
        <v>0</v>
      </c>
      <c r="R381" s="49" t="str">
        <f aca="false">INDEX(samples!$C:$C, MATCH(B381, samples!$A:$A, 0), 1)</f>
        <v>2020-03-12</v>
      </c>
      <c r="S381" s="50" t="str">
        <f aca="false">INDEX(samples!$D:$D,MATCH(B381, samples!$A:$A,0),1)</f>
        <v>blood</v>
      </c>
      <c r="T381" s="51" t="s">
        <v>427</v>
      </c>
      <c r="V381" s="33" t="s">
        <v>427</v>
      </c>
      <c r="X381" s="8"/>
      <c r="Y381" s="8" t="s">
        <v>1002</v>
      </c>
      <c r="Z381" s="8" t="n">
        <v>0</v>
      </c>
      <c r="AA381" s="8" t="n">
        <v>0</v>
      </c>
      <c r="AB381" s="8" t="n">
        <v>0</v>
      </c>
    </row>
    <row r="382" customFormat="false" ht="13.8" hidden="false" customHeight="false" outlineLevel="0" collapsed="false">
      <c r="A382" s="48" t="s">
        <v>3538</v>
      </c>
      <c r="B382" s="41" t="e">
        <f aca="false">#N/A</f>
        <v>#N/A</v>
      </c>
      <c r="C382" s="0" t="s">
        <v>427</v>
      </c>
      <c r="D382" s="0" t="s">
        <v>427</v>
      </c>
      <c r="H382" s="0" t="s">
        <v>427</v>
      </c>
      <c r="I382" s="0" t="s">
        <v>427</v>
      </c>
      <c r="J382" s="0" t="s">
        <v>36</v>
      </c>
      <c r="K382" s="0" t="s">
        <v>427</v>
      </c>
      <c r="M382" s="44" t="str">
        <f aca="false">INDEX(fastqs!$A:$A, MATCH(A382, fastqs!$B:$B, 0), 1)</f>
        <v>CLIB02845_merged_R1.fastq.gz</v>
      </c>
      <c r="N382" s="44" t="str">
        <f aca="false">INDEX(fastqs!$C:$C, MATCH(A382, fastqs!$B:$B, 0), 1)</f>
        <v>run0004</v>
      </c>
      <c r="O382" s="44" t="e">
        <f aca="false">INDEX(samples!$B:$B, MATCH(B382, samples!$A:$A, 0), 1)</f>
        <v>#N/A</v>
      </c>
      <c r="P382" s="44" t="e">
        <f aca="false">INDEX(participants!$I:$I, MATCH(O382, participants!$A:$A, 0), 1)</f>
        <v>#N/A</v>
      </c>
      <c r="Q382" s="44" t="e">
        <f aca="false">INDEX(samples!$F:$F, MATCH(B382, samples!$A:$A, 0), 1)</f>
        <v>#N/A</v>
      </c>
      <c r="R382" s="49" t="e">
        <f aca="false">INDEX(samples!$C:$C, MATCH(B382, samples!$A:$A, 0), 1)</f>
        <v>#N/A</v>
      </c>
      <c r="S382" s="50" t="e">
        <f aca="false">INDEX(samples!$D:$D,MATCH(B382, samples!$A:$A,0),1)</f>
        <v>#N/A</v>
      </c>
      <c r="T382" s="51" t="s">
        <v>427</v>
      </c>
      <c r="V382" s="33" t="s">
        <v>427</v>
      </c>
      <c r="X382" s="8"/>
      <c r="Y382" s="8" t="s">
        <v>1002</v>
      </c>
      <c r="Z382" s="8" t="n">
        <v>0</v>
      </c>
      <c r="AA382" s="8" t="n">
        <v>0</v>
      </c>
      <c r="AB382" s="8" t="n">
        <v>0</v>
      </c>
    </row>
    <row r="383" customFormat="false" ht="13.8" hidden="false" customHeight="false" outlineLevel="0" collapsed="false">
      <c r="A383" s="48" t="s">
        <v>3539</v>
      </c>
      <c r="B383" s="41" t="e">
        <f aca="false">#N/A</f>
        <v>#N/A</v>
      </c>
      <c r="C383" s="0" t="s">
        <v>427</v>
      </c>
      <c r="D383" s="0" t="s">
        <v>427</v>
      </c>
      <c r="H383" s="0" t="s">
        <v>427</v>
      </c>
      <c r="I383" s="0" t="s">
        <v>427</v>
      </c>
      <c r="J383" s="0" t="s">
        <v>36</v>
      </c>
      <c r="K383" s="0" t="s">
        <v>427</v>
      </c>
      <c r="M383" s="44" t="str">
        <f aca="false">INDEX(fastqs!$A:$A, MATCH(A383, fastqs!$B:$B, 0), 1)</f>
        <v>CLIB02847_merged_R1.fastq.gz</v>
      </c>
      <c r="N383" s="44" t="str">
        <f aca="false">INDEX(fastqs!$C:$C, MATCH(A383, fastqs!$B:$B, 0), 1)</f>
        <v>run0004</v>
      </c>
      <c r="O383" s="44" t="e">
        <f aca="false">INDEX(samples!$B:$B, MATCH(B383, samples!$A:$A, 0), 1)</f>
        <v>#N/A</v>
      </c>
      <c r="P383" s="44" t="e">
        <f aca="false">INDEX(participants!$I:$I, MATCH(O383, participants!$A:$A, 0), 1)</f>
        <v>#N/A</v>
      </c>
      <c r="Q383" s="44" t="e">
        <f aca="false">INDEX(samples!$F:$F, MATCH(B383, samples!$A:$A, 0), 1)</f>
        <v>#N/A</v>
      </c>
      <c r="R383" s="49" t="e">
        <f aca="false">INDEX(samples!$C:$C, MATCH(B383, samples!$A:$A, 0), 1)</f>
        <v>#N/A</v>
      </c>
      <c r="S383" s="50" t="e">
        <f aca="false">INDEX(samples!$D:$D,MATCH(B383, samples!$A:$A,0),1)</f>
        <v>#N/A</v>
      </c>
      <c r="T383" s="51" t="s">
        <v>427</v>
      </c>
      <c r="V383" s="33" t="s">
        <v>427</v>
      </c>
      <c r="X383" s="8"/>
      <c r="Y383" s="8" t="s">
        <v>1002</v>
      </c>
      <c r="Z383" s="8" t="n">
        <v>0</v>
      </c>
      <c r="AA383" s="8" t="n">
        <v>0</v>
      </c>
      <c r="AB383" s="8" t="n">
        <v>0</v>
      </c>
    </row>
    <row r="384" customFormat="false" ht="13.8" hidden="false" customHeight="false" outlineLevel="0" collapsed="false">
      <c r="A384" s="48" t="s">
        <v>3540</v>
      </c>
      <c r="B384" s="41" t="s">
        <v>1969</v>
      </c>
      <c r="C384" s="0" t="s">
        <v>3147</v>
      </c>
      <c r="D384" s="0" t="s">
        <v>3398</v>
      </c>
      <c r="H384" s="0" t="s">
        <v>3272</v>
      </c>
      <c r="I384" s="0" t="s">
        <v>1002</v>
      </c>
      <c r="J384" s="0" t="s">
        <v>427</v>
      </c>
      <c r="K384" s="0" t="n">
        <v>8</v>
      </c>
      <c r="M384" s="44" t="str">
        <f aca="false">INDEX(fastqs!$A:$A, MATCH(A384, fastqs!$B:$B, 0), 1)</f>
        <v>1_NF589_S1_R1_001.fastq.gz</v>
      </c>
      <c r="N384" s="44" t="str">
        <f aca="false">INDEX(fastqs!$C:$C, MATCH(A384, fastqs!$B:$B, 0), 1)</f>
        <v>run0005</v>
      </c>
      <c r="O384" s="44" t="str">
        <f aca="false">INDEX(samples!$B:$B, MATCH(B384, samples!$A:$A, 0), 1)</f>
        <v>par0109</v>
      </c>
      <c r="P384" s="44" t="e">
        <f aca="false">INDEX(participants!$I:$I, MATCH(O384, participants!$A:$A, 0), 1)</f>
        <v>#N/A</v>
      </c>
      <c r="Q384" s="44" t="n">
        <f aca="false">INDEX(samples!$F:$F, MATCH(B384, samples!$A:$A, 0), 1)</f>
        <v>0</v>
      </c>
      <c r="R384" s="49" t="str">
        <f aca="false">INDEX(samples!$C:$C, MATCH(B384, samples!$A:$A, 0), 1)</f>
        <v>2020-01-21</v>
      </c>
      <c r="S384" s="50" t="str">
        <f aca="false">INDEX(samples!$D:$D,MATCH(B384, samples!$A:$A,0),1)</f>
        <v>blood</v>
      </c>
      <c r="T384" s="51" t="s">
        <v>427</v>
      </c>
      <c r="V384" s="33" t="s">
        <v>427</v>
      </c>
      <c r="X384" s="8"/>
      <c r="Y384" s="8" t="s">
        <v>1002</v>
      </c>
      <c r="Z384" s="8" t="n">
        <v>0</v>
      </c>
      <c r="AA384" s="8" t="n">
        <v>0</v>
      </c>
      <c r="AB384" s="8" t="n">
        <v>0</v>
      </c>
    </row>
    <row r="385" customFormat="false" ht="13.8" hidden="false" customHeight="false" outlineLevel="0" collapsed="false">
      <c r="A385" s="48" t="s">
        <v>3541</v>
      </c>
      <c r="B385" s="41" t="s">
        <v>1957</v>
      </c>
      <c r="C385" s="0" t="s">
        <v>3147</v>
      </c>
      <c r="D385" s="0" t="s">
        <v>3398</v>
      </c>
      <c r="H385" s="0" t="s">
        <v>3272</v>
      </c>
      <c r="I385" s="0" t="s">
        <v>1002</v>
      </c>
      <c r="J385" s="0" t="s">
        <v>427</v>
      </c>
      <c r="K385" s="0" t="n">
        <v>8</v>
      </c>
      <c r="M385" s="44" t="str">
        <f aca="false">INDEX(fastqs!$A:$A, MATCH(A385, fastqs!$B:$B, 0), 1)</f>
        <v>2_NF589_S1_R2_001.fastq.gz</v>
      </c>
      <c r="N385" s="44" t="str">
        <f aca="false">INDEX(fastqs!$C:$C, MATCH(A385, fastqs!$B:$B, 0), 1)</f>
        <v>run0005</v>
      </c>
      <c r="O385" s="44" t="str">
        <f aca="false">INDEX(samples!$B:$B, MATCH(B385, samples!$A:$A, 0), 1)</f>
        <v>par0107</v>
      </c>
      <c r="P385" s="44" t="e">
        <f aca="false">INDEX(participants!$I:$I, MATCH(O385, participants!$A:$A, 0), 1)</f>
        <v>#N/A</v>
      </c>
      <c r="Q385" s="44" t="n">
        <f aca="false">INDEX(samples!$F:$F, MATCH(B385, samples!$A:$A, 0), 1)</f>
        <v>0</v>
      </c>
      <c r="R385" s="49" t="str">
        <f aca="false">INDEX(samples!$C:$C, MATCH(B385, samples!$A:$A, 0), 1)</f>
        <v>2019-11-25</v>
      </c>
      <c r="S385" s="50" t="str">
        <f aca="false">INDEX(samples!$D:$D,MATCH(B385, samples!$A:$A,0),1)</f>
        <v>blood</v>
      </c>
      <c r="T385" s="51" t="s">
        <v>427</v>
      </c>
      <c r="V385" s="33" t="s">
        <v>427</v>
      </c>
      <c r="X385" s="8"/>
      <c r="Y385" s="8" t="s">
        <v>1002</v>
      </c>
      <c r="Z385" s="8" t="n">
        <v>0</v>
      </c>
      <c r="AA385" s="8" t="n">
        <v>0</v>
      </c>
      <c r="AB385" s="8" t="n">
        <v>0</v>
      </c>
    </row>
    <row r="386" customFormat="false" ht="13.8" hidden="false" customHeight="false" outlineLevel="0" collapsed="false">
      <c r="A386" s="48" t="s">
        <v>3542</v>
      </c>
      <c r="B386" s="41" t="s">
        <v>1925</v>
      </c>
      <c r="C386" s="0" t="s">
        <v>3147</v>
      </c>
      <c r="D386" s="0" t="s">
        <v>3398</v>
      </c>
      <c r="H386" s="0" t="s">
        <v>3272</v>
      </c>
      <c r="I386" s="0" t="s">
        <v>1002</v>
      </c>
      <c r="J386" s="0" t="s">
        <v>427</v>
      </c>
      <c r="K386" s="0" t="n">
        <v>8</v>
      </c>
      <c r="M386" s="44" t="str">
        <f aca="false">INDEX(fastqs!$A:$A, MATCH(A386, fastqs!$B:$B, 0), 1)</f>
        <v>3_NF579_S3_R1_001.fastq.gz</v>
      </c>
      <c r="N386" s="44" t="str">
        <f aca="false">INDEX(fastqs!$C:$C, MATCH(A386, fastqs!$B:$B, 0), 1)</f>
        <v>run0005</v>
      </c>
      <c r="O386" s="44" t="str">
        <f aca="false">INDEX(samples!$B:$B, MATCH(B386, samples!$A:$A, 0), 1)</f>
        <v>par0102</v>
      </c>
      <c r="P386" s="44" t="e">
        <f aca="false">INDEX(participants!$I:$I, MATCH(O386, participants!$A:$A, 0), 1)</f>
        <v>#N/A</v>
      </c>
      <c r="Q386" s="44" t="n">
        <f aca="false">INDEX(samples!$F:$F, MATCH(B386, samples!$A:$A, 0), 1)</f>
        <v>0</v>
      </c>
      <c r="R386" s="49" t="str">
        <f aca="false">INDEX(samples!$C:$C, MATCH(B386, samples!$A:$A, 0), 1)</f>
        <v>2019-09-12</v>
      </c>
      <c r="S386" s="50" t="str">
        <f aca="false">INDEX(samples!$D:$D,MATCH(B386, samples!$A:$A,0),1)</f>
        <v>blood</v>
      </c>
      <c r="T386" s="51" t="s">
        <v>427</v>
      </c>
      <c r="V386" s="33" t="s">
        <v>427</v>
      </c>
      <c r="X386" s="8"/>
      <c r="Y386" s="8" t="s">
        <v>1002</v>
      </c>
      <c r="Z386" s="8" t="n">
        <v>0</v>
      </c>
      <c r="AA386" s="8" t="n">
        <v>0</v>
      </c>
      <c r="AB386" s="8" t="n">
        <v>0</v>
      </c>
    </row>
    <row r="387" customFormat="false" ht="13.8" hidden="false" customHeight="false" outlineLevel="0" collapsed="false">
      <c r="A387" s="48" t="s">
        <v>3543</v>
      </c>
      <c r="B387" s="41" t="s">
        <v>2342</v>
      </c>
      <c r="C387" s="0" t="s">
        <v>3147</v>
      </c>
      <c r="D387" s="0" t="s">
        <v>3398</v>
      </c>
      <c r="H387" s="0" t="s">
        <v>3272</v>
      </c>
      <c r="I387" s="0" t="s">
        <v>1002</v>
      </c>
      <c r="J387" s="0" t="s">
        <v>427</v>
      </c>
      <c r="K387" s="0" t="n">
        <v>8</v>
      </c>
      <c r="M387" s="44" t="str">
        <f aca="false">INDEX(fastqs!$A:$A, MATCH(A387, fastqs!$B:$B, 0), 1)</f>
        <v>4_NF614_S4_R1_001.fastq.gz</v>
      </c>
      <c r="N387" s="44" t="str">
        <f aca="false">INDEX(fastqs!$C:$C, MATCH(A387, fastqs!$B:$B, 0), 1)</f>
        <v>run0005</v>
      </c>
      <c r="O387" s="44" t="str">
        <f aca="false">INDEX(samples!$B:$B, MATCH(B387, samples!$A:$A, 0), 1)</f>
        <v>par0233</v>
      </c>
      <c r="P387" s="44" t="e">
        <f aca="false">INDEX(participants!$I:$I, MATCH(O387, participants!$A:$A, 0), 1)</f>
        <v>#N/A</v>
      </c>
      <c r="Q387" s="44" t="n">
        <f aca="false">INDEX(samples!$F:$F, MATCH(B387, samples!$A:$A, 0), 1)</f>
        <v>0</v>
      </c>
      <c r="R387" s="49" t="str">
        <f aca="false">INDEX(samples!$C:$C, MATCH(B387, samples!$A:$A, 0), 1)</f>
        <v>2020-08-11</v>
      </c>
      <c r="S387" s="50" t="str">
        <f aca="false">INDEX(samples!$D:$D,MATCH(B387, samples!$A:$A,0),1)</f>
        <v>blood</v>
      </c>
      <c r="T387" s="51" t="s">
        <v>427</v>
      </c>
      <c r="V387" s="33" t="s">
        <v>427</v>
      </c>
      <c r="X387" s="8"/>
      <c r="Y387" s="8" t="s">
        <v>1002</v>
      </c>
      <c r="Z387" s="8" t="n">
        <v>0</v>
      </c>
      <c r="AA387" s="8" t="n">
        <v>0</v>
      </c>
      <c r="AB387" s="8" t="n">
        <v>0</v>
      </c>
    </row>
    <row r="388" customFormat="false" ht="13.8" hidden="false" customHeight="false" outlineLevel="0" collapsed="false">
      <c r="A388" s="48" t="s">
        <v>3544</v>
      </c>
      <c r="B388" s="41" t="s">
        <v>2339</v>
      </c>
      <c r="C388" s="0" t="s">
        <v>3147</v>
      </c>
      <c r="D388" s="0" t="s">
        <v>3398</v>
      </c>
      <c r="H388" s="0" t="s">
        <v>3272</v>
      </c>
      <c r="I388" s="0" t="s">
        <v>1002</v>
      </c>
      <c r="J388" s="0" t="s">
        <v>427</v>
      </c>
      <c r="K388" s="0" t="n">
        <v>8</v>
      </c>
      <c r="M388" s="44" t="str">
        <f aca="false">INDEX(fastqs!$A:$A, MATCH(A388, fastqs!$B:$B, 0), 1)</f>
        <v>5_NF620_S5_R1_001.fastq.gz</v>
      </c>
      <c r="N388" s="44" t="str">
        <f aca="false">INDEX(fastqs!$C:$C, MATCH(A388, fastqs!$B:$B, 0), 1)</f>
        <v>run0005</v>
      </c>
      <c r="O388" s="44" t="str">
        <f aca="false">INDEX(samples!$B:$B, MATCH(B388, samples!$A:$A, 0), 1)</f>
        <v>par0234</v>
      </c>
      <c r="P388" s="44" t="e">
        <f aca="false">INDEX(participants!$I:$I, MATCH(O388, participants!$A:$A, 0), 1)</f>
        <v>#N/A</v>
      </c>
      <c r="Q388" s="44" t="n">
        <f aca="false">INDEX(samples!$F:$F, MATCH(B388, samples!$A:$A, 0), 1)</f>
        <v>0</v>
      </c>
      <c r="R388" s="49" t="str">
        <f aca="false">INDEX(samples!$C:$C, MATCH(B388, samples!$A:$A, 0), 1)</f>
        <v>2020-11-03</v>
      </c>
      <c r="S388" s="50" t="str">
        <f aca="false">INDEX(samples!$D:$D,MATCH(B388, samples!$A:$A,0),1)</f>
        <v>blood</v>
      </c>
      <c r="T388" s="51" t="s">
        <v>427</v>
      </c>
      <c r="V388" s="33" t="s">
        <v>427</v>
      </c>
      <c r="X388" s="8"/>
      <c r="Y388" s="8" t="s">
        <v>1002</v>
      </c>
      <c r="Z388" s="8" t="n">
        <v>0</v>
      </c>
      <c r="AA388" s="8" t="n">
        <v>0</v>
      </c>
      <c r="AB388" s="8" t="n">
        <v>0</v>
      </c>
    </row>
    <row r="389" customFormat="false" ht="13.8" hidden="false" customHeight="false" outlineLevel="0" collapsed="false">
      <c r="A389" s="48" t="s">
        <v>3545</v>
      </c>
      <c r="B389" s="41" t="s">
        <v>2336</v>
      </c>
      <c r="C389" s="0" t="s">
        <v>3147</v>
      </c>
      <c r="D389" s="0" t="s">
        <v>3398</v>
      </c>
      <c r="H389" s="0" t="s">
        <v>3272</v>
      </c>
      <c r="I389" s="0" t="s">
        <v>1002</v>
      </c>
      <c r="J389" s="0" t="s">
        <v>427</v>
      </c>
      <c r="K389" s="0" t="n">
        <v>8</v>
      </c>
      <c r="M389" s="44" t="str">
        <f aca="false">INDEX(fastqs!$A:$A, MATCH(A389, fastqs!$B:$B, 0), 1)</f>
        <v>6_NF626_S6_R2_001.fastq.gz</v>
      </c>
      <c r="N389" s="44" t="str">
        <f aca="false">INDEX(fastqs!$C:$C, MATCH(A389, fastqs!$B:$B, 0), 1)</f>
        <v>run0005</v>
      </c>
      <c r="O389" s="44" t="str">
        <f aca="false">INDEX(samples!$B:$B, MATCH(B389, samples!$A:$A, 0), 1)</f>
        <v>par0235</v>
      </c>
      <c r="P389" s="44" t="e">
        <f aca="false">INDEX(participants!$I:$I, MATCH(O389, participants!$A:$A, 0), 1)</f>
        <v>#N/A</v>
      </c>
      <c r="Q389" s="44" t="n">
        <f aca="false">INDEX(samples!$F:$F, MATCH(B389, samples!$A:$A, 0), 1)</f>
        <v>0</v>
      </c>
      <c r="R389" s="49" t="str">
        <f aca="false">INDEX(samples!$C:$C, MATCH(B389, samples!$A:$A, 0), 1)</f>
        <v>2021-02-02</v>
      </c>
      <c r="S389" s="50" t="str">
        <f aca="false">INDEX(samples!$D:$D,MATCH(B389, samples!$A:$A,0),1)</f>
        <v>blood</v>
      </c>
      <c r="T389" s="51" t="s">
        <v>427</v>
      </c>
      <c r="V389" s="33" t="s">
        <v>427</v>
      </c>
      <c r="X389" s="8"/>
      <c r="Y389" s="8" t="s">
        <v>1002</v>
      </c>
      <c r="Z389" s="8" t="n">
        <v>0</v>
      </c>
      <c r="AA389" s="8" t="n">
        <v>0</v>
      </c>
      <c r="AB389" s="8" t="n">
        <v>0</v>
      </c>
    </row>
    <row r="390" customFormat="false" ht="13.8" hidden="false" customHeight="false" outlineLevel="0" collapsed="false">
      <c r="A390" s="48" t="s">
        <v>3546</v>
      </c>
      <c r="B390" s="41" t="s">
        <v>2333</v>
      </c>
      <c r="C390" s="0" t="s">
        <v>3147</v>
      </c>
      <c r="D390" s="0" t="s">
        <v>3398</v>
      </c>
      <c r="H390" s="0" t="s">
        <v>3272</v>
      </c>
      <c r="I390" s="0" t="s">
        <v>1002</v>
      </c>
      <c r="J390" s="0" t="s">
        <v>427</v>
      </c>
      <c r="K390" s="0" t="n">
        <v>8</v>
      </c>
      <c r="M390" s="44" t="str">
        <f aca="false">INDEX(fastqs!$A:$A, MATCH(A390, fastqs!$B:$B, 0), 1)</f>
        <v>7_NF621_S7_R1_001.fastq.gz</v>
      </c>
      <c r="N390" s="44" t="str">
        <f aca="false">INDEX(fastqs!$C:$C, MATCH(A390, fastqs!$B:$B, 0), 1)</f>
        <v>run0005</v>
      </c>
      <c r="O390" s="44" t="str">
        <f aca="false">INDEX(samples!$B:$B, MATCH(B390, samples!$A:$A, 0), 1)</f>
        <v>par0236</v>
      </c>
      <c r="P390" s="44" t="e">
        <f aca="false">INDEX(participants!$I:$I, MATCH(O390, participants!$A:$A, 0), 1)</f>
        <v>#N/A</v>
      </c>
      <c r="Q390" s="44" t="n">
        <f aca="false">INDEX(samples!$F:$F, MATCH(B390, samples!$A:$A, 0), 1)</f>
        <v>0</v>
      </c>
      <c r="R390" s="49" t="str">
        <f aca="false">INDEX(samples!$C:$C, MATCH(B390, samples!$A:$A, 0), 1)</f>
        <v>2020-11-17</v>
      </c>
      <c r="S390" s="50" t="str">
        <f aca="false">INDEX(samples!$D:$D,MATCH(B390, samples!$A:$A,0),1)</f>
        <v>blood</v>
      </c>
      <c r="T390" s="51" t="s">
        <v>427</v>
      </c>
      <c r="V390" s="33" t="s">
        <v>427</v>
      </c>
      <c r="X390" s="8"/>
      <c r="Y390" s="8" t="s">
        <v>1002</v>
      </c>
      <c r="Z390" s="8" t="n">
        <v>0</v>
      </c>
      <c r="AA390" s="8" t="n">
        <v>0</v>
      </c>
      <c r="AB390" s="8" t="n">
        <v>0</v>
      </c>
    </row>
    <row r="391" customFormat="false" ht="13.8" hidden="false" customHeight="false" outlineLevel="0" collapsed="false">
      <c r="A391" s="48" t="s">
        <v>3547</v>
      </c>
      <c r="B391" s="41" t="s">
        <v>2329</v>
      </c>
      <c r="C391" s="0" t="s">
        <v>3147</v>
      </c>
      <c r="D391" s="0" t="s">
        <v>3398</v>
      </c>
      <c r="H391" s="0" t="s">
        <v>3272</v>
      </c>
      <c r="I391" s="0" t="s">
        <v>1002</v>
      </c>
      <c r="J391" s="0" t="s">
        <v>427</v>
      </c>
      <c r="K391" s="0" t="n">
        <v>8</v>
      </c>
      <c r="M391" s="44" t="str">
        <f aca="false">INDEX(fastqs!$A:$A, MATCH(A391, fastqs!$B:$B, 0), 1)</f>
        <v>8_NF641_S8_R1_001.fastq.gz</v>
      </c>
      <c r="N391" s="44" t="str">
        <f aca="false">INDEX(fastqs!$C:$C, MATCH(A391, fastqs!$B:$B, 0), 1)</f>
        <v>run0005</v>
      </c>
      <c r="O391" s="44" t="str">
        <f aca="false">INDEX(samples!$B:$B, MATCH(B391, samples!$A:$A, 0), 1)</f>
        <v>par0237</v>
      </c>
      <c r="P391" s="44" t="e">
        <f aca="false">INDEX(participants!$I:$I, MATCH(O391, participants!$A:$A, 0), 1)</f>
        <v>#N/A</v>
      </c>
      <c r="Q391" s="44" t="n">
        <f aca="false">INDEX(samples!$F:$F, MATCH(B391, samples!$A:$A, 0), 1)</f>
        <v>0</v>
      </c>
      <c r="R391" s="49" t="str">
        <f aca="false">INDEX(samples!$C:$C, MATCH(B391, samples!$A:$A, 0), 1)</f>
        <v>2021-06-10</v>
      </c>
      <c r="S391" s="50" t="str">
        <f aca="false">INDEX(samples!$D:$D,MATCH(B391, samples!$A:$A,0),1)</f>
        <v>blood</v>
      </c>
      <c r="T391" s="51" t="s">
        <v>427</v>
      </c>
      <c r="V391" s="33" t="s">
        <v>427</v>
      </c>
      <c r="X391" s="8"/>
      <c r="Y391" s="8" t="s">
        <v>1002</v>
      </c>
      <c r="Z391" s="8" t="n">
        <v>0</v>
      </c>
      <c r="AA391" s="8" t="n">
        <v>0</v>
      </c>
      <c r="AB391" s="8" t="n">
        <v>0</v>
      </c>
    </row>
    <row r="392" customFormat="false" ht="13.8" hidden="false" customHeight="false" outlineLevel="0" collapsed="false">
      <c r="A392" s="48" t="s">
        <v>3548</v>
      </c>
      <c r="B392" s="41" t="s">
        <v>2327</v>
      </c>
      <c r="C392" s="0" t="s">
        <v>3147</v>
      </c>
      <c r="D392" s="0" t="s">
        <v>3398</v>
      </c>
      <c r="H392" s="0" t="s">
        <v>3272</v>
      </c>
      <c r="I392" s="0" t="s">
        <v>1002</v>
      </c>
      <c r="J392" s="0" t="s">
        <v>427</v>
      </c>
      <c r="K392" s="0" t="n">
        <v>8</v>
      </c>
      <c r="M392" s="44" t="str">
        <f aca="false">INDEX(fastqs!$A:$A, MATCH(A392, fastqs!$B:$B, 0), 1)</f>
        <v>9_NF642_S9_R1_001.fastq.gz</v>
      </c>
      <c r="N392" s="44" t="str">
        <f aca="false">INDEX(fastqs!$C:$C, MATCH(A392, fastqs!$B:$B, 0), 1)</f>
        <v>run0005</v>
      </c>
      <c r="O392" s="44" t="str">
        <f aca="false">INDEX(samples!$B:$B, MATCH(B392, samples!$A:$A, 0), 1)</f>
        <v>par0238</v>
      </c>
      <c r="P392" s="44" t="e">
        <f aca="false">INDEX(participants!$I:$I, MATCH(O392, participants!$A:$A, 0), 1)</f>
        <v>#N/A</v>
      </c>
      <c r="Q392" s="44" t="n">
        <f aca="false">INDEX(samples!$F:$F, MATCH(B392, samples!$A:$A, 0), 1)</f>
        <v>0</v>
      </c>
      <c r="R392" s="49" t="str">
        <f aca="false">INDEX(samples!$C:$C, MATCH(B392, samples!$A:$A, 0), 1)</f>
        <v>2021-06-22</v>
      </c>
      <c r="S392" s="50" t="str">
        <f aca="false">INDEX(samples!$D:$D,MATCH(B392, samples!$A:$A,0),1)</f>
        <v>blood</v>
      </c>
      <c r="T392" s="51" t="s">
        <v>427</v>
      </c>
      <c r="V392" s="33" t="s">
        <v>427</v>
      </c>
      <c r="X392" s="8"/>
      <c r="Y392" s="8" t="s">
        <v>1002</v>
      </c>
      <c r="Z392" s="8" t="n">
        <v>0</v>
      </c>
      <c r="AA392" s="8" t="n">
        <v>0</v>
      </c>
      <c r="AB392" s="8" t="n">
        <v>0</v>
      </c>
    </row>
    <row r="393" customFormat="false" ht="13.8" hidden="false" customHeight="false" outlineLevel="0" collapsed="false">
      <c r="A393" s="48" t="s">
        <v>3549</v>
      </c>
      <c r="B393" s="41" t="s">
        <v>2326</v>
      </c>
      <c r="C393" s="0" t="s">
        <v>3147</v>
      </c>
      <c r="D393" s="0" t="s">
        <v>3398</v>
      </c>
      <c r="H393" s="0" t="s">
        <v>3272</v>
      </c>
      <c r="I393" s="0" t="s">
        <v>1002</v>
      </c>
      <c r="J393" s="0" t="s">
        <v>427</v>
      </c>
      <c r="K393" s="0" t="n">
        <v>8</v>
      </c>
      <c r="M393" s="44" t="str">
        <f aca="false">INDEX(fastqs!$A:$A, MATCH(A393, fastqs!$B:$B, 0), 1)</f>
        <v>10_NCI_TC_S10_R1_001.fastq.gz</v>
      </c>
      <c r="N393" s="44" t="str">
        <f aca="false">INDEX(fastqs!$C:$C, MATCH(A393, fastqs!$B:$B, 0), 1)</f>
        <v>run0005</v>
      </c>
      <c r="O393" s="44" t="str">
        <f aca="false">INDEX(samples!$B:$B, MATCH(B393, samples!$A:$A, 0), 1)</f>
        <v>par0164</v>
      </c>
      <c r="P393" s="44" t="e">
        <f aca="false">INDEX(participants!$I:$I, MATCH(O393, participants!$A:$A, 0), 1)</f>
        <v>#N/A</v>
      </c>
      <c r="Q393" s="44" t="n">
        <f aca="false">INDEX(samples!$F:$F, MATCH(B393, samples!$A:$A, 0), 1)</f>
        <v>0</v>
      </c>
      <c r="R393" s="49" t="str">
        <f aca="false">INDEX(samples!$C:$C, MATCH(B393, samples!$A:$A, 0), 1)</f>
        <v>2020-09-15</v>
      </c>
      <c r="S393" s="50" t="str">
        <f aca="false">INDEX(samples!$D:$D,MATCH(B393, samples!$A:$A,0),1)</f>
        <v>blood</v>
      </c>
      <c r="T393" s="51" t="s">
        <v>427</v>
      </c>
      <c r="V393" s="33" t="s">
        <v>427</v>
      </c>
      <c r="X393" s="8"/>
      <c r="Y393" s="8" t="s">
        <v>1002</v>
      </c>
      <c r="Z393" s="8" t="n">
        <v>0</v>
      </c>
      <c r="AA393" s="8" t="n">
        <v>0</v>
      </c>
      <c r="AB393" s="8" t="n">
        <v>0</v>
      </c>
    </row>
    <row r="394" customFormat="false" ht="13.8" hidden="false" customHeight="false" outlineLevel="0" collapsed="false">
      <c r="A394" s="48" t="s">
        <v>3550</v>
      </c>
      <c r="B394" s="41" t="s">
        <v>2345</v>
      </c>
      <c r="C394" s="0" t="s">
        <v>3147</v>
      </c>
      <c r="D394" s="0" t="s">
        <v>3551</v>
      </c>
      <c r="H394" s="0" t="s">
        <v>3552</v>
      </c>
      <c r="I394" s="0" t="s">
        <v>1002</v>
      </c>
      <c r="J394" s="0" t="s">
        <v>427</v>
      </c>
      <c r="K394" s="0" t="n">
        <v>8</v>
      </c>
      <c r="M394" s="44" t="str">
        <f aca="false">INDEX(fastqs!$A:$A, MATCH(A394, fastqs!$B:$B, 0), 1)</f>
        <v>CLIB02846_merged_R1.fastq.gz</v>
      </c>
      <c r="N394" s="44" t="str">
        <f aca="false">INDEX(fastqs!$C:$C, MATCH(A394, fastqs!$B:$B, 0), 1)</f>
        <v>run0004</v>
      </c>
      <c r="O394" s="44" t="str">
        <f aca="false">INDEX(samples!$B:$B, MATCH(B394, samples!$A:$A, 0), 1)</f>
        <v>par0232</v>
      </c>
      <c r="P394" s="44" t="e">
        <f aca="false">INDEX(participants!$I:$I, MATCH(O394, participants!$A:$A, 0), 1)</f>
        <v>#N/A</v>
      </c>
      <c r="Q394" s="44" t="n">
        <f aca="false">INDEX(samples!$F:$F, MATCH(B394, samples!$A:$A, 0), 1)</f>
        <v>0</v>
      </c>
      <c r="R394" s="49" t="str">
        <f aca="false">INDEX(samples!$C:$C, MATCH(B394, samples!$A:$A, 0), 1)</f>
        <v>UNK</v>
      </c>
      <c r="S394" s="50" t="str">
        <f aca="false">INDEX(samples!$D:$D,MATCH(B394, samples!$A:$A,0),1)</f>
        <v>blood</v>
      </c>
      <c r="T394" s="51" t="s">
        <v>427</v>
      </c>
      <c r="V394" s="33" t="s">
        <v>427</v>
      </c>
      <c r="X394" s="8"/>
      <c r="Y394" s="8" t="s">
        <v>1002</v>
      </c>
      <c r="Z394" s="8" t="n">
        <v>0</v>
      </c>
      <c r="AA394" s="8" t="n">
        <v>0</v>
      </c>
      <c r="AB394" s="8" t="n">
        <v>0</v>
      </c>
    </row>
    <row r="395" customFormat="false" ht="13.8" hidden="false" customHeight="false" outlineLevel="0" collapsed="false">
      <c r="A395" s="48" t="s">
        <v>3553</v>
      </c>
      <c r="B395" s="41" t="s">
        <v>2347</v>
      </c>
      <c r="C395" s="0" t="s">
        <v>3147</v>
      </c>
      <c r="D395" s="0" t="s">
        <v>3398</v>
      </c>
      <c r="H395" s="0" t="s">
        <v>3272</v>
      </c>
      <c r="I395" s="0" t="s">
        <v>1002</v>
      </c>
      <c r="J395" s="0" t="s">
        <v>427</v>
      </c>
      <c r="K395" s="0" t="n">
        <v>8</v>
      </c>
      <c r="M395" s="44" t="str">
        <f aca="false">INDEX(fastqs!$A:$A, MATCH(A395, fastqs!$B:$B, 0), 1)</f>
        <v>WUSTL.668_-_First_R1.fastq.gz</v>
      </c>
      <c r="N395" s="44" t="str">
        <f aca="false">INDEX(fastqs!$C:$C, MATCH(A395, fastqs!$B:$B, 0), 1)</f>
        <v>run0006</v>
      </c>
      <c r="O395" s="44" t="str">
        <f aca="false">INDEX(samples!$B:$B, MATCH(B395, samples!$A:$A, 0), 1)</f>
        <v>par0257</v>
      </c>
      <c r="P395" s="44" t="e">
        <f aca="false">INDEX(participants!$I:$I, MATCH(O395, participants!$A:$A, 0), 1)</f>
        <v>#N/A</v>
      </c>
      <c r="Q395" s="44" t="n">
        <f aca="false">INDEX(samples!$F:$F, MATCH(B395, samples!$A:$A, 0), 1)</f>
        <v>0</v>
      </c>
      <c r="R395" s="49" t="str">
        <f aca="false">INDEX(samples!$C:$C, MATCH(B395, samples!$A:$A, 0), 1)</f>
        <v>2021-11-16</v>
      </c>
      <c r="S395" s="50" t="str">
        <f aca="false">INDEX(samples!$D:$D,MATCH(B395, samples!$A:$A,0),1)</f>
        <v>blood</v>
      </c>
      <c r="T395" s="51" t="s">
        <v>427</v>
      </c>
      <c r="V395" s="33" t="s">
        <v>427</v>
      </c>
      <c r="X395" s="8"/>
      <c r="Y395" s="8" t="s">
        <v>1002</v>
      </c>
      <c r="Z395" s="8" t="n">
        <v>0</v>
      </c>
      <c r="AA395" s="8" t="n">
        <v>0</v>
      </c>
      <c r="AB395" s="8" t="n">
        <v>0</v>
      </c>
    </row>
    <row r="396" customFormat="false" ht="13.8" hidden="false" customHeight="false" outlineLevel="0" collapsed="false">
      <c r="A396" s="48" t="s">
        <v>3554</v>
      </c>
      <c r="B396" s="41" t="s">
        <v>2351</v>
      </c>
      <c r="C396" s="0" t="s">
        <v>3147</v>
      </c>
      <c r="D396" s="0" t="s">
        <v>3398</v>
      </c>
      <c r="H396" s="0" t="s">
        <v>3272</v>
      </c>
      <c r="I396" s="0" t="s">
        <v>1002</v>
      </c>
      <c r="J396" s="0" t="s">
        <v>427</v>
      </c>
      <c r="K396" s="0" t="n">
        <v>8</v>
      </c>
      <c r="M396" s="44" t="str">
        <f aca="false">INDEX(fastqs!$A:$A, MATCH(A396, fastqs!$B:$B, 0), 1)</f>
        <v>WUSTL.668_-_Second_R1.fastq.gz</v>
      </c>
      <c r="N396" s="44" t="str">
        <f aca="false">INDEX(fastqs!$C:$C, MATCH(A396, fastqs!$B:$B, 0), 1)</f>
        <v>run0006</v>
      </c>
      <c r="O396" s="44" t="str">
        <f aca="false">INDEX(samples!$B:$B, MATCH(B396, samples!$A:$A, 0), 1)</f>
        <v>par0257</v>
      </c>
      <c r="P396" s="44" t="e">
        <f aca="false">INDEX(participants!$I:$I, MATCH(O396, participants!$A:$A, 0), 1)</f>
        <v>#N/A</v>
      </c>
      <c r="Q396" s="44" t="n">
        <f aca="false">INDEX(samples!$F:$F, MATCH(B396, samples!$A:$A, 0), 1)</f>
        <v>0</v>
      </c>
      <c r="R396" s="49" t="str">
        <f aca="false">INDEX(samples!$C:$C, MATCH(B396, samples!$A:$A, 0), 1)</f>
        <v>2022-03-14</v>
      </c>
      <c r="S396" s="50" t="str">
        <f aca="false">INDEX(samples!$D:$D,MATCH(B396, samples!$A:$A,0),1)</f>
        <v>blood</v>
      </c>
      <c r="T396" s="51" t="s">
        <v>427</v>
      </c>
      <c r="V396" s="33" t="s">
        <v>427</v>
      </c>
      <c r="X396" s="8"/>
      <c r="Y396" s="8" t="s">
        <v>1002</v>
      </c>
      <c r="Z396" s="8" t="n">
        <v>0</v>
      </c>
      <c r="AA396" s="8" t="n">
        <v>0</v>
      </c>
      <c r="AB396" s="8" t="n">
        <v>0</v>
      </c>
    </row>
    <row r="397" customFormat="false" ht="13.8" hidden="false" customHeight="false" outlineLevel="0" collapsed="false">
      <c r="A397" s="48" t="s">
        <v>3555</v>
      </c>
      <c r="B397" s="41" t="s">
        <v>2354</v>
      </c>
      <c r="C397" s="0" t="s">
        <v>3147</v>
      </c>
      <c r="D397" s="0" t="s">
        <v>3398</v>
      </c>
      <c r="H397" s="0" t="s">
        <v>3272</v>
      </c>
      <c r="I397" s="0" t="s">
        <v>1002</v>
      </c>
      <c r="J397" s="0" t="s">
        <v>427</v>
      </c>
      <c r="K397" s="0" t="n">
        <v>8</v>
      </c>
      <c r="M397" s="44" t="str">
        <f aca="false">INDEX(fastqs!$A:$A, MATCH(A397, fastqs!$B:$B, 0), 1)</f>
        <v>WUSTL.668_-_Third_R1.fastq.gz</v>
      </c>
      <c r="N397" s="44" t="str">
        <f aca="false">INDEX(fastqs!$C:$C, MATCH(A397, fastqs!$B:$B, 0), 1)</f>
        <v>run0006</v>
      </c>
      <c r="O397" s="44" t="str">
        <f aca="false">INDEX(samples!$B:$B, MATCH(B397, samples!$A:$A, 0), 1)</f>
        <v>par0257</v>
      </c>
      <c r="P397" s="44" t="e">
        <f aca="false">INDEX(participants!$I:$I, MATCH(O397, participants!$A:$A, 0), 1)</f>
        <v>#N/A</v>
      </c>
      <c r="Q397" s="44" t="str">
        <f aca="false">INDEX(samples!$F:$F, MATCH(B397, samples!$A:$A, 0), 1)</f>
        <v>nf1_lib67</v>
      </c>
      <c r="R397" s="49" t="str">
        <f aca="false">INDEX(samples!$C:$C, MATCH(B397, samples!$A:$A, 0), 1)</f>
        <v>2022-05-24</v>
      </c>
      <c r="S397" s="50" t="str">
        <f aca="false">INDEX(samples!$D:$D,MATCH(B397, samples!$A:$A,0),1)</f>
        <v>blood</v>
      </c>
      <c r="T397" s="51" t="s">
        <v>427</v>
      </c>
      <c r="V397" s="8" t="s">
        <v>427</v>
      </c>
      <c r="X397" s="8"/>
      <c r="Y397" s="8" t="s">
        <v>1002</v>
      </c>
      <c r="Z397" s="8" t="n">
        <v>0</v>
      </c>
      <c r="AA397" s="8" t="n">
        <v>0</v>
      </c>
      <c r="AB397" s="8" t="n">
        <v>0</v>
      </c>
    </row>
    <row r="398" customFormat="false" ht="13.8" hidden="false" customHeight="false" outlineLevel="0" collapsed="false">
      <c r="A398" s="48" t="s">
        <v>3556</v>
      </c>
      <c r="B398" s="41" t="s">
        <v>2494</v>
      </c>
      <c r="C398" s="0" t="s">
        <v>3147</v>
      </c>
      <c r="D398" s="0" t="s">
        <v>3398</v>
      </c>
      <c r="H398" s="0" t="s">
        <v>3272</v>
      </c>
      <c r="I398" s="0" t="s">
        <v>1002</v>
      </c>
      <c r="J398" s="0" t="s">
        <v>427</v>
      </c>
      <c r="K398" s="0" t="n">
        <v>8</v>
      </c>
      <c r="M398" s="44" t="str">
        <f aca="false">INDEX(fastqs!$A:$A, MATCH(A398, fastqs!$B:$B, 0), 1)</f>
        <v>25_07-05-2022_R1.fastq.gz</v>
      </c>
      <c r="N398" s="44" t="str">
        <f aca="false">INDEX(fastqs!$C:$C, MATCH(A398, fastqs!$B:$B, 0), 1)</f>
        <v>GET</v>
      </c>
      <c r="O398" s="44" t="str">
        <f aca="false">INDEX(samples!$B:$B, MATCH(B398, samples!$A:$A, 0), 1)</f>
        <v>par0242</v>
      </c>
      <c r="P398" s="44" t="e">
        <f aca="false">INDEX(participants!$I:$I, MATCH(O398, participants!$A:$A, 0), 1)</f>
        <v>#N/A</v>
      </c>
      <c r="Q398" s="44" t="n">
        <f aca="false">INDEX(samples!$F:$F, MATCH(B398, samples!$A:$A, 0), 1)</f>
        <v>0</v>
      </c>
      <c r="R398" s="49" t="str">
        <f aca="false">INDEX(samples!$C:$C, MATCH(B398, samples!$A:$A, 0), 1)</f>
        <v>2022-07-05</v>
      </c>
      <c r="S398" s="50" t="str">
        <f aca="false">INDEX(samples!$D:$D,MATCH(B398, samples!$A:$A,0),1)</f>
        <v>blood</v>
      </c>
      <c r="T398" s="51" t="s">
        <v>427</v>
      </c>
      <c r="V398" s="8" t="s">
        <v>427</v>
      </c>
      <c r="X398" s="8"/>
      <c r="Y398" s="8" t="s">
        <v>1002</v>
      </c>
      <c r="Z398" s="8" t="n">
        <v>0</v>
      </c>
      <c r="AA398" s="8" t="n">
        <v>0</v>
      </c>
      <c r="AB398" s="8" t="n">
        <v>0</v>
      </c>
    </row>
    <row r="399" customFormat="false" ht="13.8" hidden="false" customHeight="false" outlineLevel="0" collapsed="false">
      <c r="A399" s="48" t="s">
        <v>3557</v>
      </c>
      <c r="B399" s="41" t="s">
        <v>2358</v>
      </c>
      <c r="C399" s="0" t="s">
        <v>3147</v>
      </c>
      <c r="D399" s="0" t="s">
        <v>3398</v>
      </c>
      <c r="H399" s="0" t="s">
        <v>3272</v>
      </c>
      <c r="I399" s="0" t="s">
        <v>1002</v>
      </c>
      <c r="J399" s="0" t="s">
        <v>427</v>
      </c>
      <c r="K399" s="0" t="n">
        <v>8</v>
      </c>
      <c r="M399" s="44" t="str">
        <f aca="false">INDEX(fastqs!$A:$A, MATCH(A399, fastqs!$B:$B, 0), 1)</f>
        <v>178_10-20-2020_R1.fastq.gz</v>
      </c>
      <c r="N399" s="44" t="str">
        <f aca="false">INDEX(fastqs!$C:$C, MATCH(A399, fastqs!$B:$B, 0), 1)</f>
        <v>GET</v>
      </c>
      <c r="O399" s="44" t="str">
        <f aca="false">INDEX(samples!$B:$B, MATCH(B399, samples!$A:$A, 0), 1)</f>
        <v>par0202</v>
      </c>
      <c r="P399" s="44" t="e">
        <f aca="false">INDEX(participants!$I:$I, MATCH(O399, participants!$A:$A, 0), 1)</f>
        <v>#N/A</v>
      </c>
      <c r="Q399" s="44" t="n">
        <f aca="false">INDEX(samples!$F:$F, MATCH(B399, samples!$A:$A, 0), 1)</f>
        <v>0</v>
      </c>
      <c r="R399" s="49" t="str">
        <f aca="false">INDEX(samples!$C:$C, MATCH(B399, samples!$A:$A, 0), 1)</f>
        <v>2020-10-20</v>
      </c>
      <c r="S399" s="50" t="str">
        <f aca="false">INDEX(samples!$D:$D,MATCH(B399, samples!$A:$A,0),1)</f>
        <v>blood</v>
      </c>
      <c r="T399" s="51" t="s">
        <v>427</v>
      </c>
      <c r="V399" s="8" t="s">
        <v>427</v>
      </c>
      <c r="X399" s="8"/>
      <c r="Y399" s="8" t="s">
        <v>1002</v>
      </c>
      <c r="Z399" s="8" t="n">
        <v>0</v>
      </c>
      <c r="AA399" s="8" t="n">
        <v>0</v>
      </c>
      <c r="AB399" s="8" t="n">
        <v>0</v>
      </c>
    </row>
    <row r="400" customFormat="false" ht="13.8" hidden="false" customHeight="false" outlineLevel="0" collapsed="false">
      <c r="A400" s="48" t="s">
        <v>3558</v>
      </c>
      <c r="B400" s="41" t="s">
        <v>2497</v>
      </c>
      <c r="C400" s="0" t="s">
        <v>3147</v>
      </c>
      <c r="D400" s="0" t="s">
        <v>3398</v>
      </c>
      <c r="H400" s="0" t="s">
        <v>3272</v>
      </c>
      <c r="I400" s="0" t="s">
        <v>1002</v>
      </c>
      <c r="J400" s="0" t="s">
        <v>427</v>
      </c>
      <c r="K400" s="0" t="n">
        <v>8</v>
      </c>
      <c r="M400" s="44" t="str">
        <f aca="false">INDEX(fastqs!$A:$A, MATCH(A400, fastqs!$B:$B, 0), 1)</f>
        <v>218_08-16-2022_R1.fastq.gz</v>
      </c>
      <c r="N400" s="44" t="str">
        <f aca="false">INDEX(fastqs!$C:$C, MATCH(A400, fastqs!$B:$B, 0), 1)</f>
        <v>GET</v>
      </c>
      <c r="O400" s="44" t="str">
        <f aca="false">INDEX(samples!$B:$B, MATCH(B400, samples!$A:$A, 0), 1)</f>
        <v>par0243</v>
      </c>
      <c r="P400" s="44" t="e">
        <f aca="false">INDEX(participants!$I:$I, MATCH(O400, participants!$A:$A, 0), 1)</f>
        <v>#N/A</v>
      </c>
      <c r="Q400" s="44" t="n">
        <f aca="false">INDEX(samples!$F:$F, MATCH(B400, samples!$A:$A, 0), 1)</f>
        <v>0</v>
      </c>
      <c r="R400" s="49" t="str">
        <f aca="false">INDEX(samples!$C:$C, MATCH(B400, samples!$A:$A, 0), 1)</f>
        <v>2022-08-16</v>
      </c>
      <c r="S400" s="50" t="str">
        <f aca="false">INDEX(samples!$D:$D,MATCH(B400, samples!$A:$A,0),1)</f>
        <v>blood</v>
      </c>
      <c r="T400" s="51" t="s">
        <v>427</v>
      </c>
      <c r="V400" s="8" t="s">
        <v>427</v>
      </c>
      <c r="X400" s="8"/>
      <c r="Y400" s="8" t="s">
        <v>1002</v>
      </c>
      <c r="Z400" s="8" t="n">
        <v>0</v>
      </c>
      <c r="AA400" s="8" t="n">
        <v>0</v>
      </c>
      <c r="AB400" s="8" t="n">
        <v>0</v>
      </c>
    </row>
    <row r="401" customFormat="false" ht="13.8" hidden="false" customHeight="false" outlineLevel="0" collapsed="false">
      <c r="A401" s="48" t="s">
        <v>3559</v>
      </c>
      <c r="B401" s="41" t="s">
        <v>2500</v>
      </c>
      <c r="C401" s="0" t="s">
        <v>3147</v>
      </c>
      <c r="D401" s="0" t="s">
        <v>3398</v>
      </c>
      <c r="H401" s="0" t="s">
        <v>3272</v>
      </c>
      <c r="I401" s="0" t="s">
        <v>1002</v>
      </c>
      <c r="J401" s="0" t="s">
        <v>427</v>
      </c>
      <c r="K401" s="0" t="n">
        <v>8</v>
      </c>
      <c r="M401" s="44" t="str">
        <f aca="false">INDEX(fastqs!$A:$A, MATCH(A401, fastqs!$B:$B, 0), 1)</f>
        <v>341_09-13-2022_R1.fastq.gz</v>
      </c>
      <c r="N401" s="44" t="str">
        <f aca="false">INDEX(fastqs!$C:$C, MATCH(A401, fastqs!$B:$B, 0), 1)</f>
        <v>GET</v>
      </c>
      <c r="O401" s="44" t="str">
        <f aca="false">INDEX(samples!$B:$B, MATCH(B401, samples!$A:$A, 0), 1)</f>
        <v>par0244</v>
      </c>
      <c r="P401" s="44" t="e">
        <f aca="false">INDEX(participants!$I:$I, MATCH(O401, participants!$A:$A, 0), 1)</f>
        <v>#N/A</v>
      </c>
      <c r="Q401" s="44" t="n">
        <f aca="false">INDEX(samples!$F:$F, MATCH(B401, samples!$A:$A, 0), 1)</f>
        <v>0</v>
      </c>
      <c r="R401" s="49" t="str">
        <f aca="false">INDEX(samples!$C:$C, MATCH(B401, samples!$A:$A, 0), 1)</f>
        <v>2022-09-13</v>
      </c>
      <c r="S401" s="50" t="str">
        <f aca="false">INDEX(samples!$D:$D,MATCH(B401, samples!$A:$A,0),1)</f>
        <v>blood</v>
      </c>
      <c r="T401" s="51" t="s">
        <v>427</v>
      </c>
      <c r="V401" s="8" t="s">
        <v>427</v>
      </c>
      <c r="X401" s="8"/>
      <c r="Y401" s="8" t="s">
        <v>1002</v>
      </c>
      <c r="Z401" s="8" t="n">
        <v>0</v>
      </c>
      <c r="AA401" s="8" t="n">
        <v>0</v>
      </c>
      <c r="AB401" s="8" t="n">
        <v>0</v>
      </c>
    </row>
    <row r="402" customFormat="false" ht="13.8" hidden="false" customHeight="false" outlineLevel="0" collapsed="false">
      <c r="A402" s="48" t="s">
        <v>3560</v>
      </c>
      <c r="B402" s="41" t="s">
        <v>2502</v>
      </c>
      <c r="C402" s="0" t="s">
        <v>3147</v>
      </c>
      <c r="D402" s="0" t="s">
        <v>3398</v>
      </c>
      <c r="H402" s="0" t="s">
        <v>3272</v>
      </c>
      <c r="I402" s="0" t="s">
        <v>1002</v>
      </c>
      <c r="J402" s="0" t="s">
        <v>427</v>
      </c>
      <c r="K402" s="0" t="n">
        <v>8</v>
      </c>
      <c r="M402" s="44" t="str">
        <f aca="false">INDEX(fastqs!$A:$A, MATCH(A402, fastqs!$B:$B, 0), 1)</f>
        <v>368_10-27-2021_R1.fastq.gz</v>
      </c>
      <c r="N402" s="44" t="str">
        <f aca="false">INDEX(fastqs!$C:$C, MATCH(A402, fastqs!$B:$B, 0), 1)</f>
        <v>GET</v>
      </c>
      <c r="O402" s="44" t="str">
        <f aca="false">INDEX(samples!$B:$B, MATCH(B402, samples!$A:$A, 0), 1)</f>
        <v>par0245</v>
      </c>
      <c r="P402" s="44" t="e">
        <f aca="false">INDEX(participants!$I:$I, MATCH(O402, participants!$A:$A, 0), 1)</f>
        <v>#N/A</v>
      </c>
      <c r="Q402" s="44" t="n">
        <f aca="false">INDEX(samples!$F:$F, MATCH(B402, samples!$A:$A, 0), 1)</f>
        <v>0</v>
      </c>
      <c r="R402" s="49" t="str">
        <f aca="false">INDEX(samples!$C:$C, MATCH(B402, samples!$A:$A, 0), 1)</f>
        <v>2021-10-27</v>
      </c>
      <c r="S402" s="50" t="str">
        <f aca="false">INDEX(samples!$D:$D,MATCH(B402, samples!$A:$A,0),1)</f>
        <v>blood</v>
      </c>
      <c r="T402" s="51" t="s">
        <v>427</v>
      </c>
      <c r="V402" s="8" t="s">
        <v>427</v>
      </c>
      <c r="X402" s="8"/>
      <c r="Y402" s="8" t="s">
        <v>1002</v>
      </c>
      <c r="Z402" s="8" t="n">
        <v>0</v>
      </c>
      <c r="AA402" s="8" t="n">
        <v>0</v>
      </c>
      <c r="AB402" s="8" t="n">
        <v>0</v>
      </c>
    </row>
    <row r="403" customFormat="false" ht="13.8" hidden="false" customHeight="false" outlineLevel="0" collapsed="false">
      <c r="A403" s="48" t="s">
        <v>3561</v>
      </c>
      <c r="B403" s="41" t="s">
        <v>2506</v>
      </c>
      <c r="C403" s="0" t="s">
        <v>3147</v>
      </c>
      <c r="D403" s="0" t="s">
        <v>3398</v>
      </c>
      <c r="H403" s="0" t="s">
        <v>3272</v>
      </c>
      <c r="I403" s="0" t="s">
        <v>1002</v>
      </c>
      <c r="J403" s="0" t="s">
        <v>427</v>
      </c>
      <c r="K403" s="0" t="n">
        <v>8</v>
      </c>
      <c r="M403" s="44" t="str">
        <f aca="false">INDEX(fastqs!$A:$A, MATCH(A403, fastqs!$B:$B, 0), 1)</f>
        <v>521_09-06-2022_R1.fastq.gz</v>
      </c>
      <c r="N403" s="44" t="str">
        <f aca="false">INDEX(fastqs!$C:$C, MATCH(A403, fastqs!$B:$B, 0), 1)</f>
        <v>GET</v>
      </c>
      <c r="O403" s="44" t="str">
        <f aca="false">INDEX(samples!$B:$B, MATCH(B403, samples!$A:$A, 0), 1)</f>
        <v>par0246</v>
      </c>
      <c r="P403" s="44" t="e">
        <f aca="false">INDEX(participants!$I:$I, MATCH(O403, participants!$A:$A, 0), 1)</f>
        <v>#N/A</v>
      </c>
      <c r="Q403" s="44" t="n">
        <f aca="false">INDEX(samples!$F:$F, MATCH(B403, samples!$A:$A, 0), 1)</f>
        <v>0</v>
      </c>
      <c r="R403" s="49" t="str">
        <f aca="false">INDEX(samples!$C:$C, MATCH(B403, samples!$A:$A, 0), 1)</f>
        <v>2022-09-06</v>
      </c>
      <c r="S403" s="50" t="str">
        <f aca="false">INDEX(samples!$D:$D,MATCH(B403, samples!$A:$A,0),1)</f>
        <v>blood</v>
      </c>
      <c r="T403" s="51" t="s">
        <v>427</v>
      </c>
      <c r="V403" s="8" t="s">
        <v>427</v>
      </c>
      <c r="X403" s="8"/>
      <c r="Y403" s="8" t="s">
        <v>1002</v>
      </c>
      <c r="Z403" s="8" t="n">
        <v>0</v>
      </c>
      <c r="AA403" s="8" t="n">
        <v>0</v>
      </c>
      <c r="AB403" s="8" t="n">
        <v>0</v>
      </c>
    </row>
    <row r="404" customFormat="false" ht="13.8" hidden="false" customHeight="false" outlineLevel="0" collapsed="false">
      <c r="A404" s="48" t="s">
        <v>3562</v>
      </c>
      <c r="B404" s="41" t="s">
        <v>2360</v>
      </c>
      <c r="C404" s="0" t="s">
        <v>3147</v>
      </c>
      <c r="D404" s="0" t="s">
        <v>3398</v>
      </c>
      <c r="H404" s="0" t="s">
        <v>3272</v>
      </c>
      <c r="I404" s="0" t="s">
        <v>1002</v>
      </c>
      <c r="J404" s="0" t="s">
        <v>427</v>
      </c>
      <c r="K404" s="0" t="n">
        <v>8</v>
      </c>
      <c r="M404" s="44" t="str">
        <f aca="false">INDEX(fastqs!$A:$A, MATCH(A404, fastqs!$B:$B, 0), 1)</f>
        <v>535_07-27-2021_R1.fastq.gz</v>
      </c>
      <c r="N404" s="44" t="str">
        <f aca="false">INDEX(fastqs!$C:$C, MATCH(A404, fastqs!$B:$B, 0), 1)</f>
        <v>GET</v>
      </c>
      <c r="O404" s="44" t="str">
        <f aca="false">INDEX(samples!$B:$B, MATCH(B404, samples!$A:$A, 0), 1)</f>
        <v>par0247</v>
      </c>
      <c r="P404" s="44" t="e">
        <f aca="false">INDEX(participants!$I:$I, MATCH(O404, participants!$A:$A, 0), 1)</f>
        <v>#N/A</v>
      </c>
      <c r="Q404" s="44" t="n">
        <f aca="false">INDEX(samples!$F:$F, MATCH(B404, samples!$A:$A, 0), 1)</f>
        <v>0</v>
      </c>
      <c r="R404" s="49" t="str">
        <f aca="false">INDEX(samples!$C:$C, MATCH(B404, samples!$A:$A, 0), 1)</f>
        <v>2021-07-27</v>
      </c>
      <c r="S404" s="50" t="str">
        <f aca="false">INDEX(samples!$D:$D,MATCH(B404, samples!$A:$A,0),1)</f>
        <v>blood</v>
      </c>
      <c r="T404" s="51" t="s">
        <v>427</v>
      </c>
      <c r="V404" s="8" t="s">
        <v>427</v>
      </c>
      <c r="X404" s="8"/>
      <c r="Y404" s="8" t="s">
        <v>1002</v>
      </c>
      <c r="Z404" s="8" t="n">
        <v>0</v>
      </c>
      <c r="AA404" s="8" t="n">
        <v>0</v>
      </c>
      <c r="AB404" s="8" t="n">
        <v>0</v>
      </c>
    </row>
    <row r="405" customFormat="false" ht="13.8" hidden="false" customHeight="false" outlineLevel="0" collapsed="false">
      <c r="A405" s="48" t="s">
        <v>3563</v>
      </c>
      <c r="B405" s="41" t="s">
        <v>2363</v>
      </c>
      <c r="C405" s="0" t="s">
        <v>3147</v>
      </c>
      <c r="D405" s="0" t="s">
        <v>3398</v>
      </c>
      <c r="H405" s="0" t="s">
        <v>3272</v>
      </c>
      <c r="I405" s="0" t="s">
        <v>1002</v>
      </c>
      <c r="J405" s="0" t="s">
        <v>427</v>
      </c>
      <c r="K405" s="0" t="n">
        <v>8</v>
      </c>
      <c r="M405" s="44" t="str">
        <f aca="false">INDEX(fastqs!$A:$A, MATCH(A405, fastqs!$B:$B, 0), 1)</f>
        <v>536_03-21-2022_R1.fastq.gz</v>
      </c>
      <c r="N405" s="44" t="str">
        <f aca="false">INDEX(fastqs!$C:$C, MATCH(A405, fastqs!$B:$B, 0), 1)</f>
        <v>GET</v>
      </c>
      <c r="O405" s="44" t="str">
        <f aca="false">INDEX(samples!$B:$B, MATCH(B405, samples!$A:$A, 0), 1)</f>
        <v>par0093</v>
      </c>
      <c r="P405" s="44" t="str">
        <f aca="false">INDEX(participants!$I:$I, MATCH(O405, participants!$A:$A, 0), 1)</f>
        <v>nf536</v>
      </c>
      <c r="Q405" s="44" t="n">
        <f aca="false">INDEX(samples!$F:$F, MATCH(B405, samples!$A:$A, 0), 1)</f>
        <v>0</v>
      </c>
      <c r="R405" s="49" t="str">
        <f aca="false">INDEX(samples!$C:$C, MATCH(B405, samples!$A:$A, 0), 1)</f>
        <v>2022-03-21</v>
      </c>
      <c r="S405" s="50" t="str">
        <f aca="false">INDEX(samples!$D:$D,MATCH(B405, samples!$A:$A,0),1)</f>
        <v>blood</v>
      </c>
      <c r="T405" s="51" t="s">
        <v>427</v>
      </c>
      <c r="V405" s="8" t="s">
        <v>427</v>
      </c>
      <c r="X405" s="8"/>
      <c r="Y405" s="8" t="s">
        <v>1002</v>
      </c>
      <c r="Z405" s="8" t="n">
        <v>0</v>
      </c>
      <c r="AA405" s="8" t="n">
        <v>0</v>
      </c>
      <c r="AB405" s="8" t="n">
        <v>0</v>
      </c>
    </row>
    <row r="406" customFormat="false" ht="13.8" hidden="false" customHeight="false" outlineLevel="0" collapsed="false">
      <c r="A406" s="48" t="s">
        <v>3564</v>
      </c>
      <c r="B406" s="41" t="s">
        <v>2508</v>
      </c>
      <c r="C406" s="0" t="s">
        <v>3147</v>
      </c>
      <c r="D406" s="0" t="s">
        <v>3398</v>
      </c>
      <c r="H406" s="0" t="s">
        <v>3272</v>
      </c>
      <c r="I406" s="0" t="s">
        <v>1002</v>
      </c>
      <c r="J406" s="0" t="s">
        <v>427</v>
      </c>
      <c r="K406" s="0" t="n">
        <v>8</v>
      </c>
      <c r="M406" s="44" t="str">
        <f aca="false">INDEX(fastqs!$A:$A, MATCH(A406, fastqs!$B:$B, 0), 1)</f>
        <v>536_08-30-2022_R1.fastq.gz</v>
      </c>
      <c r="N406" s="44" t="str">
        <f aca="false">INDEX(fastqs!$C:$C, MATCH(A406, fastqs!$B:$B, 0), 1)</f>
        <v>GET</v>
      </c>
      <c r="O406" s="44" t="str">
        <f aca="false">INDEX(samples!$B:$B, MATCH(B406, samples!$A:$A, 0), 1)</f>
        <v>par0093</v>
      </c>
      <c r="P406" s="44" t="str">
        <f aca="false">INDEX(participants!$I:$I, MATCH(O406, participants!$A:$A, 0), 1)</f>
        <v>nf536</v>
      </c>
      <c r="Q406" s="44" t="n">
        <f aca="false">INDEX(samples!$F:$F, MATCH(B406, samples!$A:$A, 0), 1)</f>
        <v>0</v>
      </c>
      <c r="R406" s="49" t="str">
        <f aca="false">INDEX(samples!$C:$C, MATCH(B406, samples!$A:$A, 0), 1)</f>
        <v>2022-08-30</v>
      </c>
      <c r="S406" s="50" t="str">
        <f aca="false">INDEX(samples!$D:$D,MATCH(B406, samples!$A:$A,0),1)</f>
        <v>blood</v>
      </c>
      <c r="T406" s="51" t="s">
        <v>427</v>
      </c>
      <c r="V406" s="8" t="s">
        <v>427</v>
      </c>
      <c r="X406" s="8"/>
      <c r="Y406" s="8" t="s">
        <v>1002</v>
      </c>
      <c r="Z406" s="8" t="n">
        <v>0</v>
      </c>
      <c r="AA406" s="8" t="n">
        <v>0</v>
      </c>
      <c r="AB406" s="8" t="n">
        <v>0</v>
      </c>
    </row>
    <row r="407" customFormat="false" ht="13.8" hidden="false" customHeight="false" outlineLevel="0" collapsed="false">
      <c r="A407" s="48" t="s">
        <v>3565</v>
      </c>
      <c r="B407" s="41" t="s">
        <v>2509</v>
      </c>
      <c r="C407" s="0" t="s">
        <v>3147</v>
      </c>
      <c r="D407" s="0" t="s">
        <v>3398</v>
      </c>
      <c r="H407" s="0" t="s">
        <v>3272</v>
      </c>
      <c r="I407" s="0" t="s">
        <v>1002</v>
      </c>
      <c r="J407" s="0" t="s">
        <v>427</v>
      </c>
      <c r="K407" s="0" t="n">
        <v>8</v>
      </c>
      <c r="M407" s="44" t="str">
        <f aca="false">INDEX(fastqs!$A:$A, MATCH(A407, fastqs!$B:$B, 0), 1)</f>
        <v>547_09-20-2022_R1.fastq.gz</v>
      </c>
      <c r="N407" s="44" t="str">
        <f aca="false">INDEX(fastqs!$C:$C, MATCH(A407, fastqs!$B:$B, 0), 1)</f>
        <v>GET</v>
      </c>
      <c r="O407" s="44" t="str">
        <f aca="false">INDEX(samples!$B:$B, MATCH(B407, samples!$A:$A, 0), 1)</f>
        <v>par0197</v>
      </c>
      <c r="P407" s="44" t="e">
        <f aca="false">INDEX(participants!$I:$I, MATCH(O407, participants!$A:$A, 0), 1)</f>
        <v>#N/A</v>
      </c>
      <c r="Q407" s="44" t="n">
        <f aca="false">INDEX(samples!$F:$F, MATCH(B407, samples!$A:$A, 0), 1)</f>
        <v>0</v>
      </c>
      <c r="R407" s="49" t="str">
        <f aca="false">INDEX(samples!$C:$C, MATCH(B407, samples!$A:$A, 0), 1)</f>
        <v>2022-09-20</v>
      </c>
      <c r="S407" s="50" t="str">
        <f aca="false">INDEX(samples!$D:$D,MATCH(B407, samples!$A:$A,0),1)</f>
        <v>blood</v>
      </c>
      <c r="T407" s="51" t="s">
        <v>427</v>
      </c>
      <c r="V407" s="8" t="s">
        <v>427</v>
      </c>
      <c r="X407" s="8"/>
      <c r="Y407" s="8" t="s">
        <v>1002</v>
      </c>
      <c r="Z407" s="8" t="n">
        <v>0</v>
      </c>
      <c r="AA407" s="8" t="n">
        <v>0</v>
      </c>
      <c r="AB407" s="8" t="n">
        <v>0</v>
      </c>
    </row>
    <row r="408" customFormat="false" ht="13.8" hidden="false" customHeight="false" outlineLevel="0" collapsed="false">
      <c r="A408" s="48" t="s">
        <v>3566</v>
      </c>
      <c r="B408" s="41" t="s">
        <v>2511</v>
      </c>
      <c r="C408" s="0" t="s">
        <v>3147</v>
      </c>
      <c r="D408" s="0" t="s">
        <v>3398</v>
      </c>
      <c r="H408" s="0" t="s">
        <v>3272</v>
      </c>
      <c r="I408" s="0" t="s">
        <v>1002</v>
      </c>
      <c r="J408" s="0" t="s">
        <v>427</v>
      </c>
      <c r="K408" s="0" t="n">
        <v>8</v>
      </c>
      <c r="M408" s="44" t="str">
        <f aca="false">INDEX(fastqs!$A:$A, MATCH(A408, fastqs!$B:$B, 0), 1)</f>
        <v>559_09-20-2022_R1.fastq.gz</v>
      </c>
      <c r="N408" s="44" t="str">
        <f aca="false">INDEX(fastqs!$C:$C, MATCH(A408, fastqs!$B:$B, 0), 1)</f>
        <v>GET</v>
      </c>
      <c r="O408" s="44" t="str">
        <f aca="false">INDEX(samples!$B:$B, MATCH(B408, samples!$A:$A, 0), 1)</f>
        <v>par0248</v>
      </c>
      <c r="P408" s="44" t="e">
        <f aca="false">INDEX(participants!$I:$I, MATCH(O408, participants!$A:$A, 0), 1)</f>
        <v>#N/A</v>
      </c>
      <c r="Q408" s="44" t="n">
        <f aca="false">INDEX(samples!$F:$F, MATCH(B408, samples!$A:$A, 0), 1)</f>
        <v>0</v>
      </c>
      <c r="R408" s="49" t="str">
        <f aca="false">INDEX(samples!$C:$C, MATCH(B408, samples!$A:$A, 0), 1)</f>
        <v>2022-09-20</v>
      </c>
      <c r="S408" s="50" t="str">
        <f aca="false">INDEX(samples!$D:$D,MATCH(B408, samples!$A:$A,0),1)</f>
        <v>blood</v>
      </c>
      <c r="T408" s="51" t="s">
        <v>427</v>
      </c>
      <c r="V408" s="8" t="s">
        <v>427</v>
      </c>
      <c r="X408" s="8"/>
      <c r="Y408" s="8" t="s">
        <v>1002</v>
      </c>
      <c r="Z408" s="8" t="n">
        <v>0</v>
      </c>
      <c r="AA408" s="8" t="n">
        <v>0</v>
      </c>
      <c r="AB408" s="8" t="n">
        <v>0</v>
      </c>
    </row>
    <row r="409" customFormat="false" ht="13.8" hidden="false" customHeight="false" outlineLevel="0" collapsed="false">
      <c r="A409" s="48" t="s">
        <v>3567</v>
      </c>
      <c r="B409" s="41" t="s">
        <v>2365</v>
      </c>
      <c r="C409" s="0" t="s">
        <v>3147</v>
      </c>
      <c r="D409" s="0" t="s">
        <v>3398</v>
      </c>
      <c r="H409" s="0" t="s">
        <v>3272</v>
      </c>
      <c r="I409" s="0" t="s">
        <v>1002</v>
      </c>
      <c r="J409" s="0" t="s">
        <v>427</v>
      </c>
      <c r="K409" s="0" t="n">
        <v>8</v>
      </c>
      <c r="M409" s="44" t="str">
        <f aca="false">INDEX(fastqs!$A:$A, MATCH(A409, fastqs!$B:$B, 0), 1)</f>
        <v>595_05-21-2021_R1.fastq.gz</v>
      </c>
      <c r="N409" s="44" t="str">
        <f aca="false">INDEX(fastqs!$C:$C, MATCH(A409, fastqs!$B:$B, 0), 1)</f>
        <v>GET</v>
      </c>
      <c r="O409" s="44" t="str">
        <f aca="false">INDEX(samples!$B:$B, MATCH(B409, samples!$A:$A, 0), 1)</f>
        <v>par0249</v>
      </c>
      <c r="P409" s="44" t="e">
        <f aca="false">INDEX(participants!$I:$I, MATCH(O409, participants!$A:$A, 0), 1)</f>
        <v>#N/A</v>
      </c>
      <c r="Q409" s="44" t="n">
        <f aca="false">INDEX(samples!$F:$F, MATCH(B409, samples!$A:$A, 0), 1)</f>
        <v>0</v>
      </c>
      <c r="R409" s="49" t="str">
        <f aca="false">INDEX(samples!$C:$C, MATCH(B409, samples!$A:$A, 0), 1)</f>
        <v>2021-05-21</v>
      </c>
      <c r="S409" s="50" t="str">
        <f aca="false">INDEX(samples!$D:$D,MATCH(B409, samples!$A:$A,0),1)</f>
        <v>blood</v>
      </c>
      <c r="T409" s="51" t="s">
        <v>427</v>
      </c>
      <c r="V409" s="8" t="s">
        <v>427</v>
      </c>
      <c r="X409" s="8"/>
      <c r="Y409" s="8" t="s">
        <v>1002</v>
      </c>
      <c r="Z409" s="8" t="n">
        <v>0</v>
      </c>
      <c r="AA409" s="8" t="n">
        <v>0</v>
      </c>
      <c r="AB409" s="8" t="n">
        <v>0</v>
      </c>
    </row>
    <row r="410" customFormat="false" ht="13.8" hidden="false" customHeight="false" outlineLevel="0" collapsed="false">
      <c r="A410" s="48" t="s">
        <v>3568</v>
      </c>
      <c r="B410" s="41" t="s">
        <v>2513</v>
      </c>
      <c r="C410" s="0" t="s">
        <v>3147</v>
      </c>
      <c r="D410" s="0" t="s">
        <v>3398</v>
      </c>
      <c r="H410" s="0" t="s">
        <v>3272</v>
      </c>
      <c r="I410" s="0" t="s">
        <v>1002</v>
      </c>
      <c r="J410" s="0" t="s">
        <v>427</v>
      </c>
      <c r="K410" s="0" t="n">
        <v>8</v>
      </c>
      <c r="M410" s="44" t="str">
        <f aca="false">INDEX(fastqs!$A:$A, MATCH(A410, fastqs!$B:$B, 0), 1)</f>
        <v>601_02-01-2022_R1.fastq.gz</v>
      </c>
      <c r="N410" s="44" t="str">
        <f aca="false">INDEX(fastqs!$C:$C, MATCH(A410, fastqs!$B:$B, 0), 1)</f>
        <v>GET</v>
      </c>
      <c r="O410" s="44" t="str">
        <f aca="false">INDEX(samples!$B:$B, MATCH(B410, samples!$A:$A, 0), 1)</f>
        <v>par0132</v>
      </c>
      <c r="P410" s="44" t="e">
        <f aca="false">INDEX(participants!$I:$I, MATCH(O410, participants!$A:$A, 0), 1)</f>
        <v>#N/A</v>
      </c>
      <c r="Q410" s="44" t="n">
        <f aca="false">INDEX(samples!$F:$F, MATCH(B410, samples!$A:$A, 0), 1)</f>
        <v>0</v>
      </c>
      <c r="R410" s="49" t="str">
        <f aca="false">INDEX(samples!$C:$C, MATCH(B410, samples!$A:$A, 0), 1)</f>
        <v>2022-02-01</v>
      </c>
      <c r="S410" s="50" t="str">
        <f aca="false">INDEX(samples!$D:$D,MATCH(B410, samples!$A:$A,0),1)</f>
        <v>blood</v>
      </c>
      <c r="T410" s="51" t="s">
        <v>427</v>
      </c>
      <c r="V410" s="8" t="s">
        <v>427</v>
      </c>
      <c r="X410" s="8"/>
      <c r="Y410" s="8" t="s">
        <v>1002</v>
      </c>
      <c r="Z410" s="8" t="n">
        <v>0</v>
      </c>
      <c r="AA410" s="8" t="n">
        <v>0</v>
      </c>
      <c r="AB410" s="8" t="n">
        <v>0</v>
      </c>
    </row>
    <row r="411" customFormat="false" ht="13.8" hidden="false" customHeight="false" outlineLevel="0" collapsed="false">
      <c r="A411" s="48" t="s">
        <v>3569</v>
      </c>
      <c r="B411" s="41" t="s">
        <v>2515</v>
      </c>
      <c r="C411" s="0" t="s">
        <v>3147</v>
      </c>
      <c r="D411" s="0" t="s">
        <v>3398</v>
      </c>
      <c r="H411" s="0" t="s">
        <v>3272</v>
      </c>
      <c r="I411" s="0" t="s">
        <v>1002</v>
      </c>
      <c r="J411" s="0" t="s">
        <v>427</v>
      </c>
      <c r="K411" s="0" t="n">
        <v>8</v>
      </c>
      <c r="M411" s="44" t="str">
        <f aca="false">INDEX(fastqs!$A:$A, MATCH(A411, fastqs!$B:$B, 0), 1)</f>
        <v>601_03-29-2022_R1.fastq.gz</v>
      </c>
      <c r="N411" s="44" t="str">
        <f aca="false">INDEX(fastqs!$C:$C, MATCH(A411, fastqs!$B:$B, 0), 1)</f>
        <v>GET</v>
      </c>
      <c r="O411" s="44" t="str">
        <f aca="false">INDEX(samples!$B:$B, MATCH(B411, samples!$A:$A, 0), 1)</f>
        <v>par0132</v>
      </c>
      <c r="P411" s="44" t="e">
        <f aca="false">INDEX(participants!$I:$I, MATCH(O411, participants!$A:$A, 0), 1)</f>
        <v>#N/A</v>
      </c>
      <c r="Q411" s="44" t="n">
        <f aca="false">INDEX(samples!$F:$F, MATCH(B411, samples!$A:$A, 0), 1)</f>
        <v>0</v>
      </c>
      <c r="R411" s="49" t="str">
        <f aca="false">INDEX(samples!$C:$C, MATCH(B411, samples!$A:$A, 0), 1)</f>
        <v>2022-03-29</v>
      </c>
      <c r="S411" s="50" t="str">
        <f aca="false">INDEX(samples!$D:$D,MATCH(B411, samples!$A:$A,0),1)</f>
        <v>blood</v>
      </c>
      <c r="T411" s="51" t="s">
        <v>427</v>
      </c>
      <c r="V411" s="8" t="s">
        <v>427</v>
      </c>
      <c r="X411" s="8"/>
      <c r="Y411" s="8" t="s">
        <v>1002</v>
      </c>
      <c r="Z411" s="8" t="n">
        <v>0</v>
      </c>
      <c r="AA411" s="8" t="n">
        <v>0</v>
      </c>
      <c r="AB411" s="8" t="n">
        <v>0</v>
      </c>
    </row>
    <row r="412" customFormat="false" ht="13.8" hidden="false" customHeight="false" outlineLevel="0" collapsed="false">
      <c r="A412" s="48" t="s">
        <v>3570</v>
      </c>
      <c r="B412" s="41" t="s">
        <v>2517</v>
      </c>
      <c r="C412" s="0" t="s">
        <v>3147</v>
      </c>
      <c r="D412" s="0" t="s">
        <v>3398</v>
      </c>
      <c r="H412" s="0" t="s">
        <v>3272</v>
      </c>
      <c r="I412" s="0" t="s">
        <v>1002</v>
      </c>
      <c r="J412" s="0" t="s">
        <v>427</v>
      </c>
      <c r="K412" s="0" t="n">
        <v>8</v>
      </c>
      <c r="M412" s="44" t="str">
        <f aca="false">INDEX(fastqs!$A:$A, MATCH(A412, fastqs!$B:$B, 0), 1)</f>
        <v>601_10-12-2021_R1.fastq.gz</v>
      </c>
      <c r="N412" s="44" t="str">
        <f aca="false">INDEX(fastqs!$C:$C, MATCH(A412, fastqs!$B:$B, 0), 1)</f>
        <v>GET</v>
      </c>
      <c r="O412" s="44" t="str">
        <f aca="false">INDEX(samples!$B:$B, MATCH(B412, samples!$A:$A, 0), 1)</f>
        <v>par0132</v>
      </c>
      <c r="P412" s="44" t="e">
        <f aca="false">INDEX(participants!$I:$I, MATCH(O412, participants!$A:$A, 0), 1)</f>
        <v>#N/A</v>
      </c>
      <c r="Q412" s="44" t="n">
        <f aca="false">INDEX(samples!$F:$F, MATCH(B412, samples!$A:$A, 0), 1)</f>
        <v>0</v>
      </c>
      <c r="R412" s="49" t="str">
        <f aca="false">INDEX(samples!$C:$C, MATCH(B412, samples!$A:$A, 0), 1)</f>
        <v>2021-10-12</v>
      </c>
      <c r="S412" s="50" t="str">
        <f aca="false">INDEX(samples!$D:$D,MATCH(B412, samples!$A:$A,0),1)</f>
        <v>blood</v>
      </c>
      <c r="T412" s="51" t="s">
        <v>427</v>
      </c>
      <c r="V412" s="8" t="s">
        <v>427</v>
      </c>
      <c r="X412" s="8"/>
      <c r="Y412" s="8" t="s">
        <v>1002</v>
      </c>
      <c r="Z412" s="8" t="n">
        <v>0</v>
      </c>
      <c r="AA412" s="8" t="n">
        <v>0</v>
      </c>
      <c r="AB412" s="8" t="n">
        <v>0</v>
      </c>
    </row>
    <row r="413" customFormat="false" ht="13.8" hidden="false" customHeight="false" outlineLevel="0" collapsed="false">
      <c r="A413" s="48" t="s">
        <v>3571</v>
      </c>
      <c r="B413" s="41" t="s">
        <v>2518</v>
      </c>
      <c r="C413" s="0" t="s">
        <v>3147</v>
      </c>
      <c r="D413" s="0" t="s">
        <v>3398</v>
      </c>
      <c r="H413" s="0" t="s">
        <v>3272</v>
      </c>
      <c r="I413" s="0" t="s">
        <v>1002</v>
      </c>
      <c r="J413" s="0" t="s">
        <v>427</v>
      </c>
      <c r="K413" s="0" t="n">
        <v>8</v>
      </c>
      <c r="M413" s="44" t="str">
        <f aca="false">INDEX(fastqs!$A:$A, MATCH(A413, fastqs!$B:$B, 0), 1)</f>
        <v>608_02-01-2022_R1.fastq.gz</v>
      </c>
      <c r="N413" s="44" t="str">
        <f aca="false">INDEX(fastqs!$C:$C, MATCH(A413, fastqs!$B:$B, 0), 1)</f>
        <v>GET</v>
      </c>
      <c r="O413" s="44" t="str">
        <f aca="false">INDEX(samples!$B:$B, MATCH(B413, samples!$A:$A, 0), 1)</f>
        <v>par0148</v>
      </c>
      <c r="P413" s="44" t="e">
        <f aca="false">INDEX(participants!$I:$I, MATCH(O413, participants!$A:$A, 0), 1)</f>
        <v>#N/A</v>
      </c>
      <c r="Q413" s="44" t="n">
        <f aca="false">INDEX(samples!$F:$F, MATCH(B413, samples!$A:$A, 0), 1)</f>
        <v>0</v>
      </c>
      <c r="R413" s="49" t="str">
        <f aca="false">INDEX(samples!$C:$C, MATCH(B413, samples!$A:$A, 0), 1)</f>
        <v>2022-02-01</v>
      </c>
      <c r="S413" s="50" t="str">
        <f aca="false">INDEX(samples!$D:$D,MATCH(B413, samples!$A:$A,0),1)</f>
        <v>blood</v>
      </c>
      <c r="T413" s="51" t="s">
        <v>427</v>
      </c>
      <c r="V413" s="8" t="s">
        <v>427</v>
      </c>
      <c r="X413" s="8"/>
      <c r="Y413" s="8" t="s">
        <v>1002</v>
      </c>
      <c r="Z413" s="8" t="n">
        <v>0</v>
      </c>
      <c r="AA413" s="8" t="n">
        <v>0</v>
      </c>
      <c r="AB413" s="8" t="n">
        <v>0</v>
      </c>
    </row>
    <row r="414" customFormat="false" ht="13.8" hidden="false" customHeight="false" outlineLevel="0" collapsed="false">
      <c r="A414" s="48" t="s">
        <v>3572</v>
      </c>
      <c r="B414" s="41" t="s">
        <v>2519</v>
      </c>
      <c r="C414" s="0" t="s">
        <v>3147</v>
      </c>
      <c r="D414" s="0" t="s">
        <v>3398</v>
      </c>
      <c r="H414" s="0" t="s">
        <v>3272</v>
      </c>
      <c r="I414" s="0" t="s">
        <v>1002</v>
      </c>
      <c r="J414" s="0" t="s">
        <v>427</v>
      </c>
      <c r="K414" s="0" t="n">
        <v>8</v>
      </c>
      <c r="M414" s="44" t="str">
        <f aca="false">INDEX(fastqs!$A:$A, MATCH(A414, fastqs!$B:$B, 0), 1)</f>
        <v>608_03-29-2022_R1.fastq.gz</v>
      </c>
      <c r="N414" s="44" t="str">
        <f aca="false">INDEX(fastqs!$C:$C, MATCH(A414, fastqs!$B:$B, 0), 1)</f>
        <v>GET</v>
      </c>
      <c r="O414" s="44" t="str">
        <f aca="false">INDEX(samples!$B:$B, MATCH(B414, samples!$A:$A, 0), 1)</f>
        <v>par0148</v>
      </c>
      <c r="P414" s="44" t="e">
        <f aca="false">INDEX(participants!$I:$I, MATCH(O414, participants!$A:$A, 0), 1)</f>
        <v>#N/A</v>
      </c>
      <c r="Q414" s="44" t="n">
        <f aca="false">INDEX(samples!$F:$F, MATCH(B414, samples!$A:$A, 0), 1)</f>
        <v>0</v>
      </c>
      <c r="R414" s="49" t="str">
        <f aca="false">INDEX(samples!$C:$C, MATCH(B414, samples!$A:$A, 0), 1)</f>
        <v>2022-03-29</v>
      </c>
      <c r="S414" s="50" t="str">
        <f aca="false">INDEX(samples!$D:$D,MATCH(B414, samples!$A:$A,0),1)</f>
        <v>blood</v>
      </c>
      <c r="T414" s="51" t="s">
        <v>427</v>
      </c>
      <c r="V414" s="8" t="s">
        <v>427</v>
      </c>
      <c r="X414" s="8"/>
      <c r="Y414" s="8" t="s">
        <v>1002</v>
      </c>
      <c r="Z414" s="8" t="n">
        <v>0</v>
      </c>
      <c r="AA414" s="8" t="n">
        <v>0</v>
      </c>
      <c r="AB414" s="8" t="n">
        <v>0</v>
      </c>
    </row>
    <row r="415" customFormat="false" ht="13.8" hidden="false" customHeight="false" outlineLevel="0" collapsed="false">
      <c r="A415" s="48" t="s">
        <v>3573</v>
      </c>
      <c r="B415" s="41" t="s">
        <v>2520</v>
      </c>
      <c r="C415" s="0" t="s">
        <v>3147</v>
      </c>
      <c r="D415" s="0" t="s">
        <v>3398</v>
      </c>
      <c r="H415" s="0" t="s">
        <v>3272</v>
      </c>
      <c r="I415" s="0" t="s">
        <v>1002</v>
      </c>
      <c r="J415" s="0" t="s">
        <v>427</v>
      </c>
      <c r="K415" s="0" t="n">
        <v>8</v>
      </c>
      <c r="M415" s="44" t="str">
        <f aca="false">INDEX(fastqs!$A:$A, MATCH(A415, fastqs!$B:$B, 0), 1)</f>
        <v>608_05-03-2022_R1.fastq.gz</v>
      </c>
      <c r="N415" s="44" t="str">
        <f aca="false">INDEX(fastqs!$C:$C, MATCH(A415, fastqs!$B:$B, 0), 1)</f>
        <v>GET</v>
      </c>
      <c r="O415" s="44" t="str">
        <f aca="false">INDEX(samples!$B:$B, MATCH(B415, samples!$A:$A, 0), 1)</f>
        <v>par0148</v>
      </c>
      <c r="P415" s="44" t="e">
        <f aca="false">INDEX(participants!$I:$I, MATCH(O415, participants!$A:$A, 0), 1)</f>
        <v>#N/A</v>
      </c>
      <c r="Q415" s="44" t="n">
        <f aca="false">INDEX(samples!$F:$F, MATCH(B415, samples!$A:$A, 0), 1)</f>
        <v>0</v>
      </c>
      <c r="R415" s="49" t="str">
        <f aca="false">INDEX(samples!$C:$C, MATCH(B415, samples!$A:$A, 0), 1)</f>
        <v>2022-05-03</v>
      </c>
      <c r="S415" s="50" t="str">
        <f aca="false">INDEX(samples!$D:$D,MATCH(B415, samples!$A:$A,0),1)</f>
        <v>blood</v>
      </c>
      <c r="T415" s="51" t="s">
        <v>427</v>
      </c>
      <c r="V415" s="8" t="s">
        <v>427</v>
      </c>
      <c r="X415" s="8"/>
      <c r="Y415" s="8" t="s">
        <v>1002</v>
      </c>
      <c r="Z415" s="8" t="n">
        <v>0</v>
      </c>
      <c r="AA415" s="8" t="n">
        <v>0</v>
      </c>
      <c r="AB415" s="8" t="n">
        <v>0</v>
      </c>
    </row>
    <row r="416" customFormat="false" ht="13.8" hidden="false" customHeight="false" outlineLevel="0" collapsed="false">
      <c r="A416" s="48" t="s">
        <v>3574</v>
      </c>
      <c r="B416" s="41" t="s">
        <v>2521</v>
      </c>
      <c r="C416" s="0" t="s">
        <v>3147</v>
      </c>
      <c r="D416" s="0" t="s">
        <v>3398</v>
      </c>
      <c r="H416" s="0" t="s">
        <v>3272</v>
      </c>
      <c r="I416" s="0" t="s">
        <v>1002</v>
      </c>
      <c r="J416" s="0" t="s">
        <v>427</v>
      </c>
      <c r="K416" s="0" t="n">
        <v>8</v>
      </c>
      <c r="M416" s="44" t="str">
        <f aca="false">INDEX(fastqs!$A:$A, MATCH(A416, fastqs!$B:$B, 0), 1)</f>
        <v>608_08-16-2022_R1.fastq.gz</v>
      </c>
      <c r="N416" s="44" t="str">
        <f aca="false">INDEX(fastqs!$C:$C, MATCH(A416, fastqs!$B:$B, 0), 1)</f>
        <v>GET</v>
      </c>
      <c r="O416" s="44" t="str">
        <f aca="false">INDEX(samples!$B:$B, MATCH(B416, samples!$A:$A, 0), 1)</f>
        <v>par0148</v>
      </c>
      <c r="P416" s="44" t="e">
        <f aca="false">INDEX(participants!$I:$I, MATCH(O416, participants!$A:$A, 0), 1)</f>
        <v>#N/A</v>
      </c>
      <c r="Q416" s="44" t="n">
        <f aca="false">INDEX(samples!$F:$F, MATCH(B416, samples!$A:$A, 0), 1)</f>
        <v>0</v>
      </c>
      <c r="R416" s="49" t="str">
        <f aca="false">INDEX(samples!$C:$C, MATCH(B416, samples!$A:$A, 0), 1)</f>
        <v>2022-08-16</v>
      </c>
      <c r="S416" s="50" t="str">
        <f aca="false">INDEX(samples!$D:$D,MATCH(B416, samples!$A:$A,0),1)</f>
        <v>blood</v>
      </c>
      <c r="T416" s="51" t="s">
        <v>427</v>
      </c>
      <c r="V416" s="8" t="s">
        <v>427</v>
      </c>
      <c r="X416" s="8"/>
      <c r="Y416" s="8" t="s">
        <v>1002</v>
      </c>
      <c r="Z416" s="8" t="n">
        <v>0</v>
      </c>
      <c r="AA416" s="8" t="n">
        <v>0</v>
      </c>
      <c r="AB416" s="8" t="n">
        <v>0</v>
      </c>
    </row>
    <row r="417" customFormat="false" ht="13.8" hidden="false" customHeight="false" outlineLevel="0" collapsed="false">
      <c r="A417" s="48" t="s">
        <v>3575</v>
      </c>
      <c r="B417" s="41" t="s">
        <v>2522</v>
      </c>
      <c r="C417" s="0" t="s">
        <v>3147</v>
      </c>
      <c r="D417" s="0" t="s">
        <v>3398</v>
      </c>
      <c r="H417" s="0" t="s">
        <v>3272</v>
      </c>
      <c r="I417" s="0" t="s">
        <v>1002</v>
      </c>
      <c r="J417" s="0" t="s">
        <v>427</v>
      </c>
      <c r="K417" s="0" t="n">
        <v>8</v>
      </c>
      <c r="M417" s="44" t="str">
        <f aca="false">INDEX(fastqs!$A:$A, MATCH(A417, fastqs!$B:$B, 0), 1)</f>
        <v>608_10-12-2021_R1.fastq.gz</v>
      </c>
      <c r="N417" s="44" t="str">
        <f aca="false">INDEX(fastqs!$C:$C, MATCH(A417, fastqs!$B:$B, 0), 1)</f>
        <v>GET</v>
      </c>
      <c r="O417" s="44" t="str">
        <f aca="false">INDEX(samples!$B:$B, MATCH(B417, samples!$A:$A, 0), 1)</f>
        <v>par0148</v>
      </c>
      <c r="P417" s="44" t="e">
        <f aca="false">INDEX(participants!$I:$I, MATCH(O417, participants!$A:$A, 0), 1)</f>
        <v>#N/A</v>
      </c>
      <c r="Q417" s="44" t="n">
        <f aca="false">INDEX(samples!$F:$F, MATCH(B417, samples!$A:$A, 0), 1)</f>
        <v>0</v>
      </c>
      <c r="R417" s="49" t="str">
        <f aca="false">INDEX(samples!$C:$C, MATCH(B417, samples!$A:$A, 0), 1)</f>
        <v>2021-10-12</v>
      </c>
      <c r="S417" s="50" t="str">
        <f aca="false">INDEX(samples!$D:$D,MATCH(B417, samples!$A:$A,0),1)</f>
        <v>blood</v>
      </c>
      <c r="T417" s="51" t="s">
        <v>427</v>
      </c>
      <c r="V417" s="8" t="s">
        <v>427</v>
      </c>
      <c r="X417" s="8"/>
      <c r="Y417" s="8" t="s">
        <v>1002</v>
      </c>
      <c r="Z417" s="8" t="n">
        <v>0</v>
      </c>
      <c r="AA417" s="8" t="n">
        <v>0</v>
      </c>
      <c r="AB417" s="8" t="n">
        <v>0</v>
      </c>
    </row>
    <row r="418" customFormat="false" ht="13.8" hidden="false" customHeight="false" outlineLevel="0" collapsed="false">
      <c r="A418" s="48" t="s">
        <v>3576</v>
      </c>
      <c r="B418" s="41" t="s">
        <v>2368</v>
      </c>
      <c r="C418" s="0" t="s">
        <v>3147</v>
      </c>
      <c r="D418" s="0" t="s">
        <v>3398</v>
      </c>
      <c r="H418" s="0" t="s">
        <v>3272</v>
      </c>
      <c r="I418" s="0" t="s">
        <v>1002</v>
      </c>
      <c r="J418" s="0" t="s">
        <v>427</v>
      </c>
      <c r="K418" s="0" t="n">
        <v>8</v>
      </c>
      <c r="M418" s="44" t="str">
        <f aca="false">INDEX(fastqs!$A:$A, MATCH(A418, fastqs!$B:$B, 0), 1)</f>
        <v>610_01-19-2021_R1.fastq.gz</v>
      </c>
      <c r="N418" s="44" t="str">
        <f aca="false">INDEX(fastqs!$C:$C, MATCH(A418, fastqs!$B:$B, 0), 1)</f>
        <v>GET</v>
      </c>
      <c r="O418" s="44" t="str">
        <f aca="false">INDEX(samples!$B:$B, MATCH(B418, samples!$A:$A, 0), 1)</f>
        <v>par0204</v>
      </c>
      <c r="P418" s="44" t="e">
        <f aca="false">INDEX(participants!$I:$I, MATCH(O418, participants!$A:$A, 0), 1)</f>
        <v>#N/A</v>
      </c>
      <c r="Q418" s="44" t="n">
        <f aca="false">INDEX(samples!$F:$F, MATCH(B418, samples!$A:$A, 0), 1)</f>
        <v>0</v>
      </c>
      <c r="R418" s="49" t="str">
        <f aca="false">INDEX(samples!$C:$C, MATCH(B418, samples!$A:$A, 0), 1)</f>
        <v>2021-01-19</v>
      </c>
      <c r="S418" s="50" t="str">
        <f aca="false">INDEX(samples!$D:$D,MATCH(B418, samples!$A:$A,0),1)</f>
        <v>blood</v>
      </c>
      <c r="T418" s="51" t="s">
        <v>427</v>
      </c>
      <c r="V418" s="8" t="s">
        <v>427</v>
      </c>
      <c r="X418" s="8"/>
      <c r="Y418" s="8" t="s">
        <v>1002</v>
      </c>
      <c r="Z418" s="8" t="n">
        <v>0</v>
      </c>
      <c r="AA418" s="8" t="n">
        <v>0</v>
      </c>
      <c r="AB418" s="8" t="n">
        <v>0</v>
      </c>
    </row>
    <row r="419" customFormat="false" ht="13.8" hidden="false" customHeight="false" outlineLevel="0" collapsed="false">
      <c r="A419" s="48" t="s">
        <v>3577</v>
      </c>
      <c r="B419" s="41" t="s">
        <v>2370</v>
      </c>
      <c r="C419" s="0" t="s">
        <v>3147</v>
      </c>
      <c r="D419" s="0" t="s">
        <v>3398</v>
      </c>
      <c r="H419" s="0" t="s">
        <v>3272</v>
      </c>
      <c r="I419" s="0" t="s">
        <v>1002</v>
      </c>
      <c r="J419" s="0" t="s">
        <v>427</v>
      </c>
      <c r="K419" s="0" t="n">
        <v>8</v>
      </c>
      <c r="M419" s="44" t="str">
        <f aca="false">INDEX(fastqs!$A:$A, MATCH(A419, fastqs!$B:$B, 0), 1)</f>
        <v>610_03-08-2022_R1.fastq.gz</v>
      </c>
      <c r="N419" s="44" t="str">
        <f aca="false">INDEX(fastqs!$C:$C, MATCH(A419, fastqs!$B:$B, 0), 1)</f>
        <v>GET</v>
      </c>
      <c r="O419" s="44" t="str">
        <f aca="false">INDEX(samples!$B:$B, MATCH(B419, samples!$A:$A, 0), 1)</f>
        <v>par0204</v>
      </c>
      <c r="P419" s="44" t="e">
        <f aca="false">INDEX(participants!$I:$I, MATCH(O419, participants!$A:$A, 0), 1)</f>
        <v>#N/A</v>
      </c>
      <c r="Q419" s="44" t="n">
        <f aca="false">INDEX(samples!$F:$F, MATCH(B419, samples!$A:$A, 0), 1)</f>
        <v>0</v>
      </c>
      <c r="R419" s="49" t="str">
        <f aca="false">INDEX(samples!$C:$C, MATCH(B419, samples!$A:$A, 0), 1)</f>
        <v>2022-03-08</v>
      </c>
      <c r="S419" s="50" t="str">
        <f aca="false">INDEX(samples!$D:$D,MATCH(B419, samples!$A:$A,0),1)</f>
        <v>blood</v>
      </c>
      <c r="T419" s="51" t="s">
        <v>427</v>
      </c>
      <c r="V419" s="8" t="s">
        <v>427</v>
      </c>
      <c r="X419" s="8"/>
      <c r="Y419" s="8" t="s">
        <v>1002</v>
      </c>
      <c r="Z419" s="8" t="n">
        <v>0</v>
      </c>
      <c r="AA419" s="8" t="n">
        <v>0</v>
      </c>
      <c r="AB419" s="8" t="n">
        <v>0</v>
      </c>
    </row>
    <row r="420" customFormat="false" ht="13.8" hidden="false" customHeight="false" outlineLevel="0" collapsed="false">
      <c r="A420" s="48" t="s">
        <v>3578</v>
      </c>
      <c r="B420" s="41" t="s">
        <v>2372</v>
      </c>
      <c r="C420" s="0" t="s">
        <v>3147</v>
      </c>
      <c r="D420" s="0" t="s">
        <v>3398</v>
      </c>
      <c r="H420" s="0" t="s">
        <v>3272</v>
      </c>
      <c r="I420" s="0" t="s">
        <v>1002</v>
      </c>
      <c r="J420" s="0" t="s">
        <v>427</v>
      </c>
      <c r="K420" s="0" t="n">
        <v>8</v>
      </c>
      <c r="M420" s="44" t="str">
        <f aca="false">INDEX(fastqs!$A:$A, MATCH(A420, fastqs!$B:$B, 0), 1)</f>
        <v>610_05-10-2022_R1.fastq.gz</v>
      </c>
      <c r="N420" s="44" t="str">
        <f aca="false">INDEX(fastqs!$C:$C, MATCH(A420, fastqs!$B:$B, 0), 1)</f>
        <v>GET</v>
      </c>
      <c r="O420" s="44" t="str">
        <f aca="false">INDEX(samples!$B:$B, MATCH(B420, samples!$A:$A, 0), 1)</f>
        <v>par0204</v>
      </c>
      <c r="P420" s="44" t="e">
        <f aca="false">INDEX(participants!$I:$I, MATCH(O420, participants!$A:$A, 0), 1)</f>
        <v>#N/A</v>
      </c>
      <c r="Q420" s="44" t="n">
        <f aca="false">INDEX(samples!$F:$F, MATCH(B420, samples!$A:$A, 0), 1)</f>
        <v>0</v>
      </c>
      <c r="R420" s="49" t="str">
        <f aca="false">INDEX(samples!$C:$C, MATCH(B420, samples!$A:$A, 0), 1)</f>
        <v>2022-05-10</v>
      </c>
      <c r="S420" s="50" t="str">
        <f aca="false">INDEX(samples!$D:$D,MATCH(B420, samples!$A:$A,0),1)</f>
        <v>blood</v>
      </c>
      <c r="T420" s="51" t="s">
        <v>427</v>
      </c>
      <c r="V420" s="8" t="s">
        <v>427</v>
      </c>
      <c r="X420" s="8"/>
      <c r="Y420" s="8" t="s">
        <v>1002</v>
      </c>
      <c r="Z420" s="8" t="n">
        <v>0</v>
      </c>
      <c r="AA420" s="8" t="n">
        <v>0</v>
      </c>
      <c r="AB420" s="8" t="n">
        <v>0</v>
      </c>
    </row>
    <row r="421" customFormat="false" ht="13.8" hidden="false" customHeight="false" outlineLevel="0" collapsed="false">
      <c r="A421" s="48" t="s">
        <v>3579</v>
      </c>
      <c r="B421" s="41" t="s">
        <v>2374</v>
      </c>
      <c r="C421" s="0" t="s">
        <v>3147</v>
      </c>
      <c r="D421" s="0" t="s">
        <v>3398</v>
      </c>
      <c r="H421" s="0" t="s">
        <v>3272</v>
      </c>
      <c r="I421" s="0" t="s">
        <v>1002</v>
      </c>
      <c r="J421" s="0" t="s">
        <v>427</v>
      </c>
      <c r="K421" s="0" t="n">
        <v>8</v>
      </c>
      <c r="M421" s="44" t="str">
        <f aca="false">INDEX(fastqs!$A:$A, MATCH(A421, fastqs!$B:$B, 0), 1)</f>
        <v>610_07-14-2020_R1.fastq.gz</v>
      </c>
      <c r="N421" s="44" t="str">
        <f aca="false">INDEX(fastqs!$C:$C, MATCH(A421, fastqs!$B:$B, 0), 1)</f>
        <v>GET</v>
      </c>
      <c r="O421" s="44" t="str">
        <f aca="false">INDEX(samples!$B:$B, MATCH(B421, samples!$A:$A, 0), 1)</f>
        <v>par0204</v>
      </c>
      <c r="P421" s="44" t="e">
        <f aca="false">INDEX(participants!$I:$I, MATCH(O421, participants!$A:$A, 0), 1)</f>
        <v>#N/A</v>
      </c>
      <c r="Q421" s="44" t="n">
        <f aca="false">INDEX(samples!$F:$F, MATCH(B421, samples!$A:$A, 0), 1)</f>
        <v>0</v>
      </c>
      <c r="R421" s="49" t="str">
        <f aca="false">INDEX(samples!$C:$C, MATCH(B421, samples!$A:$A, 0), 1)</f>
        <v>2020-07-14</v>
      </c>
      <c r="S421" s="50" t="str">
        <f aca="false">INDEX(samples!$D:$D,MATCH(B421, samples!$A:$A,0),1)</f>
        <v>blood</v>
      </c>
      <c r="T421" s="51" t="s">
        <v>427</v>
      </c>
      <c r="V421" s="8" t="s">
        <v>427</v>
      </c>
      <c r="X421" s="8"/>
      <c r="Y421" s="8" t="s">
        <v>1002</v>
      </c>
      <c r="Z421" s="8" t="n">
        <v>0</v>
      </c>
      <c r="AA421" s="8" t="n">
        <v>0</v>
      </c>
      <c r="AB421" s="8" t="n">
        <v>0</v>
      </c>
    </row>
    <row r="422" customFormat="false" ht="13.8" hidden="false" customHeight="false" outlineLevel="0" collapsed="false">
      <c r="A422" s="48" t="s">
        <v>3580</v>
      </c>
      <c r="B422" s="41" t="s">
        <v>2376</v>
      </c>
      <c r="C422" s="0" t="s">
        <v>3147</v>
      </c>
      <c r="D422" s="0" t="s">
        <v>3398</v>
      </c>
      <c r="H422" s="0" t="s">
        <v>3272</v>
      </c>
      <c r="I422" s="0" t="s">
        <v>1002</v>
      </c>
      <c r="J422" s="0" t="s">
        <v>427</v>
      </c>
      <c r="K422" s="0" t="n">
        <v>8</v>
      </c>
      <c r="M422" s="44" t="str">
        <f aca="false">INDEX(fastqs!$A:$A, MATCH(A422, fastqs!$B:$B, 0), 1)</f>
        <v>610_09-12-2021_R1.fastq.gz</v>
      </c>
      <c r="N422" s="44" t="str">
        <f aca="false">INDEX(fastqs!$C:$C, MATCH(A422, fastqs!$B:$B, 0), 1)</f>
        <v>GET</v>
      </c>
      <c r="O422" s="44" t="str">
        <f aca="false">INDEX(samples!$B:$B, MATCH(B422, samples!$A:$A, 0), 1)</f>
        <v>par0204</v>
      </c>
      <c r="P422" s="44" t="e">
        <f aca="false">INDEX(participants!$I:$I, MATCH(O422, participants!$A:$A, 0), 1)</f>
        <v>#N/A</v>
      </c>
      <c r="Q422" s="44" t="n">
        <f aca="false">INDEX(samples!$F:$F, MATCH(B422, samples!$A:$A, 0), 1)</f>
        <v>0</v>
      </c>
      <c r="R422" s="49" t="str">
        <f aca="false">INDEX(samples!$C:$C, MATCH(B422, samples!$A:$A, 0), 1)</f>
        <v>2021-09-12</v>
      </c>
      <c r="S422" s="50" t="str">
        <f aca="false">INDEX(samples!$D:$D,MATCH(B422, samples!$A:$A,0),1)</f>
        <v>blood</v>
      </c>
      <c r="T422" s="51" t="s">
        <v>427</v>
      </c>
      <c r="V422" s="8" t="s">
        <v>427</v>
      </c>
      <c r="X422" s="8"/>
      <c r="Y422" s="8" t="s">
        <v>1002</v>
      </c>
      <c r="Z422" s="8" t="n">
        <v>0</v>
      </c>
      <c r="AA422" s="8" t="n">
        <v>0</v>
      </c>
      <c r="AB422" s="8" t="n">
        <v>0</v>
      </c>
    </row>
    <row r="423" customFormat="false" ht="13.8" hidden="false" customHeight="false" outlineLevel="0" collapsed="false">
      <c r="A423" s="48" t="s">
        <v>3581</v>
      </c>
      <c r="B423" s="41" t="s">
        <v>2523</v>
      </c>
      <c r="C423" s="0" t="s">
        <v>3147</v>
      </c>
      <c r="D423" s="0" t="s">
        <v>3398</v>
      </c>
      <c r="H423" s="0" t="s">
        <v>3272</v>
      </c>
      <c r="I423" s="0" t="s">
        <v>1002</v>
      </c>
      <c r="J423" s="0" t="s">
        <v>427</v>
      </c>
      <c r="K423" s="0" t="n">
        <v>8</v>
      </c>
      <c r="M423" s="44" t="str">
        <f aca="false">INDEX(fastqs!$A:$A, MATCH(A423, fastqs!$B:$B, 0), 1)</f>
        <v>611_09-27-2022_R1.fastq.gz</v>
      </c>
      <c r="N423" s="44" t="str">
        <f aca="false">INDEX(fastqs!$C:$C, MATCH(A423, fastqs!$B:$B, 0), 1)</f>
        <v>GET</v>
      </c>
      <c r="O423" s="44" t="str">
        <f aca="false">INDEX(samples!$B:$B, MATCH(B423, samples!$A:$A, 0), 1)</f>
        <v>par0232</v>
      </c>
      <c r="P423" s="44" t="e">
        <f aca="false">INDEX(participants!$I:$I, MATCH(O423, participants!$A:$A, 0), 1)</f>
        <v>#N/A</v>
      </c>
      <c r="Q423" s="44" t="n">
        <f aca="false">INDEX(samples!$F:$F, MATCH(B423, samples!$A:$A, 0), 1)</f>
        <v>0</v>
      </c>
      <c r="R423" s="49" t="str">
        <f aca="false">INDEX(samples!$C:$C, MATCH(B423, samples!$A:$A, 0), 1)</f>
        <v>2022-09-27</v>
      </c>
      <c r="S423" s="50" t="str">
        <f aca="false">INDEX(samples!$D:$D,MATCH(B423, samples!$A:$A,0),1)</f>
        <v>blood</v>
      </c>
      <c r="T423" s="51" t="s">
        <v>427</v>
      </c>
      <c r="V423" s="8" t="s">
        <v>427</v>
      </c>
      <c r="X423" s="8"/>
      <c r="Y423" s="8" t="s">
        <v>1002</v>
      </c>
      <c r="Z423" s="8" t="n">
        <v>0</v>
      </c>
      <c r="AA423" s="8" t="n">
        <v>0</v>
      </c>
      <c r="AB423" s="8" t="n">
        <v>0</v>
      </c>
    </row>
    <row r="424" customFormat="false" ht="13.8" hidden="false" customHeight="false" outlineLevel="0" collapsed="false">
      <c r="A424" s="48" t="s">
        <v>3582</v>
      </c>
      <c r="B424" s="41" t="s">
        <v>2524</v>
      </c>
      <c r="C424" s="0" t="s">
        <v>3147</v>
      </c>
      <c r="D424" s="0" t="s">
        <v>3398</v>
      </c>
      <c r="H424" s="0" t="s">
        <v>3272</v>
      </c>
      <c r="I424" s="0" t="s">
        <v>1002</v>
      </c>
      <c r="J424" s="0" t="s">
        <v>427</v>
      </c>
      <c r="K424" s="0" t="n">
        <v>8</v>
      </c>
      <c r="M424" s="44" t="str">
        <f aca="false">INDEX(fastqs!$A:$A, MATCH(A424, fastqs!$B:$B, 0), 1)</f>
        <v>613_08-11-2020_R1.fastq.gz</v>
      </c>
      <c r="N424" s="44" t="str">
        <f aca="false">INDEX(fastqs!$C:$C, MATCH(A424, fastqs!$B:$B, 0), 1)</f>
        <v>GET</v>
      </c>
      <c r="O424" s="44" t="str">
        <f aca="false">INDEX(samples!$B:$B, MATCH(B424, samples!$A:$A, 0), 1)</f>
        <v>par0250</v>
      </c>
      <c r="P424" s="44" t="e">
        <f aca="false">INDEX(participants!$I:$I, MATCH(O424, participants!$A:$A, 0), 1)</f>
        <v>#N/A</v>
      </c>
      <c r="Q424" s="44" t="n">
        <f aca="false">INDEX(samples!$F:$F, MATCH(B424, samples!$A:$A, 0), 1)</f>
        <v>0</v>
      </c>
      <c r="R424" s="49" t="str">
        <f aca="false">INDEX(samples!$C:$C, MATCH(B424, samples!$A:$A, 0), 1)</f>
        <v>2022-08-11</v>
      </c>
      <c r="S424" s="50" t="str">
        <f aca="false">INDEX(samples!$D:$D,MATCH(B424, samples!$A:$A,0),1)</f>
        <v>blood</v>
      </c>
      <c r="T424" s="51" t="s">
        <v>427</v>
      </c>
      <c r="V424" s="8" t="s">
        <v>427</v>
      </c>
      <c r="X424" s="8"/>
      <c r="Y424" s="8" t="s">
        <v>1002</v>
      </c>
      <c r="Z424" s="8" t="n">
        <v>0</v>
      </c>
      <c r="AA424" s="8" t="n">
        <v>0</v>
      </c>
      <c r="AB424" s="8" t="n">
        <v>0</v>
      </c>
    </row>
    <row r="425" customFormat="false" ht="13.8" hidden="false" customHeight="false" outlineLevel="0" collapsed="false">
      <c r="A425" s="48" t="s">
        <v>3583</v>
      </c>
      <c r="B425" s="41" t="s">
        <v>2378</v>
      </c>
      <c r="C425" s="0" t="s">
        <v>3147</v>
      </c>
      <c r="D425" s="0" t="s">
        <v>3398</v>
      </c>
      <c r="H425" s="0" t="s">
        <v>3272</v>
      </c>
      <c r="I425" s="0" t="s">
        <v>1002</v>
      </c>
      <c r="J425" s="0" t="s">
        <v>427</v>
      </c>
      <c r="K425" s="0" t="n">
        <v>8</v>
      </c>
      <c r="M425" s="44" t="str">
        <f aca="false">INDEX(fastqs!$A:$A, MATCH(A425, fastqs!$B:$B, 0), 1)</f>
        <v>614_09-13-2022_R1.fastq.gz</v>
      </c>
      <c r="N425" s="44" t="str">
        <f aca="false">INDEX(fastqs!$C:$C, MATCH(A425, fastqs!$B:$B, 0), 1)</f>
        <v>GET</v>
      </c>
      <c r="O425" s="44" t="str">
        <f aca="false">INDEX(samples!$B:$B, MATCH(B425, samples!$A:$A, 0), 1)</f>
        <v>par0233</v>
      </c>
      <c r="P425" s="44" t="e">
        <f aca="false">INDEX(participants!$I:$I, MATCH(O425, participants!$A:$A, 0), 1)</f>
        <v>#N/A</v>
      </c>
      <c r="Q425" s="44" t="str">
        <f aca="false">INDEX(samples!$F:$F, MATCH(B425, samples!$A:$A, 0), 1)</f>
        <v>nf1_lib58</v>
      </c>
      <c r="R425" s="49" t="str">
        <f aca="false">INDEX(samples!$C:$C, MATCH(B425, samples!$A:$A, 0), 1)</f>
        <v>2022-09-13</v>
      </c>
      <c r="S425" s="50" t="str">
        <f aca="false">INDEX(samples!$D:$D,MATCH(B425, samples!$A:$A,0),1)</f>
        <v>blood</v>
      </c>
      <c r="T425" s="51" t="s">
        <v>427</v>
      </c>
      <c r="V425" s="8" t="s">
        <v>427</v>
      </c>
      <c r="X425" s="8"/>
      <c r="Y425" s="8" t="s">
        <v>1002</v>
      </c>
      <c r="Z425" s="8" t="n">
        <v>0</v>
      </c>
      <c r="AA425" s="8" t="n">
        <v>0</v>
      </c>
      <c r="AB425" s="8" t="n">
        <v>0</v>
      </c>
    </row>
    <row r="426" customFormat="false" ht="13.8" hidden="false" customHeight="false" outlineLevel="0" collapsed="false">
      <c r="A426" s="48" t="s">
        <v>3584</v>
      </c>
      <c r="B426" s="41" t="s">
        <v>2382</v>
      </c>
      <c r="C426" s="0" t="s">
        <v>3147</v>
      </c>
      <c r="D426" s="0" t="s">
        <v>3398</v>
      </c>
      <c r="H426" s="0" t="s">
        <v>3272</v>
      </c>
      <c r="I426" s="0" t="s">
        <v>1002</v>
      </c>
      <c r="J426" s="0" t="s">
        <v>427</v>
      </c>
      <c r="K426" s="0" t="n">
        <v>8</v>
      </c>
      <c r="M426" s="44" t="str">
        <f aca="false">INDEX(fastqs!$A:$A, MATCH(A426, fastqs!$B:$B, 0), 1)</f>
        <v>614_12-28-2021_R1.fastq.gz</v>
      </c>
      <c r="N426" s="44" t="str">
        <f aca="false">INDEX(fastqs!$C:$C, MATCH(A426, fastqs!$B:$B, 0), 1)</f>
        <v>GET</v>
      </c>
      <c r="O426" s="44" t="str">
        <f aca="false">INDEX(samples!$B:$B, MATCH(B426, samples!$A:$A, 0), 1)</f>
        <v>par0233</v>
      </c>
      <c r="P426" s="44" t="e">
        <f aca="false">INDEX(participants!$I:$I, MATCH(O426, participants!$A:$A, 0), 1)</f>
        <v>#N/A</v>
      </c>
      <c r="Q426" s="44" t="str">
        <f aca="false">INDEX(samples!$F:$F, MATCH(B426, samples!$A:$A, 0), 1)</f>
        <v>nf1_lib57</v>
      </c>
      <c r="R426" s="49" t="str">
        <f aca="false">INDEX(samples!$C:$C, MATCH(B426, samples!$A:$A, 0), 1)</f>
        <v>2021-12-28</v>
      </c>
      <c r="S426" s="50" t="str">
        <f aca="false">INDEX(samples!$D:$D,MATCH(B426, samples!$A:$A,0),1)</f>
        <v>blood</v>
      </c>
      <c r="T426" s="51" t="s">
        <v>427</v>
      </c>
      <c r="V426" s="8" t="s">
        <v>427</v>
      </c>
      <c r="X426" s="8"/>
      <c r="Y426" s="8" t="s">
        <v>1002</v>
      </c>
      <c r="Z426" s="8" t="n">
        <v>0</v>
      </c>
      <c r="AA426" s="8" t="n">
        <v>0</v>
      </c>
      <c r="AB426" s="8" t="n">
        <v>0</v>
      </c>
    </row>
    <row r="427" customFormat="false" ht="13.8" hidden="false" customHeight="false" outlineLevel="0" collapsed="false">
      <c r="A427" s="48" t="s">
        <v>3585</v>
      </c>
      <c r="B427" s="41" t="s">
        <v>2385</v>
      </c>
      <c r="C427" s="0" t="s">
        <v>3147</v>
      </c>
      <c r="D427" s="0" t="s">
        <v>3398</v>
      </c>
      <c r="H427" s="0" t="s">
        <v>3272</v>
      </c>
      <c r="I427" s="0" t="s">
        <v>1002</v>
      </c>
      <c r="J427" s="0" t="s">
        <v>427</v>
      </c>
      <c r="K427" s="0" t="n">
        <v>8</v>
      </c>
      <c r="M427" s="44" t="str">
        <f aca="false">INDEX(fastqs!$A:$A, MATCH(A427, fastqs!$B:$B, 0), 1)</f>
        <v>615_10-21-2021_R1.fastq.gz</v>
      </c>
      <c r="N427" s="44" t="str">
        <f aca="false">INDEX(fastqs!$C:$C, MATCH(A427, fastqs!$B:$B, 0), 1)</f>
        <v>GET</v>
      </c>
      <c r="O427" s="44" t="str">
        <f aca="false">INDEX(samples!$B:$B, MATCH(B427, samples!$A:$A, 0), 1)</f>
        <v>par0206</v>
      </c>
      <c r="P427" s="44" t="e">
        <f aca="false">INDEX(participants!$I:$I, MATCH(O427, participants!$A:$A, 0), 1)</f>
        <v>#N/A</v>
      </c>
      <c r="Q427" s="44" t="n">
        <f aca="false">INDEX(samples!$F:$F, MATCH(B427, samples!$A:$A, 0), 1)</f>
        <v>0</v>
      </c>
      <c r="R427" s="49" t="str">
        <f aca="false">INDEX(samples!$C:$C, MATCH(B427, samples!$A:$A, 0), 1)</f>
        <v>2021-10-21</v>
      </c>
      <c r="S427" s="50" t="str">
        <f aca="false">INDEX(samples!$D:$D,MATCH(B427, samples!$A:$A,0),1)</f>
        <v>blood</v>
      </c>
      <c r="T427" s="51" t="s">
        <v>427</v>
      </c>
      <c r="V427" s="8" t="s">
        <v>427</v>
      </c>
      <c r="X427" s="8"/>
      <c r="Y427" s="8" t="s">
        <v>1002</v>
      </c>
      <c r="Z427" s="8" t="n">
        <v>0</v>
      </c>
      <c r="AA427" s="8" t="n">
        <v>0</v>
      </c>
      <c r="AB427" s="8" t="n">
        <v>0</v>
      </c>
    </row>
    <row r="428" customFormat="false" ht="13.8" hidden="false" customHeight="false" outlineLevel="0" collapsed="false">
      <c r="A428" s="48" t="s">
        <v>3586</v>
      </c>
      <c r="B428" s="41" t="s">
        <v>2527</v>
      </c>
      <c r="C428" s="0" t="s">
        <v>3147</v>
      </c>
      <c r="D428" s="0" t="s">
        <v>3398</v>
      </c>
      <c r="H428" s="0" t="s">
        <v>3272</v>
      </c>
      <c r="I428" s="0" t="s">
        <v>1002</v>
      </c>
      <c r="J428" s="0" t="s">
        <v>427</v>
      </c>
      <c r="K428" s="0" t="n">
        <v>8</v>
      </c>
      <c r="M428" s="44" t="str">
        <f aca="false">INDEX(fastqs!$A:$A, MATCH(A428, fastqs!$B:$B, 0), 1)</f>
        <v>619_07-20-2021_R1.fastq.gz</v>
      </c>
      <c r="N428" s="44" t="str">
        <f aca="false">INDEX(fastqs!$C:$C, MATCH(A428, fastqs!$B:$B, 0), 1)</f>
        <v>GET</v>
      </c>
      <c r="O428" s="44" t="str">
        <f aca="false">INDEX(samples!$B:$B, MATCH(B428, samples!$A:$A, 0), 1)</f>
        <v>par0252</v>
      </c>
      <c r="P428" s="44" t="e">
        <f aca="false">INDEX(participants!$I:$I, MATCH(O428, participants!$A:$A, 0), 1)</f>
        <v>#N/A</v>
      </c>
      <c r="Q428" s="44" t="n">
        <f aca="false">INDEX(samples!$F:$F, MATCH(B428, samples!$A:$A, 0), 1)</f>
        <v>0</v>
      </c>
      <c r="R428" s="49" t="str">
        <f aca="false">INDEX(samples!$C:$C, MATCH(B428, samples!$A:$A, 0), 1)</f>
        <v>2021-07-20</v>
      </c>
      <c r="S428" s="50" t="str">
        <f aca="false">INDEX(samples!$D:$D,MATCH(B428, samples!$A:$A,0),1)</f>
        <v>blood</v>
      </c>
      <c r="T428" s="51" t="s">
        <v>427</v>
      </c>
      <c r="V428" s="8" t="s">
        <v>427</v>
      </c>
      <c r="X428" s="8"/>
      <c r="Y428" s="8" t="s">
        <v>1002</v>
      </c>
      <c r="Z428" s="8" t="n">
        <v>0</v>
      </c>
      <c r="AA428" s="8" t="n">
        <v>0</v>
      </c>
      <c r="AB428" s="8" t="n">
        <v>0</v>
      </c>
    </row>
    <row r="429" customFormat="false" ht="13.8" hidden="false" customHeight="false" outlineLevel="0" collapsed="false">
      <c r="A429" s="48" t="s">
        <v>3587</v>
      </c>
      <c r="B429" s="41" t="s">
        <v>2386</v>
      </c>
      <c r="C429" s="0" t="s">
        <v>3147</v>
      </c>
      <c r="D429" s="0" t="s">
        <v>3398</v>
      </c>
      <c r="H429" s="0" t="s">
        <v>3272</v>
      </c>
      <c r="I429" s="0" t="s">
        <v>1002</v>
      </c>
      <c r="J429" s="0" t="s">
        <v>427</v>
      </c>
      <c r="K429" s="0" t="n">
        <v>8</v>
      </c>
      <c r="M429" s="44" t="str">
        <f aca="false">INDEX(fastqs!$A:$A, MATCH(A429, fastqs!$B:$B, 0), 1)</f>
        <v>621_09-27-2022_R1.fastq.gz</v>
      </c>
      <c r="N429" s="44" t="str">
        <f aca="false">INDEX(fastqs!$C:$C, MATCH(A429, fastqs!$B:$B, 0), 1)</f>
        <v>GET</v>
      </c>
      <c r="O429" s="44" t="str">
        <f aca="false">INDEX(samples!$B:$B, MATCH(B429, samples!$A:$A, 0), 1)</f>
        <v>par0236</v>
      </c>
      <c r="P429" s="44" t="e">
        <f aca="false">INDEX(participants!$I:$I, MATCH(O429, participants!$A:$A, 0), 1)</f>
        <v>#N/A</v>
      </c>
      <c r="Q429" s="44" t="n">
        <f aca="false">INDEX(samples!$F:$F, MATCH(B429, samples!$A:$A, 0), 1)</f>
        <v>0</v>
      </c>
      <c r="R429" s="49" t="str">
        <f aca="false">INDEX(samples!$C:$C, MATCH(B429, samples!$A:$A, 0), 1)</f>
        <v>2022-09-27</v>
      </c>
      <c r="S429" s="50" t="str">
        <f aca="false">INDEX(samples!$D:$D,MATCH(B429, samples!$A:$A,0),1)</f>
        <v>blood</v>
      </c>
      <c r="T429" s="51" t="s">
        <v>427</v>
      </c>
      <c r="V429" s="8" t="s">
        <v>427</v>
      </c>
      <c r="X429" s="8"/>
      <c r="Y429" s="8" t="s">
        <v>1002</v>
      </c>
      <c r="Z429" s="8" t="n">
        <v>0</v>
      </c>
      <c r="AA429" s="8" t="n">
        <v>0</v>
      </c>
      <c r="AB429" s="8" t="n">
        <v>0</v>
      </c>
    </row>
    <row r="430" customFormat="false" ht="13.8" hidden="false" customHeight="false" outlineLevel="0" collapsed="false">
      <c r="A430" s="48" t="s">
        <v>3588</v>
      </c>
      <c r="B430" s="41" t="s">
        <v>2531</v>
      </c>
      <c r="C430" s="0" t="s">
        <v>3147</v>
      </c>
      <c r="D430" s="0" t="s">
        <v>3398</v>
      </c>
      <c r="H430" s="0" t="s">
        <v>3272</v>
      </c>
      <c r="I430" s="0" t="s">
        <v>1002</v>
      </c>
      <c r="J430" s="0" t="s">
        <v>427</v>
      </c>
      <c r="K430" s="0" t="n">
        <v>8</v>
      </c>
      <c r="M430" s="44" t="str">
        <f aca="false">INDEX(fastqs!$A:$A, MATCH(A430, fastqs!$B:$B, 0), 1)</f>
        <v>636_03-29-2022_R1.fastq.gz</v>
      </c>
      <c r="N430" s="44" t="str">
        <f aca="false">INDEX(fastqs!$C:$C, MATCH(A430, fastqs!$B:$B, 0), 1)</f>
        <v>GET</v>
      </c>
      <c r="O430" s="44" t="str">
        <f aca="false">INDEX(samples!$B:$B, MATCH(B430, samples!$A:$A, 0), 1)</f>
        <v>par0253</v>
      </c>
      <c r="P430" s="44" t="e">
        <f aca="false">INDEX(participants!$I:$I, MATCH(O430, participants!$A:$A, 0), 1)</f>
        <v>#N/A</v>
      </c>
      <c r="Q430" s="44" t="n">
        <f aca="false">INDEX(samples!$F:$F, MATCH(B430, samples!$A:$A, 0), 1)</f>
        <v>0</v>
      </c>
      <c r="R430" s="49" t="str">
        <f aca="false">INDEX(samples!$C:$C, MATCH(B430, samples!$A:$A, 0), 1)</f>
        <v>2022-03-29</v>
      </c>
      <c r="S430" s="50" t="str">
        <f aca="false">INDEX(samples!$D:$D,MATCH(B430, samples!$A:$A,0),1)</f>
        <v>blood</v>
      </c>
      <c r="T430" s="51" t="s">
        <v>427</v>
      </c>
      <c r="V430" s="8" t="s">
        <v>427</v>
      </c>
      <c r="X430" s="8"/>
      <c r="Y430" s="8" t="s">
        <v>1002</v>
      </c>
      <c r="Z430" s="8" t="n">
        <v>0</v>
      </c>
      <c r="AA430" s="8" t="n">
        <v>0</v>
      </c>
      <c r="AB430" s="8" t="n">
        <v>0</v>
      </c>
    </row>
    <row r="431" customFormat="false" ht="13.8" hidden="false" customHeight="false" outlineLevel="0" collapsed="false">
      <c r="A431" s="48" t="s">
        <v>3589</v>
      </c>
      <c r="B431" s="41" t="s">
        <v>2533</v>
      </c>
      <c r="C431" s="0" t="s">
        <v>3147</v>
      </c>
      <c r="D431" s="0" t="s">
        <v>3398</v>
      </c>
      <c r="H431" s="0" t="s">
        <v>3272</v>
      </c>
      <c r="I431" s="0" t="s">
        <v>1002</v>
      </c>
      <c r="J431" s="0" t="s">
        <v>427</v>
      </c>
      <c r="K431" s="0" t="n">
        <v>8</v>
      </c>
      <c r="M431" s="44" t="str">
        <f aca="false">INDEX(fastqs!$A:$A, MATCH(A431, fastqs!$B:$B, 0), 1)</f>
        <v>636_03-30-2021_R1.fastq.gz</v>
      </c>
      <c r="N431" s="44" t="str">
        <f aca="false">INDEX(fastqs!$C:$C, MATCH(A431, fastqs!$B:$B, 0), 1)</f>
        <v>GET</v>
      </c>
      <c r="O431" s="44" t="str">
        <f aca="false">INDEX(samples!$B:$B, MATCH(B431, samples!$A:$A, 0), 1)</f>
        <v>par0253</v>
      </c>
      <c r="P431" s="44" t="e">
        <f aca="false">INDEX(participants!$I:$I, MATCH(O431, participants!$A:$A, 0), 1)</f>
        <v>#N/A</v>
      </c>
      <c r="Q431" s="44" t="n">
        <f aca="false">INDEX(samples!$F:$F, MATCH(B431, samples!$A:$A, 0), 1)</f>
        <v>0</v>
      </c>
      <c r="R431" s="49" t="str">
        <f aca="false">INDEX(samples!$C:$C, MATCH(B431, samples!$A:$A, 0), 1)</f>
        <v>2021-03-30</v>
      </c>
      <c r="S431" s="50" t="str">
        <f aca="false">INDEX(samples!$D:$D,MATCH(B431, samples!$A:$A,0),1)</f>
        <v>blood</v>
      </c>
      <c r="T431" s="51" t="s">
        <v>427</v>
      </c>
      <c r="V431" s="8" t="s">
        <v>427</v>
      </c>
      <c r="X431" s="8"/>
      <c r="Y431" s="8" t="s">
        <v>1002</v>
      </c>
      <c r="Z431" s="8" t="n">
        <v>0</v>
      </c>
      <c r="AA431" s="8" t="n">
        <v>0</v>
      </c>
      <c r="AB431" s="8" t="n">
        <v>0</v>
      </c>
    </row>
    <row r="432" customFormat="false" ht="13.8" hidden="false" customHeight="false" outlineLevel="0" collapsed="false">
      <c r="A432" s="48" t="s">
        <v>3590</v>
      </c>
      <c r="B432" s="41" t="s">
        <v>2534</v>
      </c>
      <c r="C432" s="0" t="s">
        <v>3147</v>
      </c>
      <c r="D432" s="0" t="s">
        <v>3398</v>
      </c>
      <c r="H432" s="0" t="s">
        <v>3272</v>
      </c>
      <c r="I432" s="0" t="s">
        <v>1002</v>
      </c>
      <c r="J432" s="0" t="s">
        <v>427</v>
      </c>
      <c r="K432" s="0" t="n">
        <v>8</v>
      </c>
      <c r="M432" s="44" t="str">
        <f aca="false">INDEX(fastqs!$A:$A, MATCH(A432, fastqs!$B:$B, 0), 1)</f>
        <v>637_09-13-2022_R1.fastq.gz</v>
      </c>
      <c r="N432" s="44" t="str">
        <f aca="false">INDEX(fastqs!$C:$C, MATCH(A432, fastqs!$B:$B, 0), 1)</f>
        <v>GET</v>
      </c>
      <c r="O432" s="44" t="str">
        <f aca="false">INDEX(samples!$B:$B, MATCH(B432, samples!$A:$A, 0), 1)</f>
        <v>par0254</v>
      </c>
      <c r="P432" s="44" t="e">
        <f aca="false">INDEX(participants!$I:$I, MATCH(O432, participants!$A:$A, 0), 1)</f>
        <v>#N/A</v>
      </c>
      <c r="Q432" s="44" t="n">
        <f aca="false">INDEX(samples!$F:$F, MATCH(B432, samples!$A:$A, 0), 1)</f>
        <v>0</v>
      </c>
      <c r="R432" s="49" t="str">
        <f aca="false">INDEX(samples!$C:$C, MATCH(B432, samples!$A:$A, 0), 1)</f>
        <v>2022-09-13</v>
      </c>
      <c r="S432" s="50" t="str">
        <f aca="false">INDEX(samples!$D:$D,MATCH(B432, samples!$A:$A,0),1)</f>
        <v>blood</v>
      </c>
      <c r="T432" s="51" t="s">
        <v>427</v>
      </c>
      <c r="V432" s="8" t="s">
        <v>427</v>
      </c>
      <c r="X432" s="8"/>
      <c r="Y432" s="8" t="s">
        <v>1002</v>
      </c>
      <c r="Z432" s="8" t="n">
        <v>0</v>
      </c>
      <c r="AA432" s="8" t="n">
        <v>0</v>
      </c>
      <c r="AB432" s="8" t="n">
        <v>0</v>
      </c>
    </row>
    <row r="433" customFormat="false" ht="13.8" hidden="false" customHeight="false" outlineLevel="0" collapsed="false">
      <c r="A433" s="48" t="s">
        <v>3591</v>
      </c>
      <c r="B433" s="41" t="s">
        <v>2388</v>
      </c>
      <c r="C433" s="0" t="s">
        <v>3147</v>
      </c>
      <c r="D433" s="0" t="s">
        <v>3398</v>
      </c>
      <c r="H433" s="0" t="s">
        <v>3272</v>
      </c>
      <c r="I433" s="0" t="s">
        <v>1002</v>
      </c>
      <c r="J433" s="0" t="s">
        <v>427</v>
      </c>
      <c r="K433" s="0" t="n">
        <v>8</v>
      </c>
      <c r="M433" s="44" t="str">
        <f aca="false">INDEX(fastqs!$A:$A, MATCH(A433, fastqs!$B:$B, 0), 1)</f>
        <v>642_02-08-2022_R1.fastq.gz</v>
      </c>
      <c r="N433" s="44" t="str">
        <f aca="false">INDEX(fastqs!$C:$C, MATCH(A433, fastqs!$B:$B, 0), 1)</f>
        <v>GET</v>
      </c>
      <c r="O433" s="44" t="str">
        <f aca="false">INDEX(samples!$B:$B, MATCH(B433, samples!$A:$A, 0), 1)</f>
        <v>par0238</v>
      </c>
      <c r="P433" s="44" t="e">
        <f aca="false">INDEX(participants!$I:$I, MATCH(O433, participants!$A:$A, 0), 1)</f>
        <v>#N/A</v>
      </c>
      <c r="Q433" s="44" t="n">
        <f aca="false">INDEX(samples!$F:$F, MATCH(B433, samples!$A:$A, 0), 1)</f>
        <v>0</v>
      </c>
      <c r="R433" s="49" t="str">
        <f aca="false">INDEX(samples!$C:$C, MATCH(B433, samples!$A:$A, 0), 1)</f>
        <v>2022-02-08</v>
      </c>
      <c r="S433" s="50" t="str">
        <f aca="false">INDEX(samples!$D:$D,MATCH(B433, samples!$A:$A,0),1)</f>
        <v>blood</v>
      </c>
      <c r="T433" s="51" t="s">
        <v>427</v>
      </c>
      <c r="V433" s="8" t="s">
        <v>427</v>
      </c>
      <c r="X433" s="8"/>
      <c r="Y433" s="8" t="s">
        <v>1002</v>
      </c>
      <c r="Z433" s="8" t="n">
        <v>0</v>
      </c>
      <c r="AA433" s="8" t="n">
        <v>0</v>
      </c>
      <c r="AB433" s="8" t="n">
        <v>0</v>
      </c>
    </row>
    <row r="434" customFormat="false" ht="13.8" hidden="false" customHeight="false" outlineLevel="0" collapsed="false">
      <c r="A434" s="48" t="s">
        <v>3592</v>
      </c>
      <c r="B434" s="41" t="s">
        <v>2390</v>
      </c>
      <c r="C434" s="0" t="s">
        <v>3147</v>
      </c>
      <c r="D434" s="0" t="s">
        <v>3398</v>
      </c>
      <c r="H434" s="0" t="s">
        <v>3272</v>
      </c>
      <c r="I434" s="0" t="s">
        <v>1002</v>
      </c>
      <c r="J434" s="0" t="s">
        <v>427</v>
      </c>
      <c r="K434" s="0" t="n">
        <v>8</v>
      </c>
      <c r="M434" s="44" t="str">
        <f aca="false">INDEX(fastqs!$A:$A, MATCH(A434, fastqs!$B:$B, 0), 1)</f>
        <v>642_08-17-2022_R1.fastq.gz</v>
      </c>
      <c r="N434" s="44" t="str">
        <f aca="false">INDEX(fastqs!$C:$C, MATCH(A434, fastqs!$B:$B, 0), 1)</f>
        <v>GET</v>
      </c>
      <c r="O434" s="44" t="str">
        <f aca="false">INDEX(samples!$B:$B, MATCH(B434, samples!$A:$A, 0), 1)</f>
        <v>par0238</v>
      </c>
      <c r="P434" s="44" t="e">
        <f aca="false">INDEX(participants!$I:$I, MATCH(O434, participants!$A:$A, 0), 1)</f>
        <v>#N/A</v>
      </c>
      <c r="Q434" s="44" t="n">
        <f aca="false">INDEX(samples!$F:$F, MATCH(B434, samples!$A:$A, 0), 1)</f>
        <v>0</v>
      </c>
      <c r="R434" s="49" t="str">
        <f aca="false">INDEX(samples!$C:$C, MATCH(B434, samples!$A:$A, 0), 1)</f>
        <v>2022-08-17</v>
      </c>
      <c r="S434" s="50" t="str">
        <f aca="false">INDEX(samples!$D:$D,MATCH(B434, samples!$A:$A,0),1)</f>
        <v>blood</v>
      </c>
      <c r="T434" s="51" t="s">
        <v>427</v>
      </c>
      <c r="V434" s="8" t="s">
        <v>427</v>
      </c>
      <c r="X434" s="8"/>
      <c r="Y434" s="8" t="s">
        <v>1002</v>
      </c>
      <c r="Z434" s="8" t="n">
        <v>0</v>
      </c>
      <c r="AA434" s="8" t="n">
        <v>0</v>
      </c>
      <c r="AB434" s="8" t="n">
        <v>0</v>
      </c>
    </row>
    <row r="435" customFormat="false" ht="13.8" hidden="false" customHeight="false" outlineLevel="0" collapsed="false">
      <c r="A435" s="48" t="s">
        <v>3593</v>
      </c>
      <c r="B435" s="41" t="s">
        <v>2536</v>
      </c>
      <c r="C435" s="0" t="s">
        <v>3147</v>
      </c>
      <c r="D435" s="0" t="s">
        <v>3398</v>
      </c>
      <c r="H435" s="0" t="s">
        <v>3272</v>
      </c>
      <c r="I435" s="0" t="s">
        <v>1002</v>
      </c>
      <c r="J435" s="0" t="s">
        <v>427</v>
      </c>
      <c r="K435" s="0" t="n">
        <v>8</v>
      </c>
      <c r="M435" s="44" t="str">
        <f aca="false">INDEX(fastqs!$A:$A, MATCH(A435, fastqs!$B:$B, 0), 1)</f>
        <v>642_09-07-2021_R1.fastq.gz</v>
      </c>
      <c r="N435" s="44" t="str">
        <f aca="false">INDEX(fastqs!$C:$C, MATCH(A435, fastqs!$B:$B, 0), 1)</f>
        <v>GET</v>
      </c>
      <c r="O435" s="44" t="str">
        <f aca="false">INDEX(samples!$B:$B, MATCH(B435, samples!$A:$A, 0), 1)</f>
        <v>par0238</v>
      </c>
      <c r="P435" s="44" t="e">
        <f aca="false">INDEX(participants!$I:$I, MATCH(O435, participants!$A:$A, 0), 1)</f>
        <v>#N/A</v>
      </c>
      <c r="Q435" s="44" t="n">
        <f aca="false">INDEX(samples!$F:$F, MATCH(B435, samples!$A:$A, 0), 1)</f>
        <v>0</v>
      </c>
      <c r="R435" s="49" t="str">
        <f aca="false">INDEX(samples!$C:$C, MATCH(B435, samples!$A:$A, 0), 1)</f>
        <v>2021-09-07</v>
      </c>
      <c r="S435" s="50" t="str">
        <f aca="false">INDEX(samples!$D:$D,MATCH(B435, samples!$A:$A,0),1)</f>
        <v>blood</v>
      </c>
      <c r="T435" s="51" t="s">
        <v>427</v>
      </c>
      <c r="V435" s="8" t="s">
        <v>427</v>
      </c>
      <c r="X435" s="8"/>
      <c r="Y435" s="8" t="s">
        <v>1002</v>
      </c>
      <c r="Z435" s="8" t="n">
        <v>0</v>
      </c>
      <c r="AA435" s="8" t="n">
        <v>0</v>
      </c>
      <c r="AB435" s="8" t="n">
        <v>0</v>
      </c>
    </row>
    <row r="436" customFormat="false" ht="13.8" hidden="false" customHeight="false" outlineLevel="0" collapsed="false">
      <c r="A436" s="48" t="s">
        <v>3594</v>
      </c>
      <c r="B436" s="41" t="s">
        <v>2538</v>
      </c>
      <c r="C436" s="0" t="s">
        <v>3147</v>
      </c>
      <c r="D436" s="0" t="s">
        <v>3398</v>
      </c>
      <c r="H436" s="0" t="s">
        <v>3272</v>
      </c>
      <c r="I436" s="0" t="s">
        <v>1002</v>
      </c>
      <c r="J436" s="0" t="s">
        <v>427</v>
      </c>
      <c r="K436" s="0" t="n">
        <v>8</v>
      </c>
      <c r="M436" s="44" t="str">
        <f aca="false">INDEX(fastqs!$A:$A, MATCH(A436, fastqs!$B:$B, 0), 1)</f>
        <v>648_08-17-2021_R1.fastq.gz</v>
      </c>
      <c r="N436" s="44" t="str">
        <f aca="false">INDEX(fastqs!$C:$C, MATCH(A436, fastqs!$B:$B, 0), 1)</f>
        <v>GET</v>
      </c>
      <c r="O436" s="44" t="str">
        <f aca="false">INDEX(samples!$B:$B, MATCH(B436, samples!$A:$A, 0), 1)</f>
        <v>par0217</v>
      </c>
      <c r="P436" s="44" t="e">
        <f aca="false">INDEX(participants!$I:$I, MATCH(O436, participants!$A:$A, 0), 1)</f>
        <v>#N/A</v>
      </c>
      <c r="Q436" s="44" t="n">
        <f aca="false">INDEX(samples!$F:$F, MATCH(B436, samples!$A:$A, 0), 1)</f>
        <v>0</v>
      </c>
      <c r="R436" s="49" t="str">
        <f aca="false">INDEX(samples!$C:$C, MATCH(B436, samples!$A:$A, 0), 1)</f>
        <v>2021-08-17</v>
      </c>
      <c r="S436" s="50" t="str">
        <f aca="false">INDEX(samples!$D:$D,MATCH(B436, samples!$A:$A,0),1)</f>
        <v>blood</v>
      </c>
      <c r="T436" s="51" t="s">
        <v>427</v>
      </c>
      <c r="V436" s="8" t="s">
        <v>427</v>
      </c>
      <c r="X436" s="8"/>
      <c r="Y436" s="8" t="s">
        <v>1002</v>
      </c>
      <c r="Z436" s="8" t="n">
        <v>0</v>
      </c>
      <c r="AA436" s="8" t="n">
        <v>0</v>
      </c>
      <c r="AB436" s="8" t="n">
        <v>0</v>
      </c>
    </row>
    <row r="437" customFormat="false" ht="13.8" hidden="false" customHeight="false" outlineLevel="0" collapsed="false">
      <c r="A437" s="48" t="s">
        <v>3595</v>
      </c>
      <c r="B437" s="41" t="s">
        <v>2540</v>
      </c>
      <c r="C437" s="0" t="s">
        <v>3147</v>
      </c>
      <c r="D437" s="0" t="s">
        <v>3398</v>
      </c>
      <c r="H437" s="0" t="s">
        <v>3272</v>
      </c>
      <c r="I437" s="0" t="s">
        <v>1002</v>
      </c>
      <c r="J437" s="0" t="s">
        <v>427</v>
      </c>
      <c r="K437" s="0" t="n">
        <v>8</v>
      </c>
      <c r="M437" s="44" t="str">
        <f aca="false">INDEX(fastqs!$A:$A, MATCH(A437, fastqs!$B:$B, 0), 1)</f>
        <v>654_09-07-2021_R1.fastq.gz</v>
      </c>
      <c r="N437" s="44" t="str">
        <f aca="false">INDEX(fastqs!$C:$C, MATCH(A437, fastqs!$B:$B, 0), 1)</f>
        <v>GET</v>
      </c>
      <c r="O437" s="44" t="str">
        <f aca="false">INDEX(samples!$B:$B, MATCH(B437, samples!$A:$A, 0), 1)</f>
        <v>par0255</v>
      </c>
      <c r="P437" s="44" t="e">
        <f aca="false">INDEX(participants!$I:$I, MATCH(O437, participants!$A:$A, 0), 1)</f>
        <v>#N/A</v>
      </c>
      <c r="Q437" s="44" t="n">
        <f aca="false">INDEX(samples!$F:$F, MATCH(B437, samples!$A:$A, 0), 1)</f>
        <v>0</v>
      </c>
      <c r="R437" s="49" t="str">
        <f aca="false">INDEX(samples!$C:$C, MATCH(B437, samples!$A:$A, 0), 1)</f>
        <v>2021-09-07</v>
      </c>
      <c r="S437" s="50" t="str">
        <f aca="false">INDEX(samples!$D:$D,MATCH(B437, samples!$A:$A,0),1)</f>
        <v>blood</v>
      </c>
      <c r="T437" s="51" t="s">
        <v>427</v>
      </c>
      <c r="V437" s="8" t="s">
        <v>427</v>
      </c>
      <c r="X437" s="8"/>
      <c r="Y437" s="8" t="s">
        <v>1002</v>
      </c>
      <c r="Z437" s="8" t="n">
        <v>0</v>
      </c>
      <c r="AA437" s="8" t="n">
        <v>0</v>
      </c>
      <c r="AB437" s="8" t="n">
        <v>0</v>
      </c>
    </row>
    <row r="438" customFormat="false" ht="13.8" hidden="false" customHeight="false" outlineLevel="0" collapsed="false">
      <c r="A438" s="48" t="s">
        <v>3596</v>
      </c>
      <c r="B438" s="41" t="s">
        <v>2392</v>
      </c>
      <c r="C438" s="0" t="s">
        <v>3147</v>
      </c>
      <c r="D438" s="0" t="s">
        <v>3398</v>
      </c>
      <c r="H438" s="0" t="s">
        <v>3272</v>
      </c>
      <c r="I438" s="0" t="s">
        <v>1002</v>
      </c>
      <c r="J438" s="0" t="s">
        <v>427</v>
      </c>
      <c r="K438" s="0" t="n">
        <v>8</v>
      </c>
      <c r="M438" s="44" t="str">
        <f aca="false">INDEX(fastqs!$A:$A, MATCH(A438, fastqs!$B:$B, 0), 1)</f>
        <v>661_05-03-2022_R1.fastq.gz</v>
      </c>
      <c r="N438" s="44" t="str">
        <f aca="false">INDEX(fastqs!$C:$C, MATCH(A438, fastqs!$B:$B, 0), 1)</f>
        <v>GET</v>
      </c>
      <c r="O438" s="44" t="str">
        <f aca="false">INDEX(samples!$B:$B, MATCH(B438, samples!$A:$A, 0), 1)</f>
        <v>par0220</v>
      </c>
      <c r="P438" s="44" t="e">
        <f aca="false">INDEX(participants!$I:$I, MATCH(O438, participants!$A:$A, 0), 1)</f>
        <v>#N/A</v>
      </c>
      <c r="Q438" s="44" t="n">
        <f aca="false">INDEX(samples!$F:$F, MATCH(B438, samples!$A:$A, 0), 1)</f>
        <v>0</v>
      </c>
      <c r="R438" s="49" t="str">
        <f aca="false">INDEX(samples!$C:$C, MATCH(B438, samples!$A:$A, 0), 1)</f>
        <v>2022-05-03</v>
      </c>
      <c r="S438" s="50" t="str">
        <f aca="false">INDEX(samples!$D:$D,MATCH(B438, samples!$A:$A,0),1)</f>
        <v>blood</v>
      </c>
      <c r="T438" s="51" t="s">
        <v>427</v>
      </c>
      <c r="V438" s="8" t="s">
        <v>427</v>
      </c>
      <c r="X438" s="8"/>
      <c r="Y438" s="8" t="s">
        <v>1002</v>
      </c>
      <c r="Z438" s="8" t="n">
        <v>0</v>
      </c>
      <c r="AA438" s="8" t="n">
        <v>0</v>
      </c>
      <c r="AB438" s="8" t="n">
        <v>0</v>
      </c>
    </row>
    <row r="439" customFormat="false" ht="13.8" hidden="false" customHeight="false" outlineLevel="0" collapsed="false">
      <c r="A439" s="48" t="s">
        <v>3597</v>
      </c>
      <c r="B439" s="41" t="s">
        <v>2542</v>
      </c>
      <c r="C439" s="0" t="s">
        <v>3147</v>
      </c>
      <c r="D439" s="0" t="s">
        <v>3398</v>
      </c>
      <c r="H439" s="0" t="s">
        <v>3272</v>
      </c>
      <c r="I439" s="0" t="s">
        <v>1002</v>
      </c>
      <c r="J439" s="0" t="s">
        <v>427</v>
      </c>
      <c r="K439" s="0" t="n">
        <v>8</v>
      </c>
      <c r="M439" s="44" t="str">
        <f aca="false">INDEX(fastqs!$A:$A, MATCH(A439, fastqs!$B:$B, 0), 1)</f>
        <v>666_11-02-2021_R1.fastq.gz</v>
      </c>
      <c r="N439" s="44" t="str">
        <f aca="false">INDEX(fastqs!$C:$C, MATCH(A439, fastqs!$B:$B, 0), 1)</f>
        <v>GET</v>
      </c>
      <c r="O439" s="44" t="str">
        <f aca="false">INDEX(samples!$B:$B, MATCH(B439, samples!$A:$A, 0), 1)</f>
        <v>par0256</v>
      </c>
      <c r="P439" s="44" t="e">
        <f aca="false">INDEX(participants!$I:$I, MATCH(O439, participants!$A:$A, 0), 1)</f>
        <v>#N/A</v>
      </c>
      <c r="Q439" s="44" t="n">
        <f aca="false">INDEX(samples!$F:$F, MATCH(B439, samples!$A:$A, 0), 1)</f>
        <v>0</v>
      </c>
      <c r="R439" s="49" t="str">
        <f aca="false">INDEX(samples!$C:$C, MATCH(B439, samples!$A:$A, 0), 1)</f>
        <v>2021-11-02</v>
      </c>
      <c r="S439" s="50" t="str">
        <f aca="false">INDEX(samples!$D:$D,MATCH(B439, samples!$A:$A,0),1)</f>
        <v>blood</v>
      </c>
      <c r="T439" s="51" t="s">
        <v>427</v>
      </c>
      <c r="V439" s="8" t="s">
        <v>427</v>
      </c>
      <c r="X439" s="8"/>
      <c r="Y439" s="8" t="s">
        <v>1002</v>
      </c>
      <c r="Z439" s="8" t="n">
        <v>0</v>
      </c>
      <c r="AA439" s="8" t="n">
        <v>0</v>
      </c>
      <c r="AB439" s="8" t="n">
        <v>0</v>
      </c>
    </row>
    <row r="440" customFormat="false" ht="13.8" hidden="false" customHeight="false" outlineLevel="0" collapsed="false">
      <c r="A440" s="48" t="s">
        <v>3598</v>
      </c>
      <c r="B440" s="41" t="s">
        <v>2546</v>
      </c>
      <c r="C440" s="0" t="s">
        <v>3147</v>
      </c>
      <c r="D440" s="0" t="s">
        <v>3398</v>
      </c>
      <c r="H440" s="0" t="s">
        <v>3272</v>
      </c>
      <c r="I440" s="0" t="s">
        <v>1002</v>
      </c>
      <c r="J440" s="0" t="s">
        <v>427</v>
      </c>
      <c r="K440" s="0" t="n">
        <v>8</v>
      </c>
      <c r="M440" s="44" t="str">
        <f aca="false">INDEX(fastqs!$A:$A, MATCH(A440, fastqs!$B:$B, 0), 1)</f>
        <v>668_08-16-2022_R1.fastq.gz</v>
      </c>
      <c r="N440" s="44" t="str">
        <f aca="false">INDEX(fastqs!$C:$C, MATCH(A440, fastqs!$B:$B, 0), 1)</f>
        <v>GET</v>
      </c>
      <c r="O440" s="44" t="str">
        <f aca="false">INDEX(samples!$B:$B, MATCH(B440, samples!$A:$A, 0), 1)</f>
        <v>par0257</v>
      </c>
      <c r="P440" s="44" t="e">
        <f aca="false">INDEX(participants!$I:$I, MATCH(O440, participants!$A:$A, 0), 1)</f>
        <v>#N/A</v>
      </c>
      <c r="Q440" s="44" t="n">
        <f aca="false">INDEX(samples!$F:$F, MATCH(B440, samples!$A:$A, 0), 1)</f>
        <v>0</v>
      </c>
      <c r="R440" s="49" t="str">
        <f aca="false">INDEX(samples!$C:$C, MATCH(B440, samples!$A:$A, 0), 1)</f>
        <v>2022-08-16</v>
      </c>
      <c r="S440" s="50" t="str">
        <f aca="false">INDEX(samples!$D:$D,MATCH(B440, samples!$A:$A,0),1)</f>
        <v>blood</v>
      </c>
      <c r="T440" s="51" t="s">
        <v>427</v>
      </c>
      <c r="V440" s="8" t="s">
        <v>427</v>
      </c>
      <c r="X440" s="8"/>
      <c r="Y440" s="8" t="s">
        <v>1002</v>
      </c>
      <c r="Z440" s="8" t="n">
        <v>0</v>
      </c>
      <c r="AA440" s="8" t="n">
        <v>0</v>
      </c>
      <c r="AB440" s="8" t="n">
        <v>0</v>
      </c>
    </row>
    <row r="441" customFormat="false" ht="13.8" hidden="false" customHeight="false" outlineLevel="0" collapsed="false">
      <c r="A441" s="48" t="s">
        <v>3599</v>
      </c>
      <c r="B441" s="41" t="s">
        <v>2547</v>
      </c>
      <c r="C441" s="0" t="s">
        <v>3147</v>
      </c>
      <c r="D441" s="0" t="s">
        <v>3398</v>
      </c>
      <c r="H441" s="0" t="s">
        <v>3272</v>
      </c>
      <c r="I441" s="0" t="s">
        <v>1002</v>
      </c>
      <c r="J441" s="0" t="s">
        <v>427</v>
      </c>
      <c r="K441" s="0" t="n">
        <v>8</v>
      </c>
      <c r="M441" s="44" t="str">
        <f aca="false">INDEX(fastqs!$A:$A, MATCH(A441, fastqs!$B:$B, 0), 1)</f>
        <v>670_08-23-2022_R1.fastq.gz</v>
      </c>
      <c r="N441" s="44" t="str">
        <f aca="false">INDEX(fastqs!$C:$C, MATCH(A441, fastqs!$B:$B, 0), 1)</f>
        <v>GET</v>
      </c>
      <c r="O441" s="44" t="str">
        <f aca="false">INDEX(samples!$B:$B, MATCH(B441, samples!$A:$A, 0), 1)</f>
        <v>par0258</v>
      </c>
      <c r="P441" s="44" t="e">
        <f aca="false">INDEX(participants!$I:$I, MATCH(O441, participants!$A:$A, 0), 1)</f>
        <v>#N/A</v>
      </c>
      <c r="Q441" s="44" t="str">
        <f aca="false">INDEX(samples!$F:$F, MATCH(B441, samples!$A:$A, 0), 1)</f>
        <v>nf1_lib72</v>
      </c>
      <c r="R441" s="49" t="str">
        <f aca="false">INDEX(samples!$C:$C, MATCH(B441, samples!$A:$A, 0), 1)</f>
        <v>2022-08-23</v>
      </c>
      <c r="S441" s="50" t="str">
        <f aca="false">INDEX(samples!$D:$D,MATCH(B441, samples!$A:$A,0),1)</f>
        <v>blood</v>
      </c>
      <c r="T441" s="51" t="s">
        <v>427</v>
      </c>
      <c r="V441" s="8" t="s">
        <v>427</v>
      </c>
      <c r="X441" s="8"/>
      <c r="Y441" s="8" t="s">
        <v>1002</v>
      </c>
      <c r="Z441" s="8" t="n">
        <v>0</v>
      </c>
      <c r="AA441" s="8" t="n">
        <v>0</v>
      </c>
      <c r="AB441" s="8" t="n">
        <v>0</v>
      </c>
    </row>
    <row r="442" customFormat="false" ht="13.8" hidden="false" customHeight="false" outlineLevel="0" collapsed="false">
      <c r="A442" s="48" t="s">
        <v>3600</v>
      </c>
      <c r="B442" s="41" t="s">
        <v>2552</v>
      </c>
      <c r="C442" s="0" t="s">
        <v>3147</v>
      </c>
      <c r="D442" s="0" t="s">
        <v>3398</v>
      </c>
      <c r="H442" s="0" t="s">
        <v>3272</v>
      </c>
      <c r="I442" s="0" t="s">
        <v>1002</v>
      </c>
      <c r="J442" s="0" t="s">
        <v>427</v>
      </c>
      <c r="K442" s="0" t="n">
        <v>8</v>
      </c>
      <c r="M442" s="44" t="str">
        <f aca="false">INDEX(fastqs!$A:$A, MATCH(A442, fastqs!$B:$B, 0), 1)</f>
        <v>681_04-05-2022_R1.fastq.gz</v>
      </c>
      <c r="N442" s="44" t="str">
        <f aca="false">INDEX(fastqs!$C:$C, MATCH(A442, fastqs!$B:$B, 0), 1)</f>
        <v>GET</v>
      </c>
      <c r="O442" s="44" t="str">
        <f aca="false">INDEX(samples!$B:$B, MATCH(B442, samples!$A:$A, 0), 1)</f>
        <v>par0259</v>
      </c>
      <c r="P442" s="44" t="e">
        <f aca="false">INDEX(participants!$I:$I, MATCH(O442, participants!$A:$A, 0), 1)</f>
        <v>#N/A</v>
      </c>
      <c r="Q442" s="44" t="n">
        <f aca="false">INDEX(samples!$F:$F, MATCH(B442, samples!$A:$A, 0), 1)</f>
        <v>0</v>
      </c>
      <c r="R442" s="49" t="str">
        <f aca="false">INDEX(samples!$C:$C, MATCH(B442, samples!$A:$A, 0), 1)</f>
        <v>2022-04-05</v>
      </c>
      <c r="S442" s="50" t="str">
        <f aca="false">INDEX(samples!$D:$D,MATCH(B442, samples!$A:$A,0),1)</f>
        <v>blood</v>
      </c>
      <c r="T442" s="51" t="s">
        <v>427</v>
      </c>
      <c r="V442" s="8" t="s">
        <v>427</v>
      </c>
      <c r="X442" s="8"/>
      <c r="Y442" s="8" t="s">
        <v>1002</v>
      </c>
      <c r="Z442" s="8" t="n">
        <v>0</v>
      </c>
      <c r="AA442" s="8" t="n">
        <v>0</v>
      </c>
      <c r="AB442" s="8" t="n">
        <v>0</v>
      </c>
    </row>
    <row r="443" customFormat="false" ht="13.8" hidden="false" customHeight="false" outlineLevel="0" collapsed="false">
      <c r="A443" s="48" t="s">
        <v>3601</v>
      </c>
      <c r="B443" s="41" t="s">
        <v>2554</v>
      </c>
      <c r="C443" s="0" t="s">
        <v>3147</v>
      </c>
      <c r="D443" s="0" t="s">
        <v>3398</v>
      </c>
      <c r="H443" s="0" t="s">
        <v>3272</v>
      </c>
      <c r="I443" s="0" t="s">
        <v>1002</v>
      </c>
      <c r="J443" s="0" t="s">
        <v>427</v>
      </c>
      <c r="K443" s="0" t="n">
        <v>8</v>
      </c>
      <c r="M443" s="44" t="str">
        <f aca="false">INDEX(fastqs!$A:$A, MATCH(A443, fastqs!$B:$B, 0), 1)</f>
        <v>684_04-12-2022_R1.fastq.gz</v>
      </c>
      <c r="N443" s="44" t="str">
        <f aca="false">INDEX(fastqs!$C:$C, MATCH(A443, fastqs!$B:$B, 0), 1)</f>
        <v>GET</v>
      </c>
      <c r="O443" s="44" t="str">
        <f aca="false">INDEX(samples!$B:$B, MATCH(B443, samples!$A:$A, 0), 1)</f>
        <v>par0260</v>
      </c>
      <c r="P443" s="44" t="e">
        <f aca="false">INDEX(participants!$I:$I, MATCH(O443, participants!$A:$A, 0), 1)</f>
        <v>#N/A</v>
      </c>
      <c r="Q443" s="44" t="n">
        <f aca="false">INDEX(samples!$F:$F, MATCH(B443, samples!$A:$A, 0), 1)</f>
        <v>0</v>
      </c>
      <c r="R443" s="49" t="str">
        <f aca="false">INDEX(samples!$C:$C, MATCH(B443, samples!$A:$A, 0), 1)</f>
        <v>2022-04-12</v>
      </c>
      <c r="S443" s="50" t="str">
        <f aca="false">INDEX(samples!$D:$D,MATCH(B443, samples!$A:$A,0),1)</f>
        <v>blood</v>
      </c>
      <c r="T443" s="51" t="s">
        <v>427</v>
      </c>
      <c r="V443" s="8" t="s">
        <v>427</v>
      </c>
      <c r="X443" s="8"/>
      <c r="Y443" s="8" t="s">
        <v>1002</v>
      </c>
      <c r="Z443" s="8" t="n">
        <v>0</v>
      </c>
      <c r="AA443" s="8" t="n">
        <v>0</v>
      </c>
      <c r="AB443" s="8" t="n">
        <v>0</v>
      </c>
    </row>
    <row r="444" customFormat="false" ht="13.8" hidden="false" customHeight="false" outlineLevel="0" collapsed="false">
      <c r="A444" s="48" t="s">
        <v>3602</v>
      </c>
      <c r="B444" s="41" t="s">
        <v>2557</v>
      </c>
      <c r="C444" s="0" t="s">
        <v>3147</v>
      </c>
      <c r="D444" s="0" t="s">
        <v>3398</v>
      </c>
      <c r="H444" s="0" t="s">
        <v>3272</v>
      </c>
      <c r="I444" s="0" t="s">
        <v>1002</v>
      </c>
      <c r="J444" s="0" t="s">
        <v>427</v>
      </c>
      <c r="K444" s="0" t="n">
        <v>8</v>
      </c>
      <c r="M444" s="44" t="str">
        <f aca="false">INDEX(fastqs!$A:$A, MATCH(A444, fastqs!$B:$B, 0), 1)</f>
        <v>690_05-10-2022_R1.fastq.gz</v>
      </c>
      <c r="N444" s="44" t="str">
        <f aca="false">INDEX(fastqs!$C:$C, MATCH(A444, fastqs!$B:$B, 0), 1)</f>
        <v>GET</v>
      </c>
      <c r="O444" s="44" t="str">
        <f aca="false">INDEX(samples!$B:$B, MATCH(B444, samples!$A:$A, 0), 1)</f>
        <v>par0261</v>
      </c>
      <c r="P444" s="44" t="e">
        <f aca="false">INDEX(participants!$I:$I, MATCH(O444, participants!$A:$A, 0), 1)</f>
        <v>#N/A</v>
      </c>
      <c r="Q444" s="44" t="n">
        <f aca="false">INDEX(samples!$F:$F, MATCH(B444, samples!$A:$A, 0), 1)</f>
        <v>0</v>
      </c>
      <c r="R444" s="49" t="str">
        <f aca="false">INDEX(samples!$C:$C, MATCH(B444, samples!$A:$A, 0), 1)</f>
        <v>2022-05-10</v>
      </c>
      <c r="S444" s="50" t="str">
        <f aca="false">INDEX(samples!$D:$D,MATCH(B444, samples!$A:$A,0),1)</f>
        <v>blood</v>
      </c>
      <c r="T444" s="51" t="s">
        <v>427</v>
      </c>
      <c r="V444" s="8" t="s">
        <v>427</v>
      </c>
      <c r="X444" s="8"/>
      <c r="Y444" s="8" t="s">
        <v>1002</v>
      </c>
      <c r="Z444" s="8" t="n">
        <v>0</v>
      </c>
      <c r="AA444" s="8" t="n">
        <v>0</v>
      </c>
      <c r="AB444" s="8" t="n">
        <v>0</v>
      </c>
    </row>
    <row r="445" customFormat="false" ht="13.8" hidden="false" customHeight="false" outlineLevel="0" collapsed="false">
      <c r="A445" s="48" t="s">
        <v>3603</v>
      </c>
      <c r="B445" s="41" t="s">
        <v>2393</v>
      </c>
      <c r="C445" s="0" t="s">
        <v>3147</v>
      </c>
      <c r="D445" s="0" t="s">
        <v>3398</v>
      </c>
      <c r="H445" s="0" t="s">
        <v>3272</v>
      </c>
      <c r="I445" s="0" t="s">
        <v>1002</v>
      </c>
      <c r="J445" s="0" t="s">
        <v>427</v>
      </c>
      <c r="K445" s="0" t="n">
        <v>8</v>
      </c>
      <c r="M445" s="44" t="str">
        <f aca="false">INDEX(fastqs!$A:$A, MATCH(A445, fastqs!$B:$B, 0), 1)</f>
        <v>691_09-13-2022_R1.fastq.gz</v>
      </c>
      <c r="N445" s="44" t="str">
        <f aca="false">INDEX(fastqs!$C:$C, MATCH(A445, fastqs!$B:$B, 0), 1)</f>
        <v>GET</v>
      </c>
      <c r="O445" s="44" t="str">
        <f aca="false">INDEX(samples!$B:$B, MATCH(B445, samples!$A:$A, 0), 1)</f>
        <v>par0262</v>
      </c>
      <c r="P445" s="44" t="e">
        <f aca="false">INDEX(participants!$I:$I, MATCH(O445, participants!$A:$A, 0), 1)</f>
        <v>#N/A</v>
      </c>
      <c r="Q445" s="44" t="n">
        <f aca="false">INDEX(samples!$F:$F, MATCH(B445, samples!$A:$A, 0), 1)</f>
        <v>0</v>
      </c>
      <c r="R445" s="49" t="str">
        <f aca="false">INDEX(samples!$C:$C, MATCH(B445, samples!$A:$A, 0), 1)</f>
        <v>2022-09-13</v>
      </c>
      <c r="S445" s="50" t="str">
        <f aca="false">INDEX(samples!$D:$D,MATCH(B445, samples!$A:$A,0),1)</f>
        <v>blood</v>
      </c>
      <c r="T445" s="51" t="s">
        <v>427</v>
      </c>
      <c r="V445" s="8" t="s">
        <v>427</v>
      </c>
      <c r="X445" s="8"/>
      <c r="Y445" s="8" t="s">
        <v>1002</v>
      </c>
      <c r="Z445" s="8" t="n">
        <v>0</v>
      </c>
      <c r="AA445" s="8" t="n">
        <v>0</v>
      </c>
      <c r="AB445" s="8" t="n">
        <v>0</v>
      </c>
    </row>
    <row r="446" customFormat="false" ht="13.8" hidden="false" customHeight="false" outlineLevel="0" collapsed="false">
      <c r="A446" s="48" t="s">
        <v>3604</v>
      </c>
      <c r="B446" s="41" t="s">
        <v>2395</v>
      </c>
      <c r="C446" s="0" t="s">
        <v>3147</v>
      </c>
      <c r="D446" s="0" t="s">
        <v>3398</v>
      </c>
      <c r="H446" s="0" t="s">
        <v>3272</v>
      </c>
      <c r="I446" s="0" t="s">
        <v>1002</v>
      </c>
      <c r="J446" s="0" t="s">
        <v>427</v>
      </c>
      <c r="K446" s="0" t="n">
        <v>8</v>
      </c>
      <c r="M446" s="44" t="str">
        <f aca="false">INDEX(fastqs!$A:$A, MATCH(A446, fastqs!$B:$B, 0), 1)</f>
        <v>700_08-09-2022_R1.fastq.gz</v>
      </c>
      <c r="N446" s="44" t="str">
        <f aca="false">INDEX(fastqs!$C:$C, MATCH(A446, fastqs!$B:$B, 0), 1)</f>
        <v>GET</v>
      </c>
      <c r="O446" s="44" t="str">
        <f aca="false">INDEX(samples!$B:$B, MATCH(B446, samples!$A:$A, 0), 1)</f>
        <v>par0263</v>
      </c>
      <c r="P446" s="44" t="e">
        <f aca="false">INDEX(participants!$I:$I, MATCH(O446, participants!$A:$A, 0), 1)</f>
        <v>#N/A</v>
      </c>
      <c r="Q446" s="44" t="n">
        <f aca="false">INDEX(samples!$F:$F, MATCH(B446, samples!$A:$A, 0), 1)</f>
        <v>0</v>
      </c>
      <c r="R446" s="49" t="str">
        <f aca="false">INDEX(samples!$C:$C, MATCH(B446, samples!$A:$A, 0), 1)</f>
        <v>2022-08-09</v>
      </c>
      <c r="S446" s="50" t="str">
        <f aca="false">INDEX(samples!$D:$D,MATCH(B446, samples!$A:$A,0),1)</f>
        <v>blood</v>
      </c>
      <c r="T446" s="51" t="s">
        <v>427</v>
      </c>
      <c r="V446" s="8" t="s">
        <v>427</v>
      </c>
      <c r="X446" s="8"/>
      <c r="Y446" s="8" t="s">
        <v>1002</v>
      </c>
      <c r="Z446" s="8" t="n">
        <v>0</v>
      </c>
      <c r="AA446" s="8" t="n">
        <v>0</v>
      </c>
      <c r="AB446" s="8" t="n">
        <v>0</v>
      </c>
    </row>
    <row r="447" customFormat="false" ht="13.8" hidden="false" customHeight="false" outlineLevel="0" collapsed="false">
      <c r="A447" s="48" t="s">
        <v>3605</v>
      </c>
      <c r="B447" s="41" t="s">
        <v>2398</v>
      </c>
      <c r="C447" s="0" t="s">
        <v>3147</v>
      </c>
      <c r="D447" s="0" t="s">
        <v>3398</v>
      </c>
      <c r="H447" s="0" t="s">
        <v>3272</v>
      </c>
      <c r="I447" s="0" t="s">
        <v>1002</v>
      </c>
      <c r="J447" s="0" t="s">
        <v>427</v>
      </c>
      <c r="K447" s="0" t="n">
        <v>8</v>
      </c>
      <c r="M447" s="44" t="str">
        <f aca="false">INDEX(fastqs!$A:$A, MATCH(A447, fastqs!$B:$B, 0), 1)</f>
        <v>702_08-16-2022_R1.fastq.gz</v>
      </c>
      <c r="N447" s="44" t="str">
        <f aca="false">INDEX(fastqs!$C:$C, MATCH(A447, fastqs!$B:$B, 0), 1)</f>
        <v>GET</v>
      </c>
      <c r="O447" s="44" t="str">
        <f aca="false">INDEX(samples!$B:$B, MATCH(B447, samples!$A:$A, 0), 1)</f>
        <v>par0264</v>
      </c>
      <c r="P447" s="44" t="e">
        <f aca="false">INDEX(participants!$I:$I, MATCH(O447, participants!$A:$A, 0), 1)</f>
        <v>#N/A</v>
      </c>
      <c r="Q447" s="44" t="n">
        <f aca="false">INDEX(samples!$F:$F, MATCH(B447, samples!$A:$A, 0), 1)</f>
        <v>0</v>
      </c>
      <c r="R447" s="49" t="str">
        <f aca="false">INDEX(samples!$C:$C, MATCH(B447, samples!$A:$A, 0), 1)</f>
        <v>2022-08-16</v>
      </c>
      <c r="S447" s="50" t="str">
        <f aca="false">INDEX(samples!$D:$D,MATCH(B447, samples!$A:$A,0),1)</f>
        <v>blood</v>
      </c>
      <c r="T447" s="51" t="s">
        <v>427</v>
      </c>
      <c r="V447" s="8" t="s">
        <v>427</v>
      </c>
      <c r="X447" s="8"/>
      <c r="Y447" s="8" t="s">
        <v>1002</v>
      </c>
      <c r="Z447" s="8" t="n">
        <v>0</v>
      </c>
      <c r="AA447" s="8" t="n">
        <v>0</v>
      </c>
      <c r="AB447" s="8" t="n">
        <v>0</v>
      </c>
    </row>
    <row r="448" customFormat="false" ht="13.8" hidden="false" customHeight="false" outlineLevel="0" collapsed="false">
      <c r="A448" s="48" t="s">
        <v>3606</v>
      </c>
      <c r="B448" s="41" t="s">
        <v>2401</v>
      </c>
      <c r="C448" s="0" t="s">
        <v>3147</v>
      </c>
      <c r="D448" s="0" t="s">
        <v>3398</v>
      </c>
      <c r="H448" s="0" t="s">
        <v>3272</v>
      </c>
      <c r="I448" s="0" t="s">
        <v>1002</v>
      </c>
      <c r="J448" s="0" t="s">
        <v>427</v>
      </c>
      <c r="K448" s="0" t="n">
        <v>8</v>
      </c>
      <c r="M448" s="44" t="str">
        <f aca="false">INDEX(fastqs!$A:$A, MATCH(A448, fastqs!$B:$B, 0), 1)</f>
        <v>704_08-30-2022_R1.fastq.gz</v>
      </c>
      <c r="N448" s="44" t="str">
        <f aca="false">INDEX(fastqs!$C:$C, MATCH(A448, fastqs!$B:$B, 0), 1)</f>
        <v>GET</v>
      </c>
      <c r="O448" s="44" t="str">
        <f aca="false">INDEX(samples!$B:$B, MATCH(B448, samples!$A:$A, 0), 1)</f>
        <v>par0265</v>
      </c>
      <c r="P448" s="44" t="e">
        <f aca="false">INDEX(participants!$I:$I, MATCH(O448, participants!$A:$A, 0), 1)</f>
        <v>#N/A</v>
      </c>
      <c r="Q448" s="44" t="n">
        <f aca="false">INDEX(samples!$F:$F, MATCH(B448, samples!$A:$A, 0), 1)</f>
        <v>0</v>
      </c>
      <c r="R448" s="49" t="str">
        <f aca="false">INDEX(samples!$C:$C, MATCH(B448, samples!$A:$A, 0), 1)</f>
        <v>2022-08-30</v>
      </c>
      <c r="S448" s="50" t="str">
        <f aca="false">INDEX(samples!$D:$D,MATCH(B448, samples!$A:$A,0),1)</f>
        <v>blood</v>
      </c>
      <c r="T448" s="51" t="s">
        <v>427</v>
      </c>
      <c r="V448" s="8" t="s">
        <v>427</v>
      </c>
      <c r="X448" s="8"/>
      <c r="Y448" s="8" t="s">
        <v>1002</v>
      </c>
      <c r="Z448" s="8" t="n">
        <v>0</v>
      </c>
      <c r="AA448" s="8" t="n">
        <v>0</v>
      </c>
      <c r="AB448" s="8" t="n">
        <v>0</v>
      </c>
    </row>
    <row r="449" customFormat="false" ht="13.8" hidden="false" customHeight="false" outlineLevel="0" collapsed="false">
      <c r="A449" s="48" t="s">
        <v>3607</v>
      </c>
      <c r="B449" s="41" t="s">
        <v>2404</v>
      </c>
      <c r="C449" s="0" t="s">
        <v>3147</v>
      </c>
      <c r="D449" s="0" t="s">
        <v>3398</v>
      </c>
      <c r="H449" s="0" t="s">
        <v>3272</v>
      </c>
      <c r="I449" s="0" t="s">
        <v>1002</v>
      </c>
      <c r="J449" s="0" t="s">
        <v>427</v>
      </c>
      <c r="K449" s="0" t="n">
        <v>8</v>
      </c>
      <c r="M449" s="44" t="str">
        <f aca="false">INDEX(fastqs!$A:$A, MATCH(A449, fastqs!$B:$B, 0), 1)</f>
        <v>705_09-06-2022_R1.fastq.gz</v>
      </c>
      <c r="N449" s="44" t="str">
        <f aca="false">INDEX(fastqs!$C:$C, MATCH(A449, fastqs!$B:$B, 0), 1)</f>
        <v>GET</v>
      </c>
      <c r="O449" s="44" t="str">
        <f aca="false">INDEX(samples!$B:$B, MATCH(B449, samples!$A:$A, 0), 1)</f>
        <v>par0266</v>
      </c>
      <c r="P449" s="44" t="e">
        <f aca="false">INDEX(participants!$I:$I, MATCH(O449, participants!$A:$A, 0), 1)</f>
        <v>#N/A</v>
      </c>
      <c r="Q449" s="44" t="n">
        <f aca="false">INDEX(samples!$F:$F, MATCH(B449, samples!$A:$A, 0), 1)</f>
        <v>0</v>
      </c>
      <c r="R449" s="49" t="str">
        <f aca="false">INDEX(samples!$C:$C, MATCH(B449, samples!$A:$A, 0), 1)</f>
        <v>2022-09-06</v>
      </c>
      <c r="S449" s="50" t="str">
        <f aca="false">INDEX(samples!$D:$D,MATCH(B449, samples!$A:$A,0),1)</f>
        <v>blood</v>
      </c>
      <c r="T449" s="51" t="s">
        <v>427</v>
      </c>
      <c r="V449" s="8" t="s">
        <v>427</v>
      </c>
      <c r="X449" s="8"/>
      <c r="Y449" s="8" t="s">
        <v>1002</v>
      </c>
      <c r="Z449" s="8" t="n">
        <v>0</v>
      </c>
      <c r="AA449" s="8" t="n">
        <v>0</v>
      </c>
      <c r="AB449" s="8" t="n">
        <v>0</v>
      </c>
    </row>
    <row r="450" customFormat="false" ht="13.8" hidden="false" customHeight="false" outlineLevel="0" collapsed="false">
      <c r="A450" s="48" t="s">
        <v>3608</v>
      </c>
      <c r="B450" s="41" t="s">
        <v>2407</v>
      </c>
      <c r="C450" s="0" t="s">
        <v>3147</v>
      </c>
      <c r="D450" s="0" t="s">
        <v>3398</v>
      </c>
      <c r="H450" s="0" t="s">
        <v>3272</v>
      </c>
      <c r="I450" s="0" t="s">
        <v>1002</v>
      </c>
      <c r="J450" s="0" t="s">
        <v>427</v>
      </c>
      <c r="K450" s="0" t="n">
        <v>8</v>
      </c>
      <c r="M450" s="44" t="str">
        <f aca="false">INDEX(fastqs!$A:$A, MATCH(A450, fastqs!$B:$B, 0), 1)</f>
        <v>706_09-27-2022_R1.fastq.gz</v>
      </c>
      <c r="N450" s="44" t="str">
        <f aca="false">INDEX(fastqs!$C:$C, MATCH(A450, fastqs!$B:$B, 0), 1)</f>
        <v>GET</v>
      </c>
      <c r="O450" s="44" t="str">
        <f aca="false">INDEX(samples!$B:$B, MATCH(B450, samples!$A:$A, 0), 1)</f>
        <v>par0267</v>
      </c>
      <c r="P450" s="44" t="e">
        <f aca="false">INDEX(participants!$I:$I, MATCH(O450, participants!$A:$A, 0), 1)</f>
        <v>#N/A</v>
      </c>
      <c r="Q450" s="44" t="n">
        <f aca="false">INDEX(samples!$F:$F, MATCH(B450, samples!$A:$A, 0), 1)</f>
        <v>0</v>
      </c>
      <c r="R450" s="49" t="str">
        <f aca="false">INDEX(samples!$C:$C, MATCH(B450, samples!$A:$A, 0), 1)</f>
        <v>2022-09-27</v>
      </c>
      <c r="S450" s="50" t="str">
        <f aca="false">INDEX(samples!$D:$D,MATCH(B450, samples!$A:$A,0),1)</f>
        <v>blood</v>
      </c>
      <c r="T450" s="51" t="s">
        <v>427</v>
      </c>
      <c r="V450" s="8" t="s">
        <v>427</v>
      </c>
      <c r="X450" s="8" t="s">
        <v>3150</v>
      </c>
      <c r="Y450" s="8" t="s">
        <v>1002</v>
      </c>
      <c r="Z450" s="8" t="n">
        <v>0</v>
      </c>
      <c r="AA450" s="8" t="n">
        <v>0</v>
      </c>
      <c r="AB450" s="8" t="n">
        <v>0</v>
      </c>
    </row>
    <row r="451" customFormat="false" ht="13.8" hidden="false" customHeight="false" outlineLevel="0" collapsed="false">
      <c r="A451" s="48" t="s">
        <v>3609</v>
      </c>
      <c r="B451" s="41" t="s">
        <v>2410</v>
      </c>
      <c r="C451" s="0" t="s">
        <v>3147</v>
      </c>
      <c r="D451" s="0" t="s">
        <v>3398</v>
      </c>
      <c r="H451" s="0" t="s">
        <v>3272</v>
      </c>
      <c r="I451" s="0" t="s">
        <v>1002</v>
      </c>
      <c r="J451" s="0" t="s">
        <v>427</v>
      </c>
      <c r="K451" s="0" t="n">
        <v>8</v>
      </c>
      <c r="M451" s="44" t="str">
        <f aca="false">INDEX(fastqs!$A:$A, MATCH(A451, fastqs!$B:$B, 0), 1)</f>
        <v>Nu-71_02-16-2022_R1.fastq.gz</v>
      </c>
      <c r="N451" s="44" t="str">
        <f aca="false">INDEX(fastqs!$C:$C, MATCH(A451, fastqs!$B:$B, 0), 1)</f>
        <v>GET</v>
      </c>
      <c r="O451" s="44" t="str">
        <f aca="false">INDEX(samples!$B:$B, MATCH(B451, samples!$A:$A, 0), 1)</f>
        <v>par0268</v>
      </c>
      <c r="P451" s="44" t="e">
        <f aca="false">INDEX(participants!$I:$I, MATCH(O451, participants!$A:$A, 0), 1)</f>
        <v>#N/A</v>
      </c>
      <c r="Q451" s="44" t="n">
        <f aca="false">INDEX(samples!$F:$F, MATCH(B451, samples!$A:$A, 0), 1)</f>
        <v>0</v>
      </c>
      <c r="R451" s="49" t="str">
        <f aca="false">INDEX(samples!$C:$C, MATCH(B451, samples!$A:$A, 0), 1)</f>
        <v>2022-02-16</v>
      </c>
      <c r="S451" s="50" t="str">
        <f aca="false">INDEX(samples!$D:$D,MATCH(B451, samples!$A:$A,0),1)</f>
        <v>blood</v>
      </c>
      <c r="T451" s="51" t="s">
        <v>427</v>
      </c>
      <c r="V451" s="8" t="s">
        <v>427</v>
      </c>
      <c r="X451" s="8"/>
      <c r="Y451" s="8" t="s">
        <v>1002</v>
      </c>
      <c r="Z451" s="8" t="n">
        <v>0</v>
      </c>
      <c r="AA451" s="8" t="n">
        <v>0</v>
      </c>
      <c r="AB451" s="8" t="n">
        <v>0</v>
      </c>
    </row>
    <row r="452" customFormat="false" ht="13.8" hidden="false" customHeight="false" outlineLevel="0" collapsed="false">
      <c r="A452" s="48" t="s">
        <v>3610</v>
      </c>
      <c r="B452" s="41" t="s">
        <v>2413</v>
      </c>
      <c r="C452" s="0" t="s">
        <v>3147</v>
      </c>
      <c r="D452" s="0" t="s">
        <v>3398</v>
      </c>
      <c r="H452" s="0" t="s">
        <v>3272</v>
      </c>
      <c r="I452" s="0" t="s">
        <v>1002</v>
      </c>
      <c r="J452" s="0" t="s">
        <v>427</v>
      </c>
      <c r="K452" s="0" t="n">
        <v>8</v>
      </c>
      <c r="M452" s="44" t="str">
        <f aca="false">INDEX(fastqs!$A:$A, MATCH(A452, fastqs!$B:$B, 0), 1)</f>
        <v>Nu-72_02-16-2022_R1.fastq.gz</v>
      </c>
      <c r="N452" s="44" t="str">
        <f aca="false">INDEX(fastqs!$C:$C, MATCH(A452, fastqs!$B:$B, 0), 1)</f>
        <v>GET</v>
      </c>
      <c r="O452" s="44" t="str">
        <f aca="false">INDEX(samples!$B:$B, MATCH(B452, samples!$A:$A, 0), 1)</f>
        <v>par0269</v>
      </c>
      <c r="P452" s="44" t="e">
        <f aca="false">INDEX(participants!$I:$I, MATCH(O452, participants!$A:$A, 0), 1)</f>
        <v>#N/A</v>
      </c>
      <c r="Q452" s="44" t="n">
        <f aca="false">INDEX(samples!$F:$F, MATCH(B452, samples!$A:$A, 0), 1)</f>
        <v>0</v>
      </c>
      <c r="R452" s="49" t="str">
        <f aca="false">INDEX(samples!$C:$C, MATCH(B452, samples!$A:$A, 0), 1)</f>
        <v>2022-02-16</v>
      </c>
      <c r="S452" s="50" t="str">
        <f aca="false">INDEX(samples!$D:$D,MATCH(B452, samples!$A:$A,0),1)</f>
        <v>blood</v>
      </c>
      <c r="T452" s="51" t="s">
        <v>427</v>
      </c>
      <c r="V452" s="8" t="s">
        <v>427</v>
      </c>
      <c r="X452" s="8"/>
      <c r="Y452" s="8" t="s">
        <v>1002</v>
      </c>
      <c r="Z452" s="8" t="n">
        <v>0</v>
      </c>
      <c r="AA452" s="8" t="n">
        <v>0</v>
      </c>
      <c r="AB452" s="8" t="n">
        <v>0</v>
      </c>
    </row>
    <row r="453" customFormat="false" ht="13.8" hidden="false" customHeight="false" outlineLevel="0" collapsed="false">
      <c r="A453" s="48" t="s">
        <v>3611</v>
      </c>
      <c r="B453" s="41" t="s">
        <v>2415</v>
      </c>
      <c r="C453" s="0" t="s">
        <v>3147</v>
      </c>
      <c r="D453" s="0" t="s">
        <v>3398</v>
      </c>
      <c r="H453" s="0" t="s">
        <v>3272</v>
      </c>
      <c r="I453" s="0" t="s">
        <v>1002</v>
      </c>
      <c r="J453" s="0" t="s">
        <v>427</v>
      </c>
      <c r="K453" s="0" t="n">
        <v>8</v>
      </c>
      <c r="M453" s="44" t="str">
        <f aca="false">INDEX(fastqs!$A:$A, MATCH(A453, fastqs!$B:$B, 0), 1)</f>
        <v>Nu-75_09-27-2022_R1.fastq.gz</v>
      </c>
      <c r="N453" s="44" t="str">
        <f aca="false">INDEX(fastqs!$C:$C, MATCH(A453, fastqs!$B:$B, 0), 1)</f>
        <v>GET</v>
      </c>
      <c r="O453" s="44" t="str">
        <f aca="false">INDEX(samples!$B:$B, MATCH(B453, samples!$A:$A, 0), 1)</f>
        <v>par0270</v>
      </c>
      <c r="P453" s="44" t="e">
        <f aca="false">INDEX(participants!$I:$I, MATCH(O453, participants!$A:$A, 0), 1)</f>
        <v>#N/A</v>
      </c>
      <c r="Q453" s="44" t="n">
        <f aca="false">INDEX(samples!$F:$F, MATCH(B453, samples!$A:$A, 0), 1)</f>
        <v>0</v>
      </c>
      <c r="R453" s="49" t="str">
        <f aca="false">INDEX(samples!$C:$C, MATCH(B453, samples!$A:$A, 0), 1)</f>
        <v>2022-09-27</v>
      </c>
      <c r="S453" s="50" t="str">
        <f aca="false">INDEX(samples!$D:$D,MATCH(B453, samples!$A:$A,0),1)</f>
        <v>blood</v>
      </c>
      <c r="T453" s="51" t="s">
        <v>427</v>
      </c>
      <c r="V453" s="8" t="s">
        <v>427</v>
      </c>
      <c r="X453" s="8"/>
      <c r="Y453" s="8" t="s">
        <v>1002</v>
      </c>
      <c r="Z453" s="8" t="n">
        <v>0</v>
      </c>
      <c r="AA453" s="8" t="n">
        <v>0</v>
      </c>
      <c r="AB453" s="8" t="n">
        <v>0</v>
      </c>
    </row>
    <row r="454" customFormat="false" ht="13.8" hidden="false" customHeight="false" outlineLevel="0" collapsed="false">
      <c r="A454" s="48" t="s">
        <v>3612</v>
      </c>
      <c r="B454" s="41" t="s">
        <v>2417</v>
      </c>
      <c r="C454" s="0" t="s">
        <v>3147</v>
      </c>
      <c r="D454" s="0" t="s">
        <v>3398</v>
      </c>
      <c r="H454" s="0" t="s">
        <v>3272</v>
      </c>
      <c r="I454" s="0" t="s">
        <v>1002</v>
      </c>
      <c r="J454" s="0" t="s">
        <v>427</v>
      </c>
      <c r="K454" s="0" t="n">
        <v>8</v>
      </c>
      <c r="M454" s="44" t="str">
        <f aca="false">INDEX(fastqs!$A:$A, MATCH(A454, fastqs!$B:$B, 0), 1)</f>
        <v>Nu-76_09-28-2022_R1.fastq.gz</v>
      </c>
      <c r="N454" s="44" t="str">
        <f aca="false">INDEX(fastqs!$C:$C, MATCH(A454, fastqs!$B:$B, 0), 1)</f>
        <v>GET</v>
      </c>
      <c r="O454" s="44" t="str">
        <f aca="false">INDEX(samples!$B:$B, MATCH(B454, samples!$A:$A, 0), 1)</f>
        <v>par0271</v>
      </c>
      <c r="P454" s="44" t="e">
        <f aca="false">INDEX(participants!$I:$I, MATCH(O454, participants!$A:$A, 0), 1)</f>
        <v>#N/A</v>
      </c>
      <c r="Q454" s="44" t="n">
        <f aca="false">INDEX(samples!$F:$F, MATCH(B454, samples!$A:$A, 0), 1)</f>
        <v>0</v>
      </c>
      <c r="R454" s="49" t="str">
        <f aca="false">INDEX(samples!$C:$C, MATCH(B454, samples!$A:$A, 0), 1)</f>
        <v>2022-09-28</v>
      </c>
      <c r="S454" s="50" t="str">
        <f aca="false">INDEX(samples!$D:$D,MATCH(B454, samples!$A:$A,0),1)</f>
        <v>blood</v>
      </c>
      <c r="T454" s="51" t="s">
        <v>427</v>
      </c>
      <c r="V454" s="8" t="s">
        <v>427</v>
      </c>
      <c r="X454" s="8"/>
      <c r="Y454" s="8" t="s">
        <v>1002</v>
      </c>
      <c r="Z454" s="8" t="n">
        <v>0</v>
      </c>
      <c r="AA454" s="8" t="n">
        <v>0</v>
      </c>
      <c r="AB454" s="8" t="n">
        <v>0</v>
      </c>
    </row>
    <row r="455" customFormat="false" ht="13.8" hidden="false" customHeight="false" outlineLevel="0" collapsed="false">
      <c r="A455" s="48" t="s">
        <v>3613</v>
      </c>
      <c r="B455" s="41" t="s">
        <v>2420</v>
      </c>
      <c r="C455" s="0" t="s">
        <v>3147</v>
      </c>
      <c r="D455" s="0" t="s">
        <v>3398</v>
      </c>
      <c r="H455" s="0" t="s">
        <v>3272</v>
      </c>
      <c r="I455" s="0" t="s">
        <v>1002</v>
      </c>
      <c r="J455" s="0" t="s">
        <v>427</v>
      </c>
      <c r="K455" s="0" t="n">
        <v>8</v>
      </c>
      <c r="M455" s="44" t="str">
        <f aca="false">INDEX(fastqs!$A:$A, MATCH(A455, fastqs!$B:$B, 0), 1)</f>
        <v>Nu-77_09-28-2022_R1.fastq.gz</v>
      </c>
      <c r="N455" s="44" t="str">
        <f aca="false">INDEX(fastqs!$C:$C, MATCH(A455, fastqs!$B:$B, 0), 1)</f>
        <v>GET</v>
      </c>
      <c r="O455" s="44" t="str">
        <f aca="false">INDEX(samples!$B:$B, MATCH(B455, samples!$A:$A, 0), 1)</f>
        <v>par0272</v>
      </c>
      <c r="P455" s="44" t="e">
        <f aca="false">INDEX(participants!$I:$I, MATCH(O455, participants!$A:$A, 0), 1)</f>
        <v>#N/A</v>
      </c>
      <c r="Q455" s="44" t="n">
        <f aca="false">INDEX(samples!$F:$F, MATCH(B455, samples!$A:$A, 0), 1)</f>
        <v>0</v>
      </c>
      <c r="R455" s="49" t="str">
        <f aca="false">INDEX(samples!$C:$C, MATCH(B455, samples!$A:$A, 0), 1)</f>
        <v>2022-09-28</v>
      </c>
      <c r="S455" s="50" t="str">
        <f aca="false">INDEX(samples!$D:$D,MATCH(B455, samples!$A:$A,0),1)</f>
        <v>blood</v>
      </c>
      <c r="T455" s="51" t="s">
        <v>427</v>
      </c>
      <c r="V455" s="8" t="s">
        <v>427</v>
      </c>
      <c r="X455" s="8"/>
      <c r="Y455" s="8" t="s">
        <v>1002</v>
      </c>
      <c r="Z455" s="8" t="n">
        <v>0</v>
      </c>
      <c r="AA455" s="8" t="n">
        <v>0</v>
      </c>
      <c r="AB455" s="8" t="n">
        <v>0</v>
      </c>
    </row>
    <row r="456" customFormat="false" ht="13.8" hidden="false" customHeight="false" outlineLevel="0" collapsed="false">
      <c r="A456" s="48" t="s">
        <v>3614</v>
      </c>
      <c r="B456" s="41" t="s">
        <v>2422</v>
      </c>
      <c r="C456" s="0" t="s">
        <v>3147</v>
      </c>
      <c r="D456" s="0" t="s">
        <v>3398</v>
      </c>
      <c r="H456" s="0" t="s">
        <v>3272</v>
      </c>
      <c r="I456" s="0" t="s">
        <v>1002</v>
      </c>
      <c r="J456" s="0" t="s">
        <v>427</v>
      </c>
      <c r="K456" s="0" t="n">
        <v>8</v>
      </c>
      <c r="M456" s="44" t="str">
        <f aca="false">INDEX(fastqs!$A:$A, MATCH(A456, fastqs!$B:$B, 0), 1)</f>
        <v>Nu-78_09-28-2022_R1.fastq.gz</v>
      </c>
      <c r="N456" s="44" t="str">
        <f aca="false">INDEX(fastqs!$C:$C, MATCH(A456, fastqs!$B:$B, 0), 1)</f>
        <v>GET</v>
      </c>
      <c r="O456" s="44" t="str">
        <f aca="false">INDEX(samples!$B:$B, MATCH(B456, samples!$A:$A, 0), 1)</f>
        <v>par0273</v>
      </c>
      <c r="P456" s="44" t="e">
        <f aca="false">INDEX(participants!$I:$I, MATCH(O456, participants!$A:$A, 0), 1)</f>
        <v>#N/A</v>
      </c>
      <c r="Q456" s="44" t="n">
        <f aca="false">INDEX(samples!$F:$F, MATCH(B456, samples!$A:$A, 0), 1)</f>
        <v>0</v>
      </c>
      <c r="R456" s="49" t="str">
        <f aca="false">INDEX(samples!$C:$C, MATCH(B456, samples!$A:$A, 0), 1)</f>
        <v>2022-09-28</v>
      </c>
      <c r="S456" s="50" t="str">
        <f aca="false">INDEX(samples!$D:$D,MATCH(B456, samples!$A:$A,0),1)</f>
        <v>blood</v>
      </c>
      <c r="T456" s="51" t="s">
        <v>427</v>
      </c>
      <c r="V456" s="8" t="s">
        <v>427</v>
      </c>
      <c r="X456" s="8"/>
      <c r="Y456" s="8" t="s">
        <v>1002</v>
      </c>
      <c r="Z456" s="8" t="n">
        <v>0</v>
      </c>
      <c r="AA456" s="8" t="n">
        <v>0</v>
      </c>
      <c r="AB456" s="8" t="n">
        <v>0</v>
      </c>
    </row>
    <row r="457" customFormat="false" ht="13.8" hidden="false" customHeight="false" outlineLevel="0" collapsed="false">
      <c r="A457" s="48" t="s">
        <v>3615</v>
      </c>
      <c r="B457" s="41" t="s">
        <v>2424</v>
      </c>
      <c r="C457" s="0" t="s">
        <v>3147</v>
      </c>
      <c r="D457" s="0" t="s">
        <v>3398</v>
      </c>
      <c r="H457" s="0" t="s">
        <v>3272</v>
      </c>
      <c r="I457" s="0" t="s">
        <v>1002</v>
      </c>
      <c r="J457" s="0" t="s">
        <v>427</v>
      </c>
      <c r="K457" s="0" t="n">
        <v>8</v>
      </c>
      <c r="M457" s="44" t="str">
        <f aca="false">INDEX(fastqs!$A:$A, MATCH(A457, fastqs!$B:$B, 0), 1)</f>
        <v>Nu-79_09-30-2022_R1.fastq.gz</v>
      </c>
      <c r="N457" s="44" t="str">
        <f aca="false">INDEX(fastqs!$C:$C, MATCH(A457, fastqs!$B:$B, 0), 1)</f>
        <v>GET</v>
      </c>
      <c r="O457" s="44" t="str">
        <f aca="false">INDEX(samples!$B:$B, MATCH(B457, samples!$A:$A, 0), 1)</f>
        <v>par0274</v>
      </c>
      <c r="P457" s="44" t="e">
        <f aca="false">INDEX(participants!$I:$I, MATCH(O457, participants!$A:$A, 0), 1)</f>
        <v>#N/A</v>
      </c>
      <c r="Q457" s="44" t="n">
        <f aca="false">INDEX(samples!$F:$F, MATCH(B457, samples!$A:$A, 0), 1)</f>
        <v>0</v>
      </c>
      <c r="R457" s="49" t="str">
        <f aca="false">INDEX(samples!$C:$C, MATCH(B457, samples!$A:$A, 0), 1)</f>
        <v>2022-09-30</v>
      </c>
      <c r="S457" s="50" t="str">
        <f aca="false">INDEX(samples!$D:$D,MATCH(B457, samples!$A:$A,0),1)</f>
        <v>blood</v>
      </c>
      <c r="T457" s="51" t="s">
        <v>427</v>
      </c>
      <c r="V457" s="8" t="s">
        <v>427</v>
      </c>
      <c r="X457" s="8"/>
      <c r="Y457" s="8" t="s">
        <v>1002</v>
      </c>
      <c r="Z457" s="8" t="n">
        <v>0</v>
      </c>
      <c r="AA457" s="8" t="n">
        <v>0</v>
      </c>
      <c r="AB457" s="8" t="n">
        <v>0</v>
      </c>
    </row>
    <row r="458" customFormat="false" ht="13.8" hidden="false" customHeight="false" outlineLevel="0" collapsed="false">
      <c r="A458" s="48" t="s">
        <v>3616</v>
      </c>
      <c r="B458" s="41" t="s">
        <v>2427</v>
      </c>
      <c r="C458" s="0" t="s">
        <v>3147</v>
      </c>
      <c r="D458" s="0" t="s">
        <v>3398</v>
      </c>
      <c r="H458" s="0" t="s">
        <v>3272</v>
      </c>
      <c r="I458" s="0" t="s">
        <v>1002</v>
      </c>
      <c r="J458" s="0" t="s">
        <v>427</v>
      </c>
      <c r="K458" s="0" t="n">
        <v>8</v>
      </c>
      <c r="M458" s="44" t="str">
        <f aca="false">INDEX(fastqs!$A:$A, MATCH(A458, fastqs!$B:$B, 0), 1)</f>
        <v>Nu-80_10-03-2022_R1.fastq.gz</v>
      </c>
      <c r="N458" s="44" t="str">
        <f aca="false">INDEX(fastqs!$C:$C, MATCH(A458, fastqs!$B:$B, 0), 1)</f>
        <v>GET</v>
      </c>
      <c r="O458" s="44" t="str">
        <f aca="false">INDEX(samples!$B:$B, MATCH(B458, samples!$A:$A, 0), 1)</f>
        <v>par0275</v>
      </c>
      <c r="P458" s="44" t="e">
        <f aca="false">INDEX(participants!$I:$I, MATCH(O458, participants!$A:$A, 0), 1)</f>
        <v>#N/A</v>
      </c>
      <c r="Q458" s="44" t="n">
        <f aca="false">INDEX(samples!$F:$F, MATCH(B458, samples!$A:$A, 0), 1)</f>
        <v>0</v>
      </c>
      <c r="R458" s="49" t="str">
        <f aca="false">INDEX(samples!$C:$C, MATCH(B458, samples!$A:$A, 0), 1)</f>
        <v>2022-10-03</v>
      </c>
      <c r="S458" s="50" t="str">
        <f aca="false">INDEX(samples!$D:$D,MATCH(B458, samples!$A:$A,0),1)</f>
        <v>blood</v>
      </c>
      <c r="T458" s="51" t="s">
        <v>427</v>
      </c>
      <c r="V458" s="8" t="s">
        <v>427</v>
      </c>
      <c r="X458" s="8"/>
      <c r="Y458" s="8" t="s">
        <v>1002</v>
      </c>
      <c r="Z458" s="8" t="n">
        <v>0</v>
      </c>
      <c r="AA458" s="8" t="n">
        <v>0</v>
      </c>
      <c r="AB458" s="8" t="n">
        <v>0</v>
      </c>
    </row>
    <row r="459" customFormat="false" ht="13.8" hidden="false" customHeight="false" outlineLevel="0" collapsed="false">
      <c r="A459" s="48" t="s">
        <v>3617</v>
      </c>
      <c r="B459" s="41" t="s">
        <v>2429</v>
      </c>
      <c r="C459" s="0" t="s">
        <v>3147</v>
      </c>
      <c r="D459" s="0" t="s">
        <v>3398</v>
      </c>
      <c r="H459" s="0" t="s">
        <v>3272</v>
      </c>
      <c r="I459" s="0" t="s">
        <v>1002</v>
      </c>
      <c r="J459" s="0" t="s">
        <v>427</v>
      </c>
      <c r="K459" s="0" t="n">
        <v>8</v>
      </c>
      <c r="M459" s="44" t="str">
        <f aca="false">INDEX(fastqs!$A:$A, MATCH(A459, fastqs!$B:$B, 0), 1)</f>
        <v>Nu-81_10-04-2022_R1.fastq.gz</v>
      </c>
      <c r="N459" s="44" t="str">
        <f aca="false">INDEX(fastqs!$C:$C, MATCH(A459, fastqs!$B:$B, 0), 1)</f>
        <v>GET</v>
      </c>
      <c r="O459" s="44" t="str">
        <f aca="false">INDEX(samples!$B:$B, MATCH(B459, samples!$A:$A, 0), 1)</f>
        <v>par0276</v>
      </c>
      <c r="P459" s="44" t="e">
        <f aca="false">INDEX(participants!$I:$I, MATCH(O459, participants!$A:$A, 0), 1)</f>
        <v>#N/A</v>
      </c>
      <c r="Q459" s="44" t="n">
        <f aca="false">INDEX(samples!$F:$F, MATCH(B459, samples!$A:$A, 0), 1)</f>
        <v>0</v>
      </c>
      <c r="R459" s="49" t="str">
        <f aca="false">INDEX(samples!$C:$C, MATCH(B459, samples!$A:$A, 0), 1)</f>
        <v>2022-10-04</v>
      </c>
      <c r="S459" s="50" t="str">
        <f aca="false">INDEX(samples!$D:$D,MATCH(B459, samples!$A:$A,0),1)</f>
        <v>blood</v>
      </c>
      <c r="T459" s="51" t="s">
        <v>427</v>
      </c>
      <c r="V459" s="8" t="s">
        <v>427</v>
      </c>
      <c r="X459" s="8"/>
      <c r="Y459" s="8" t="s">
        <v>1002</v>
      </c>
      <c r="Z459" s="8" t="n">
        <v>0</v>
      </c>
      <c r="AA459" s="8" t="n">
        <v>0</v>
      </c>
      <c r="AB459" s="8" t="n">
        <v>0</v>
      </c>
    </row>
    <row r="460" customFormat="false" ht="13.8" hidden="false" customHeight="false" outlineLevel="0" collapsed="false">
      <c r="A460" s="48" t="s">
        <v>3618</v>
      </c>
      <c r="B460" s="41" t="s">
        <v>2432</v>
      </c>
      <c r="C460" s="0" t="s">
        <v>3147</v>
      </c>
      <c r="D460" s="0" t="s">
        <v>3398</v>
      </c>
      <c r="H460" s="0" t="s">
        <v>3272</v>
      </c>
      <c r="I460" s="0" t="s">
        <v>1002</v>
      </c>
      <c r="J460" s="0" t="s">
        <v>427</v>
      </c>
      <c r="K460" s="0" t="n">
        <v>8</v>
      </c>
      <c r="M460" s="44" t="str">
        <f aca="false">INDEX(fastqs!$A:$A, MATCH(A460, fastqs!$B:$B, 0), 1)</f>
        <v>SRA_7_27_21_R1.fastq.gz</v>
      </c>
      <c r="N460" s="44" t="str">
        <f aca="false">INDEX(fastqs!$C:$C, MATCH(A460, fastqs!$B:$B, 0), 1)</f>
        <v>GET</v>
      </c>
      <c r="O460" s="44" t="str">
        <f aca="false">INDEX(samples!$B:$B, MATCH(B460, samples!$A:$A, 0), 1)</f>
        <v>par0035</v>
      </c>
      <c r="P460" s="44" t="str">
        <f aca="false">INDEX(participants!$I:$I, MATCH(O460, participants!$A:$A, 0), 1)</f>
        <v>js0054</v>
      </c>
      <c r="Q460" s="44" t="n">
        <f aca="false">INDEX(samples!$F:$F, MATCH(B460, samples!$A:$A, 0), 1)</f>
        <v>0</v>
      </c>
      <c r="R460" s="49" t="str">
        <f aca="false">INDEX(samples!$C:$C, MATCH(B460, samples!$A:$A, 0), 1)</f>
        <v>2021-07-27</v>
      </c>
      <c r="S460" s="50" t="str">
        <f aca="false">INDEX(samples!$D:$D,MATCH(B460, samples!$A:$A,0),1)</f>
        <v>blood</v>
      </c>
      <c r="T460" s="51" t="s">
        <v>427</v>
      </c>
      <c r="V460" s="8" t="s">
        <v>427</v>
      </c>
      <c r="X460" s="8"/>
      <c r="Y460" s="8" t="s">
        <v>1002</v>
      </c>
      <c r="Z460" s="8" t="n">
        <v>0</v>
      </c>
      <c r="AA460" s="8" t="n">
        <v>0</v>
      </c>
      <c r="AB460" s="8" t="n">
        <v>0</v>
      </c>
    </row>
    <row r="461" customFormat="false" ht="13.8" hidden="false" customHeight="false" outlineLevel="0" collapsed="false">
      <c r="A461" s="48" t="s">
        <v>3619</v>
      </c>
      <c r="B461" s="41" t="s">
        <v>2433</v>
      </c>
      <c r="C461" s="0" t="s">
        <v>3147</v>
      </c>
      <c r="D461" s="0" t="s">
        <v>3398</v>
      </c>
      <c r="H461" s="0" t="s">
        <v>3272</v>
      </c>
      <c r="I461" s="0" t="s">
        <v>1002</v>
      </c>
      <c r="J461" s="0" t="s">
        <v>427</v>
      </c>
      <c r="K461" s="0" t="n">
        <v>8</v>
      </c>
      <c r="M461" s="44" t="str">
        <f aca="false">INDEX(fastqs!$A:$A, MATCH(A461, fastqs!$B:$B, 0), 1)</f>
        <v>TS_36M_R1.fastq.gz</v>
      </c>
      <c r="N461" s="44" t="str">
        <f aca="false">INDEX(fastqs!$C:$C, MATCH(A461, fastqs!$B:$B, 0), 1)</f>
        <v>GET</v>
      </c>
      <c r="O461" s="44" t="str">
        <f aca="false">INDEX(samples!$B:$B, MATCH(B461, samples!$A:$A, 0), 1)</f>
        <v>par0121</v>
      </c>
      <c r="P461" s="44" t="e">
        <f aca="false">INDEX(participants!$I:$I, MATCH(O461, participants!$A:$A, 0), 1)</f>
        <v>#N/A</v>
      </c>
      <c r="Q461" s="44" t="n">
        <f aca="false">INDEX(samples!$F:$F, MATCH(B461, samples!$A:$A, 0), 1)</f>
        <v>0</v>
      </c>
      <c r="R461" s="49" t="str">
        <f aca="false">INDEX(samples!$C:$C, MATCH(B461, samples!$A:$A, 0), 1)</f>
        <v>2022-09-26</v>
      </c>
      <c r="S461" s="50" t="str">
        <f aca="false">INDEX(samples!$D:$D,MATCH(B461, samples!$A:$A,0),1)</f>
        <v>blood</v>
      </c>
      <c r="T461" s="51" t="s">
        <v>427</v>
      </c>
      <c r="V461" s="8" t="n">
        <v>2</v>
      </c>
      <c r="X461" s="8"/>
      <c r="Y461" s="8" t="s">
        <v>1002</v>
      </c>
      <c r="Z461" s="8" t="n">
        <v>0</v>
      </c>
      <c r="AA461" s="8" t="n">
        <v>0</v>
      </c>
      <c r="AB461" s="8" t="n">
        <v>0</v>
      </c>
    </row>
    <row r="462" customFormat="false" ht="13.8" hidden="false" customHeight="false" outlineLevel="0" collapsed="false">
      <c r="A462" s="48" t="s">
        <v>3620</v>
      </c>
      <c r="B462" s="41" t="s">
        <v>2435</v>
      </c>
      <c r="C462" s="0" t="s">
        <v>3147</v>
      </c>
      <c r="D462" s="0" t="s">
        <v>3398</v>
      </c>
      <c r="H462" s="0" t="s">
        <v>3272</v>
      </c>
      <c r="I462" s="0" t="s">
        <v>1002</v>
      </c>
      <c r="J462" s="0" t="s">
        <v>427</v>
      </c>
      <c r="K462" s="0" t="n">
        <v>8</v>
      </c>
      <c r="M462" s="44" t="str">
        <f aca="false">INDEX(fastqs!$A:$A, MATCH(A462, fastqs!$B:$B, 0), 1)</f>
        <v>KS_30F_R1.fastq.gz</v>
      </c>
      <c r="N462" s="44" t="str">
        <f aca="false">INDEX(fastqs!$C:$C, MATCH(A462, fastqs!$B:$B, 0), 1)</f>
        <v>GET</v>
      </c>
      <c r="O462" s="44" t="str">
        <f aca="false">INDEX(samples!$B:$B, MATCH(B462, samples!$A:$A, 0), 1)</f>
        <v>par0278</v>
      </c>
      <c r="P462" s="44" t="e">
        <f aca="false">INDEX(participants!$I:$I, MATCH(O462, participants!$A:$A, 0), 1)</f>
        <v>#N/A</v>
      </c>
      <c r="Q462" s="44" t="n">
        <f aca="false">INDEX(samples!$F:$F, MATCH(B462, samples!$A:$A, 0), 1)</f>
        <v>0</v>
      </c>
      <c r="R462" s="49" t="str">
        <f aca="false">INDEX(samples!$C:$C, MATCH(B462, samples!$A:$A, 0), 1)</f>
        <v>2022-09-26</v>
      </c>
      <c r="S462" s="50" t="str">
        <f aca="false">INDEX(samples!$D:$D,MATCH(B462, samples!$A:$A,0),1)</f>
        <v>blood</v>
      </c>
      <c r="T462" s="51" t="s">
        <v>427</v>
      </c>
      <c r="V462" s="8" t="n">
        <v>12</v>
      </c>
      <c r="X462" s="8"/>
      <c r="Y462" s="8" t="s">
        <v>1002</v>
      </c>
      <c r="Z462" s="8" t="n">
        <v>0</v>
      </c>
      <c r="AA462" s="8" t="n">
        <v>0</v>
      </c>
      <c r="AB462" s="8" t="n">
        <v>0</v>
      </c>
    </row>
    <row r="463" customFormat="false" ht="13.8" hidden="false" customHeight="false" outlineLevel="0" collapsed="false">
      <c r="A463" s="48" t="s">
        <v>3621</v>
      </c>
      <c r="B463" s="41" t="s">
        <v>2437</v>
      </c>
      <c r="C463" s="0" t="s">
        <v>3147</v>
      </c>
      <c r="D463" s="0" t="s">
        <v>3398</v>
      </c>
      <c r="H463" s="0" t="s">
        <v>3272</v>
      </c>
      <c r="I463" s="0" t="s">
        <v>1002</v>
      </c>
      <c r="J463" s="0" t="s">
        <v>427</v>
      </c>
      <c r="K463" s="0" t="n">
        <v>8</v>
      </c>
      <c r="M463" s="44" t="str">
        <f aca="false">INDEX(fastqs!$A:$A, MATCH(A463, fastqs!$B:$B, 0), 1)</f>
        <v>MC_34M_R1.fastq.gz</v>
      </c>
      <c r="N463" s="44" t="str">
        <f aca="false">INDEX(fastqs!$C:$C, MATCH(A463, fastqs!$B:$B, 0), 1)</f>
        <v>GET</v>
      </c>
      <c r="O463" s="44" t="str">
        <f aca="false">INDEX(samples!$B:$B, MATCH(B463, samples!$A:$A, 0), 1)</f>
        <v>par0279</v>
      </c>
      <c r="P463" s="44" t="e">
        <f aca="false">INDEX(participants!$I:$I, MATCH(O463, participants!$A:$A, 0), 1)</f>
        <v>#N/A</v>
      </c>
      <c r="Q463" s="44" t="n">
        <f aca="false">INDEX(samples!$F:$F, MATCH(B463, samples!$A:$A, 0), 1)</f>
        <v>0</v>
      </c>
      <c r="R463" s="49" t="str">
        <f aca="false">INDEX(samples!$C:$C, MATCH(B463, samples!$A:$A, 0), 1)</f>
        <v>2022-09-26</v>
      </c>
      <c r="S463" s="50" t="str">
        <f aca="false">INDEX(samples!$D:$D,MATCH(B463, samples!$A:$A,0),1)</f>
        <v>blood</v>
      </c>
      <c r="T463" s="51" t="s">
        <v>427</v>
      </c>
      <c r="V463" s="8" t="n">
        <v>5</v>
      </c>
      <c r="X463" s="8"/>
      <c r="Y463" s="8" t="s">
        <v>1002</v>
      </c>
      <c r="Z463" s="8" t="n">
        <v>0</v>
      </c>
      <c r="AA463" s="8" t="n">
        <v>0</v>
      </c>
      <c r="AB463" s="8" t="n">
        <v>0</v>
      </c>
    </row>
    <row r="464" customFormat="false" ht="13.8" hidden="false" customHeight="false" outlineLevel="0" collapsed="false">
      <c r="A464" s="48" t="s">
        <v>3622</v>
      </c>
      <c r="B464" s="41" t="s">
        <v>2439</v>
      </c>
      <c r="C464" s="0" t="s">
        <v>3147</v>
      </c>
      <c r="D464" s="0" t="s">
        <v>3398</v>
      </c>
      <c r="H464" s="0" t="s">
        <v>3272</v>
      </c>
      <c r="I464" s="0" t="s">
        <v>1002</v>
      </c>
      <c r="J464" s="0" t="s">
        <v>427</v>
      </c>
      <c r="K464" s="0" t="n">
        <v>8</v>
      </c>
      <c r="M464" s="44" t="str">
        <f aca="false">INDEX(fastqs!$A:$A, MATCH(A464, fastqs!$B:$B, 0), 1)</f>
        <v>BM_26F_R1.fastq.gz</v>
      </c>
      <c r="N464" s="44" t="str">
        <f aca="false">INDEX(fastqs!$C:$C, MATCH(A464, fastqs!$B:$B, 0), 1)</f>
        <v>GET</v>
      </c>
      <c r="O464" s="44" t="str">
        <f aca="false">INDEX(samples!$B:$B, MATCH(B464, samples!$A:$A, 0), 1)</f>
        <v>par0280</v>
      </c>
      <c r="P464" s="44" t="e">
        <f aca="false">INDEX(participants!$I:$I, MATCH(O464, participants!$A:$A, 0), 1)</f>
        <v>#N/A</v>
      </c>
      <c r="Q464" s="44" t="n">
        <f aca="false">INDEX(samples!$F:$F, MATCH(B464, samples!$A:$A, 0), 1)</f>
        <v>0</v>
      </c>
      <c r="R464" s="49" t="str">
        <f aca="false">INDEX(samples!$C:$C, MATCH(B464, samples!$A:$A, 0), 1)</f>
        <v>2022-09-26</v>
      </c>
      <c r="S464" s="50" t="str">
        <f aca="false">INDEX(samples!$D:$D,MATCH(B464, samples!$A:$A,0),1)</f>
        <v>blood</v>
      </c>
      <c r="T464" s="51" t="s">
        <v>427</v>
      </c>
      <c r="V464" s="8" t="n">
        <v>7</v>
      </c>
      <c r="X464" s="8"/>
      <c r="Y464" s="8" t="s">
        <v>1002</v>
      </c>
      <c r="Z464" s="8" t="n">
        <v>0</v>
      </c>
      <c r="AA464" s="8" t="n">
        <v>0</v>
      </c>
      <c r="AB464" s="8" t="n">
        <v>0</v>
      </c>
    </row>
    <row r="465" customFormat="false" ht="13.8" hidden="false" customHeight="false" outlineLevel="0" collapsed="false">
      <c r="A465" s="48" t="s">
        <v>3623</v>
      </c>
      <c r="B465" s="41" t="s">
        <v>2441</v>
      </c>
      <c r="C465" s="0" t="s">
        <v>3147</v>
      </c>
      <c r="D465" s="0" t="s">
        <v>3398</v>
      </c>
      <c r="H465" s="0" t="s">
        <v>3272</v>
      </c>
      <c r="I465" s="0" t="s">
        <v>1002</v>
      </c>
      <c r="J465" s="0" t="s">
        <v>427</v>
      </c>
      <c r="K465" s="0" t="n">
        <v>8</v>
      </c>
      <c r="M465" s="44" t="str">
        <f aca="false">INDEX(fastqs!$A:$A, MATCH(A465, fastqs!$B:$B, 0), 1)</f>
        <v>TO_23M_R1.fastq.gz</v>
      </c>
      <c r="N465" s="44" t="str">
        <f aca="false">INDEX(fastqs!$C:$C, MATCH(A465, fastqs!$B:$B, 0), 1)</f>
        <v>GET</v>
      </c>
      <c r="O465" s="44" t="str">
        <f aca="false">INDEX(samples!$B:$B, MATCH(B465, samples!$A:$A, 0), 1)</f>
        <v>par0281</v>
      </c>
      <c r="P465" s="44" t="e">
        <f aca="false">INDEX(participants!$I:$I, MATCH(O465, participants!$A:$A, 0), 1)</f>
        <v>#N/A</v>
      </c>
      <c r="Q465" s="44" t="n">
        <f aca="false">INDEX(samples!$F:$F, MATCH(B465, samples!$A:$A, 0), 1)</f>
        <v>0</v>
      </c>
      <c r="R465" s="49" t="str">
        <f aca="false">INDEX(samples!$C:$C, MATCH(B465, samples!$A:$A, 0), 1)</f>
        <v>2022-09-26</v>
      </c>
      <c r="S465" s="50" t="str">
        <f aca="false">INDEX(samples!$D:$D,MATCH(B465, samples!$A:$A,0),1)</f>
        <v>blood</v>
      </c>
      <c r="T465" s="51" t="s">
        <v>427</v>
      </c>
      <c r="V465" s="8" t="n">
        <v>23</v>
      </c>
      <c r="X465" s="8"/>
      <c r="Y465" s="8" t="s">
        <v>1002</v>
      </c>
      <c r="Z465" s="8" t="n">
        <v>0</v>
      </c>
      <c r="AA465" s="8" t="n">
        <v>0</v>
      </c>
      <c r="AB465" s="8" t="n">
        <v>0</v>
      </c>
    </row>
    <row r="466" customFormat="false" ht="13.8" hidden="false" customHeight="false" outlineLevel="0" collapsed="false">
      <c r="A466" s="48" t="s">
        <v>3624</v>
      </c>
      <c r="B466" s="41" t="s">
        <v>2443</v>
      </c>
      <c r="C466" s="0" t="s">
        <v>3147</v>
      </c>
      <c r="D466" s="0" t="s">
        <v>3398</v>
      </c>
      <c r="H466" s="0" t="s">
        <v>3272</v>
      </c>
      <c r="I466" s="0" t="s">
        <v>1002</v>
      </c>
      <c r="J466" s="0" t="s">
        <v>427</v>
      </c>
      <c r="K466" s="0" t="n">
        <v>8</v>
      </c>
      <c r="M466" s="44" t="str">
        <f aca="false">INDEX(fastqs!$A:$A, MATCH(A466, fastqs!$B:$B, 0), 1)</f>
        <v>HJ_22F_R1.fastq.gz</v>
      </c>
      <c r="N466" s="44" t="str">
        <f aca="false">INDEX(fastqs!$C:$C, MATCH(A466, fastqs!$B:$B, 0), 1)</f>
        <v>GET</v>
      </c>
      <c r="O466" s="44" t="str">
        <f aca="false">INDEX(samples!$B:$B, MATCH(B466, samples!$A:$A, 0), 1)</f>
        <v>par0282</v>
      </c>
      <c r="P466" s="44" t="e">
        <f aca="false">INDEX(participants!$I:$I, MATCH(O466, participants!$A:$A, 0), 1)</f>
        <v>#N/A</v>
      </c>
      <c r="Q466" s="44" t="n">
        <f aca="false">INDEX(samples!$F:$F, MATCH(B466, samples!$A:$A, 0), 1)</f>
        <v>0</v>
      </c>
      <c r="R466" s="49" t="str">
        <f aca="false">INDEX(samples!$C:$C, MATCH(B466, samples!$A:$A, 0), 1)</f>
        <v>2022-09-26</v>
      </c>
      <c r="S466" s="50" t="str">
        <f aca="false">INDEX(samples!$D:$D,MATCH(B466, samples!$A:$A,0),1)</f>
        <v>blood</v>
      </c>
      <c r="T466" s="51" t="s">
        <v>427</v>
      </c>
      <c r="V466" s="8" t="n">
        <v>6</v>
      </c>
      <c r="X466" s="8"/>
      <c r="Y466" s="8" t="s">
        <v>1002</v>
      </c>
      <c r="Z466" s="8" t="n">
        <v>0</v>
      </c>
      <c r="AA466" s="8" t="n">
        <v>0</v>
      </c>
      <c r="AB466" s="8" t="n">
        <v>0</v>
      </c>
    </row>
    <row r="467" customFormat="false" ht="13.8" hidden="false" customHeight="false" outlineLevel="0" collapsed="false">
      <c r="A467" s="48" t="s">
        <v>3625</v>
      </c>
      <c r="B467" s="41" t="s">
        <v>2445</v>
      </c>
      <c r="C467" s="0" t="s">
        <v>3147</v>
      </c>
      <c r="D467" s="0" t="s">
        <v>3398</v>
      </c>
      <c r="H467" s="0" t="s">
        <v>3272</v>
      </c>
      <c r="I467" s="0" t="s">
        <v>1002</v>
      </c>
      <c r="J467" s="0" t="s">
        <v>427</v>
      </c>
      <c r="K467" s="0" t="n">
        <v>8</v>
      </c>
      <c r="M467" s="44" t="str">
        <f aca="false">INDEX(fastqs!$A:$A, MATCH(A467, fastqs!$B:$B, 0), 1)</f>
        <v>AP_27M_R1.fastq.gz</v>
      </c>
      <c r="N467" s="44" t="str">
        <f aca="false">INDEX(fastqs!$C:$C, MATCH(A467, fastqs!$B:$B, 0), 1)</f>
        <v>GET</v>
      </c>
      <c r="O467" s="44" t="str">
        <f aca="false">INDEX(samples!$B:$B, MATCH(B467, samples!$A:$A, 0), 1)</f>
        <v>par0283</v>
      </c>
      <c r="P467" s="44" t="e">
        <f aca="false">INDEX(participants!$I:$I, MATCH(O467, participants!$A:$A, 0), 1)</f>
        <v>#N/A</v>
      </c>
      <c r="Q467" s="44" t="n">
        <f aca="false">INDEX(samples!$F:$F, MATCH(B467, samples!$A:$A, 0), 1)</f>
        <v>0</v>
      </c>
      <c r="R467" s="49" t="str">
        <f aca="false">INDEX(samples!$C:$C, MATCH(B467, samples!$A:$A, 0), 1)</f>
        <v>2022-09-26</v>
      </c>
      <c r="S467" s="50" t="str">
        <f aca="false">INDEX(samples!$D:$D,MATCH(B467, samples!$A:$A,0),1)</f>
        <v>blood</v>
      </c>
      <c r="T467" s="51" t="s">
        <v>427</v>
      </c>
      <c r="V467" s="8" t="n">
        <v>10</v>
      </c>
      <c r="X467" s="8"/>
      <c r="Y467" s="8" t="s">
        <v>1002</v>
      </c>
      <c r="Z467" s="8" t="n">
        <v>0</v>
      </c>
      <c r="AA467" s="8" t="n">
        <v>0</v>
      </c>
      <c r="AB467" s="8" t="n">
        <v>0</v>
      </c>
    </row>
    <row r="468" customFormat="false" ht="13.8" hidden="false" customHeight="false" outlineLevel="0" collapsed="false">
      <c r="A468" s="48" t="s">
        <v>3626</v>
      </c>
      <c r="B468" s="41" t="s">
        <v>2447</v>
      </c>
      <c r="C468" s="0" t="s">
        <v>3147</v>
      </c>
      <c r="D468" s="0" t="s">
        <v>3398</v>
      </c>
      <c r="H468" s="0" t="s">
        <v>3272</v>
      </c>
      <c r="I468" s="0" t="s">
        <v>1002</v>
      </c>
      <c r="J468" s="0" t="s">
        <v>427</v>
      </c>
      <c r="K468" s="0" t="n">
        <v>8</v>
      </c>
      <c r="M468" s="44" t="str">
        <f aca="false">INDEX(fastqs!$A:$A, MATCH(A468, fastqs!$B:$B, 0), 1)</f>
        <v>MG_29F_R1.fastq.gz</v>
      </c>
      <c r="N468" s="44" t="str">
        <f aca="false">INDEX(fastqs!$C:$C, MATCH(A468, fastqs!$B:$B, 0), 1)</f>
        <v>GET</v>
      </c>
      <c r="O468" s="44" t="str">
        <f aca="false">INDEX(samples!$B:$B, MATCH(B468, samples!$A:$A, 0), 1)</f>
        <v>par0284</v>
      </c>
      <c r="P468" s="44" t="e">
        <f aca="false">INDEX(participants!$I:$I, MATCH(O468, participants!$A:$A, 0), 1)</f>
        <v>#N/A</v>
      </c>
      <c r="Q468" s="44" t="n">
        <f aca="false">INDEX(samples!$F:$F, MATCH(B468, samples!$A:$A, 0), 1)</f>
        <v>0</v>
      </c>
      <c r="R468" s="49" t="str">
        <f aca="false">INDEX(samples!$C:$C, MATCH(B468, samples!$A:$A, 0), 1)</f>
        <v>2022-09-26</v>
      </c>
      <c r="S468" s="50" t="str">
        <f aca="false">INDEX(samples!$D:$D,MATCH(B468, samples!$A:$A,0),1)</f>
        <v>blood</v>
      </c>
      <c r="T468" s="51" t="s">
        <v>427</v>
      </c>
      <c r="V468" s="8" t="n">
        <v>4</v>
      </c>
      <c r="X468" s="8"/>
      <c r="Y468" s="8" t="s">
        <v>1002</v>
      </c>
      <c r="Z468" s="8" t="n">
        <v>0</v>
      </c>
      <c r="AA468" s="8" t="n">
        <v>0</v>
      </c>
      <c r="AB468" s="8" t="n">
        <v>0</v>
      </c>
    </row>
    <row r="469" customFormat="false" ht="13.8" hidden="false" customHeight="false" outlineLevel="0" collapsed="false">
      <c r="A469" s="48" t="s">
        <v>3627</v>
      </c>
      <c r="B469" s="41" t="s">
        <v>2449</v>
      </c>
      <c r="C469" s="0" t="s">
        <v>3147</v>
      </c>
      <c r="D469" s="0" t="s">
        <v>3398</v>
      </c>
      <c r="H469" s="0" t="s">
        <v>3272</v>
      </c>
      <c r="I469" s="0" t="s">
        <v>1002</v>
      </c>
      <c r="J469" s="0" t="s">
        <v>427</v>
      </c>
      <c r="K469" s="0" t="n">
        <v>8</v>
      </c>
      <c r="M469" s="44" t="str">
        <f aca="false">INDEX(fastqs!$A:$A, MATCH(A469, fastqs!$B:$B, 0), 1)</f>
        <v>GA_33M_R1.fastq.gz</v>
      </c>
      <c r="N469" s="44" t="str">
        <f aca="false">INDEX(fastqs!$C:$C, MATCH(A469, fastqs!$B:$B, 0), 1)</f>
        <v>GET</v>
      </c>
      <c r="O469" s="44" t="str">
        <f aca="false">INDEX(samples!$B:$B, MATCH(B469, samples!$A:$A, 0), 1)</f>
        <v>par0285</v>
      </c>
      <c r="P469" s="44" t="e">
        <f aca="false">INDEX(participants!$I:$I, MATCH(O469, participants!$A:$A, 0), 1)</f>
        <v>#N/A</v>
      </c>
      <c r="Q469" s="44" t="n">
        <f aca="false">INDEX(samples!$F:$F, MATCH(B469, samples!$A:$A, 0), 1)</f>
        <v>0</v>
      </c>
      <c r="R469" s="49" t="str">
        <f aca="false">INDEX(samples!$C:$C, MATCH(B469, samples!$A:$A, 0), 1)</f>
        <v>2022-09-26</v>
      </c>
      <c r="S469" s="50" t="str">
        <f aca="false">INDEX(samples!$D:$D,MATCH(B469, samples!$A:$A,0),1)</f>
        <v>blood</v>
      </c>
      <c r="T469" s="51" t="s">
        <v>427</v>
      </c>
      <c r="V469" s="8" t="n">
        <v>13</v>
      </c>
      <c r="X469" s="8"/>
      <c r="Y469" s="8" t="s">
        <v>1002</v>
      </c>
      <c r="Z469" s="8" t="n">
        <v>0</v>
      </c>
      <c r="AA469" s="8" t="n">
        <v>0</v>
      </c>
      <c r="AB469" s="8" t="n">
        <v>0</v>
      </c>
    </row>
    <row r="470" customFormat="false" ht="13.8" hidden="false" customHeight="false" outlineLevel="0" collapsed="false">
      <c r="A470" s="48" t="s">
        <v>3628</v>
      </c>
      <c r="B470" s="41" t="s">
        <v>2451</v>
      </c>
      <c r="C470" s="0" t="s">
        <v>3147</v>
      </c>
      <c r="D470" s="0" t="s">
        <v>3398</v>
      </c>
      <c r="H470" s="0" t="s">
        <v>3272</v>
      </c>
      <c r="I470" s="0" t="s">
        <v>1002</v>
      </c>
      <c r="J470" s="0" t="s">
        <v>427</v>
      </c>
      <c r="K470" s="0" t="n">
        <v>8</v>
      </c>
      <c r="M470" s="44" t="str">
        <f aca="false">INDEX(fastqs!$A:$A, MATCH(A470, fastqs!$B:$B, 0), 1)</f>
        <v>CD_24M_R1.fastq.gz</v>
      </c>
      <c r="N470" s="44" t="str">
        <f aca="false">INDEX(fastqs!$C:$C, MATCH(A470, fastqs!$B:$B, 0), 1)</f>
        <v>GET</v>
      </c>
      <c r="O470" s="44" t="str">
        <f aca="false">INDEX(samples!$B:$B, MATCH(B470, samples!$A:$A, 0), 1)</f>
        <v>par0286</v>
      </c>
      <c r="P470" s="44" t="e">
        <f aca="false">INDEX(participants!$I:$I, MATCH(O470, participants!$A:$A, 0), 1)</f>
        <v>#N/A</v>
      </c>
      <c r="Q470" s="44" t="n">
        <f aca="false">INDEX(samples!$F:$F, MATCH(B470, samples!$A:$A, 0), 1)</f>
        <v>0</v>
      </c>
      <c r="R470" s="49" t="str">
        <f aca="false">INDEX(samples!$C:$C, MATCH(B470, samples!$A:$A, 0), 1)</f>
        <v>2022-09-26</v>
      </c>
      <c r="S470" s="50" t="str">
        <f aca="false">INDEX(samples!$D:$D,MATCH(B470, samples!$A:$A,0),1)</f>
        <v>blood</v>
      </c>
      <c r="T470" s="51" t="s">
        <v>427</v>
      </c>
      <c r="V470" s="8" t="n">
        <v>18</v>
      </c>
      <c r="X470" s="8"/>
      <c r="Y470" s="8" t="s">
        <v>1002</v>
      </c>
      <c r="Z470" s="8" t="n">
        <v>0</v>
      </c>
      <c r="AA470" s="8" t="n">
        <v>0</v>
      </c>
      <c r="AB470" s="8" t="n">
        <v>0</v>
      </c>
    </row>
    <row r="471" customFormat="false" ht="13.8" hidden="false" customHeight="false" outlineLevel="0" collapsed="false">
      <c r="A471" s="48" t="s">
        <v>3629</v>
      </c>
      <c r="B471" s="41" t="s">
        <v>2453</v>
      </c>
      <c r="C471" s="0" t="s">
        <v>3147</v>
      </c>
      <c r="D471" s="0" t="s">
        <v>3398</v>
      </c>
      <c r="H471" s="0" t="s">
        <v>3272</v>
      </c>
      <c r="I471" s="0" t="s">
        <v>1002</v>
      </c>
      <c r="J471" s="0" t="s">
        <v>427</v>
      </c>
      <c r="K471" s="0" t="n">
        <v>8</v>
      </c>
      <c r="M471" s="44" t="str">
        <f aca="false">INDEX(fastqs!$A:$A, MATCH(A471, fastqs!$B:$B, 0), 1)</f>
        <v>MG_23F_R1.fastq.gz</v>
      </c>
      <c r="N471" s="44" t="str">
        <f aca="false">INDEX(fastqs!$C:$C, MATCH(A471, fastqs!$B:$B, 0), 1)</f>
        <v>GET</v>
      </c>
      <c r="O471" s="44" t="str">
        <f aca="false">INDEX(samples!$B:$B, MATCH(B471, samples!$A:$A, 0), 1)</f>
        <v>par0287</v>
      </c>
      <c r="P471" s="44" t="e">
        <f aca="false">INDEX(participants!$I:$I, MATCH(O471, participants!$A:$A, 0), 1)</f>
        <v>#N/A</v>
      </c>
      <c r="Q471" s="44" t="n">
        <f aca="false">INDEX(samples!$F:$F, MATCH(B471, samples!$A:$A, 0), 1)</f>
        <v>0</v>
      </c>
      <c r="R471" s="49" t="str">
        <f aca="false">INDEX(samples!$C:$C, MATCH(B471, samples!$A:$A, 0), 1)</f>
        <v>2022-09-26</v>
      </c>
      <c r="S471" s="50" t="str">
        <f aca="false">INDEX(samples!$D:$D,MATCH(B471, samples!$A:$A,0),1)</f>
        <v>blood</v>
      </c>
      <c r="T471" s="51" t="s">
        <v>427</v>
      </c>
      <c r="V471" s="8" t="n">
        <v>3</v>
      </c>
      <c r="X471" s="8"/>
      <c r="Y471" s="8" t="s">
        <v>1002</v>
      </c>
      <c r="Z471" s="8" t="n">
        <v>0</v>
      </c>
      <c r="AA471" s="8" t="n">
        <v>0</v>
      </c>
      <c r="AB471" s="8" t="n">
        <v>0</v>
      </c>
    </row>
    <row r="472" customFormat="false" ht="13.8" hidden="false" customHeight="false" outlineLevel="0" collapsed="false">
      <c r="A472" s="48" t="s">
        <v>3630</v>
      </c>
      <c r="B472" s="41" t="s">
        <v>2455</v>
      </c>
      <c r="C472" s="0" t="s">
        <v>3147</v>
      </c>
      <c r="D472" s="0" t="s">
        <v>3398</v>
      </c>
      <c r="H472" s="0" t="s">
        <v>3272</v>
      </c>
      <c r="I472" s="0" t="s">
        <v>1002</v>
      </c>
      <c r="J472" s="0" t="s">
        <v>427</v>
      </c>
      <c r="K472" s="0" t="n">
        <v>8</v>
      </c>
      <c r="M472" s="44" t="str">
        <f aca="false">INDEX(fastqs!$A:$A, MATCH(A472, fastqs!$B:$B, 0), 1)</f>
        <v>FO_26F_R1.fastq.gz</v>
      </c>
      <c r="N472" s="44" t="str">
        <f aca="false">INDEX(fastqs!$C:$C, MATCH(A472, fastqs!$B:$B, 0), 1)</f>
        <v>GET</v>
      </c>
      <c r="O472" s="44" t="str">
        <f aca="false">INDEX(samples!$B:$B, MATCH(B472, samples!$A:$A, 0), 1)</f>
        <v>par0288</v>
      </c>
      <c r="P472" s="44" t="e">
        <f aca="false">INDEX(participants!$I:$I, MATCH(O472, participants!$A:$A, 0), 1)</f>
        <v>#N/A</v>
      </c>
      <c r="Q472" s="44" t="n">
        <f aca="false">INDEX(samples!$F:$F, MATCH(B472, samples!$A:$A, 0), 1)</f>
        <v>0</v>
      </c>
      <c r="R472" s="49" t="str">
        <f aca="false">INDEX(samples!$C:$C, MATCH(B472, samples!$A:$A, 0), 1)</f>
        <v>2022-09-26</v>
      </c>
      <c r="S472" s="50" t="str">
        <f aca="false">INDEX(samples!$D:$D,MATCH(B472, samples!$A:$A,0),1)</f>
        <v>blood</v>
      </c>
      <c r="T472" s="51" t="s">
        <v>427</v>
      </c>
      <c r="V472" s="8" t="n">
        <v>3</v>
      </c>
      <c r="X472" s="8"/>
      <c r="Y472" s="8" t="s">
        <v>1002</v>
      </c>
      <c r="Z472" s="8" t="n">
        <v>0</v>
      </c>
      <c r="AA472" s="8" t="n">
        <v>0</v>
      </c>
      <c r="AB472" s="8" t="n">
        <v>0</v>
      </c>
    </row>
    <row r="473" customFormat="false" ht="13.8" hidden="false" customHeight="false" outlineLevel="0" collapsed="false">
      <c r="A473" s="48" t="s">
        <v>3631</v>
      </c>
      <c r="B473" s="41" t="s">
        <v>2457</v>
      </c>
      <c r="C473" s="0" t="s">
        <v>3147</v>
      </c>
      <c r="D473" s="0" t="s">
        <v>3398</v>
      </c>
      <c r="H473" s="0" t="s">
        <v>3272</v>
      </c>
      <c r="I473" s="0" t="s">
        <v>1002</v>
      </c>
      <c r="J473" s="0" t="s">
        <v>427</v>
      </c>
      <c r="K473" s="0" t="n">
        <v>8</v>
      </c>
      <c r="M473" s="44" t="str">
        <f aca="false">INDEX(fastqs!$A:$A, MATCH(A473, fastqs!$B:$B, 0), 1)</f>
        <v>TrCa_1_30_20_R1.fastq.gz</v>
      </c>
      <c r="N473" s="44" t="str">
        <f aca="false">INDEX(fastqs!$C:$C, MATCH(A473, fastqs!$B:$B, 0), 1)</f>
        <v>GET</v>
      </c>
      <c r="O473" s="44" t="str">
        <f aca="false">INDEX(samples!$B:$B, MATCH(B473, samples!$A:$A, 0), 1)</f>
        <v>par0037</v>
      </c>
      <c r="P473" s="44" t="str">
        <f aca="false">INDEX(participants!$I:$I, MATCH(O473, participants!$A:$A, 0), 1)</f>
        <v>js0056</v>
      </c>
      <c r="Q473" s="44" t="n">
        <f aca="false">INDEX(samples!$F:$F, MATCH(B473, samples!$A:$A, 0), 1)</f>
        <v>0</v>
      </c>
      <c r="R473" s="49" t="str">
        <f aca="false">INDEX(samples!$C:$C, MATCH(B473, samples!$A:$A, 0), 1)</f>
        <v>2020-01-30</v>
      </c>
      <c r="S473" s="50" t="str">
        <f aca="false">INDEX(samples!$D:$D,MATCH(B473, samples!$A:$A,0),1)</f>
        <v>blood</v>
      </c>
      <c r="T473" s="51" t="s">
        <v>427</v>
      </c>
      <c r="V473" s="8" t="n">
        <v>3</v>
      </c>
      <c r="X473" s="8"/>
      <c r="Y473" s="8" t="s">
        <v>1002</v>
      </c>
      <c r="Z473" s="8" t="n">
        <v>0</v>
      </c>
      <c r="AA473" s="8" t="n">
        <v>0</v>
      </c>
      <c r="AB473" s="8" t="n">
        <v>0</v>
      </c>
    </row>
    <row r="474" customFormat="false" ht="13.8" hidden="false" customHeight="false" outlineLevel="0" collapsed="false">
      <c r="A474" s="48" t="s">
        <v>3632</v>
      </c>
      <c r="B474" s="41" t="s">
        <v>2458</v>
      </c>
      <c r="C474" s="0" t="s">
        <v>3147</v>
      </c>
      <c r="D474" s="0" t="s">
        <v>3398</v>
      </c>
      <c r="H474" s="0" t="s">
        <v>3272</v>
      </c>
      <c r="I474" s="0" t="s">
        <v>1002</v>
      </c>
      <c r="J474" s="0" t="s">
        <v>427</v>
      </c>
      <c r="K474" s="0" t="n">
        <v>8</v>
      </c>
      <c r="M474" s="44" t="str">
        <f aca="false">INDEX(fastqs!$A:$A, MATCH(A474, fastqs!$B:$B, 0), 1)</f>
        <v>TrCa_7_19_22_R1.fastq.gz</v>
      </c>
      <c r="N474" s="44" t="str">
        <f aca="false">INDEX(fastqs!$C:$C, MATCH(A474, fastqs!$B:$B, 0), 1)</f>
        <v>GET</v>
      </c>
      <c r="O474" s="44" t="str">
        <f aca="false">INDEX(samples!$B:$B, MATCH(B474, samples!$A:$A, 0), 1)</f>
        <v>par0037</v>
      </c>
      <c r="P474" s="44" t="str">
        <f aca="false">INDEX(participants!$I:$I, MATCH(O474, participants!$A:$A, 0), 1)</f>
        <v>js0056</v>
      </c>
      <c r="Q474" s="44" t="n">
        <f aca="false">INDEX(samples!$F:$F, MATCH(B474, samples!$A:$A, 0), 1)</f>
        <v>0</v>
      </c>
      <c r="R474" s="49" t="str">
        <f aca="false">INDEX(samples!$C:$C, MATCH(B474, samples!$A:$A, 0), 1)</f>
        <v>2022-07-19</v>
      </c>
      <c r="S474" s="50" t="str">
        <f aca="false">INDEX(samples!$D:$D,MATCH(B474, samples!$A:$A,0),1)</f>
        <v>blood</v>
      </c>
      <c r="T474" s="51" t="s">
        <v>427</v>
      </c>
      <c r="V474" s="8" t="n">
        <v>5</v>
      </c>
      <c r="X474" s="8"/>
      <c r="Y474" s="8" t="s">
        <v>1002</v>
      </c>
      <c r="Z474" s="8" t="n">
        <v>0</v>
      </c>
      <c r="AA474" s="8" t="n">
        <v>0</v>
      </c>
      <c r="AB474" s="8" t="n">
        <v>0</v>
      </c>
    </row>
    <row r="475" customFormat="false" ht="13.8" hidden="false" customHeight="false" outlineLevel="0" collapsed="false">
      <c r="A475" s="48" t="s">
        <v>3633</v>
      </c>
      <c r="B475" s="41" t="s">
        <v>2460</v>
      </c>
      <c r="C475" s="0" t="s">
        <v>3147</v>
      </c>
      <c r="D475" s="0" t="s">
        <v>3398</v>
      </c>
      <c r="H475" s="0" t="s">
        <v>3272</v>
      </c>
      <c r="I475" s="0" t="s">
        <v>1002</v>
      </c>
      <c r="J475" s="0" t="s">
        <v>427</v>
      </c>
      <c r="K475" s="0" t="n">
        <v>8</v>
      </c>
      <c r="M475" s="44" t="str">
        <f aca="false">INDEX(fastqs!$A:$A, MATCH(A475, fastqs!$B:$B, 0), 1)</f>
        <v>KO_1_13_20_R1.fastq.gz</v>
      </c>
      <c r="N475" s="44" t="str">
        <f aca="false">INDEX(fastqs!$C:$C, MATCH(A475, fastqs!$B:$B, 0), 1)</f>
        <v>GET</v>
      </c>
      <c r="O475" s="44" t="str">
        <f aca="false">INDEX(samples!$B:$B, MATCH(B475, samples!$A:$A, 0), 1)</f>
        <v>par0289</v>
      </c>
      <c r="P475" s="44" t="e">
        <f aca="false">INDEX(participants!$I:$I, MATCH(O475, participants!$A:$A, 0), 1)</f>
        <v>#N/A</v>
      </c>
      <c r="Q475" s="44" t="n">
        <f aca="false">INDEX(samples!$F:$F, MATCH(B475, samples!$A:$A, 0), 1)</f>
        <v>0</v>
      </c>
      <c r="R475" s="49" t="str">
        <f aca="false">INDEX(samples!$C:$C, MATCH(B475, samples!$A:$A, 0), 1)</f>
        <v>2020-01-13</v>
      </c>
      <c r="S475" s="50" t="str">
        <f aca="false">INDEX(samples!$D:$D,MATCH(B475, samples!$A:$A,0),1)</f>
        <v>blood</v>
      </c>
      <c r="T475" s="51" t="s">
        <v>427</v>
      </c>
      <c r="V475" s="8" t="s">
        <v>427</v>
      </c>
      <c r="X475" s="8"/>
      <c r="Y475" s="8" t="s">
        <v>1002</v>
      </c>
      <c r="Z475" s="8" t="n">
        <v>0</v>
      </c>
      <c r="AA475" s="8" t="n">
        <v>0</v>
      </c>
      <c r="AB475" s="8" t="n">
        <v>0</v>
      </c>
    </row>
    <row r="476" customFormat="false" ht="13.8" hidden="false" customHeight="false" outlineLevel="0" collapsed="false">
      <c r="A476" s="48" t="s">
        <v>3634</v>
      </c>
      <c r="B476" s="41" t="s">
        <v>2462</v>
      </c>
      <c r="C476" s="0" t="s">
        <v>3147</v>
      </c>
      <c r="D476" s="0" t="s">
        <v>3398</v>
      </c>
      <c r="H476" s="0" t="s">
        <v>3272</v>
      </c>
      <c r="I476" s="0" t="s">
        <v>1002</v>
      </c>
      <c r="J476" s="0" t="s">
        <v>427</v>
      </c>
      <c r="K476" s="0" t="n">
        <v>8</v>
      </c>
      <c r="M476" s="44" t="str">
        <f aca="false">INDEX(fastqs!$A:$A, MATCH(A476, fastqs!$B:$B, 0), 1)</f>
        <v>SRA_2_24_20_R1.fastq.gz</v>
      </c>
      <c r="N476" s="44" t="str">
        <f aca="false">INDEX(fastqs!$C:$C, MATCH(A476, fastqs!$B:$B, 0), 1)</f>
        <v>GET</v>
      </c>
      <c r="O476" s="44" t="str">
        <f aca="false">INDEX(samples!$B:$B, MATCH(B476, samples!$A:$A, 0), 1)</f>
        <v>par0035</v>
      </c>
      <c r="P476" s="44" t="str">
        <f aca="false">INDEX(participants!$I:$I, MATCH(O476, participants!$A:$A, 0), 1)</f>
        <v>js0054</v>
      </c>
      <c r="Q476" s="44" t="n">
        <f aca="false">INDEX(samples!$F:$F, MATCH(B476, samples!$A:$A, 0), 1)</f>
        <v>0</v>
      </c>
      <c r="R476" s="49" t="str">
        <f aca="false">INDEX(samples!$C:$C, MATCH(B476, samples!$A:$A, 0), 1)</f>
        <v>2020-02-24</v>
      </c>
      <c r="S476" s="50" t="str">
        <f aca="false">INDEX(samples!$D:$D,MATCH(B476, samples!$A:$A,0),1)</f>
        <v>blood</v>
      </c>
      <c r="T476" s="51" t="s">
        <v>427</v>
      </c>
      <c r="V476" s="8" t="n">
        <v>2</v>
      </c>
      <c r="X476" s="8"/>
      <c r="Y476" s="8" t="s">
        <v>1002</v>
      </c>
      <c r="Z476" s="8" t="n">
        <v>0</v>
      </c>
      <c r="AA476" s="8" t="n">
        <v>0</v>
      </c>
      <c r="AB476" s="8" t="n">
        <v>0</v>
      </c>
    </row>
    <row r="477" customFormat="false" ht="13.8" hidden="false" customHeight="false" outlineLevel="0" collapsed="false">
      <c r="A477" s="48" t="s">
        <v>3635</v>
      </c>
      <c r="B477" s="41" t="s">
        <v>2464</v>
      </c>
      <c r="C477" s="0" t="s">
        <v>3147</v>
      </c>
      <c r="D477" s="0" t="s">
        <v>3398</v>
      </c>
      <c r="H477" s="0" t="s">
        <v>3272</v>
      </c>
      <c r="I477" s="0" t="s">
        <v>1002</v>
      </c>
      <c r="J477" s="0" t="s">
        <v>427</v>
      </c>
      <c r="K477" s="0" t="n">
        <v>8</v>
      </c>
      <c r="M477" s="44" t="str">
        <f aca="false">INDEX(fastqs!$A:$A, MATCH(A477, fastqs!$B:$B, 0), 1)</f>
        <v>RS_7_28_22_R1.fastq.gz</v>
      </c>
      <c r="N477" s="44" t="str">
        <f aca="false">INDEX(fastqs!$C:$C, MATCH(A477, fastqs!$B:$B, 0), 1)</f>
        <v>GET</v>
      </c>
      <c r="O477" s="44" t="str">
        <f aca="false">INDEX(samples!$B:$B, MATCH(B477, samples!$A:$A, 0), 1)</f>
        <v>par0290</v>
      </c>
      <c r="P477" s="44" t="e">
        <f aca="false">INDEX(participants!$I:$I, MATCH(O477, participants!$A:$A, 0), 1)</f>
        <v>#N/A</v>
      </c>
      <c r="Q477" s="44" t="n">
        <f aca="false">INDEX(samples!$F:$F, MATCH(B477, samples!$A:$A, 0), 1)</f>
        <v>0</v>
      </c>
      <c r="R477" s="49" t="str">
        <f aca="false">INDEX(samples!$C:$C, MATCH(B477, samples!$A:$A, 0), 1)</f>
        <v>2022-07-28</v>
      </c>
      <c r="S477" s="50" t="str">
        <f aca="false">INDEX(samples!$D:$D,MATCH(B477, samples!$A:$A,0),1)</f>
        <v>blood</v>
      </c>
      <c r="T477" s="51" t="s">
        <v>427</v>
      </c>
      <c r="V477" s="8" t="n">
        <v>17</v>
      </c>
      <c r="X477" s="8"/>
      <c r="Y477" s="8" t="s">
        <v>1002</v>
      </c>
      <c r="Z477" s="8" t="n">
        <v>0</v>
      </c>
      <c r="AA477" s="8" t="n">
        <v>0</v>
      </c>
      <c r="AB477" s="8" t="n">
        <v>0</v>
      </c>
    </row>
    <row r="478" customFormat="false" ht="13.8" hidden="false" customHeight="false" outlineLevel="0" collapsed="false">
      <c r="A478" s="48" t="s">
        <v>3636</v>
      </c>
      <c r="B478" s="41" t="s">
        <v>2467</v>
      </c>
      <c r="C478" s="0" t="s">
        <v>3147</v>
      </c>
      <c r="D478" s="0" t="s">
        <v>3398</v>
      </c>
      <c r="H478" s="0" t="s">
        <v>3272</v>
      </c>
      <c r="I478" s="0" t="s">
        <v>1002</v>
      </c>
      <c r="J478" s="0" t="s">
        <v>427</v>
      </c>
      <c r="K478" s="0" t="n">
        <v>8</v>
      </c>
      <c r="M478" s="44" t="str">
        <f aca="false">INDEX(fastqs!$A:$A, MATCH(A478, fastqs!$B:$B, 0), 1)</f>
        <v>RS_6_17_19_R1.fastq.gz</v>
      </c>
      <c r="N478" s="44" t="str">
        <f aca="false">INDEX(fastqs!$C:$C, MATCH(A478, fastqs!$B:$B, 0), 1)</f>
        <v>GET</v>
      </c>
      <c r="O478" s="44" t="str">
        <f aca="false">INDEX(samples!$B:$B, MATCH(B478, samples!$A:$A, 0), 1)</f>
        <v>par0290</v>
      </c>
      <c r="P478" s="44" t="e">
        <f aca="false">INDEX(participants!$I:$I, MATCH(O478, participants!$A:$A, 0), 1)</f>
        <v>#N/A</v>
      </c>
      <c r="Q478" s="44" t="n">
        <f aca="false">INDEX(samples!$F:$F, MATCH(B478, samples!$A:$A, 0), 1)</f>
        <v>0</v>
      </c>
      <c r="R478" s="49" t="str">
        <f aca="false">INDEX(samples!$C:$C, MATCH(B478, samples!$A:$A, 0), 1)</f>
        <v>2019-06-17</v>
      </c>
      <c r="S478" s="50" t="str">
        <f aca="false">INDEX(samples!$D:$D,MATCH(B478, samples!$A:$A,0),1)</f>
        <v>blood</v>
      </c>
      <c r="T478" s="51" t="s">
        <v>427</v>
      </c>
      <c r="V478" s="8" t="n">
        <v>10</v>
      </c>
      <c r="X478" s="8"/>
      <c r="Y478" s="8" t="s">
        <v>1002</v>
      </c>
      <c r="Z478" s="8" t="n">
        <v>0</v>
      </c>
      <c r="AA478" s="8" t="n">
        <v>0</v>
      </c>
      <c r="AB478" s="8" t="n">
        <v>0</v>
      </c>
    </row>
    <row r="479" customFormat="false" ht="13.8" hidden="false" customHeight="false" outlineLevel="0" collapsed="false">
      <c r="A479" s="48" t="s">
        <v>3637</v>
      </c>
      <c r="B479" s="41" t="s">
        <v>2469</v>
      </c>
      <c r="C479" s="0" t="s">
        <v>3147</v>
      </c>
      <c r="D479" s="0" t="s">
        <v>3398</v>
      </c>
      <c r="H479" s="0" t="s">
        <v>3272</v>
      </c>
      <c r="I479" s="0" t="s">
        <v>1002</v>
      </c>
      <c r="J479" s="0" t="s">
        <v>427</v>
      </c>
      <c r="K479" s="0" t="n">
        <v>8</v>
      </c>
      <c r="M479" s="44" t="str">
        <f aca="false">INDEX(fastqs!$A:$A, MATCH(A479, fastqs!$B:$B, 0), 1)</f>
        <v>LG_9_9_21_R1.fastq.gz</v>
      </c>
      <c r="N479" s="44" t="str">
        <f aca="false">INDEX(fastqs!$C:$C, MATCH(A479, fastqs!$B:$B, 0), 1)</f>
        <v>GET</v>
      </c>
      <c r="O479" s="44" t="str">
        <f aca="false">INDEX(samples!$B:$B, MATCH(B479, samples!$A:$A, 0), 1)</f>
        <v>par0138</v>
      </c>
      <c r="P479" s="44" t="e">
        <f aca="false">INDEX(participants!$I:$I, MATCH(O479, participants!$A:$A, 0), 1)</f>
        <v>#N/A</v>
      </c>
      <c r="Q479" s="44" t="n">
        <f aca="false">INDEX(samples!$F:$F, MATCH(B479, samples!$A:$A, 0), 1)</f>
        <v>0</v>
      </c>
      <c r="R479" s="49" t="str">
        <f aca="false">INDEX(samples!$C:$C, MATCH(B479, samples!$A:$A, 0), 1)</f>
        <v>2021-09-09</v>
      </c>
      <c r="S479" s="50" t="str">
        <f aca="false">INDEX(samples!$D:$D,MATCH(B479, samples!$A:$A,0),1)</f>
        <v>blood</v>
      </c>
      <c r="T479" s="51" t="s">
        <v>427</v>
      </c>
      <c r="V479" s="8" t="n">
        <v>7</v>
      </c>
      <c r="X479" s="8"/>
      <c r="Y479" s="8" t="s">
        <v>1002</v>
      </c>
      <c r="Z479" s="8" t="n">
        <v>0</v>
      </c>
      <c r="AA479" s="8" t="n">
        <v>0</v>
      </c>
      <c r="AB479" s="8" t="n">
        <v>0</v>
      </c>
    </row>
    <row r="480" customFormat="false" ht="13.8" hidden="false" customHeight="false" outlineLevel="0" collapsed="false">
      <c r="A480" s="48" t="s">
        <v>3638</v>
      </c>
      <c r="B480" s="41" t="s">
        <v>2471</v>
      </c>
      <c r="C480" s="0" t="s">
        <v>3147</v>
      </c>
      <c r="D480" s="0" t="s">
        <v>3398</v>
      </c>
      <c r="H480" s="0" t="s">
        <v>3272</v>
      </c>
      <c r="I480" s="0" t="s">
        <v>1002</v>
      </c>
      <c r="J480" s="0" t="s">
        <v>427</v>
      </c>
      <c r="K480" s="0" t="n">
        <v>8</v>
      </c>
      <c r="M480" s="44" t="str">
        <f aca="false">INDEX(fastqs!$A:$A, MATCH(A480, fastqs!$B:$B, 0), 1)</f>
        <v>LG_9_13_21_R1.fastq.gz</v>
      </c>
      <c r="N480" s="44" t="str">
        <f aca="false">INDEX(fastqs!$C:$C, MATCH(A480, fastqs!$B:$B, 0), 1)</f>
        <v>GET</v>
      </c>
      <c r="O480" s="44" t="str">
        <f aca="false">INDEX(samples!$B:$B, MATCH(B480, samples!$A:$A, 0), 1)</f>
        <v>par0138</v>
      </c>
      <c r="P480" s="44" t="e">
        <f aca="false">INDEX(participants!$I:$I, MATCH(O480, participants!$A:$A, 0), 1)</f>
        <v>#N/A</v>
      </c>
      <c r="Q480" s="44" t="n">
        <f aca="false">INDEX(samples!$F:$F, MATCH(B480, samples!$A:$A, 0), 1)</f>
        <v>0</v>
      </c>
      <c r="R480" s="49" t="str">
        <f aca="false">INDEX(samples!$C:$C, MATCH(B480, samples!$A:$A, 0), 1)</f>
        <v>2021-09-13</v>
      </c>
      <c r="S480" s="50" t="str">
        <f aca="false">INDEX(samples!$D:$D,MATCH(B480, samples!$A:$A,0),1)</f>
        <v>blood</v>
      </c>
      <c r="T480" s="51" t="s">
        <v>427</v>
      </c>
      <c r="V480" s="8" t="n">
        <v>35</v>
      </c>
      <c r="X480" s="8"/>
      <c r="Y480" s="8" t="s">
        <v>1002</v>
      </c>
      <c r="Z480" s="8" t="n">
        <v>0</v>
      </c>
      <c r="AA480" s="8" t="n">
        <v>0</v>
      </c>
      <c r="AB480" s="8" t="n">
        <v>0</v>
      </c>
    </row>
    <row r="481" customFormat="false" ht="13.8" hidden="false" customHeight="false" outlineLevel="0" collapsed="false">
      <c r="A481" s="48" t="s">
        <v>3639</v>
      </c>
      <c r="B481" s="41" t="s">
        <v>2473</v>
      </c>
      <c r="C481" s="0" t="s">
        <v>3147</v>
      </c>
      <c r="D481" s="0" t="s">
        <v>3398</v>
      </c>
      <c r="H481" s="0" t="s">
        <v>3272</v>
      </c>
      <c r="I481" s="0" t="s">
        <v>1002</v>
      </c>
      <c r="J481" s="0" t="s">
        <v>427</v>
      </c>
      <c r="K481" s="0" t="n">
        <v>8</v>
      </c>
      <c r="M481" s="44" t="str">
        <f aca="false">INDEX(fastqs!$A:$A, MATCH(A481, fastqs!$B:$B, 0), 1)</f>
        <v>LG_9_13_22_R1.fastq.gz</v>
      </c>
      <c r="N481" s="44" t="str">
        <f aca="false">INDEX(fastqs!$C:$C, MATCH(A481, fastqs!$B:$B, 0), 1)</f>
        <v>GET</v>
      </c>
      <c r="O481" s="44" t="str">
        <f aca="false">INDEX(samples!$B:$B, MATCH(B481, samples!$A:$A, 0), 1)</f>
        <v>par0138</v>
      </c>
      <c r="P481" s="44" t="e">
        <f aca="false">INDEX(participants!$I:$I, MATCH(O481, participants!$A:$A, 0), 1)</f>
        <v>#N/A</v>
      </c>
      <c r="Q481" s="44" t="n">
        <f aca="false">INDEX(samples!$F:$F, MATCH(B481, samples!$A:$A, 0), 1)</f>
        <v>0</v>
      </c>
      <c r="R481" s="49" t="str">
        <f aca="false">INDEX(samples!$C:$C, MATCH(B481, samples!$A:$A, 0), 1)</f>
        <v>2022-09-13</v>
      </c>
      <c r="S481" s="50" t="str">
        <f aca="false">INDEX(samples!$D:$D,MATCH(B481, samples!$A:$A,0),1)</f>
        <v>blood</v>
      </c>
      <c r="T481" s="51" t="s">
        <v>427</v>
      </c>
      <c r="V481" s="8" t="n">
        <v>4</v>
      </c>
      <c r="X481" s="8"/>
      <c r="Y481" s="8" t="s">
        <v>1002</v>
      </c>
      <c r="Z481" s="8" t="n">
        <v>0</v>
      </c>
      <c r="AA481" s="8" t="n">
        <v>0</v>
      </c>
      <c r="AB481" s="8" t="n">
        <v>0</v>
      </c>
    </row>
    <row r="482" customFormat="false" ht="13.8" hidden="false" customHeight="false" outlineLevel="0" collapsed="false">
      <c r="A482" s="48" t="s">
        <v>3640</v>
      </c>
      <c r="B482" s="41" t="s">
        <v>2474</v>
      </c>
      <c r="C482" s="0" t="s">
        <v>3147</v>
      </c>
      <c r="D482" s="0" t="s">
        <v>3398</v>
      </c>
      <c r="H482" s="0" t="s">
        <v>3272</v>
      </c>
      <c r="I482" s="0" t="s">
        <v>1002</v>
      </c>
      <c r="J482" s="0" t="s">
        <v>427</v>
      </c>
      <c r="K482" s="0" t="n">
        <v>8</v>
      </c>
      <c r="M482" s="44" t="str">
        <f aca="false">INDEX(fastqs!$A:$A, MATCH(A482, fastqs!$B:$B, 0), 1)</f>
        <v>HK_8_10_22_R1.fastq.gz</v>
      </c>
      <c r="N482" s="44" t="str">
        <f aca="false">INDEX(fastqs!$C:$C, MATCH(A482, fastqs!$B:$B, 0), 1)</f>
        <v>GET</v>
      </c>
      <c r="O482" s="44" t="str">
        <f aca="false">INDEX(samples!$B:$B, MATCH(B482, samples!$A:$A, 0), 1)</f>
        <v>par0011</v>
      </c>
      <c r="P482" s="44" t="str">
        <f aca="false">INDEX(participants!$I:$I, MATCH(O482, participants!$A:$A, 0), 1)</f>
        <v>js0105</v>
      </c>
      <c r="Q482" s="44" t="n">
        <f aca="false">INDEX(samples!$F:$F, MATCH(B482, samples!$A:$A, 0), 1)</f>
        <v>0</v>
      </c>
      <c r="R482" s="49" t="str">
        <f aca="false">INDEX(samples!$C:$C, MATCH(B482, samples!$A:$A, 0), 1)</f>
        <v>2022-08-10</v>
      </c>
      <c r="S482" s="50" t="str">
        <f aca="false">INDEX(samples!$D:$D,MATCH(B482, samples!$A:$A,0),1)</f>
        <v>blood</v>
      </c>
      <c r="T482" s="51" t="s">
        <v>427</v>
      </c>
      <c r="V482" s="8" t="n">
        <v>19</v>
      </c>
      <c r="X482" s="8"/>
      <c r="Y482" s="8" t="s">
        <v>1002</v>
      </c>
      <c r="Z482" s="8" t="n">
        <v>0</v>
      </c>
      <c r="AA482" s="8" t="n">
        <v>0</v>
      </c>
      <c r="AB482" s="8" t="n">
        <v>0</v>
      </c>
    </row>
    <row r="483" customFormat="false" ht="13.8" hidden="false" customHeight="false" outlineLevel="0" collapsed="false">
      <c r="A483" s="48" t="s">
        <v>3641</v>
      </c>
      <c r="B483" s="41" t="s">
        <v>2476</v>
      </c>
      <c r="C483" s="0" t="s">
        <v>3147</v>
      </c>
      <c r="D483" s="0" t="s">
        <v>3398</v>
      </c>
      <c r="H483" s="0" t="s">
        <v>3272</v>
      </c>
      <c r="I483" s="0" t="s">
        <v>1002</v>
      </c>
      <c r="J483" s="0" t="s">
        <v>427</v>
      </c>
      <c r="K483" s="0" t="n">
        <v>8</v>
      </c>
      <c r="M483" s="44" t="str">
        <f aca="false">INDEX(fastqs!$A:$A, MATCH(A483, fastqs!$B:$B, 0), 1)</f>
        <v>HK_5_9_22_R1.fastq.gz</v>
      </c>
      <c r="N483" s="44" t="str">
        <f aca="false">INDEX(fastqs!$C:$C, MATCH(A483, fastqs!$B:$B, 0), 1)</f>
        <v>GET</v>
      </c>
      <c r="O483" s="44" t="str">
        <f aca="false">INDEX(samples!$B:$B, MATCH(B483, samples!$A:$A, 0), 1)</f>
        <v>par0011</v>
      </c>
      <c r="P483" s="44" t="str">
        <f aca="false">INDEX(participants!$I:$I, MATCH(O483, participants!$A:$A, 0), 1)</f>
        <v>js0105</v>
      </c>
      <c r="Q483" s="44" t="n">
        <f aca="false">INDEX(samples!$F:$F, MATCH(B483, samples!$A:$A, 0), 1)</f>
        <v>0</v>
      </c>
      <c r="R483" s="49" t="str">
        <f aca="false">INDEX(samples!$C:$C, MATCH(B483, samples!$A:$A, 0), 1)</f>
        <v>2022-05-09</v>
      </c>
      <c r="S483" s="50" t="str">
        <f aca="false">INDEX(samples!$D:$D,MATCH(B483, samples!$A:$A,0),1)</f>
        <v>blood</v>
      </c>
      <c r="T483" s="51" t="s">
        <v>427</v>
      </c>
      <c r="V483" s="8" t="n">
        <v>24</v>
      </c>
      <c r="X483" s="8"/>
      <c r="Y483" s="8" t="s">
        <v>1002</v>
      </c>
      <c r="Z483" s="8" t="n">
        <v>0</v>
      </c>
      <c r="AA483" s="8" t="n">
        <v>0</v>
      </c>
      <c r="AB483" s="8" t="n">
        <v>0</v>
      </c>
    </row>
    <row r="484" customFormat="false" ht="13.8" hidden="false" customHeight="false" outlineLevel="0" collapsed="false">
      <c r="A484" s="48" t="s">
        <v>3642</v>
      </c>
      <c r="B484" s="41" t="s">
        <v>2478</v>
      </c>
      <c r="C484" s="0" t="s">
        <v>3147</v>
      </c>
      <c r="D484" s="0" t="s">
        <v>3398</v>
      </c>
      <c r="H484" s="0" t="s">
        <v>3272</v>
      </c>
      <c r="I484" s="0" t="s">
        <v>1002</v>
      </c>
      <c r="J484" s="0" t="s">
        <v>427</v>
      </c>
      <c r="K484" s="0" t="n">
        <v>8</v>
      </c>
      <c r="M484" s="44" t="str">
        <f aca="false">INDEX(fastqs!$A:$A, MATCH(A484, fastqs!$B:$B, 0), 1)</f>
        <v>HK_3_21_22_R1.fastq.gz</v>
      </c>
      <c r="N484" s="44" t="str">
        <f aca="false">INDEX(fastqs!$C:$C, MATCH(A484, fastqs!$B:$B, 0), 1)</f>
        <v>GET</v>
      </c>
      <c r="O484" s="44" t="str">
        <f aca="false">INDEX(samples!$B:$B, MATCH(B484, samples!$A:$A, 0), 1)</f>
        <v>par0011</v>
      </c>
      <c r="P484" s="44" t="str">
        <f aca="false">INDEX(participants!$I:$I, MATCH(O484, participants!$A:$A, 0), 1)</f>
        <v>js0105</v>
      </c>
      <c r="Q484" s="44" t="n">
        <f aca="false">INDEX(samples!$F:$F, MATCH(B484, samples!$A:$A, 0), 1)</f>
        <v>0</v>
      </c>
      <c r="R484" s="49" t="str">
        <f aca="false">INDEX(samples!$C:$C, MATCH(B484, samples!$A:$A, 0), 1)</f>
        <v>2022-03-21</v>
      </c>
      <c r="S484" s="50" t="str">
        <f aca="false">INDEX(samples!$D:$D,MATCH(B484, samples!$A:$A,0),1)</f>
        <v>blood</v>
      </c>
      <c r="T484" s="51" t="s">
        <v>427</v>
      </c>
      <c r="V484" s="8" t="n">
        <v>24</v>
      </c>
      <c r="X484" s="8"/>
      <c r="Y484" s="8" t="s">
        <v>1002</v>
      </c>
      <c r="Z484" s="8" t="n">
        <v>0</v>
      </c>
      <c r="AA484" s="8" t="n">
        <v>0</v>
      </c>
      <c r="AB484" s="8" t="n">
        <v>0</v>
      </c>
    </row>
    <row r="485" customFormat="false" ht="13.8" hidden="false" customHeight="false" outlineLevel="0" collapsed="false">
      <c r="A485" s="48" t="s">
        <v>3643</v>
      </c>
      <c r="B485" s="41" t="s">
        <v>2479</v>
      </c>
      <c r="C485" s="0" t="s">
        <v>3147</v>
      </c>
      <c r="D485" s="0" t="s">
        <v>3398</v>
      </c>
      <c r="H485" s="0" t="s">
        <v>3272</v>
      </c>
      <c r="I485" s="0" t="s">
        <v>1002</v>
      </c>
      <c r="J485" s="0" t="s">
        <v>427</v>
      </c>
      <c r="K485" s="0" t="n">
        <v>8</v>
      </c>
      <c r="M485" s="44" t="str">
        <f aca="false">INDEX(fastqs!$A:$A, MATCH(A485, fastqs!$B:$B, 0), 1)</f>
        <v>HK_3_8_22_R1.fastq.gz</v>
      </c>
      <c r="N485" s="44" t="str">
        <f aca="false">INDEX(fastqs!$C:$C, MATCH(A485, fastqs!$B:$B, 0), 1)</f>
        <v>GET</v>
      </c>
      <c r="O485" s="44" t="str">
        <f aca="false">INDEX(samples!$B:$B, MATCH(B485, samples!$A:$A, 0), 1)</f>
        <v>par0011</v>
      </c>
      <c r="P485" s="44" t="str">
        <f aca="false">INDEX(participants!$I:$I, MATCH(O485, participants!$A:$A, 0), 1)</f>
        <v>js0105</v>
      </c>
      <c r="Q485" s="44" t="n">
        <f aca="false">INDEX(samples!$F:$F, MATCH(B485, samples!$A:$A, 0), 1)</f>
        <v>0</v>
      </c>
      <c r="R485" s="49" t="str">
        <f aca="false">INDEX(samples!$C:$C, MATCH(B485, samples!$A:$A, 0), 1)</f>
        <v>2022-03-08</v>
      </c>
      <c r="S485" s="50" t="str">
        <f aca="false">INDEX(samples!$D:$D,MATCH(B485, samples!$A:$A,0),1)</f>
        <v>blood</v>
      </c>
      <c r="T485" s="51" t="s">
        <v>427</v>
      </c>
      <c r="V485" s="8" t="n">
        <v>29</v>
      </c>
      <c r="X485" s="8"/>
      <c r="Y485" s="8" t="s">
        <v>1002</v>
      </c>
      <c r="Z485" s="8" t="n">
        <v>0</v>
      </c>
      <c r="AA485" s="8" t="n">
        <v>0</v>
      </c>
      <c r="AB485" s="8" t="n">
        <v>0</v>
      </c>
    </row>
    <row r="486" customFormat="false" ht="13.8" hidden="false" customHeight="false" outlineLevel="0" collapsed="false">
      <c r="A486" s="48" t="s">
        <v>3644</v>
      </c>
      <c r="B486" s="41" t="s">
        <v>2480</v>
      </c>
      <c r="C486" s="0" t="s">
        <v>3147</v>
      </c>
      <c r="D486" s="0" t="s">
        <v>3398</v>
      </c>
      <c r="H486" s="0" t="s">
        <v>3272</v>
      </c>
      <c r="I486" s="0" t="s">
        <v>1002</v>
      </c>
      <c r="J486" s="0" t="s">
        <v>427</v>
      </c>
      <c r="K486" s="0" t="n">
        <v>8</v>
      </c>
      <c r="M486" s="44" t="str">
        <f aca="false">INDEX(fastqs!$A:$A, MATCH(A486, fastqs!$B:$B, 0), 1)</f>
        <v>TaCo_9_16_20_R1.fastq.gz</v>
      </c>
      <c r="N486" s="44" t="str">
        <f aca="false">INDEX(fastqs!$C:$C, MATCH(A486, fastqs!$B:$B, 0), 1)</f>
        <v>GET</v>
      </c>
      <c r="O486" s="44" t="str">
        <f aca="false">INDEX(samples!$B:$B, MATCH(B486, samples!$A:$A, 0), 1)</f>
        <v>par0164</v>
      </c>
      <c r="P486" s="44" t="e">
        <f aca="false">INDEX(participants!$I:$I, MATCH(O486, participants!$A:$A, 0), 1)</f>
        <v>#N/A</v>
      </c>
      <c r="Q486" s="44" t="n">
        <f aca="false">INDEX(samples!$F:$F, MATCH(B486, samples!$A:$A, 0), 1)</f>
        <v>0</v>
      </c>
      <c r="R486" s="49" t="str">
        <f aca="false">INDEX(samples!$C:$C, MATCH(B486, samples!$A:$A, 0), 1)</f>
        <v>2020-09-16</v>
      </c>
      <c r="S486" s="50" t="str">
        <f aca="false">INDEX(samples!$D:$D,MATCH(B486, samples!$A:$A,0),1)</f>
        <v>blood</v>
      </c>
      <c r="T486" s="51" t="s">
        <v>427</v>
      </c>
      <c r="V486" s="8" t="n">
        <v>18</v>
      </c>
      <c r="X486" s="8"/>
      <c r="Y486" s="8" t="s">
        <v>1002</v>
      </c>
      <c r="Z486" s="8" t="n">
        <v>0</v>
      </c>
      <c r="AA486" s="8" t="n">
        <v>0</v>
      </c>
      <c r="AB486" s="8" t="n">
        <v>0</v>
      </c>
    </row>
    <row r="487" customFormat="false" ht="13.8" hidden="false" customHeight="false" outlineLevel="0" collapsed="false">
      <c r="A487" s="48" t="s">
        <v>3645</v>
      </c>
      <c r="B487" s="41" t="s">
        <v>2482</v>
      </c>
      <c r="C487" s="0" t="s">
        <v>3147</v>
      </c>
      <c r="D487" s="0" t="s">
        <v>3398</v>
      </c>
      <c r="H487" s="0" t="s">
        <v>3272</v>
      </c>
      <c r="I487" s="0" t="s">
        <v>1002</v>
      </c>
      <c r="J487" s="0" t="s">
        <v>427</v>
      </c>
      <c r="K487" s="0" t="n">
        <v>8</v>
      </c>
      <c r="M487" s="44" t="str">
        <f aca="false">INDEX(fastqs!$A:$A, MATCH(A487, fastqs!$B:$B, 0), 1)</f>
        <v>TaCo_9_18_20_R1.fastq.gz</v>
      </c>
      <c r="N487" s="44" t="str">
        <f aca="false">INDEX(fastqs!$C:$C, MATCH(A487, fastqs!$B:$B, 0), 1)</f>
        <v>GET</v>
      </c>
      <c r="O487" s="44" t="str">
        <f aca="false">INDEX(samples!$B:$B, MATCH(B487, samples!$A:$A, 0), 1)</f>
        <v>par0164</v>
      </c>
      <c r="P487" s="44" t="e">
        <f aca="false">INDEX(participants!$I:$I, MATCH(O487, participants!$A:$A, 0), 1)</f>
        <v>#N/A</v>
      </c>
      <c r="Q487" s="44" t="n">
        <f aca="false">INDEX(samples!$F:$F, MATCH(B487, samples!$A:$A, 0), 1)</f>
        <v>0</v>
      </c>
      <c r="R487" s="49" t="str">
        <f aca="false">INDEX(samples!$C:$C, MATCH(B487, samples!$A:$A, 0), 1)</f>
        <v>2020-09-18</v>
      </c>
      <c r="S487" s="50" t="str">
        <f aca="false">INDEX(samples!$D:$D,MATCH(B487, samples!$A:$A,0),1)</f>
        <v>blood</v>
      </c>
      <c r="T487" s="51" t="s">
        <v>427</v>
      </c>
      <c r="V487" s="8" t="n">
        <v>20</v>
      </c>
      <c r="X487" s="8"/>
      <c r="Y487" s="8" t="s">
        <v>1002</v>
      </c>
      <c r="Z487" s="8" t="n">
        <v>0</v>
      </c>
      <c r="AA487" s="8" t="n">
        <v>0</v>
      </c>
      <c r="AB487" s="8" t="n">
        <v>0</v>
      </c>
    </row>
    <row r="488" customFormat="false" ht="13.8" hidden="false" customHeight="false" outlineLevel="0" collapsed="false">
      <c r="A488" s="48" t="s">
        <v>3646</v>
      </c>
      <c r="B488" s="41" t="s">
        <v>2484</v>
      </c>
      <c r="C488" s="0" t="s">
        <v>3147</v>
      </c>
      <c r="D488" s="0" t="s">
        <v>3398</v>
      </c>
      <c r="H488" s="0" t="s">
        <v>3272</v>
      </c>
      <c r="I488" s="0" t="s">
        <v>1002</v>
      </c>
      <c r="J488" s="0" t="s">
        <v>427</v>
      </c>
      <c r="K488" s="0" t="n">
        <v>8</v>
      </c>
      <c r="M488" s="44" t="str">
        <f aca="false">INDEX(fastqs!$A:$A, MATCH(A488, fastqs!$B:$B, 0), 1)</f>
        <v>TaCo_11_18_20_R1.fastq.gz</v>
      </c>
      <c r="N488" s="44" t="str">
        <f aca="false">INDEX(fastqs!$C:$C, MATCH(A488, fastqs!$B:$B, 0), 1)</f>
        <v>GET</v>
      </c>
      <c r="O488" s="44" t="str">
        <f aca="false">INDEX(samples!$B:$B, MATCH(B488, samples!$A:$A, 0), 1)</f>
        <v>par0164</v>
      </c>
      <c r="P488" s="44" t="e">
        <f aca="false">INDEX(participants!$I:$I, MATCH(O488, participants!$A:$A, 0), 1)</f>
        <v>#N/A</v>
      </c>
      <c r="Q488" s="44" t="n">
        <f aca="false">INDEX(samples!$F:$F, MATCH(B488, samples!$A:$A, 0), 1)</f>
        <v>0</v>
      </c>
      <c r="R488" s="49" t="str">
        <f aca="false">INDEX(samples!$C:$C, MATCH(B488, samples!$A:$A, 0), 1)</f>
        <v>2020-11-18</v>
      </c>
      <c r="S488" s="50" t="str">
        <f aca="false">INDEX(samples!$D:$D,MATCH(B488, samples!$A:$A,0),1)</f>
        <v>blood</v>
      </c>
      <c r="T488" s="51" t="s">
        <v>427</v>
      </c>
      <c r="V488" s="8" t="n">
        <v>18</v>
      </c>
      <c r="X488" s="8"/>
      <c r="Y488" s="8" t="s">
        <v>1002</v>
      </c>
      <c r="Z488" s="8" t="n">
        <v>0</v>
      </c>
      <c r="AA488" s="8" t="n">
        <v>0</v>
      </c>
      <c r="AB488" s="8" t="n">
        <v>0</v>
      </c>
    </row>
    <row r="489" customFormat="false" ht="13.8" hidden="false" customHeight="false" outlineLevel="0" collapsed="false">
      <c r="A489" s="48" t="s">
        <v>3647</v>
      </c>
      <c r="B489" s="41" t="s">
        <v>2486</v>
      </c>
      <c r="C489" s="0" t="s">
        <v>3147</v>
      </c>
      <c r="D489" s="0" t="s">
        <v>3398</v>
      </c>
      <c r="H489" s="0" t="s">
        <v>3272</v>
      </c>
      <c r="I489" s="0" t="s">
        <v>1002</v>
      </c>
      <c r="J489" s="0" t="s">
        <v>427</v>
      </c>
      <c r="K489" s="0" t="n">
        <v>8</v>
      </c>
      <c r="M489" s="44" t="str">
        <f aca="false">INDEX(fastqs!$A:$A, MATCH(A489, fastqs!$B:$B, 0), 1)</f>
        <v>KO_10_23_17_R1.fastq.gz</v>
      </c>
      <c r="N489" s="44" t="str">
        <f aca="false">INDEX(fastqs!$C:$C, MATCH(A489, fastqs!$B:$B, 0), 1)</f>
        <v>GET</v>
      </c>
      <c r="O489" s="44" t="str">
        <f aca="false">INDEX(samples!$B:$B, MATCH(B489, samples!$A:$A, 0), 1)</f>
        <v>par0289</v>
      </c>
      <c r="P489" s="44" t="e">
        <f aca="false">INDEX(participants!$I:$I, MATCH(O489, participants!$A:$A, 0), 1)</f>
        <v>#N/A</v>
      </c>
      <c r="Q489" s="44" t="n">
        <f aca="false">INDEX(samples!$F:$F, MATCH(B489, samples!$A:$A, 0), 1)</f>
        <v>0</v>
      </c>
      <c r="R489" s="49" t="str">
        <f aca="false">INDEX(samples!$C:$C, MATCH(B489, samples!$A:$A, 0), 1)</f>
        <v>2017-10-23</v>
      </c>
      <c r="S489" s="50" t="str">
        <f aca="false">INDEX(samples!$D:$D,MATCH(B489, samples!$A:$A,0),1)</f>
        <v>blood</v>
      </c>
      <c r="T489" s="51" t="s">
        <v>427</v>
      </c>
      <c r="V489" s="8" t="n">
        <v>5</v>
      </c>
      <c r="X489" s="8"/>
      <c r="Y489" s="8" t="s">
        <v>1002</v>
      </c>
      <c r="Z489" s="8" t="n">
        <v>0</v>
      </c>
      <c r="AA489" s="8" t="n">
        <v>0</v>
      </c>
      <c r="AB489" s="8" t="n">
        <v>0</v>
      </c>
    </row>
    <row r="490" customFormat="false" ht="13.8" hidden="false" customHeight="false" outlineLevel="0" collapsed="false">
      <c r="A490" s="48" t="s">
        <v>3648</v>
      </c>
      <c r="B490" s="41" t="s">
        <v>2488</v>
      </c>
      <c r="C490" s="0" t="s">
        <v>3147</v>
      </c>
      <c r="D490" s="0" t="s">
        <v>3398</v>
      </c>
      <c r="H490" s="0" t="s">
        <v>3272</v>
      </c>
      <c r="I490" s="0" t="s">
        <v>1002</v>
      </c>
      <c r="J490" s="0" t="s">
        <v>427</v>
      </c>
      <c r="K490" s="0" t="n">
        <v>8</v>
      </c>
      <c r="M490" s="44" t="str">
        <f aca="false">INDEX(fastqs!$A:$A, MATCH(A490, fastqs!$B:$B, 0), 1)</f>
        <v>KO_1_9_20_R1.fastq.gz</v>
      </c>
      <c r="N490" s="44" t="str">
        <f aca="false">INDEX(fastqs!$C:$C, MATCH(A490, fastqs!$B:$B, 0), 1)</f>
        <v>GET</v>
      </c>
      <c r="O490" s="44" t="str">
        <f aca="false">INDEX(samples!$B:$B, MATCH(B490, samples!$A:$A, 0), 1)</f>
        <v>par0289</v>
      </c>
      <c r="P490" s="44" t="e">
        <f aca="false">INDEX(participants!$I:$I, MATCH(O490, participants!$A:$A, 0), 1)</f>
        <v>#N/A</v>
      </c>
      <c r="Q490" s="44" t="n">
        <f aca="false">INDEX(samples!$F:$F, MATCH(B490, samples!$A:$A, 0), 1)</f>
        <v>0</v>
      </c>
      <c r="R490" s="49" t="str">
        <f aca="false">INDEX(samples!$C:$C, MATCH(B490, samples!$A:$A, 0), 1)</f>
        <v>2020-01-09</v>
      </c>
      <c r="S490" s="50" t="str">
        <f aca="false">INDEX(samples!$D:$D,MATCH(B490, samples!$A:$A,0),1)</f>
        <v>blood</v>
      </c>
      <c r="T490" s="51" t="s">
        <v>427</v>
      </c>
      <c r="V490" s="8" t="n">
        <v>30</v>
      </c>
      <c r="X490" s="8"/>
      <c r="Y490" s="8" t="s">
        <v>1002</v>
      </c>
      <c r="Z490" s="8" t="n">
        <v>0</v>
      </c>
      <c r="AA490" s="8" t="n">
        <v>0</v>
      </c>
      <c r="AB490" s="8" t="n">
        <v>0</v>
      </c>
    </row>
    <row r="491" customFormat="false" ht="13.8" hidden="false" customHeight="false" outlineLevel="0" collapsed="false">
      <c r="A491" s="48" t="s">
        <v>3649</v>
      </c>
      <c r="B491" s="41" t="s">
        <v>2490</v>
      </c>
      <c r="C491" s="0" t="s">
        <v>3147</v>
      </c>
      <c r="D491" s="0" t="s">
        <v>3398</v>
      </c>
      <c r="H491" s="0" t="s">
        <v>3272</v>
      </c>
      <c r="I491" s="0" t="s">
        <v>1002</v>
      </c>
      <c r="J491" s="0" t="s">
        <v>427</v>
      </c>
      <c r="K491" s="0" t="n">
        <v>8</v>
      </c>
      <c r="M491" s="44" t="str">
        <f aca="false">INDEX(fastqs!$A:$A, MATCH(A491, fastqs!$B:$B, 0), 1)</f>
        <v>KO_1_10_20_R1.fastq.gz</v>
      </c>
      <c r="N491" s="44" t="str">
        <f aca="false">INDEX(fastqs!$C:$C, MATCH(A491, fastqs!$B:$B, 0), 1)</f>
        <v>GET</v>
      </c>
      <c r="O491" s="44" t="str">
        <f aca="false">INDEX(samples!$B:$B, MATCH(B491, samples!$A:$A, 0), 1)</f>
        <v>par0289</v>
      </c>
      <c r="P491" s="44" t="e">
        <f aca="false">INDEX(participants!$I:$I, MATCH(O491, participants!$A:$A, 0), 1)</f>
        <v>#N/A</v>
      </c>
      <c r="Q491" s="44" t="n">
        <f aca="false">INDEX(samples!$F:$F, MATCH(B491, samples!$A:$A, 0), 1)</f>
        <v>0</v>
      </c>
      <c r="R491" s="49" t="str">
        <f aca="false">INDEX(samples!$C:$C, MATCH(B491, samples!$A:$A, 0), 1)</f>
        <v>2020-01-10</v>
      </c>
      <c r="S491" s="50" t="str">
        <f aca="false">INDEX(samples!$D:$D,MATCH(B491, samples!$A:$A,0),1)</f>
        <v>blood</v>
      </c>
      <c r="T491" s="51" t="s">
        <v>427</v>
      </c>
      <c r="V491" s="8" t="n">
        <v>93</v>
      </c>
      <c r="X491" s="8"/>
      <c r="Y491" s="8" t="s">
        <v>1002</v>
      </c>
      <c r="Z491" s="8" t="n">
        <v>0</v>
      </c>
      <c r="AA491" s="8" t="n">
        <v>0</v>
      </c>
      <c r="AB491" s="8" t="n">
        <v>0</v>
      </c>
    </row>
    <row r="492" customFormat="false" ht="13.8" hidden="false" customHeight="false" outlineLevel="0" collapsed="false">
      <c r="A492" s="48" t="s">
        <v>3650</v>
      </c>
      <c r="B492" s="41" t="s">
        <v>2492</v>
      </c>
      <c r="C492" s="0" t="s">
        <v>3147</v>
      </c>
      <c r="D492" s="0" t="s">
        <v>3398</v>
      </c>
      <c r="H492" s="0" t="s">
        <v>3272</v>
      </c>
      <c r="I492" s="0" t="s">
        <v>1002</v>
      </c>
      <c r="J492" s="0" t="s">
        <v>427</v>
      </c>
      <c r="K492" s="0" t="n">
        <v>8</v>
      </c>
      <c r="M492" s="44" t="str">
        <f aca="false">INDEX(fastqs!$A:$A, MATCH(A492, fastqs!$B:$B, 0), 1)</f>
        <v>RM_6_23_22_R1.fastq.gz</v>
      </c>
      <c r="N492" s="44" t="str">
        <f aca="false">INDEX(fastqs!$C:$C, MATCH(A492, fastqs!$B:$B, 0), 1)</f>
        <v>GET</v>
      </c>
      <c r="O492" s="44" t="str">
        <f aca="false">INDEX(samples!$B:$B, MATCH(B492, samples!$A:$A, 0), 1)</f>
        <v>par0189</v>
      </c>
      <c r="P492" s="44" t="e">
        <f aca="false">INDEX(participants!$I:$I, MATCH(O492, participants!$A:$A, 0), 1)</f>
        <v>#N/A</v>
      </c>
      <c r="Q492" s="44" t="n">
        <f aca="false">INDEX(samples!$F:$F, MATCH(B492, samples!$A:$A, 0), 1)</f>
        <v>0</v>
      </c>
      <c r="R492" s="49" t="str">
        <f aca="false">INDEX(samples!$C:$C, MATCH(B492, samples!$A:$A, 0), 1)</f>
        <v>2022-06-23</v>
      </c>
      <c r="S492" s="50" t="str">
        <f aca="false">INDEX(samples!$D:$D,MATCH(B492, samples!$A:$A,0),1)</f>
        <v>blood</v>
      </c>
      <c r="T492" s="51" t="s">
        <v>427</v>
      </c>
      <c r="V492" s="8" t="n">
        <v>9</v>
      </c>
      <c r="X492" s="8"/>
      <c r="Y492" s="8" t="s">
        <v>1002</v>
      </c>
      <c r="Z492" s="8" t="n">
        <v>0</v>
      </c>
      <c r="AA492" s="8" t="n">
        <v>0</v>
      </c>
      <c r="AB492" s="8" t="n">
        <v>0</v>
      </c>
    </row>
    <row r="493" customFormat="false" ht="13.8" hidden="false" customHeight="false" outlineLevel="0" collapsed="false">
      <c r="A493" s="52" t="s">
        <v>3651</v>
      </c>
      <c r="B493" s="53" t="s">
        <v>2559</v>
      </c>
      <c r="C493" s="0" t="s">
        <v>3147</v>
      </c>
      <c r="D493" s="0" t="s">
        <v>3551</v>
      </c>
      <c r="H493" s="0" t="s">
        <v>3552</v>
      </c>
      <c r="J493" s="0" t="s">
        <v>36</v>
      </c>
      <c r="M493" s="44" t="str">
        <f aca="false">INDEX(fastqs!$A:$A, MATCH(A493, fastqs!$B:$B, 0), 1)</f>
        <v>5_em_seq_pilot_1_S1_R1_001.fastq.gz</v>
      </c>
      <c r="N493" s="44" t="str">
        <f aca="false">INDEX(fastqs!$C:$C, MATCH(A493, fastqs!$B:$B, 0), 1)</f>
        <v>run0001</v>
      </c>
      <c r="O493" s="44" t="str">
        <f aca="false">INDEX(samples!$B:$B, MATCH(B493, samples!$A:$A, 0), 1)</f>
        <v>par0291</v>
      </c>
      <c r="P493" s="44" t="e">
        <f aca="false">INDEX(participants!$I:$I, MATCH(O493, participants!$A:$A, 0), 1)</f>
        <v>#N/A</v>
      </c>
      <c r="Q493" s="44" t="str">
        <f aca="false">INDEX(samples!$F:$F, MATCH(B493, samples!$A:$A, 0), 1)</f>
        <v>emseq_05</v>
      </c>
      <c r="R493" s="49" t="str">
        <f aca="false">INDEX(samples!$C:$C, MATCH(B493, samples!$A:$A, 0), 1)</f>
        <v>GET</v>
      </c>
      <c r="S493" s="50" t="str">
        <f aca="false">INDEX(samples!$D:$D,MATCH(B493, samples!$A:$A,0),1)</f>
        <v>blood</v>
      </c>
      <c r="T493" s="51" t="s">
        <v>427</v>
      </c>
      <c r="V493" s="8" t="n">
        <v>5</v>
      </c>
      <c r="X493" s="8"/>
      <c r="Y493" s="8" t="n">
        <v>0</v>
      </c>
      <c r="Z493" s="8" t="n">
        <v>0</v>
      </c>
      <c r="AA493" s="8" t="s">
        <v>3150</v>
      </c>
      <c r="AB493" s="8" t="n">
        <v>0</v>
      </c>
    </row>
    <row r="494" customFormat="false" ht="13.8" hidden="false" customHeight="false" outlineLevel="0" collapsed="false">
      <c r="A494" s="52" t="s">
        <v>3652</v>
      </c>
      <c r="B494" s="53" t="s">
        <v>2563</v>
      </c>
      <c r="C494" s="0" t="s">
        <v>3147</v>
      </c>
      <c r="D494" s="0" t="s">
        <v>3551</v>
      </c>
      <c r="H494" s="0" t="s">
        <v>3552</v>
      </c>
      <c r="J494" s="0" t="s">
        <v>36</v>
      </c>
      <c r="M494" s="44" t="str">
        <f aca="false">INDEX(fastqs!$A:$A, MATCH(A494, fastqs!$B:$B, 0), 1)</f>
        <v>6_em_seq_pilot_2_S3_R1_001.fastq.gz</v>
      </c>
      <c r="N494" s="44" t="str">
        <f aca="false">INDEX(fastqs!$C:$C, MATCH(A494, fastqs!$B:$B, 0), 1)</f>
        <v>run0001</v>
      </c>
      <c r="O494" s="44" t="str">
        <f aca="false">INDEX(samples!$B:$B, MATCH(B494, samples!$A:$A, 0), 1)</f>
        <v>par0292</v>
      </c>
      <c r="P494" s="44" t="e">
        <f aca="false">INDEX(participants!$I:$I, MATCH(O494, participants!$A:$A, 0), 1)</f>
        <v>#N/A</v>
      </c>
      <c r="Q494" s="44" t="str">
        <f aca="false">INDEX(samples!$F:$F, MATCH(B494, samples!$A:$A, 0), 1)</f>
        <v>emseq_06</v>
      </c>
      <c r="R494" s="49" t="str">
        <f aca="false">INDEX(samples!$C:$C, MATCH(B494, samples!$A:$A, 0), 1)</f>
        <v>GET</v>
      </c>
      <c r="S494" s="50" t="str">
        <f aca="false">INDEX(samples!$D:$D,MATCH(B494, samples!$A:$A,0),1)</f>
        <v>blood</v>
      </c>
      <c r="T494" s="51" t="s">
        <v>427</v>
      </c>
      <c r="V494" s="8" t="n">
        <v>5</v>
      </c>
      <c r="X494" s="8"/>
      <c r="Y494" s="8" t="n">
        <v>0</v>
      </c>
      <c r="Z494" s="8" t="n">
        <v>0</v>
      </c>
      <c r="AA494" s="8" t="s">
        <v>3150</v>
      </c>
      <c r="AB494" s="8" t="n">
        <v>0</v>
      </c>
    </row>
    <row r="495" customFormat="false" ht="13.8" hidden="false" customHeight="false" outlineLevel="0" collapsed="false">
      <c r="A495" s="52" t="s">
        <v>3653</v>
      </c>
      <c r="B495" s="53" t="s">
        <v>2566</v>
      </c>
      <c r="C495" s="0" t="s">
        <v>3147</v>
      </c>
      <c r="D495" s="0" t="s">
        <v>3551</v>
      </c>
      <c r="H495" s="0" t="s">
        <v>3552</v>
      </c>
      <c r="J495" s="0" t="s">
        <v>36</v>
      </c>
      <c r="M495" s="44" t="str">
        <f aca="false">INDEX(fastqs!$A:$A, MATCH(A495, fastqs!$B:$B, 0), 1)</f>
        <v>7_em_seq_pilot_3_S5_R1_001.fastq.gz</v>
      </c>
      <c r="N495" s="44" t="str">
        <f aca="false">INDEX(fastqs!$C:$C, MATCH(A495, fastqs!$B:$B, 0), 1)</f>
        <v>run0001</v>
      </c>
      <c r="O495" s="44" t="str">
        <f aca="false">INDEX(samples!$B:$B, MATCH(B495, samples!$A:$A, 0), 1)</f>
        <v>par0292</v>
      </c>
      <c r="P495" s="44" t="e">
        <f aca="false">INDEX(participants!$I:$I, MATCH(O495, participants!$A:$A, 0), 1)</f>
        <v>#N/A</v>
      </c>
      <c r="Q495" s="44" t="str">
        <f aca="false">INDEX(samples!$F:$F, MATCH(B495, samples!$A:$A, 0), 1)</f>
        <v>emseq_07</v>
      </c>
      <c r="R495" s="49" t="str">
        <f aca="false">INDEX(samples!$C:$C, MATCH(B495, samples!$A:$A, 0), 1)</f>
        <v>GET</v>
      </c>
      <c r="S495" s="50" t="str">
        <f aca="false">INDEX(samples!$D:$D,MATCH(B495, samples!$A:$A,0),1)</f>
        <v>blood</v>
      </c>
      <c r="T495" s="51" t="s">
        <v>427</v>
      </c>
      <c r="V495" s="8" t="n">
        <v>5</v>
      </c>
      <c r="X495" s="8"/>
      <c r="Y495" s="8" t="n">
        <v>0</v>
      </c>
      <c r="Z495" s="8" t="n">
        <v>0</v>
      </c>
      <c r="AA495" s="8" t="s">
        <v>3150</v>
      </c>
      <c r="AB495" s="8" t="n">
        <v>0</v>
      </c>
    </row>
    <row r="496" customFormat="false" ht="13.8" hidden="false" customHeight="false" outlineLevel="0" collapsed="false">
      <c r="A496" s="52" t="s">
        <v>3654</v>
      </c>
      <c r="B496" s="53" t="s">
        <v>2569</v>
      </c>
      <c r="C496" s="0" t="s">
        <v>3147</v>
      </c>
      <c r="D496" s="0" t="s">
        <v>3551</v>
      </c>
      <c r="H496" s="0" t="s">
        <v>3552</v>
      </c>
      <c r="J496" s="0" t="s">
        <v>36</v>
      </c>
      <c r="M496" s="44" t="str">
        <f aca="false">INDEX(fastqs!$A:$A, MATCH(A496, fastqs!$B:$B, 0), 1)</f>
        <v>8_em_seq_pilot_4_S7_R1_001.fastq.gz</v>
      </c>
      <c r="N496" s="44" t="str">
        <f aca="false">INDEX(fastqs!$C:$C, MATCH(A496, fastqs!$B:$B, 0), 1)</f>
        <v>run0001</v>
      </c>
      <c r="O496" s="44" t="str">
        <f aca="false">INDEX(samples!$B:$B, MATCH(B496, samples!$A:$A, 0), 1)</f>
        <v>par0293</v>
      </c>
      <c r="P496" s="44" t="e">
        <f aca="false">INDEX(participants!$I:$I, MATCH(O496, participants!$A:$A, 0), 1)</f>
        <v>#N/A</v>
      </c>
      <c r="Q496" s="44" t="str">
        <f aca="false">INDEX(samples!$F:$F, MATCH(B496, samples!$A:$A, 0), 1)</f>
        <v>emseq_08</v>
      </c>
      <c r="R496" s="49" t="str">
        <f aca="false">INDEX(samples!$C:$C, MATCH(B496, samples!$A:$A, 0), 1)</f>
        <v>GET</v>
      </c>
      <c r="S496" s="50" t="str">
        <f aca="false">INDEX(samples!$D:$D,MATCH(B496, samples!$A:$A,0),1)</f>
        <v>blood</v>
      </c>
      <c r="T496" s="51" t="s">
        <v>427</v>
      </c>
      <c r="V496" s="8" t="n">
        <v>5</v>
      </c>
      <c r="X496" s="8"/>
      <c r="Y496" s="8" t="n">
        <v>0</v>
      </c>
      <c r="Z496" s="8" t="n">
        <v>0</v>
      </c>
      <c r="AA496" s="8" t="s">
        <v>3150</v>
      </c>
      <c r="AB496" s="8" t="n">
        <v>0</v>
      </c>
    </row>
    <row r="497" customFormat="false" ht="13.8" hidden="false" customHeight="false" outlineLevel="0" collapsed="false">
      <c r="A497" s="52" t="s">
        <v>3655</v>
      </c>
      <c r="B497" s="53" t="s">
        <v>2566</v>
      </c>
      <c r="C497" s="0" t="s">
        <v>3147</v>
      </c>
      <c r="D497" s="0" t="s">
        <v>3551</v>
      </c>
      <c r="H497" s="0" t="s">
        <v>3552</v>
      </c>
      <c r="J497" s="0" t="s">
        <v>36</v>
      </c>
      <c r="M497" s="44" t="str">
        <f aca="false">INDEX(fastqs!$A:$A, MATCH(A497, fastqs!$B:$B, 0), 1)</f>
        <v>9_em_seq_pilot_5_S9_R1_001.fastq.gz</v>
      </c>
      <c r="N497" s="44" t="str">
        <f aca="false">INDEX(fastqs!$C:$C, MATCH(A497, fastqs!$B:$B, 0), 1)</f>
        <v>run0001</v>
      </c>
      <c r="O497" s="44" t="str">
        <f aca="false">INDEX(samples!$B:$B, MATCH(B497, samples!$A:$A, 0), 1)</f>
        <v>par0292</v>
      </c>
      <c r="P497" s="44" t="e">
        <f aca="false">INDEX(participants!$I:$I, MATCH(O497, participants!$A:$A, 0), 1)</f>
        <v>#N/A</v>
      </c>
      <c r="Q497" s="44" t="str">
        <f aca="false">INDEX(samples!$F:$F, MATCH(B497, samples!$A:$A, 0), 1)</f>
        <v>emseq_07</v>
      </c>
      <c r="R497" s="49" t="str">
        <f aca="false">INDEX(samples!$C:$C, MATCH(B497, samples!$A:$A, 0), 1)</f>
        <v>GET</v>
      </c>
      <c r="S497" s="50" t="str">
        <f aca="false">INDEX(samples!$D:$D,MATCH(B497, samples!$A:$A,0),1)</f>
        <v>blood</v>
      </c>
      <c r="T497" s="51" t="s">
        <v>427</v>
      </c>
      <c r="V497" s="8" t="n">
        <v>2</v>
      </c>
      <c r="X497" s="8"/>
      <c r="Y497" s="8" t="n">
        <v>0</v>
      </c>
      <c r="Z497" s="8" t="n">
        <v>0</v>
      </c>
      <c r="AA497" s="8" t="s">
        <v>3150</v>
      </c>
      <c r="AB497" s="8" t="n">
        <v>0</v>
      </c>
    </row>
    <row r="498" customFormat="false" ht="13.8" hidden="false" customHeight="false" outlineLevel="0" collapsed="false">
      <c r="A498" s="52" t="s">
        <v>3656</v>
      </c>
      <c r="B498" s="53" t="s">
        <v>2566</v>
      </c>
      <c r="C498" s="0" t="s">
        <v>3147</v>
      </c>
      <c r="D498" s="0" t="s">
        <v>3551</v>
      </c>
      <c r="H498" s="0" t="s">
        <v>3552</v>
      </c>
      <c r="J498" s="0" t="s">
        <v>36</v>
      </c>
      <c r="M498" s="44" t="str">
        <f aca="false">INDEX(fastqs!$A:$A, MATCH(A498, fastqs!$B:$B, 0), 1)</f>
        <v>10_em_seq_pilot_6_S10_R1_001.fastq.gz</v>
      </c>
      <c r="N498" s="44" t="str">
        <f aca="false">INDEX(fastqs!$C:$C, MATCH(A498, fastqs!$B:$B, 0), 1)</f>
        <v>run0001</v>
      </c>
      <c r="O498" s="44" t="str">
        <f aca="false">INDEX(samples!$B:$B, MATCH(B498, samples!$A:$A, 0), 1)</f>
        <v>par0292</v>
      </c>
      <c r="P498" s="44" t="e">
        <f aca="false">INDEX(participants!$I:$I, MATCH(O498, participants!$A:$A, 0), 1)</f>
        <v>#N/A</v>
      </c>
      <c r="Q498" s="44" t="str">
        <f aca="false">INDEX(samples!$F:$F, MATCH(B498, samples!$A:$A, 0), 1)</f>
        <v>emseq_07</v>
      </c>
      <c r="R498" s="49" t="str">
        <f aca="false">INDEX(samples!$C:$C, MATCH(B498, samples!$A:$A, 0), 1)</f>
        <v>GET</v>
      </c>
      <c r="S498" s="50" t="str">
        <f aca="false">INDEX(samples!$D:$D,MATCH(B498, samples!$A:$A,0),1)</f>
        <v>blood</v>
      </c>
      <c r="T498" s="51" t="s">
        <v>427</v>
      </c>
      <c r="V498" s="8" t="n">
        <v>1</v>
      </c>
      <c r="X498" s="8"/>
      <c r="Y498" s="8" t="n">
        <v>0</v>
      </c>
      <c r="Z498" s="8" t="n">
        <v>0</v>
      </c>
      <c r="AA498" s="8" t="s">
        <v>3150</v>
      </c>
      <c r="AB498" s="8" t="n">
        <v>0</v>
      </c>
    </row>
    <row r="499" customFormat="false" ht="13.8" hidden="false" customHeight="false" outlineLevel="0" collapsed="false">
      <c r="A499" s="52" t="s">
        <v>3657</v>
      </c>
      <c r="B499" s="53" t="s">
        <v>2566</v>
      </c>
      <c r="C499" s="0" t="s">
        <v>3147</v>
      </c>
      <c r="D499" s="0" t="s">
        <v>3551</v>
      </c>
      <c r="H499" s="0" t="s">
        <v>3552</v>
      </c>
      <c r="J499" s="0" t="s">
        <v>36</v>
      </c>
      <c r="M499" s="44" t="str">
        <f aca="false">INDEX(fastqs!$A:$A, MATCH(A499, fastqs!$B:$B, 0), 1)</f>
        <v>11_em_seq_pilot_7_S11_R1_001.fastq.gz</v>
      </c>
      <c r="N499" s="44" t="str">
        <f aca="false">INDEX(fastqs!$C:$C, MATCH(A499, fastqs!$B:$B, 0), 1)</f>
        <v>run0001</v>
      </c>
      <c r="O499" s="44" t="str">
        <f aca="false">INDEX(samples!$B:$B, MATCH(B499, samples!$A:$A, 0), 1)</f>
        <v>par0292</v>
      </c>
      <c r="P499" s="44" t="e">
        <f aca="false">INDEX(participants!$I:$I, MATCH(O499, participants!$A:$A, 0), 1)</f>
        <v>#N/A</v>
      </c>
      <c r="Q499" s="44" t="str">
        <f aca="false">INDEX(samples!$F:$F, MATCH(B499, samples!$A:$A, 0), 1)</f>
        <v>emseq_07</v>
      </c>
      <c r="R499" s="49" t="str">
        <f aca="false">INDEX(samples!$C:$C, MATCH(B499, samples!$A:$A, 0), 1)</f>
        <v>GET</v>
      </c>
      <c r="S499" s="50" t="str">
        <f aca="false">INDEX(samples!$D:$D,MATCH(B499, samples!$A:$A,0),1)</f>
        <v>blood</v>
      </c>
      <c r="T499" s="51" t="s">
        <v>427</v>
      </c>
      <c r="V499" s="8" t="n">
        <v>0.5</v>
      </c>
      <c r="X499" s="8"/>
      <c r="Y499" s="8" t="n">
        <v>0</v>
      </c>
      <c r="Z499" s="8" t="n">
        <v>0</v>
      </c>
      <c r="AA499" s="8" t="s">
        <v>3150</v>
      </c>
      <c r="AB499" s="8" t="n">
        <v>0</v>
      </c>
    </row>
    <row r="500" customFormat="false" ht="13.8" hidden="false" customHeight="false" outlineLevel="0" collapsed="false">
      <c r="A500" s="52" t="s">
        <v>3658</v>
      </c>
      <c r="B500" s="53" t="s">
        <v>2566</v>
      </c>
      <c r="C500" s="0" t="s">
        <v>3147</v>
      </c>
      <c r="D500" s="0" t="s">
        <v>3551</v>
      </c>
      <c r="H500" s="0" t="s">
        <v>3552</v>
      </c>
      <c r="J500" s="0" t="s">
        <v>36</v>
      </c>
      <c r="M500" s="44" t="str">
        <f aca="false">INDEX(fastqs!$A:$A, MATCH(A500, fastqs!$B:$B, 0), 1)</f>
        <v>12_em_seq_pilot_8_S12_R1_001.fastq.gz</v>
      </c>
      <c r="N500" s="44" t="str">
        <f aca="false">INDEX(fastqs!$C:$C, MATCH(A500, fastqs!$B:$B, 0), 1)</f>
        <v>run0001</v>
      </c>
      <c r="O500" s="44" t="str">
        <f aca="false">INDEX(samples!$B:$B, MATCH(B500, samples!$A:$A, 0), 1)</f>
        <v>par0292</v>
      </c>
      <c r="P500" s="44" t="e">
        <f aca="false">INDEX(participants!$I:$I, MATCH(O500, participants!$A:$A, 0), 1)</f>
        <v>#N/A</v>
      </c>
      <c r="Q500" s="44" t="str">
        <f aca="false">INDEX(samples!$F:$F, MATCH(B500, samples!$A:$A, 0), 1)</f>
        <v>emseq_07</v>
      </c>
      <c r="R500" s="49" t="str">
        <f aca="false">INDEX(samples!$C:$C, MATCH(B500, samples!$A:$A, 0), 1)</f>
        <v>GET</v>
      </c>
      <c r="S500" s="50" t="str">
        <f aca="false">INDEX(samples!$D:$D,MATCH(B500, samples!$A:$A,0),1)</f>
        <v>blood</v>
      </c>
      <c r="T500" s="51" t="s">
        <v>427</v>
      </c>
      <c r="V500" s="8" t="n">
        <v>0.1</v>
      </c>
      <c r="X500" s="8"/>
      <c r="Y500" s="8" t="n">
        <v>0</v>
      </c>
      <c r="Z500" s="8" t="n">
        <v>0</v>
      </c>
      <c r="AA500" s="8" t="s">
        <v>3150</v>
      </c>
      <c r="AB500" s="8" t="n">
        <v>0</v>
      </c>
    </row>
    <row r="501" customFormat="false" ht="13.8" hidden="false" customHeight="false" outlineLevel="0" collapsed="false">
      <c r="A501" s="52" t="s">
        <v>3659</v>
      </c>
      <c r="B501" s="53" t="s">
        <v>2559</v>
      </c>
      <c r="C501" s="0" t="s">
        <v>3147</v>
      </c>
      <c r="D501" s="0" t="s">
        <v>427</v>
      </c>
      <c r="H501" s="0" t="s">
        <v>3272</v>
      </c>
      <c r="J501" s="0" t="s">
        <v>427</v>
      </c>
      <c r="M501" s="44" t="str">
        <f aca="false">INDEX(fastqs!$A:$A, MATCH(A501, fastqs!$B:$B, 0), 1)</f>
        <v>1_KH1_S2_R1_001.fastq.gz</v>
      </c>
      <c r="N501" s="44" t="str">
        <f aca="false">INDEX(fastqs!$C:$C, MATCH(A501, fastqs!$B:$B, 0), 1)</f>
        <v>run0001</v>
      </c>
      <c r="O501" s="44" t="str">
        <f aca="false">INDEX(samples!$B:$B, MATCH(B501, samples!$A:$A, 0), 1)</f>
        <v>par0291</v>
      </c>
      <c r="P501" s="44" t="e">
        <f aca="false">INDEX(participants!$I:$I, MATCH(O501, participants!$A:$A, 0), 1)</f>
        <v>#N/A</v>
      </c>
      <c r="Q501" s="44" t="str">
        <f aca="false">INDEX(samples!$F:$F, MATCH(B501, samples!$A:$A, 0), 1)</f>
        <v>emseq_05</v>
      </c>
      <c r="R501" s="49" t="str">
        <f aca="false">INDEX(samples!$C:$C, MATCH(B501, samples!$A:$A, 0), 1)</f>
        <v>GET</v>
      </c>
      <c r="S501" s="50" t="str">
        <f aca="false">INDEX(samples!$D:$D,MATCH(B501, samples!$A:$A,0),1)</f>
        <v>blood</v>
      </c>
      <c r="T501" s="51" t="s">
        <v>427</v>
      </c>
      <c r="V501" s="8" t="n">
        <v>5</v>
      </c>
      <c r="X501" s="8"/>
      <c r="Y501" s="8" t="n">
        <v>0</v>
      </c>
      <c r="Z501" s="8" t="n">
        <v>0</v>
      </c>
      <c r="AA501" s="8" t="s">
        <v>3150</v>
      </c>
      <c r="AB501" s="8" t="n">
        <v>0</v>
      </c>
    </row>
    <row r="502" customFormat="false" ht="13.8" hidden="false" customHeight="false" outlineLevel="0" collapsed="false">
      <c r="A502" s="52" t="s">
        <v>3660</v>
      </c>
      <c r="B502" s="53" t="s">
        <v>2563</v>
      </c>
      <c r="C502" s="0" t="s">
        <v>3147</v>
      </c>
      <c r="D502" s="0" t="s">
        <v>427</v>
      </c>
      <c r="H502" s="0" t="s">
        <v>3272</v>
      </c>
      <c r="J502" s="0" t="s">
        <v>427</v>
      </c>
      <c r="M502" s="44" t="str">
        <f aca="false">INDEX(fastqs!$A:$A, MATCH(A502, fastqs!$B:$B, 0), 1)</f>
        <v>2_KH2_S4_R1_001.fastq.gz</v>
      </c>
      <c r="N502" s="44" t="str">
        <f aca="false">INDEX(fastqs!$C:$C, MATCH(A502, fastqs!$B:$B, 0), 1)</f>
        <v>run0001</v>
      </c>
      <c r="O502" s="44" t="str">
        <f aca="false">INDEX(samples!$B:$B, MATCH(B502, samples!$A:$A, 0), 1)</f>
        <v>par0292</v>
      </c>
      <c r="P502" s="44" t="e">
        <f aca="false">INDEX(participants!$I:$I, MATCH(O502, participants!$A:$A, 0), 1)</f>
        <v>#N/A</v>
      </c>
      <c r="Q502" s="44" t="str">
        <f aca="false">INDEX(samples!$F:$F, MATCH(B502, samples!$A:$A, 0), 1)</f>
        <v>emseq_06</v>
      </c>
      <c r="R502" s="49" t="str">
        <f aca="false">INDEX(samples!$C:$C, MATCH(B502, samples!$A:$A, 0), 1)</f>
        <v>GET</v>
      </c>
      <c r="S502" s="50" t="str">
        <f aca="false">INDEX(samples!$D:$D,MATCH(B502, samples!$A:$A,0),1)</f>
        <v>blood</v>
      </c>
      <c r="T502" s="51" t="s">
        <v>427</v>
      </c>
      <c r="V502" s="8" t="n">
        <v>5</v>
      </c>
      <c r="X502" s="8"/>
      <c r="Y502" s="8" t="n">
        <v>0</v>
      </c>
      <c r="Z502" s="8" t="n">
        <v>0</v>
      </c>
      <c r="AA502" s="8" t="s">
        <v>3150</v>
      </c>
      <c r="AB502" s="8" t="n">
        <v>0</v>
      </c>
    </row>
    <row r="503" customFormat="false" ht="13.8" hidden="false" customHeight="false" outlineLevel="0" collapsed="false">
      <c r="A503" s="52" t="s">
        <v>3661</v>
      </c>
      <c r="B503" s="53" t="s">
        <v>2566</v>
      </c>
      <c r="C503" s="0" t="s">
        <v>3147</v>
      </c>
      <c r="D503" s="0" t="s">
        <v>427</v>
      </c>
      <c r="H503" s="0" t="s">
        <v>3272</v>
      </c>
      <c r="J503" s="0" t="s">
        <v>427</v>
      </c>
      <c r="M503" s="44" t="str">
        <f aca="false">INDEX(fastqs!$A:$A, MATCH(A503, fastqs!$B:$B, 0), 1)</f>
        <v>3_KH3_S6_R1_001.fastq.gz</v>
      </c>
      <c r="N503" s="44" t="str">
        <f aca="false">INDEX(fastqs!$C:$C, MATCH(A503, fastqs!$B:$B, 0), 1)</f>
        <v>run0001</v>
      </c>
      <c r="O503" s="44" t="str">
        <f aca="false">INDEX(samples!$B:$B, MATCH(B503, samples!$A:$A, 0), 1)</f>
        <v>par0292</v>
      </c>
      <c r="P503" s="44" t="e">
        <f aca="false">INDEX(participants!$I:$I, MATCH(O503, participants!$A:$A, 0), 1)</f>
        <v>#N/A</v>
      </c>
      <c r="Q503" s="44" t="str">
        <f aca="false">INDEX(samples!$F:$F, MATCH(B503, samples!$A:$A, 0), 1)</f>
        <v>emseq_07</v>
      </c>
      <c r="R503" s="49" t="str">
        <f aca="false">INDEX(samples!$C:$C, MATCH(B503, samples!$A:$A, 0), 1)</f>
        <v>GET</v>
      </c>
      <c r="S503" s="50" t="str">
        <f aca="false">INDEX(samples!$D:$D,MATCH(B503, samples!$A:$A,0),1)</f>
        <v>blood</v>
      </c>
      <c r="T503" s="51" t="s">
        <v>427</v>
      </c>
      <c r="V503" s="8" t="n">
        <v>5</v>
      </c>
      <c r="X503" s="8"/>
      <c r="Y503" s="8" t="n">
        <v>0</v>
      </c>
      <c r="Z503" s="8" t="n">
        <v>0</v>
      </c>
      <c r="AA503" s="8" t="s">
        <v>3150</v>
      </c>
      <c r="AB503" s="8" t="n">
        <v>0</v>
      </c>
    </row>
    <row r="504" customFormat="false" ht="13.8" hidden="false" customHeight="false" outlineLevel="0" collapsed="false">
      <c r="A504" s="52" t="s">
        <v>3662</v>
      </c>
      <c r="B504" s="53" t="s">
        <v>2569</v>
      </c>
      <c r="C504" s="0" t="s">
        <v>3147</v>
      </c>
      <c r="D504" s="0" t="s">
        <v>427</v>
      </c>
      <c r="H504" s="0" t="s">
        <v>3272</v>
      </c>
      <c r="J504" s="0" t="s">
        <v>427</v>
      </c>
      <c r="M504" s="44" t="str">
        <f aca="false">INDEX(fastqs!$A:$A, MATCH(A504, fastqs!$B:$B, 0), 1)</f>
        <v>4_KH4_S8_R1_001.fastq.gz</v>
      </c>
      <c r="N504" s="44" t="str">
        <f aca="false">INDEX(fastqs!$C:$C, MATCH(A504, fastqs!$B:$B, 0), 1)</f>
        <v>run0001</v>
      </c>
      <c r="O504" s="44" t="str">
        <f aca="false">INDEX(samples!$B:$B, MATCH(B504, samples!$A:$A, 0), 1)</f>
        <v>par0293</v>
      </c>
      <c r="P504" s="44" t="e">
        <f aca="false">INDEX(participants!$I:$I, MATCH(O504, participants!$A:$A, 0), 1)</f>
        <v>#N/A</v>
      </c>
      <c r="Q504" s="44" t="str">
        <f aca="false">INDEX(samples!$F:$F, MATCH(B504, samples!$A:$A, 0), 1)</f>
        <v>emseq_08</v>
      </c>
      <c r="R504" s="49" t="str">
        <f aca="false">INDEX(samples!$C:$C, MATCH(B504, samples!$A:$A, 0), 1)</f>
        <v>GET</v>
      </c>
      <c r="S504" s="50" t="str">
        <f aca="false">INDEX(samples!$D:$D,MATCH(B504, samples!$A:$A,0),1)</f>
        <v>blood</v>
      </c>
      <c r="T504" s="51" t="s">
        <v>427</v>
      </c>
      <c r="V504" s="8" t="n">
        <v>5</v>
      </c>
      <c r="X504" s="8"/>
      <c r="Y504" s="8" t="n">
        <v>0</v>
      </c>
      <c r="Z504" s="8" t="n">
        <v>0</v>
      </c>
      <c r="AA504" s="8" t="s">
        <v>3150</v>
      </c>
      <c r="AB504" s="8" t="n">
        <v>0</v>
      </c>
    </row>
    <row r="505" customFormat="false" ht="13.8" hidden="false" customHeight="false" outlineLevel="0" collapsed="false">
      <c r="A505" s="48" t="s">
        <v>3663</v>
      </c>
      <c r="B505" s="41" t="s">
        <v>2572</v>
      </c>
      <c r="C505" s="0" t="s">
        <v>3147</v>
      </c>
      <c r="D505" s="0" t="s">
        <v>3551</v>
      </c>
      <c r="F505" s="0" t="n">
        <v>48</v>
      </c>
      <c r="G505" s="0" t="n">
        <v>21</v>
      </c>
      <c r="H505" s="0" t="s">
        <v>3552</v>
      </c>
      <c r="I505" s="0" t="s">
        <v>1002</v>
      </c>
      <c r="J505" s="0" t="s">
        <v>427</v>
      </c>
      <c r="K505" s="0" t="s">
        <v>427</v>
      </c>
      <c r="M505" s="44" t="str">
        <f aca="false">INDEX(fastqs!$A:$A, MATCH(A505, fastqs!$B:$B, 0), 1)</f>
        <v>1_nf1_lib1_S1_R1_001.fastq.gz</v>
      </c>
      <c r="N505" s="44" t="str">
        <f aca="false">INDEX(fastqs!$C:$C, MATCH(A505, fastqs!$B:$B, 0), 1)</f>
        <v>run0007</v>
      </c>
      <c r="O505" s="44" t="str">
        <f aca="false">INDEX(samples!$B:$B, MATCH(B505, samples!$A:$A, 0), 1)</f>
        <v>par0202</v>
      </c>
      <c r="P505" s="44" t="e">
        <f aca="false">INDEX(participants!$I:$I, MATCH(O505, participants!$A:$A, 0), 1)</f>
        <v>#N/A</v>
      </c>
      <c r="Q505" s="44" t="str">
        <f aca="false">INDEX(samples!$F:$F, MATCH(B505, samples!$A:$A, 0), 1)</f>
        <v>nf1_lib1</v>
      </c>
      <c r="R505" s="49" t="str">
        <f aca="false">INDEX(samples!$C:$C, MATCH(B505, samples!$A:$A, 0), 1)</f>
        <v>2024-10-15</v>
      </c>
      <c r="S505" s="50" t="str">
        <f aca="false">INDEX(samples!$D:$D,MATCH(B505, samples!$A:$A,0),1)</f>
        <v>blood</v>
      </c>
      <c r="T505" s="51" t="s">
        <v>427</v>
      </c>
      <c r="W505" s="0" t="n">
        <v>10.3</v>
      </c>
      <c r="Y505" s="8" t="s">
        <v>1002</v>
      </c>
      <c r="Z505" s="8" t="n">
        <v>0</v>
      </c>
      <c r="AA505" s="8" t="s">
        <v>3150</v>
      </c>
      <c r="AB505" s="8" t="n">
        <v>0</v>
      </c>
    </row>
    <row r="506" customFormat="false" ht="13.8" hidden="false" customHeight="false" outlineLevel="0" collapsed="false">
      <c r="A506" s="48" t="s">
        <v>3664</v>
      </c>
      <c r="B506" s="41" t="s">
        <v>2576</v>
      </c>
      <c r="C506" s="0" t="s">
        <v>3147</v>
      </c>
      <c r="D506" s="0" t="s">
        <v>3551</v>
      </c>
      <c r="F506" s="0" t="n">
        <v>48</v>
      </c>
      <c r="G506" s="0" t="n">
        <v>45.5</v>
      </c>
      <c r="H506" s="0" t="s">
        <v>3552</v>
      </c>
      <c r="I506" s="0" t="s">
        <v>1002</v>
      </c>
      <c r="J506" s="0" t="s">
        <v>427</v>
      </c>
      <c r="K506" s="0" t="s">
        <v>427</v>
      </c>
      <c r="M506" s="44" t="str">
        <f aca="false">INDEX(fastqs!$A:$A, MATCH(A506, fastqs!$B:$B, 0), 1)</f>
        <v>2_nf1_lib2_S1_R1_001.fastq.gz</v>
      </c>
      <c r="N506" s="44" t="str">
        <f aca="false">INDEX(fastqs!$C:$C, MATCH(A506, fastqs!$B:$B, 0), 1)</f>
        <v>run0007</v>
      </c>
      <c r="O506" s="44" t="str">
        <f aca="false">INDEX(samples!$B:$B, MATCH(B506, samples!$A:$A, 0), 1)</f>
        <v>par0249</v>
      </c>
      <c r="P506" s="44" t="e">
        <f aca="false">INDEX(participants!$I:$I, MATCH(O506, participants!$A:$A, 0), 1)</f>
        <v>#N/A</v>
      </c>
      <c r="Q506" s="44" t="str">
        <f aca="false">INDEX(samples!$F:$F, MATCH(B506, samples!$A:$A, 0), 1)</f>
        <v>nf1_lib2</v>
      </c>
      <c r="R506" s="49" t="str">
        <f aca="false">INDEX(samples!$C:$C, MATCH(B506, samples!$A:$A, 0), 1)</f>
        <v>2023-08-29</v>
      </c>
      <c r="S506" s="50" t="str">
        <f aca="false">INDEX(samples!$D:$D,MATCH(B506, samples!$A:$A,0),1)</f>
        <v>blood</v>
      </c>
      <c r="T506" s="51" t="s">
        <v>427</v>
      </c>
      <c r="W506" s="0" t="n">
        <v>11.9</v>
      </c>
      <c r="Y506" s="8" t="s">
        <v>1002</v>
      </c>
      <c r="Z506" s="8" t="n">
        <v>0</v>
      </c>
      <c r="AA506" s="8" t="s">
        <v>3150</v>
      </c>
      <c r="AB506" s="8" t="n">
        <v>0</v>
      </c>
    </row>
    <row r="507" customFormat="false" ht="13.8" hidden="false" customHeight="false" outlineLevel="0" collapsed="false">
      <c r="A507" s="48" t="s">
        <v>3665</v>
      </c>
      <c r="B507" s="41" t="s">
        <v>2580</v>
      </c>
      <c r="C507" s="0" t="s">
        <v>3147</v>
      </c>
      <c r="D507" s="0" t="s">
        <v>3551</v>
      </c>
      <c r="F507" s="0" t="n">
        <v>48</v>
      </c>
      <c r="G507" s="0" t="n">
        <v>87.5</v>
      </c>
      <c r="H507" s="0" t="s">
        <v>3552</v>
      </c>
      <c r="I507" s="0" t="s">
        <v>1002</v>
      </c>
      <c r="J507" s="0" t="s">
        <v>427</v>
      </c>
      <c r="K507" s="0" t="s">
        <v>427</v>
      </c>
      <c r="M507" s="44" t="str">
        <f aca="false">INDEX(fastqs!$A:$A, MATCH(A507, fastqs!$B:$B, 0), 1)</f>
        <v>3_nf1_lib3_S1_R1_001.fastq.gz</v>
      </c>
      <c r="N507" s="44" t="str">
        <f aca="false">INDEX(fastqs!$C:$C, MATCH(A507, fastqs!$B:$B, 0), 1)</f>
        <v>run0007</v>
      </c>
      <c r="O507" s="44" t="str">
        <f aca="false">INDEX(samples!$B:$B, MATCH(B507, samples!$A:$A, 0), 1)</f>
        <v>par0237</v>
      </c>
      <c r="P507" s="44" t="e">
        <f aca="false">INDEX(participants!$I:$I, MATCH(O507, participants!$A:$A, 0), 1)</f>
        <v>#N/A</v>
      </c>
      <c r="Q507" s="44" t="str">
        <f aca="false">INDEX(samples!$F:$F, MATCH(B507, samples!$A:$A, 0), 1)</f>
        <v>nf1_lib3</v>
      </c>
      <c r="R507" s="49" t="str">
        <f aca="false">INDEX(samples!$C:$C, MATCH(B507, samples!$A:$A, 0), 1)</f>
        <v>2024-09-03</v>
      </c>
      <c r="S507" s="50" t="str">
        <f aca="false">INDEX(samples!$D:$D,MATCH(B507, samples!$A:$A,0),1)</f>
        <v>blood</v>
      </c>
      <c r="T507" s="51" t="s">
        <v>427</v>
      </c>
      <c r="W507" s="0" t="n">
        <v>10.9</v>
      </c>
      <c r="Y507" s="8" t="s">
        <v>1002</v>
      </c>
      <c r="Z507" s="8" t="n">
        <v>0</v>
      </c>
      <c r="AA507" s="8" t="s">
        <v>3150</v>
      </c>
      <c r="AB507" s="8" t="n">
        <v>0</v>
      </c>
    </row>
    <row r="508" customFormat="false" ht="13.8" hidden="false" customHeight="false" outlineLevel="0" collapsed="false">
      <c r="A508" s="48" t="s">
        <v>3666</v>
      </c>
      <c r="B508" s="41" t="s">
        <v>2584</v>
      </c>
      <c r="C508" s="0" t="s">
        <v>3147</v>
      </c>
      <c r="D508" s="0" t="s">
        <v>3551</v>
      </c>
      <c r="F508" s="0" t="n">
        <v>48</v>
      </c>
      <c r="G508" s="0" t="n">
        <v>58.3</v>
      </c>
      <c r="H508" s="0" t="s">
        <v>3552</v>
      </c>
      <c r="I508" s="0" t="s">
        <v>1002</v>
      </c>
      <c r="J508" s="0" t="s">
        <v>427</v>
      </c>
      <c r="K508" s="0" t="s">
        <v>427</v>
      </c>
      <c r="M508" s="44" t="str">
        <f aca="false">INDEX(fastqs!$A:$A, MATCH(A508, fastqs!$B:$B, 0), 1)</f>
        <v>4_nf1_lib4_S1_R1_001.fastq.gz</v>
      </c>
      <c r="N508" s="44" t="str">
        <f aca="false">INDEX(fastqs!$C:$C, MATCH(A508, fastqs!$B:$B, 0), 1)</f>
        <v>run0007</v>
      </c>
      <c r="O508" s="44" t="str">
        <f aca="false">INDEX(samples!$B:$B, MATCH(B508, samples!$A:$A, 0), 1)</f>
        <v>par0230</v>
      </c>
      <c r="P508" s="44" t="e">
        <f aca="false">INDEX(participants!$I:$I, MATCH(O508, participants!$A:$A, 0), 1)</f>
        <v>#N/A</v>
      </c>
      <c r="Q508" s="44" t="str">
        <f aca="false">INDEX(samples!$F:$F, MATCH(B508, samples!$A:$A, 0), 1)</f>
        <v>nf1_lib4</v>
      </c>
      <c r="R508" s="49" t="str">
        <f aca="false">INDEX(samples!$C:$C, MATCH(B508, samples!$A:$A, 0), 1)</f>
        <v>2024-07-18</v>
      </c>
      <c r="S508" s="50" t="str">
        <f aca="false">INDEX(samples!$D:$D,MATCH(B508, samples!$A:$A,0),1)</f>
        <v>blood</v>
      </c>
      <c r="T508" s="51" t="s">
        <v>427</v>
      </c>
      <c r="W508" s="0" t="n">
        <v>18.6</v>
      </c>
      <c r="Y508" s="8" t="s">
        <v>1002</v>
      </c>
      <c r="Z508" s="8" t="n">
        <v>0</v>
      </c>
      <c r="AA508" s="8" t="s">
        <v>3150</v>
      </c>
      <c r="AB508" s="8" t="n">
        <v>0</v>
      </c>
    </row>
    <row r="509" customFormat="false" ht="13.8" hidden="false" customHeight="false" outlineLevel="0" collapsed="false">
      <c r="A509" s="48" t="s">
        <v>3667</v>
      </c>
      <c r="B509" s="41" t="s">
        <v>2588</v>
      </c>
      <c r="C509" s="0" t="s">
        <v>3147</v>
      </c>
      <c r="D509" s="0" t="s">
        <v>3551</v>
      </c>
      <c r="F509" s="0" t="n">
        <v>50</v>
      </c>
      <c r="G509" s="0" t="n">
        <v>77.5</v>
      </c>
      <c r="H509" s="0" t="s">
        <v>3552</v>
      </c>
      <c r="I509" s="0" t="s">
        <v>1002</v>
      </c>
      <c r="J509" s="0" t="s">
        <v>427</v>
      </c>
      <c r="K509" s="0" t="s">
        <v>427</v>
      </c>
      <c r="M509" s="44" t="str">
        <f aca="false">INDEX(fastqs!$A:$A, MATCH(A509, fastqs!$B:$B, 0), 1)</f>
        <v>5_nf1_lib5_S1_R1_001.fastq.gz</v>
      </c>
      <c r="N509" s="44" t="str">
        <f aca="false">INDEX(fastqs!$C:$C, MATCH(A509, fastqs!$B:$B, 0), 1)</f>
        <v>run0007</v>
      </c>
      <c r="O509" s="44" t="str">
        <f aca="false">INDEX(samples!$B:$B, MATCH(B509, samples!$A:$A, 0), 1)</f>
        <v>par0294</v>
      </c>
      <c r="P509" s="44" t="e">
        <f aca="false">INDEX(participants!$I:$I, MATCH(O509, participants!$A:$A, 0), 1)</f>
        <v>#N/A</v>
      </c>
      <c r="Q509" s="44" t="str">
        <f aca="false">INDEX(samples!$F:$F, MATCH(B509, samples!$A:$A, 0), 1)</f>
        <v>nf1_lib5</v>
      </c>
      <c r="R509" s="49" t="str">
        <f aca="false">INDEX(samples!$C:$C, MATCH(B509, samples!$A:$A, 0), 1)</f>
        <v>2023-07-25</v>
      </c>
      <c r="S509" s="50" t="str">
        <f aca="false">INDEX(samples!$D:$D,MATCH(B509, samples!$A:$A,0),1)</f>
        <v>blood</v>
      </c>
      <c r="T509" s="51" t="s">
        <v>427</v>
      </c>
      <c r="W509" s="0" t="n">
        <v>9.98</v>
      </c>
      <c r="Y509" s="8" t="s">
        <v>1002</v>
      </c>
      <c r="Z509" s="8" t="n">
        <v>0</v>
      </c>
      <c r="AA509" s="8" t="s">
        <v>3150</v>
      </c>
      <c r="AB509" s="8" t="n">
        <v>0</v>
      </c>
    </row>
    <row r="510" customFormat="false" ht="13.8" hidden="false" customHeight="false" outlineLevel="0" collapsed="false">
      <c r="A510" s="48" t="s">
        <v>3668</v>
      </c>
      <c r="B510" s="41" t="s">
        <v>2593</v>
      </c>
      <c r="C510" s="0" t="s">
        <v>3147</v>
      </c>
      <c r="D510" s="0" t="s">
        <v>3551</v>
      </c>
      <c r="F510" s="0" t="n">
        <v>50</v>
      </c>
      <c r="G510" s="0" t="n">
        <v>87.2</v>
      </c>
      <c r="H510" s="0" t="s">
        <v>3552</v>
      </c>
      <c r="I510" s="0" t="s">
        <v>1002</v>
      </c>
      <c r="J510" s="0" t="s">
        <v>427</v>
      </c>
      <c r="K510" s="0" t="s">
        <v>427</v>
      </c>
      <c r="M510" s="44" t="str">
        <f aca="false">INDEX(fastqs!$A:$A, MATCH(A510, fastqs!$B:$B, 0), 1)</f>
        <v>6_nf1_lib6_S1_R1_001.fastq.gz</v>
      </c>
      <c r="N510" s="44" t="str">
        <f aca="false">INDEX(fastqs!$C:$C, MATCH(A510, fastqs!$B:$B, 0), 1)</f>
        <v>run0007</v>
      </c>
      <c r="O510" s="44" t="str">
        <f aca="false">INDEX(samples!$B:$B, MATCH(B510, samples!$A:$A, 0), 1)</f>
        <v>par0294</v>
      </c>
      <c r="P510" s="44" t="e">
        <f aca="false">INDEX(participants!$I:$I, MATCH(O510, participants!$A:$A, 0), 1)</f>
        <v>#N/A</v>
      </c>
      <c r="Q510" s="44" t="str">
        <f aca="false">INDEX(samples!$F:$F, MATCH(B510, samples!$A:$A, 0), 1)</f>
        <v>nf1_lib6</v>
      </c>
      <c r="R510" s="49" t="str">
        <f aca="false">INDEX(samples!$C:$C, MATCH(B510, samples!$A:$A, 0), 1)</f>
        <v>2024-01-16</v>
      </c>
      <c r="S510" s="50" t="str">
        <f aca="false">INDEX(samples!$D:$D,MATCH(B510, samples!$A:$A,0),1)</f>
        <v>blood</v>
      </c>
      <c r="T510" s="51" t="s">
        <v>427</v>
      </c>
      <c r="W510" s="0" t="n">
        <v>21</v>
      </c>
      <c r="Y510" s="8" t="s">
        <v>1002</v>
      </c>
      <c r="Z510" s="8" t="n">
        <v>0</v>
      </c>
      <c r="AA510" s="8" t="s">
        <v>3150</v>
      </c>
      <c r="AB510" s="8" t="n">
        <v>0</v>
      </c>
    </row>
    <row r="511" customFormat="false" ht="13.8" hidden="false" customHeight="false" outlineLevel="0" collapsed="false">
      <c r="A511" s="48" t="s">
        <v>3669</v>
      </c>
      <c r="B511" s="41" t="s">
        <v>2596</v>
      </c>
      <c r="C511" s="0" t="s">
        <v>3147</v>
      </c>
      <c r="D511" s="0" t="s">
        <v>3551</v>
      </c>
      <c r="F511" s="0" t="n">
        <v>50</v>
      </c>
      <c r="G511" s="0" t="n">
        <v>34.3</v>
      </c>
      <c r="H511" s="0" t="s">
        <v>3552</v>
      </c>
      <c r="I511" s="0" t="s">
        <v>1002</v>
      </c>
      <c r="J511" s="0" t="s">
        <v>427</v>
      </c>
      <c r="K511" s="0" t="s">
        <v>427</v>
      </c>
      <c r="M511" s="44" t="str">
        <f aca="false">INDEX(fastqs!$A:$A, MATCH(A511, fastqs!$B:$B, 0), 1)</f>
        <v>7_nf1_lib7_S1_R1_001.fastq.gz</v>
      </c>
      <c r="N511" s="44" t="str">
        <f aca="false">INDEX(fastqs!$C:$C, MATCH(A511, fastqs!$B:$B, 0), 1)</f>
        <v>run0007</v>
      </c>
      <c r="O511" s="44" t="str">
        <f aca="false">INDEX(samples!$B:$B, MATCH(B511, samples!$A:$A, 0), 1)</f>
        <v>par0294</v>
      </c>
      <c r="P511" s="44" t="e">
        <f aca="false">INDEX(participants!$I:$I, MATCH(O511, participants!$A:$A, 0), 1)</f>
        <v>#N/A</v>
      </c>
      <c r="Q511" s="44" t="str">
        <f aca="false">INDEX(samples!$F:$F, MATCH(B511, samples!$A:$A, 0), 1)</f>
        <v>nf1_lib7</v>
      </c>
      <c r="R511" s="49" t="str">
        <f aca="false">INDEX(samples!$C:$C, MATCH(B511, samples!$A:$A, 0), 1)</f>
        <v>2024-10-15</v>
      </c>
      <c r="S511" s="50" t="str">
        <f aca="false">INDEX(samples!$D:$D,MATCH(B511, samples!$A:$A,0),1)</f>
        <v>blood</v>
      </c>
      <c r="T511" s="51" t="s">
        <v>427</v>
      </c>
      <c r="W511" s="0" t="n">
        <v>16.8</v>
      </c>
      <c r="Y511" s="8" t="s">
        <v>1002</v>
      </c>
      <c r="Z511" s="8" t="n">
        <v>0</v>
      </c>
      <c r="AA511" s="8" t="s">
        <v>3150</v>
      </c>
      <c r="AB511" s="8" t="n">
        <v>0</v>
      </c>
    </row>
    <row r="512" customFormat="false" ht="13.8" hidden="false" customHeight="false" outlineLevel="0" collapsed="false">
      <c r="A512" s="48" t="s">
        <v>3670</v>
      </c>
      <c r="B512" s="41" t="s">
        <v>2598</v>
      </c>
      <c r="C512" s="0" t="s">
        <v>3147</v>
      </c>
      <c r="D512" s="0" t="s">
        <v>3551</v>
      </c>
      <c r="F512" s="0" t="n">
        <v>50</v>
      </c>
      <c r="G512" s="0" t="n">
        <v>41.8</v>
      </c>
      <c r="H512" s="0" t="s">
        <v>3552</v>
      </c>
      <c r="I512" s="0" t="s">
        <v>1002</v>
      </c>
      <c r="J512" s="0" t="s">
        <v>427</v>
      </c>
      <c r="K512" s="0" t="s">
        <v>427</v>
      </c>
      <c r="M512" s="44" t="str">
        <f aca="false">INDEX(fastqs!$A:$A, MATCH(A512, fastqs!$B:$B, 0), 1)</f>
        <v>8_nf1_lib8_S1_R1_001.fastq.gz</v>
      </c>
      <c r="N512" s="44" t="str">
        <f aca="false">INDEX(fastqs!$C:$C, MATCH(A512, fastqs!$B:$B, 0), 1)</f>
        <v>run0007</v>
      </c>
      <c r="O512" s="44" t="str">
        <f aca="false">INDEX(samples!$B:$B, MATCH(B512, samples!$A:$A, 0), 1)</f>
        <v>par0295</v>
      </c>
      <c r="P512" s="44" t="e">
        <f aca="false">INDEX(participants!$I:$I, MATCH(O512, participants!$A:$A, 0), 1)</f>
        <v>#N/A</v>
      </c>
      <c r="Q512" s="44" t="str">
        <f aca="false">INDEX(samples!$F:$F, MATCH(B512, samples!$A:$A, 0), 1)</f>
        <v>nf1_lib8</v>
      </c>
      <c r="R512" s="49" t="str">
        <f aca="false">INDEX(samples!$C:$C, MATCH(B512, samples!$A:$A, 0), 1)</f>
        <v>2024-04-16</v>
      </c>
      <c r="S512" s="50" t="str">
        <f aca="false">INDEX(samples!$D:$D,MATCH(B512, samples!$A:$A,0),1)</f>
        <v>blood</v>
      </c>
      <c r="T512" s="51" t="s">
        <v>427</v>
      </c>
      <c r="W512" s="0" t="n">
        <v>11.7</v>
      </c>
      <c r="Y512" s="8" t="s">
        <v>1002</v>
      </c>
      <c r="Z512" s="8" t="n">
        <v>0</v>
      </c>
      <c r="AA512" s="8" t="s">
        <v>3150</v>
      </c>
      <c r="AB512" s="8" t="n">
        <v>0</v>
      </c>
    </row>
    <row r="513" customFormat="false" ht="13.8" hidden="false" customHeight="false" outlineLevel="0" collapsed="false">
      <c r="A513" s="48" t="s">
        <v>3671</v>
      </c>
      <c r="B513" s="41" t="s">
        <v>2603</v>
      </c>
      <c r="C513" s="0" t="s">
        <v>3147</v>
      </c>
      <c r="D513" s="0" t="s">
        <v>3551</v>
      </c>
      <c r="F513" s="0" t="n">
        <v>50</v>
      </c>
      <c r="G513" s="0" t="n">
        <v>55.2</v>
      </c>
      <c r="H513" s="0" t="s">
        <v>3552</v>
      </c>
      <c r="I513" s="0" t="s">
        <v>1002</v>
      </c>
      <c r="J513" s="0" t="s">
        <v>427</v>
      </c>
      <c r="K513" s="0" t="s">
        <v>427</v>
      </c>
      <c r="M513" s="44" t="str">
        <f aca="false">INDEX(fastqs!$A:$A, MATCH(A513, fastqs!$B:$B, 0), 1)</f>
        <v>9_nf1_lib9_S1_R1_001.fastq.gz</v>
      </c>
      <c r="N513" s="44" t="str">
        <f aca="false">INDEX(fastqs!$C:$C, MATCH(A513, fastqs!$B:$B, 0), 1)</f>
        <v>run0007</v>
      </c>
      <c r="O513" s="44" t="str">
        <f aca="false">INDEX(samples!$B:$B, MATCH(B513, samples!$A:$A, 0), 1)</f>
        <v>par0295</v>
      </c>
      <c r="P513" s="44" t="e">
        <f aca="false">INDEX(participants!$I:$I, MATCH(O513, participants!$A:$A, 0), 1)</f>
        <v>#N/A</v>
      </c>
      <c r="Q513" s="44" t="str">
        <f aca="false">INDEX(samples!$F:$F, MATCH(B513, samples!$A:$A, 0), 1)</f>
        <v>nf1_lib9</v>
      </c>
      <c r="R513" s="49" t="str">
        <f aca="false">INDEX(samples!$C:$C, MATCH(B513, samples!$A:$A, 0), 1)</f>
        <v>2024-10-15</v>
      </c>
      <c r="S513" s="50" t="str">
        <f aca="false">INDEX(samples!$D:$D,MATCH(B513, samples!$A:$A,0),1)</f>
        <v>blood</v>
      </c>
      <c r="T513" s="51" t="s">
        <v>427</v>
      </c>
      <c r="W513" s="0" t="n">
        <v>22.3</v>
      </c>
      <c r="Y513" s="8" t="s">
        <v>1002</v>
      </c>
      <c r="Z513" s="8" t="n">
        <v>0</v>
      </c>
      <c r="AA513" s="8" t="s">
        <v>3150</v>
      </c>
      <c r="AB513" s="8" t="n">
        <v>0</v>
      </c>
    </row>
    <row r="514" customFormat="false" ht="13.8" hidden="false" customHeight="false" outlineLevel="0" collapsed="false">
      <c r="A514" s="48" t="s">
        <v>3672</v>
      </c>
      <c r="B514" s="41" t="s">
        <v>2605</v>
      </c>
      <c r="C514" s="0" t="s">
        <v>3147</v>
      </c>
      <c r="D514" s="0" t="s">
        <v>3551</v>
      </c>
      <c r="F514" s="0" t="n">
        <v>50</v>
      </c>
      <c r="G514" s="0" t="n">
        <v>24.2</v>
      </c>
      <c r="H514" s="0" t="s">
        <v>3552</v>
      </c>
      <c r="I514" s="0" t="s">
        <v>1002</v>
      </c>
      <c r="J514" s="0" t="s">
        <v>427</v>
      </c>
      <c r="K514" s="0" t="s">
        <v>427</v>
      </c>
      <c r="M514" s="44" t="str">
        <f aca="false">INDEX(fastqs!$A:$A, MATCH(A514, fastqs!$B:$B, 0), 1)</f>
        <v>10_nf1_lib10_S1_R1_001.fastq.gz</v>
      </c>
      <c r="N514" s="44" t="str">
        <f aca="false">INDEX(fastqs!$C:$C, MATCH(A514, fastqs!$B:$B, 0), 1)</f>
        <v>run0007</v>
      </c>
      <c r="O514" s="44" t="str">
        <f aca="false">INDEX(samples!$B:$B, MATCH(B514, samples!$A:$A, 0), 1)</f>
        <v>par0296</v>
      </c>
      <c r="P514" s="44" t="e">
        <f aca="false">INDEX(participants!$I:$I, MATCH(O514, participants!$A:$A, 0), 1)</f>
        <v>#N/A</v>
      </c>
      <c r="Q514" s="44" t="str">
        <f aca="false">INDEX(samples!$F:$F, MATCH(B514, samples!$A:$A, 0), 1)</f>
        <v>nf1_lib10</v>
      </c>
      <c r="R514" s="49" t="str">
        <f aca="false">INDEX(samples!$C:$C, MATCH(B514, samples!$A:$A, 0), 1)</f>
        <v>2023-06-20</v>
      </c>
      <c r="S514" s="50" t="str">
        <f aca="false">INDEX(samples!$D:$D,MATCH(B514, samples!$A:$A,0),1)</f>
        <v>blood</v>
      </c>
      <c r="T514" s="51" t="s">
        <v>427</v>
      </c>
      <c r="W514" s="0" t="n">
        <v>18.4</v>
      </c>
      <c r="Y514" s="8" t="s">
        <v>1002</v>
      </c>
      <c r="Z514" s="8" t="n">
        <v>0</v>
      </c>
      <c r="AA514" s="8" t="s">
        <v>3150</v>
      </c>
      <c r="AB514" s="8" t="n">
        <v>0</v>
      </c>
    </row>
    <row r="515" customFormat="false" ht="13.8" hidden="false" customHeight="false" outlineLevel="0" collapsed="false">
      <c r="A515" s="48" t="s">
        <v>3673</v>
      </c>
      <c r="B515" s="41" t="s">
        <v>2610</v>
      </c>
      <c r="C515" s="0" t="s">
        <v>3147</v>
      </c>
      <c r="D515" s="0" t="s">
        <v>3551</v>
      </c>
      <c r="F515" s="0" t="n">
        <v>50</v>
      </c>
      <c r="G515" s="0" t="n">
        <v>23.4</v>
      </c>
      <c r="H515" s="0" t="s">
        <v>3552</v>
      </c>
      <c r="I515" s="0" t="s">
        <v>1002</v>
      </c>
      <c r="J515" s="0" t="s">
        <v>427</v>
      </c>
      <c r="K515" s="0" t="s">
        <v>427</v>
      </c>
      <c r="M515" s="44" t="str">
        <f aca="false">INDEX(fastqs!$A:$A, MATCH(A515, fastqs!$B:$B, 0), 1)</f>
        <v>11_nf1_lib11_S1_R1_001.fastq.gz</v>
      </c>
      <c r="N515" s="44" t="str">
        <f aca="false">INDEX(fastqs!$C:$C, MATCH(A515, fastqs!$B:$B, 0), 1)</f>
        <v>run0007</v>
      </c>
      <c r="O515" s="44" t="str">
        <f aca="false">INDEX(samples!$B:$B, MATCH(B515, samples!$A:$A, 0), 1)</f>
        <v>par0296</v>
      </c>
      <c r="P515" s="44" t="e">
        <f aca="false">INDEX(participants!$I:$I, MATCH(O515, participants!$A:$A, 0), 1)</f>
        <v>#N/A</v>
      </c>
      <c r="Q515" s="44" t="str">
        <f aca="false">INDEX(samples!$F:$F, MATCH(B515, samples!$A:$A, 0), 1)</f>
        <v>nf1_lib11</v>
      </c>
      <c r="R515" s="49" t="str">
        <f aca="false">INDEX(samples!$C:$C, MATCH(B515, samples!$A:$A, 0), 1)</f>
        <v>2024-09-17</v>
      </c>
      <c r="S515" s="50" t="str">
        <f aca="false">INDEX(samples!$D:$D,MATCH(B515, samples!$A:$A,0),1)</f>
        <v>blood</v>
      </c>
      <c r="T515" s="51" t="s">
        <v>427</v>
      </c>
      <c r="W515" s="0" t="n">
        <v>16.5</v>
      </c>
      <c r="Y515" s="8" t="s">
        <v>1002</v>
      </c>
      <c r="Z515" s="8" t="n">
        <v>0</v>
      </c>
      <c r="AA515" s="8" t="s">
        <v>3150</v>
      </c>
      <c r="AB515" s="8" t="n">
        <v>0</v>
      </c>
    </row>
    <row r="516" customFormat="false" ht="13.8" hidden="false" customHeight="false" outlineLevel="0" collapsed="false">
      <c r="A516" s="48" t="s">
        <v>3674</v>
      </c>
      <c r="B516" s="41" t="s">
        <v>2614</v>
      </c>
      <c r="C516" s="0" t="s">
        <v>3147</v>
      </c>
      <c r="D516" s="0" t="s">
        <v>3551</v>
      </c>
      <c r="F516" s="0" t="n">
        <v>50</v>
      </c>
      <c r="G516" s="0" t="n">
        <v>30.4</v>
      </c>
      <c r="H516" s="0" t="s">
        <v>3552</v>
      </c>
      <c r="I516" s="0" t="s">
        <v>1002</v>
      </c>
      <c r="J516" s="0" t="s">
        <v>427</v>
      </c>
      <c r="K516" s="0" t="s">
        <v>427</v>
      </c>
      <c r="M516" s="44" t="str">
        <f aca="false">INDEX(fastqs!$A:$A, MATCH(A516, fastqs!$B:$B, 0), 1)</f>
        <v>12_nf1_lib12_S1_R1_001.fastq.gz</v>
      </c>
      <c r="N516" s="44" t="str">
        <f aca="false">INDEX(fastqs!$C:$C, MATCH(A516, fastqs!$B:$B, 0), 1)</f>
        <v>run0007</v>
      </c>
      <c r="O516" s="44" t="str">
        <f aca="false">INDEX(samples!$B:$B, MATCH(B516, samples!$A:$A, 0), 1)</f>
        <v>par0296</v>
      </c>
      <c r="P516" s="44" t="e">
        <f aca="false">INDEX(participants!$I:$I, MATCH(O516, participants!$A:$A, 0), 1)</f>
        <v>#N/A</v>
      </c>
      <c r="Q516" s="44" t="str">
        <f aca="false">INDEX(samples!$F:$F, MATCH(B516, samples!$A:$A, 0), 1)</f>
        <v>nf1_lib12</v>
      </c>
      <c r="R516" s="49" t="str">
        <f aca="false">INDEX(samples!$C:$C, MATCH(B516, samples!$A:$A, 0), 1)</f>
        <v>2024-06-18</v>
      </c>
      <c r="S516" s="50" t="str">
        <f aca="false">INDEX(samples!$D:$D,MATCH(B516, samples!$A:$A,0),1)</f>
        <v>blood</v>
      </c>
      <c r="T516" s="51" t="s">
        <v>427</v>
      </c>
      <c r="W516" s="0" t="n">
        <v>13.3</v>
      </c>
      <c r="Y516" s="8" t="s">
        <v>1002</v>
      </c>
      <c r="Z516" s="8" t="n">
        <v>0</v>
      </c>
      <c r="AA516" s="8" t="s">
        <v>3150</v>
      </c>
      <c r="AB516" s="8" t="n">
        <v>0</v>
      </c>
    </row>
    <row r="517" customFormat="false" ht="13.8" hidden="false" customHeight="false" outlineLevel="0" collapsed="false">
      <c r="A517" s="48" t="s">
        <v>3675</v>
      </c>
      <c r="B517" s="41" t="s">
        <v>2618</v>
      </c>
      <c r="C517" s="0" t="s">
        <v>3147</v>
      </c>
      <c r="D517" s="0" t="s">
        <v>3551</v>
      </c>
      <c r="F517" s="0" t="n">
        <v>50</v>
      </c>
      <c r="G517" s="0" t="n">
        <v>21.1</v>
      </c>
      <c r="H517" s="0" t="s">
        <v>3552</v>
      </c>
      <c r="I517" s="0" t="s">
        <v>1002</v>
      </c>
      <c r="J517" s="0" t="s">
        <v>427</v>
      </c>
      <c r="K517" s="0" t="s">
        <v>427</v>
      </c>
      <c r="M517" s="44" t="str">
        <f aca="false">INDEX(fastqs!$A:$A, MATCH(A517, fastqs!$B:$B, 0), 1)</f>
        <v>13_nf1_lib13_S1_R1_001.fastq.gz</v>
      </c>
      <c r="N517" s="44" t="str">
        <f aca="false">INDEX(fastqs!$C:$C, MATCH(A517, fastqs!$B:$B, 0), 1)</f>
        <v>run0007</v>
      </c>
      <c r="O517" s="44" t="str">
        <f aca="false">INDEX(samples!$B:$B, MATCH(B517, samples!$A:$A, 0), 1)</f>
        <v>par0294</v>
      </c>
      <c r="P517" s="44" t="e">
        <f aca="false">INDEX(participants!$I:$I, MATCH(O517, participants!$A:$A, 0), 1)</f>
        <v>#N/A</v>
      </c>
      <c r="Q517" s="44" t="str">
        <f aca="false">INDEX(samples!$F:$F, MATCH(B517, samples!$A:$A, 0), 1)</f>
        <v>nf1_lib13</v>
      </c>
      <c r="R517" s="49" t="str">
        <f aca="false">INDEX(samples!$C:$C, MATCH(B517, samples!$A:$A, 0), 1)</f>
        <v>2024-07-16</v>
      </c>
      <c r="S517" s="50" t="str">
        <f aca="false">INDEX(samples!$D:$D,MATCH(B517, samples!$A:$A,0),1)</f>
        <v>blood</v>
      </c>
      <c r="T517" s="51" t="s">
        <v>427</v>
      </c>
      <c r="W517" s="0" t="n">
        <v>6.9</v>
      </c>
      <c r="Y517" s="8" t="s">
        <v>1002</v>
      </c>
      <c r="Z517" s="8" t="n">
        <v>0</v>
      </c>
      <c r="AA517" s="8" t="s">
        <v>3150</v>
      </c>
      <c r="AB517" s="8" t="n">
        <v>0</v>
      </c>
    </row>
    <row r="518" customFormat="false" ht="13.8" hidden="false" customHeight="false" outlineLevel="0" collapsed="false">
      <c r="A518" s="48" t="s">
        <v>3676</v>
      </c>
      <c r="B518" s="41" t="s">
        <v>2621</v>
      </c>
      <c r="C518" s="0" t="s">
        <v>3147</v>
      </c>
      <c r="D518" s="0" t="s">
        <v>3551</v>
      </c>
      <c r="F518" s="0" t="n">
        <v>50</v>
      </c>
      <c r="G518" s="0" t="n">
        <v>86.7</v>
      </c>
      <c r="H518" s="0" t="s">
        <v>3552</v>
      </c>
      <c r="I518" s="0" t="s">
        <v>1002</v>
      </c>
      <c r="J518" s="0" t="s">
        <v>427</v>
      </c>
      <c r="K518" s="0" t="s">
        <v>427</v>
      </c>
      <c r="M518" s="44" t="str">
        <f aca="false">INDEX(fastqs!$A:$A, MATCH(A518, fastqs!$B:$B, 0), 1)</f>
        <v>14_nf1_lib14_S1_R1_001.fastq.gz</v>
      </c>
      <c r="N518" s="44" t="str">
        <f aca="false">INDEX(fastqs!$C:$C, MATCH(A518, fastqs!$B:$B, 0), 1)</f>
        <v>run0007</v>
      </c>
      <c r="O518" s="44" t="str">
        <f aca="false">INDEX(samples!$B:$B, MATCH(B518, samples!$A:$A, 0), 1)</f>
        <v>par0296</v>
      </c>
      <c r="P518" s="44" t="e">
        <f aca="false">INDEX(participants!$I:$I, MATCH(O518, participants!$A:$A, 0), 1)</f>
        <v>#N/A</v>
      </c>
      <c r="Q518" s="44" t="str">
        <f aca="false">INDEX(samples!$F:$F, MATCH(B518, samples!$A:$A, 0), 1)</f>
        <v>nf1_lib14</v>
      </c>
      <c r="R518" s="49" t="n">
        <f aca="false">INDEX(samples!$C:$C, MATCH(B518, samples!$A:$A, 0), 1)</f>
        <v>45279</v>
      </c>
      <c r="S518" s="50" t="str">
        <f aca="false">INDEX(samples!$D:$D,MATCH(B518, samples!$A:$A,0),1)</f>
        <v>blood</v>
      </c>
      <c r="T518" s="51" t="s">
        <v>427</v>
      </c>
      <c r="W518" s="0" t="n">
        <v>20.6</v>
      </c>
      <c r="Y518" s="8" t="s">
        <v>1002</v>
      </c>
      <c r="Z518" s="8" t="n">
        <v>0</v>
      </c>
      <c r="AA518" s="8" t="s">
        <v>3150</v>
      </c>
      <c r="AB518" s="8" t="n">
        <v>0</v>
      </c>
    </row>
    <row r="519" customFormat="false" ht="13.8" hidden="false" customHeight="false" outlineLevel="0" collapsed="false">
      <c r="A519" s="48" t="s">
        <v>3677</v>
      </c>
      <c r="B519" s="41" t="s">
        <v>2624</v>
      </c>
      <c r="C519" s="0" t="s">
        <v>3147</v>
      </c>
      <c r="D519" s="0" t="s">
        <v>3551</v>
      </c>
      <c r="F519" s="0" t="n">
        <v>50</v>
      </c>
      <c r="G519" s="0" t="n">
        <v>48.3</v>
      </c>
      <c r="H519" s="0" t="s">
        <v>3552</v>
      </c>
      <c r="I519" s="0" t="s">
        <v>1002</v>
      </c>
      <c r="J519" s="0" t="s">
        <v>427</v>
      </c>
      <c r="K519" s="0" t="s">
        <v>427</v>
      </c>
      <c r="M519" s="44" t="str">
        <f aca="false">INDEX(fastqs!$A:$A, MATCH(A519, fastqs!$B:$B, 0), 1)</f>
        <v>15_nf1_lib15_S1_R1_001.fastq.gz</v>
      </c>
      <c r="N519" s="44" t="str">
        <f aca="false">INDEX(fastqs!$C:$C, MATCH(A519, fastqs!$B:$B, 0), 1)</f>
        <v>run0007</v>
      </c>
      <c r="O519" s="44" t="str">
        <f aca="false">INDEX(samples!$B:$B, MATCH(B519, samples!$A:$A, 0), 1)</f>
        <v>par0297</v>
      </c>
      <c r="P519" s="44" t="e">
        <f aca="false">INDEX(participants!$I:$I, MATCH(O519, participants!$A:$A, 0), 1)</f>
        <v>#N/A</v>
      </c>
      <c r="Q519" s="44" t="str">
        <f aca="false">INDEX(samples!$F:$F, MATCH(B519, samples!$A:$A, 0), 1)</f>
        <v>nf1_lib15</v>
      </c>
      <c r="R519" s="49" t="str">
        <f aca="false">INDEX(samples!$C:$C, MATCH(B519, samples!$A:$A, 0), 1)</f>
        <v>2023-04-04</v>
      </c>
      <c r="S519" s="50" t="str">
        <f aca="false">INDEX(samples!$D:$D,MATCH(B519, samples!$A:$A,0),1)</f>
        <v>blood</v>
      </c>
      <c r="T519" s="51" t="s">
        <v>427</v>
      </c>
      <c r="W519" s="0" t="n">
        <v>16.7</v>
      </c>
      <c r="Y519" s="8" t="s">
        <v>1002</v>
      </c>
      <c r="Z519" s="8" t="n">
        <v>0</v>
      </c>
      <c r="AA519" s="8" t="s">
        <v>3150</v>
      </c>
      <c r="AB519" s="8" t="n">
        <v>0</v>
      </c>
    </row>
    <row r="520" customFormat="false" ht="13.8" hidden="false" customHeight="false" outlineLevel="0" collapsed="false">
      <c r="A520" s="48" t="s">
        <v>3678</v>
      </c>
      <c r="B520" s="41" t="s">
        <v>2629</v>
      </c>
      <c r="C520" s="0" t="s">
        <v>3147</v>
      </c>
      <c r="D520" s="0" t="s">
        <v>3551</v>
      </c>
      <c r="F520" s="0" t="n">
        <v>50</v>
      </c>
      <c r="G520" s="0" t="n">
        <v>34.1</v>
      </c>
      <c r="H520" s="0" t="s">
        <v>3552</v>
      </c>
      <c r="I520" s="0" t="s">
        <v>1002</v>
      </c>
      <c r="J520" s="0" t="s">
        <v>427</v>
      </c>
      <c r="K520" s="0" t="s">
        <v>427</v>
      </c>
      <c r="M520" s="44" t="str">
        <f aca="false">INDEX(fastqs!$A:$A, MATCH(A520, fastqs!$B:$B, 0), 1)</f>
        <v>16_nf1_lib16_S1_R1_001.fastq.gz</v>
      </c>
      <c r="N520" s="44" t="str">
        <f aca="false">INDEX(fastqs!$C:$C, MATCH(A520, fastqs!$B:$B, 0), 1)</f>
        <v>run0007</v>
      </c>
      <c r="O520" s="44" t="str">
        <f aca="false">INDEX(samples!$B:$B, MATCH(B520, samples!$A:$A, 0), 1)</f>
        <v>par0297</v>
      </c>
      <c r="P520" s="44" t="e">
        <f aca="false">INDEX(participants!$I:$I, MATCH(O520, participants!$A:$A, 0), 1)</f>
        <v>#N/A</v>
      </c>
      <c r="Q520" s="44" t="str">
        <f aca="false">INDEX(samples!$F:$F, MATCH(B520, samples!$A:$A, 0), 1)</f>
        <v>nf1_lib16</v>
      </c>
      <c r="R520" s="49" t="str">
        <f aca="false">INDEX(samples!$C:$C, MATCH(B520, samples!$A:$A, 0), 1)</f>
        <v>2023-04-25</v>
      </c>
      <c r="S520" s="50" t="str">
        <f aca="false">INDEX(samples!$D:$D,MATCH(B520, samples!$A:$A,0),1)</f>
        <v>blood</v>
      </c>
      <c r="T520" s="51" t="s">
        <v>427</v>
      </c>
      <c r="W520" s="0" t="n">
        <v>17.7</v>
      </c>
      <c r="Y520" s="8" t="s">
        <v>1002</v>
      </c>
      <c r="Z520" s="8" t="n">
        <v>0</v>
      </c>
      <c r="AA520" s="8" t="s">
        <v>3150</v>
      </c>
      <c r="AB520" s="8" t="n">
        <v>0</v>
      </c>
    </row>
    <row r="521" customFormat="false" ht="13.8" hidden="false" customHeight="false" outlineLevel="0" collapsed="false">
      <c r="A521" s="48" t="s">
        <v>3679</v>
      </c>
      <c r="B521" s="41" t="s">
        <v>2633</v>
      </c>
      <c r="C521" s="0" t="s">
        <v>3147</v>
      </c>
      <c r="D521" s="0" t="s">
        <v>3551</v>
      </c>
      <c r="F521" s="0" t="n">
        <v>50</v>
      </c>
      <c r="G521" s="0" t="n">
        <v>69.7</v>
      </c>
      <c r="H521" s="0" t="s">
        <v>3552</v>
      </c>
      <c r="I521" s="0" t="s">
        <v>1002</v>
      </c>
      <c r="J521" s="0" t="s">
        <v>427</v>
      </c>
      <c r="K521" s="0" t="s">
        <v>427</v>
      </c>
      <c r="M521" s="44" t="str">
        <f aca="false">INDEX(fastqs!$A:$A, MATCH(A521, fastqs!$B:$B, 0), 1)</f>
        <v>17_nf1_lib17_S1_R1_001.fastq.gz</v>
      </c>
      <c r="N521" s="44" t="str">
        <f aca="false">INDEX(fastqs!$C:$C, MATCH(A521, fastqs!$B:$B, 0), 1)</f>
        <v>run0007</v>
      </c>
      <c r="O521" s="44" t="str">
        <f aca="false">INDEX(samples!$B:$B, MATCH(B521, samples!$A:$A, 0), 1)</f>
        <v>par0297</v>
      </c>
      <c r="P521" s="44" t="e">
        <f aca="false">INDEX(participants!$I:$I, MATCH(O521, participants!$A:$A, 0), 1)</f>
        <v>#N/A</v>
      </c>
      <c r="Q521" s="44" t="str">
        <f aca="false">INDEX(samples!$F:$F, MATCH(B521, samples!$A:$A, 0), 1)</f>
        <v>nf1_lib17</v>
      </c>
      <c r="R521" s="49" t="str">
        <f aca="false">INDEX(samples!$C:$C, MATCH(B521, samples!$A:$A, 0), 1)</f>
        <v>2023-06-06</v>
      </c>
      <c r="S521" s="50" t="str">
        <f aca="false">INDEX(samples!$D:$D,MATCH(B521, samples!$A:$A,0),1)</f>
        <v>blood</v>
      </c>
      <c r="T521" s="51" t="s">
        <v>427</v>
      </c>
      <c r="W521" s="0" t="n">
        <v>11.9</v>
      </c>
      <c r="Y521" s="8" t="s">
        <v>1002</v>
      </c>
      <c r="Z521" s="8" t="n">
        <v>0</v>
      </c>
      <c r="AA521" s="8" t="s">
        <v>3150</v>
      </c>
      <c r="AB521" s="8" t="n">
        <v>0</v>
      </c>
    </row>
    <row r="522" customFormat="false" ht="13.8" hidden="false" customHeight="false" outlineLevel="0" collapsed="false">
      <c r="A522" s="48" t="s">
        <v>3680</v>
      </c>
      <c r="B522" s="41" t="s">
        <v>2637</v>
      </c>
      <c r="C522" s="0" t="s">
        <v>3147</v>
      </c>
      <c r="D522" s="0" t="s">
        <v>3551</v>
      </c>
      <c r="F522" s="0" t="n">
        <v>50</v>
      </c>
      <c r="G522" s="0" t="n">
        <v>38.4</v>
      </c>
      <c r="H522" s="0" t="s">
        <v>3552</v>
      </c>
      <c r="I522" s="0" t="s">
        <v>1002</v>
      </c>
      <c r="J522" s="0" t="s">
        <v>427</v>
      </c>
      <c r="K522" s="0" t="s">
        <v>427</v>
      </c>
      <c r="M522" s="44" t="str">
        <f aca="false">INDEX(fastqs!$A:$A, MATCH(A522, fastqs!$B:$B, 0), 1)</f>
        <v>18_nf1_lib18_S1_R1_001.fastq.gz</v>
      </c>
      <c r="N522" s="44" t="str">
        <f aca="false">INDEX(fastqs!$C:$C, MATCH(A522, fastqs!$B:$B, 0), 1)</f>
        <v>run0007</v>
      </c>
      <c r="O522" s="44" t="str">
        <f aca="false">INDEX(samples!$B:$B, MATCH(B522, samples!$A:$A, 0), 1)</f>
        <v>par0297</v>
      </c>
      <c r="P522" s="44" t="e">
        <f aca="false">INDEX(participants!$I:$I, MATCH(O522, participants!$A:$A, 0), 1)</f>
        <v>#N/A</v>
      </c>
      <c r="Q522" s="44" t="str">
        <f aca="false">INDEX(samples!$F:$F, MATCH(B522, samples!$A:$A, 0), 1)</f>
        <v>nf1_lib18</v>
      </c>
      <c r="R522" s="49" t="str">
        <f aca="false">INDEX(samples!$C:$C, MATCH(B522, samples!$A:$A, 0), 1)</f>
        <v>2024-03-19</v>
      </c>
      <c r="S522" s="50" t="str">
        <f aca="false">INDEX(samples!$D:$D,MATCH(B522, samples!$A:$A,0),1)</f>
        <v>blood</v>
      </c>
      <c r="T522" s="51" t="s">
        <v>427</v>
      </c>
      <c r="W522" s="0" t="n">
        <v>0.39</v>
      </c>
      <c r="Y522" s="8" t="s">
        <v>1002</v>
      </c>
      <c r="Z522" s="8" t="n">
        <v>0</v>
      </c>
      <c r="AA522" s="8" t="s">
        <v>3150</v>
      </c>
      <c r="AB522" s="8" t="n">
        <v>0</v>
      </c>
    </row>
    <row r="523" customFormat="false" ht="13.8" hidden="false" customHeight="false" outlineLevel="0" collapsed="false">
      <c r="A523" s="48" t="s">
        <v>3681</v>
      </c>
      <c r="B523" s="41" t="s">
        <v>2641</v>
      </c>
      <c r="C523" s="0" t="s">
        <v>3147</v>
      </c>
      <c r="D523" s="0" t="s">
        <v>3551</v>
      </c>
      <c r="F523" s="0" t="n">
        <v>50</v>
      </c>
      <c r="G523" s="0" t="n">
        <v>38.6</v>
      </c>
      <c r="H523" s="0" t="s">
        <v>3552</v>
      </c>
      <c r="I523" s="0" t="s">
        <v>1002</v>
      </c>
      <c r="J523" s="0" t="s">
        <v>427</v>
      </c>
      <c r="K523" s="0" t="s">
        <v>427</v>
      </c>
      <c r="M523" s="44" t="str">
        <f aca="false">INDEX(fastqs!$A:$A, MATCH(A523, fastqs!$B:$B, 0), 1)</f>
        <v>19_nf1_lib19_S1_R1_001.fastq.gz</v>
      </c>
      <c r="N523" s="44" t="str">
        <f aca="false">INDEX(fastqs!$C:$C, MATCH(A523, fastqs!$B:$B, 0), 1)</f>
        <v>run0007</v>
      </c>
      <c r="O523" s="44" t="str">
        <f aca="false">INDEX(samples!$B:$B, MATCH(B523, samples!$A:$A, 0), 1)</f>
        <v>par0230</v>
      </c>
      <c r="P523" s="44" t="e">
        <f aca="false">INDEX(participants!$I:$I, MATCH(O523, participants!$A:$A, 0), 1)</f>
        <v>#N/A</v>
      </c>
      <c r="Q523" s="44" t="str">
        <f aca="false">INDEX(samples!$F:$F, MATCH(B523, samples!$A:$A, 0), 1)</f>
        <v>nf1_lib19</v>
      </c>
      <c r="R523" s="49" t="str">
        <f aca="false">INDEX(samples!$C:$C, MATCH(B523, samples!$A:$A, 0), 1)</f>
        <v>2024-07-23</v>
      </c>
      <c r="S523" s="50" t="str">
        <f aca="false">INDEX(samples!$D:$D,MATCH(B523, samples!$A:$A,0),1)</f>
        <v>blood</v>
      </c>
      <c r="T523" s="51" t="s">
        <v>427</v>
      </c>
      <c r="W523" s="0" t="n">
        <v>10.7</v>
      </c>
      <c r="Y523" s="8" t="s">
        <v>1002</v>
      </c>
      <c r="Z523" s="8" t="n">
        <v>0</v>
      </c>
      <c r="AA523" s="8" t="s">
        <v>3150</v>
      </c>
      <c r="AB523" s="8" t="n">
        <v>0</v>
      </c>
    </row>
    <row r="524" customFormat="false" ht="13.8" hidden="false" customHeight="false" outlineLevel="0" collapsed="false">
      <c r="A524" s="48" t="s">
        <v>3682</v>
      </c>
      <c r="B524" s="41" t="s">
        <v>2645</v>
      </c>
      <c r="C524" s="0" t="s">
        <v>3147</v>
      </c>
      <c r="D524" s="0" t="s">
        <v>3551</v>
      </c>
      <c r="F524" s="0" t="n">
        <v>50</v>
      </c>
      <c r="G524" s="0" t="n">
        <v>49.5</v>
      </c>
      <c r="H524" s="0" t="s">
        <v>3552</v>
      </c>
      <c r="I524" s="0" t="s">
        <v>1002</v>
      </c>
      <c r="J524" s="0" t="s">
        <v>427</v>
      </c>
      <c r="K524" s="0" t="s">
        <v>427</v>
      </c>
      <c r="M524" s="44" t="str">
        <f aca="false">INDEX(fastqs!$A:$A, MATCH(A524, fastqs!$B:$B, 0), 1)</f>
        <v>20_nf1_lib20_S1_R1_001.fastq.gz</v>
      </c>
      <c r="N524" s="44" t="str">
        <f aca="false">INDEX(fastqs!$C:$C, MATCH(A524, fastqs!$B:$B, 0), 1)</f>
        <v>run0007</v>
      </c>
      <c r="O524" s="44" t="str">
        <f aca="false">INDEX(samples!$B:$B, MATCH(B524, samples!$A:$A, 0), 1)</f>
        <v>par0241</v>
      </c>
      <c r="P524" s="44" t="e">
        <f aca="false">INDEX(participants!$I:$I, MATCH(O524, participants!$A:$A, 0), 1)</f>
        <v>#N/A</v>
      </c>
      <c r="Q524" s="44" t="str">
        <f aca="false">INDEX(samples!$F:$F, MATCH(B524, samples!$A:$A, 0), 1)</f>
        <v>nf1_lib20</v>
      </c>
      <c r="R524" s="49" t="str">
        <f aca="false">INDEX(samples!$C:$C, MATCH(B524, samples!$A:$A, 0), 1)</f>
        <v>2023-08-01</v>
      </c>
      <c r="S524" s="50" t="str">
        <f aca="false">INDEX(samples!$D:$D,MATCH(B524, samples!$A:$A,0),1)</f>
        <v>blood</v>
      </c>
      <c r="T524" s="0" t="n">
        <v>2</v>
      </c>
      <c r="W524" s="0" t="n">
        <v>20.4</v>
      </c>
      <c r="Y524" s="8" t="s">
        <v>1002</v>
      </c>
      <c r="Z524" s="8" t="n">
        <v>0</v>
      </c>
      <c r="AA524" s="8" t="s">
        <v>3150</v>
      </c>
      <c r="AB524" s="8" t="n">
        <v>0</v>
      </c>
    </row>
    <row r="525" customFormat="false" ht="13.8" hidden="false" customHeight="false" outlineLevel="0" collapsed="false">
      <c r="A525" s="48" t="s">
        <v>3683</v>
      </c>
      <c r="B525" s="41" t="s">
        <v>2649</v>
      </c>
      <c r="C525" s="0" t="s">
        <v>3147</v>
      </c>
      <c r="D525" s="0" t="s">
        <v>3551</v>
      </c>
      <c r="F525" s="0" t="n">
        <v>50</v>
      </c>
      <c r="G525" s="0" t="n">
        <v>44.7</v>
      </c>
      <c r="H525" s="0" t="s">
        <v>3552</v>
      </c>
      <c r="I525" s="0" t="s">
        <v>1002</v>
      </c>
      <c r="J525" s="0" t="s">
        <v>427</v>
      </c>
      <c r="K525" s="0" t="s">
        <v>427</v>
      </c>
      <c r="M525" s="44" t="str">
        <f aca="false">INDEX(fastqs!$A:$A, MATCH(A525, fastqs!$B:$B, 0), 1)</f>
        <v>21_nf1_lib21_S1_R1_001.fastq.gz</v>
      </c>
      <c r="N525" s="44" t="str">
        <f aca="false">INDEX(fastqs!$C:$C, MATCH(A525, fastqs!$B:$B, 0), 1)</f>
        <v>run0007</v>
      </c>
      <c r="O525" s="44" t="str">
        <f aca="false">INDEX(samples!$B:$B, MATCH(B525, samples!$A:$A, 0), 1)</f>
        <v>par0245</v>
      </c>
      <c r="P525" s="44" t="e">
        <f aca="false">INDEX(participants!$I:$I, MATCH(O525, participants!$A:$A, 0), 1)</f>
        <v>#N/A</v>
      </c>
      <c r="Q525" s="44" t="str">
        <f aca="false">INDEX(samples!$F:$F, MATCH(B525, samples!$A:$A, 0), 1)</f>
        <v>nf1_lib21</v>
      </c>
      <c r="R525" s="49" t="str">
        <f aca="false">INDEX(samples!$C:$C, MATCH(B525, samples!$A:$A, 0), 1)</f>
        <v>2024-10-22</v>
      </c>
      <c r="S525" s="50" t="str">
        <f aca="false">INDEX(samples!$D:$D,MATCH(B525, samples!$A:$A,0),1)</f>
        <v>blood</v>
      </c>
      <c r="T525" s="51"/>
      <c r="W525" s="0" t="n">
        <v>23.3</v>
      </c>
      <c r="Y525" s="8" t="s">
        <v>1002</v>
      </c>
      <c r="Z525" s="8" t="n">
        <v>0</v>
      </c>
      <c r="AA525" s="8" t="s">
        <v>3150</v>
      </c>
      <c r="AB525" s="8" t="n">
        <v>0</v>
      </c>
    </row>
    <row r="526" customFormat="false" ht="13.8" hidden="false" customHeight="false" outlineLevel="0" collapsed="false">
      <c r="A526" s="48" t="s">
        <v>3684</v>
      </c>
      <c r="B526" s="41" t="s">
        <v>2382</v>
      </c>
      <c r="C526" s="0" t="s">
        <v>3147</v>
      </c>
      <c r="D526" s="0" t="s">
        <v>3551</v>
      </c>
      <c r="F526" s="0" t="n">
        <v>50</v>
      </c>
      <c r="G526" s="0" t="n">
        <v>21.3</v>
      </c>
      <c r="H526" s="0" t="s">
        <v>3552</v>
      </c>
      <c r="I526" s="0" t="s">
        <v>1002</v>
      </c>
      <c r="J526" s="0" t="s">
        <v>427</v>
      </c>
      <c r="K526" s="0" t="s">
        <v>427</v>
      </c>
      <c r="M526" s="44" t="str">
        <f aca="false">INDEX(fastqs!$A:$A, MATCH(A526, fastqs!$B:$B, 0), 1)</f>
        <v>22_nf1_lib22_S1_R1_001.fastq.gz</v>
      </c>
      <c r="N526" s="44" t="str">
        <f aca="false">INDEX(fastqs!$C:$C, MATCH(A526, fastqs!$B:$B, 0), 1)</f>
        <v>run0007</v>
      </c>
      <c r="O526" s="44" t="str">
        <f aca="false">INDEX(samples!$B:$B, MATCH(B526, samples!$A:$A, 0), 1)</f>
        <v>par0233</v>
      </c>
      <c r="P526" s="44" t="e">
        <f aca="false">INDEX(participants!$I:$I, MATCH(O526, participants!$A:$A, 0), 1)</f>
        <v>#N/A</v>
      </c>
      <c r="Q526" s="44" t="str">
        <f aca="false">INDEX(samples!$F:$F, MATCH(B526, samples!$A:$A, 0), 1)</f>
        <v>nf1_lib57</v>
      </c>
      <c r="R526" s="49" t="str">
        <f aca="false">INDEX(samples!$C:$C, MATCH(B526, samples!$A:$A, 0), 1)</f>
        <v>2021-12-28</v>
      </c>
      <c r="S526" s="50" t="str">
        <f aca="false">INDEX(samples!$D:$D,MATCH(B526, samples!$A:$A,0),1)</f>
        <v>blood</v>
      </c>
      <c r="T526" s="0" t="n">
        <v>1.5</v>
      </c>
      <c r="W526" s="0" t="n">
        <v>22.6</v>
      </c>
      <c r="Y526" s="8" t="s">
        <v>1002</v>
      </c>
      <c r="Z526" s="8" t="n">
        <v>0</v>
      </c>
      <c r="AA526" s="8" t="s">
        <v>3150</v>
      </c>
      <c r="AB526" s="8" t="n">
        <v>0</v>
      </c>
    </row>
    <row r="527" customFormat="false" ht="13.8" hidden="false" customHeight="false" outlineLevel="0" collapsed="false">
      <c r="A527" s="48" t="s">
        <v>3685</v>
      </c>
      <c r="B527" s="41" t="s">
        <v>2656</v>
      </c>
      <c r="C527" s="0" t="s">
        <v>3147</v>
      </c>
      <c r="D527" s="0" t="s">
        <v>3551</v>
      </c>
      <c r="F527" s="0" t="n">
        <v>50</v>
      </c>
      <c r="G527" s="0" t="n">
        <v>24.5</v>
      </c>
      <c r="H527" s="0" t="s">
        <v>3552</v>
      </c>
      <c r="I527" s="0" t="s">
        <v>1002</v>
      </c>
      <c r="J527" s="0" t="s">
        <v>427</v>
      </c>
      <c r="K527" s="0" t="s">
        <v>427</v>
      </c>
      <c r="M527" s="44" t="str">
        <f aca="false">INDEX(fastqs!$A:$A, MATCH(A527, fastqs!$B:$B, 0), 1)</f>
        <v>23_nf1_lib23_S1_R1_001.fastq.gz</v>
      </c>
      <c r="N527" s="44" t="str">
        <f aca="false">INDEX(fastqs!$C:$C, MATCH(A527, fastqs!$B:$B, 0), 1)</f>
        <v>run0007</v>
      </c>
      <c r="O527" s="44" t="str">
        <f aca="false">INDEX(samples!$B:$B, MATCH(B527, samples!$A:$A, 0), 1)</f>
        <v>par0233</v>
      </c>
      <c r="P527" s="44" t="e">
        <f aca="false">INDEX(participants!$I:$I, MATCH(O527, participants!$A:$A, 0), 1)</f>
        <v>#N/A</v>
      </c>
      <c r="Q527" s="44" t="str">
        <f aca="false">INDEX(samples!$F:$F, MATCH(B527, samples!$A:$A, 0), 1)</f>
        <v>nf1_lib23</v>
      </c>
      <c r="R527" s="49" t="str">
        <f aca="false">INDEX(samples!$C:$C, MATCH(B527, samples!$A:$A, 0), 1)</f>
        <v>2023-09-19</v>
      </c>
      <c r="S527" s="50" t="str">
        <f aca="false">INDEX(samples!$D:$D,MATCH(B527, samples!$A:$A,0),1)</f>
        <v>blood</v>
      </c>
      <c r="W527" s="0" t="n">
        <v>22.2</v>
      </c>
      <c r="Y527" s="8" t="s">
        <v>1002</v>
      </c>
      <c r="Z527" s="8" t="n">
        <v>0</v>
      </c>
      <c r="AA527" s="8" t="s">
        <v>3150</v>
      </c>
      <c r="AB527" s="8" t="n">
        <v>0</v>
      </c>
    </row>
    <row r="528" customFormat="false" ht="13.8" hidden="false" customHeight="false" outlineLevel="0" collapsed="false">
      <c r="A528" s="48" t="s">
        <v>3686</v>
      </c>
      <c r="B528" s="41" t="s">
        <v>2660</v>
      </c>
      <c r="C528" s="0" t="s">
        <v>3147</v>
      </c>
      <c r="D528" s="0" t="s">
        <v>3551</v>
      </c>
      <c r="F528" s="0" t="n">
        <v>50</v>
      </c>
      <c r="G528" s="0" t="n">
        <v>20.9</v>
      </c>
      <c r="H528" s="0" t="s">
        <v>3552</v>
      </c>
      <c r="I528" s="0" t="s">
        <v>1002</v>
      </c>
      <c r="J528" s="0" t="s">
        <v>427</v>
      </c>
      <c r="K528" s="0" t="s">
        <v>427</v>
      </c>
      <c r="M528" s="44" t="str">
        <f aca="false">INDEX(fastqs!$A:$A, MATCH(A528, fastqs!$B:$B, 0), 1)</f>
        <v>24_nf1_lib24_S1_R1_001.fastq.gz</v>
      </c>
      <c r="N528" s="44" t="str">
        <f aca="false">INDEX(fastqs!$C:$C, MATCH(A528, fastqs!$B:$B, 0), 1)</f>
        <v>run0007</v>
      </c>
      <c r="O528" s="44" t="str">
        <f aca="false">INDEX(samples!$B:$B, MATCH(B528, samples!$A:$A, 0), 1)</f>
        <v>par0233</v>
      </c>
      <c r="P528" s="44" t="e">
        <f aca="false">INDEX(participants!$I:$I, MATCH(O528, participants!$A:$A, 0), 1)</f>
        <v>#N/A</v>
      </c>
      <c r="Q528" s="44" t="str">
        <f aca="false">INDEX(samples!$F:$F, MATCH(B528, samples!$A:$A, 0), 1)</f>
        <v>nf1_lib24</v>
      </c>
      <c r="R528" s="49" t="str">
        <f aca="false">INDEX(samples!$C:$C, MATCH(B528, samples!$A:$A, 0), 1)</f>
        <v>2024-03-19</v>
      </c>
      <c r="S528" s="50" t="str">
        <f aca="false">INDEX(samples!$D:$D,MATCH(B528, samples!$A:$A,0),1)</f>
        <v>blood</v>
      </c>
      <c r="W528" s="0" t="n">
        <v>10.8</v>
      </c>
      <c r="Y528" s="8" t="s">
        <v>1002</v>
      </c>
      <c r="Z528" s="8" t="n">
        <v>0</v>
      </c>
      <c r="AA528" s="8" t="s">
        <v>3150</v>
      </c>
      <c r="AB528" s="8" t="n">
        <v>0</v>
      </c>
    </row>
    <row r="529" customFormat="false" ht="13.8" hidden="false" customHeight="false" outlineLevel="0" collapsed="false">
      <c r="A529" s="48" t="s">
        <v>3687</v>
      </c>
      <c r="B529" s="41" t="s">
        <v>2662</v>
      </c>
      <c r="C529" s="0" t="s">
        <v>3147</v>
      </c>
      <c r="D529" s="0" t="s">
        <v>3551</v>
      </c>
      <c r="F529" s="0" t="n">
        <v>50</v>
      </c>
      <c r="G529" s="0" t="n">
        <v>24.8</v>
      </c>
      <c r="H529" s="0" t="s">
        <v>3552</v>
      </c>
      <c r="I529" s="0" t="s">
        <v>1002</v>
      </c>
      <c r="J529" s="0" t="s">
        <v>427</v>
      </c>
      <c r="K529" s="0" t="s">
        <v>427</v>
      </c>
      <c r="M529" s="44" t="str">
        <f aca="false">INDEX(fastqs!$A:$A, MATCH(A529, fastqs!$B:$B, 0), 1)</f>
        <v>25_nf1_lib25_S1_R1_001.fastq.gz</v>
      </c>
      <c r="N529" s="44" t="str">
        <f aca="false">INDEX(fastqs!$C:$C, MATCH(A529, fastqs!$B:$B, 0), 1)</f>
        <v>run0007</v>
      </c>
      <c r="O529" s="44" t="str">
        <f aca="false">INDEX(samples!$B:$B, MATCH(B529, samples!$A:$A, 0), 1)</f>
        <v>par0233</v>
      </c>
      <c r="P529" s="44" t="e">
        <f aca="false">INDEX(participants!$I:$I, MATCH(O529, participants!$A:$A, 0), 1)</f>
        <v>#N/A</v>
      </c>
      <c r="Q529" s="44" t="str">
        <f aca="false">INDEX(samples!$F:$F, MATCH(B529, samples!$A:$A, 0), 1)</f>
        <v>nf1_lib25</v>
      </c>
      <c r="R529" s="49" t="str">
        <f aca="false">INDEX(samples!$C:$C, MATCH(B529, samples!$A:$A, 0), 1)</f>
        <v>2024-06-18</v>
      </c>
      <c r="S529" s="50" t="str">
        <f aca="false">INDEX(samples!$D:$D,MATCH(B529, samples!$A:$A,0),1)</f>
        <v>blood</v>
      </c>
      <c r="W529" s="0" t="n">
        <v>12</v>
      </c>
      <c r="Y529" s="8" t="s">
        <v>1002</v>
      </c>
      <c r="Z529" s="8" t="n">
        <v>0</v>
      </c>
      <c r="AA529" s="8" t="s">
        <v>3150</v>
      </c>
      <c r="AB529" s="8" t="n">
        <v>0</v>
      </c>
    </row>
    <row r="530" customFormat="false" ht="13.8" hidden="false" customHeight="false" outlineLevel="0" collapsed="false">
      <c r="A530" s="48" t="s">
        <v>3688</v>
      </c>
      <c r="B530" s="41" t="s">
        <v>2664</v>
      </c>
      <c r="C530" s="0" t="s">
        <v>3147</v>
      </c>
      <c r="D530" s="0" t="s">
        <v>3551</v>
      </c>
      <c r="F530" s="0" t="n">
        <v>50</v>
      </c>
      <c r="G530" s="0" t="n">
        <v>65.7</v>
      </c>
      <c r="H530" s="0" t="s">
        <v>3552</v>
      </c>
      <c r="I530" s="0" t="s">
        <v>1002</v>
      </c>
      <c r="J530" s="0" t="s">
        <v>427</v>
      </c>
      <c r="K530" s="0" t="s">
        <v>427</v>
      </c>
      <c r="M530" s="44" t="str">
        <f aca="false">INDEX(fastqs!$A:$A, MATCH(A530, fastqs!$B:$B, 0), 1)</f>
        <v>26_nf1_lib26_S1_R1_001.fastq.gz</v>
      </c>
      <c r="N530" s="44" t="str">
        <f aca="false">INDEX(fastqs!$C:$C, MATCH(A530, fastqs!$B:$B, 0), 1)</f>
        <v>run0007</v>
      </c>
      <c r="O530" s="44" t="str">
        <f aca="false">INDEX(samples!$B:$B, MATCH(B530, samples!$A:$A, 0), 1)</f>
        <v>par0233</v>
      </c>
      <c r="P530" s="44" t="e">
        <f aca="false">INDEX(participants!$I:$I, MATCH(O530, participants!$A:$A, 0), 1)</f>
        <v>#N/A</v>
      </c>
      <c r="Q530" s="44" t="str">
        <f aca="false">INDEX(samples!$F:$F, MATCH(B530, samples!$A:$A, 0), 1)</f>
        <v>nf1_lib26</v>
      </c>
      <c r="R530" s="49" t="n">
        <f aca="false">INDEX(samples!$C:$C, MATCH(B530, samples!$A:$A, 0), 1)</f>
        <v>45279</v>
      </c>
      <c r="S530" s="50" t="str">
        <f aca="false">INDEX(samples!$D:$D,MATCH(B530, samples!$A:$A,0),1)</f>
        <v>blood</v>
      </c>
      <c r="W530" s="0" t="n">
        <v>0.478</v>
      </c>
      <c r="Y530" s="8" t="s">
        <v>1002</v>
      </c>
      <c r="Z530" s="8" t="n">
        <v>0</v>
      </c>
      <c r="AA530" s="8" t="s">
        <v>3150</v>
      </c>
      <c r="AB530" s="8" t="n">
        <v>0</v>
      </c>
    </row>
    <row r="531" customFormat="false" ht="13.8" hidden="false" customHeight="false" outlineLevel="0" collapsed="false">
      <c r="A531" s="48" t="s">
        <v>3689</v>
      </c>
      <c r="B531" s="41" t="s">
        <v>2666</v>
      </c>
      <c r="C531" s="0" t="s">
        <v>3147</v>
      </c>
      <c r="D531" s="0" t="s">
        <v>3551</v>
      </c>
      <c r="F531" s="0" t="n">
        <v>50</v>
      </c>
      <c r="G531" s="0" t="n">
        <v>54.7</v>
      </c>
      <c r="H531" s="0" t="s">
        <v>3552</v>
      </c>
      <c r="I531" s="0" t="s">
        <v>1002</v>
      </c>
      <c r="J531" s="0" t="s">
        <v>427</v>
      </c>
      <c r="K531" s="0" t="s">
        <v>427</v>
      </c>
      <c r="M531" s="44" t="str">
        <f aca="false">INDEX(fastqs!$A:$A, MATCH(A531, fastqs!$B:$B, 0), 1)</f>
        <v>27_nf1_lib27_S1_R1_001.fastq.gz</v>
      </c>
      <c r="N531" s="44" t="str">
        <f aca="false">INDEX(fastqs!$C:$C, MATCH(A531, fastqs!$B:$B, 0), 1)</f>
        <v>run0007</v>
      </c>
      <c r="O531" s="44" t="n">
        <f aca="false">INDEX(samples!$B:$B, MATCH(B531, samples!$A:$A, 0), 1)</f>
        <v>0</v>
      </c>
      <c r="P531" s="44" t="e">
        <f aca="false">INDEX(participants!$I:$I, MATCH(O531, participants!$A:$A, 0), 1)</f>
        <v>#N/A</v>
      </c>
      <c r="Q531" s="44" t="str">
        <f aca="false">INDEX(samples!$F:$F, MATCH(B531, samples!$A:$A, 0), 1)</f>
        <v>nf1_lib27</v>
      </c>
      <c r="R531" s="49" t="str">
        <f aca="false">INDEX(samples!$C:$C, MATCH(B531, samples!$A:$A, 0), 1)</f>
        <v>2023-11-14</v>
      </c>
      <c r="S531" s="50" t="str">
        <f aca="false">INDEX(samples!$D:$D,MATCH(B531, samples!$A:$A,0),1)</f>
        <v>blood</v>
      </c>
      <c r="W531" s="0" t="n">
        <v>15.6</v>
      </c>
      <c r="Y531" s="8" t="s">
        <v>1002</v>
      </c>
      <c r="Z531" s="8" t="n">
        <v>0</v>
      </c>
      <c r="AA531" s="8" t="s">
        <v>3150</v>
      </c>
      <c r="AB531" s="8" t="n">
        <v>0</v>
      </c>
    </row>
    <row r="532" customFormat="false" ht="13.8" hidden="false" customHeight="false" outlineLevel="0" collapsed="false">
      <c r="A532" s="48" t="s">
        <v>3690</v>
      </c>
      <c r="B532" s="41" t="s">
        <v>2670</v>
      </c>
      <c r="C532" s="0" t="s">
        <v>3147</v>
      </c>
      <c r="D532" s="0" t="s">
        <v>3551</v>
      </c>
      <c r="F532" s="0" t="n">
        <v>50</v>
      </c>
      <c r="G532" s="0" t="n">
        <v>26.3</v>
      </c>
      <c r="H532" s="0" t="s">
        <v>3552</v>
      </c>
      <c r="I532" s="0" t="s">
        <v>1002</v>
      </c>
      <c r="J532" s="0" t="s">
        <v>427</v>
      </c>
      <c r="K532" s="0" t="s">
        <v>427</v>
      </c>
      <c r="M532" s="44" t="str">
        <f aca="false">INDEX(fastqs!$A:$A, MATCH(A532, fastqs!$B:$B, 0), 1)</f>
        <v>28_nf1_lib28_S1_R1_001.fastq.gz</v>
      </c>
      <c r="N532" s="44" t="str">
        <f aca="false">INDEX(fastqs!$C:$C, MATCH(A532, fastqs!$B:$B, 0), 1)</f>
        <v>run0007</v>
      </c>
      <c r="O532" s="44" t="str">
        <f aca="false">INDEX(samples!$B:$B, MATCH(B532, samples!$A:$A, 0), 1)</f>
        <v>par0258</v>
      </c>
      <c r="P532" s="44" t="e">
        <f aca="false">INDEX(participants!$I:$I, MATCH(O532, participants!$A:$A, 0), 1)</f>
        <v>#N/A</v>
      </c>
      <c r="Q532" s="44" t="str">
        <f aca="false">INDEX(samples!$F:$F, MATCH(B532, samples!$A:$A, 0), 1)</f>
        <v>nf1_lib28</v>
      </c>
      <c r="R532" s="49" t="str">
        <f aca="false">INDEX(samples!$C:$C, MATCH(B532, samples!$A:$A, 0), 1)</f>
        <v>2022-12-27</v>
      </c>
      <c r="S532" s="50" t="str">
        <f aca="false">INDEX(samples!$D:$D,MATCH(B532, samples!$A:$A,0),1)</f>
        <v>blood</v>
      </c>
      <c r="W532" s="0" t="n">
        <v>0.959</v>
      </c>
      <c r="Y532" s="8" t="s">
        <v>1002</v>
      </c>
      <c r="Z532" s="8" t="n">
        <v>0</v>
      </c>
      <c r="AA532" s="8" t="s">
        <v>3150</v>
      </c>
      <c r="AB532" s="8" t="n">
        <v>0</v>
      </c>
    </row>
    <row r="533" customFormat="false" ht="13.8" hidden="false" customHeight="false" outlineLevel="0" collapsed="false">
      <c r="A533" s="48" t="s">
        <v>3691</v>
      </c>
      <c r="B533" s="41" t="s">
        <v>2674</v>
      </c>
      <c r="C533" s="0" t="s">
        <v>3147</v>
      </c>
      <c r="D533" s="0" t="s">
        <v>3551</v>
      </c>
      <c r="F533" s="0" t="n">
        <v>50</v>
      </c>
      <c r="G533" s="0" t="n">
        <v>32.9</v>
      </c>
      <c r="H533" s="0" t="s">
        <v>3552</v>
      </c>
      <c r="I533" s="0" t="s">
        <v>1002</v>
      </c>
      <c r="J533" s="0" t="s">
        <v>427</v>
      </c>
      <c r="K533" s="0" t="s">
        <v>427</v>
      </c>
      <c r="M533" s="44" t="str">
        <f aca="false">INDEX(fastqs!$A:$A, MATCH(A533, fastqs!$B:$B, 0), 1)</f>
        <v>29_nf1_lib29_S1_R1_001.fastq.gz</v>
      </c>
      <c r="N533" s="44" t="str">
        <f aca="false">INDEX(fastqs!$C:$C, MATCH(A533, fastqs!$B:$B, 0), 1)</f>
        <v>run0007</v>
      </c>
      <c r="O533" s="44" t="str">
        <f aca="false">INDEX(samples!$B:$B, MATCH(B533, samples!$A:$A, 0), 1)</f>
        <v>par0227</v>
      </c>
      <c r="P533" s="44" t="e">
        <f aca="false">INDEX(participants!$I:$I, MATCH(O533, participants!$A:$A, 0), 1)</f>
        <v>#N/A</v>
      </c>
      <c r="Q533" s="44" t="str">
        <f aca="false">INDEX(samples!$F:$F, MATCH(B533, samples!$A:$A, 0), 1)</f>
        <v>nf1_lib29</v>
      </c>
      <c r="R533" s="49" t="str">
        <f aca="false">INDEX(samples!$C:$C, MATCH(B533, samples!$A:$A, 0), 1)</f>
        <v>2022-05-14</v>
      </c>
      <c r="S533" s="50" t="str">
        <f aca="false">INDEX(samples!$D:$D,MATCH(B533, samples!$A:$A,0),1)</f>
        <v>blood</v>
      </c>
      <c r="W533" s="0" t="n">
        <v>15.1</v>
      </c>
      <c r="Y533" s="8" t="s">
        <v>1002</v>
      </c>
      <c r="Z533" s="8" t="n">
        <v>0</v>
      </c>
      <c r="AA533" s="8" t="s">
        <v>3150</v>
      </c>
      <c r="AB533" s="8" t="n">
        <v>0</v>
      </c>
    </row>
    <row r="534" customFormat="false" ht="13.8" hidden="false" customHeight="false" outlineLevel="0" collapsed="false">
      <c r="A534" s="48" t="s">
        <v>3692</v>
      </c>
      <c r="B534" s="41" t="s">
        <v>2678</v>
      </c>
      <c r="C534" s="0" t="s">
        <v>3147</v>
      </c>
      <c r="D534" s="0" t="s">
        <v>3551</v>
      </c>
      <c r="F534" s="0" t="n">
        <v>50</v>
      </c>
      <c r="G534" s="0" t="n">
        <v>20.5</v>
      </c>
      <c r="H534" s="0" t="s">
        <v>3552</v>
      </c>
      <c r="I534" s="0" t="s">
        <v>1002</v>
      </c>
      <c r="J534" s="0" t="s">
        <v>427</v>
      </c>
      <c r="K534" s="0" t="s">
        <v>427</v>
      </c>
      <c r="M534" s="44" t="str">
        <f aca="false">INDEX(fastqs!$A:$A, MATCH(A534, fastqs!$B:$B, 0), 1)</f>
        <v>30_nf1_lib30_S1_R1_001.fastq.gz</v>
      </c>
      <c r="N534" s="44" t="str">
        <f aca="false">INDEX(fastqs!$C:$C, MATCH(A534, fastqs!$B:$B, 0), 1)</f>
        <v>run0007</v>
      </c>
      <c r="O534" s="44" t="str">
        <f aca="false">INDEX(samples!$B:$B, MATCH(B534, samples!$A:$A, 0), 1)</f>
        <v>par0298</v>
      </c>
      <c r="P534" s="44" t="e">
        <f aca="false">INDEX(participants!$I:$I, MATCH(O534, participants!$A:$A, 0), 1)</f>
        <v>#N/A</v>
      </c>
      <c r="Q534" s="44" t="str">
        <f aca="false">INDEX(samples!$F:$F, MATCH(B534, samples!$A:$A, 0), 1)</f>
        <v>nf1_lib30</v>
      </c>
      <c r="R534" s="49" t="str">
        <f aca="false">INDEX(samples!$C:$C, MATCH(B534, samples!$A:$A, 0), 1)</f>
        <v>2024-07-11</v>
      </c>
      <c r="S534" s="50" t="str">
        <f aca="false">INDEX(samples!$D:$D,MATCH(B534, samples!$A:$A,0),1)</f>
        <v>blood</v>
      </c>
      <c r="T534" s="0" t="n">
        <v>2</v>
      </c>
      <c r="W534" s="0" t="n">
        <v>15.9</v>
      </c>
      <c r="Y534" s="8" t="s">
        <v>1002</v>
      </c>
      <c r="Z534" s="8" t="n">
        <v>0</v>
      </c>
      <c r="AA534" s="8" t="s">
        <v>3150</v>
      </c>
      <c r="AB534" s="8" t="n">
        <v>0</v>
      </c>
    </row>
    <row r="535" customFormat="false" ht="13.8" hidden="false" customHeight="false" outlineLevel="0" collapsed="false">
      <c r="A535" s="48" t="s">
        <v>3693</v>
      </c>
      <c r="B535" s="41" t="s">
        <v>2683</v>
      </c>
      <c r="C535" s="0" t="s">
        <v>3147</v>
      </c>
      <c r="D535" s="0" t="s">
        <v>3551</v>
      </c>
      <c r="F535" s="0" t="n">
        <v>50</v>
      </c>
      <c r="G535" s="0" t="n">
        <v>23.5</v>
      </c>
      <c r="H535" s="0" t="s">
        <v>3552</v>
      </c>
      <c r="I535" s="0" t="s">
        <v>1002</v>
      </c>
      <c r="J535" s="0" t="s">
        <v>427</v>
      </c>
      <c r="K535" s="0" t="s">
        <v>427</v>
      </c>
      <c r="M535" s="44" t="str">
        <f aca="false">INDEX(fastqs!$A:$A, MATCH(A535, fastqs!$B:$B, 0), 1)</f>
        <v>31_nf1_lib31_S1_R1_001.fastq.gz</v>
      </c>
      <c r="N535" s="44" t="str">
        <f aca="false">INDEX(fastqs!$C:$C, MATCH(A535, fastqs!$B:$B, 0), 1)</f>
        <v>run0007</v>
      </c>
      <c r="O535" s="44" t="str">
        <f aca="false">INDEX(samples!$B:$B, MATCH(B535, samples!$A:$A, 0), 1)</f>
        <v>par0296</v>
      </c>
      <c r="P535" s="44" t="e">
        <f aca="false">INDEX(participants!$I:$I, MATCH(O535, participants!$A:$A, 0), 1)</f>
        <v>#N/A</v>
      </c>
      <c r="Q535" s="44" t="str">
        <f aca="false">INDEX(samples!$F:$F, MATCH(B535, samples!$A:$A, 0), 1)</f>
        <v>nf1_lib31</v>
      </c>
      <c r="R535" s="49" t="str">
        <f aca="false">INDEX(samples!$C:$C, MATCH(B535, samples!$A:$A, 0), 1)</f>
        <v>2024-12-17</v>
      </c>
      <c r="S535" s="50" t="str">
        <f aca="false">INDEX(samples!$D:$D,MATCH(B535, samples!$A:$A,0),1)</f>
        <v>blood</v>
      </c>
      <c r="T535" s="0" t="n">
        <v>1.5</v>
      </c>
      <c r="W535" s="0" t="n">
        <v>23.8</v>
      </c>
      <c r="Y535" s="8" t="s">
        <v>1002</v>
      </c>
      <c r="Z535" s="8" t="n">
        <v>0</v>
      </c>
      <c r="AA535" s="8" t="s">
        <v>3150</v>
      </c>
      <c r="AB535" s="8" t="n">
        <v>0</v>
      </c>
    </row>
    <row r="536" customFormat="false" ht="13.8" hidden="false" customHeight="false" outlineLevel="0" collapsed="false">
      <c r="A536" s="48" t="s">
        <v>3694</v>
      </c>
      <c r="B536" s="41" t="s">
        <v>2687</v>
      </c>
      <c r="C536" s="0" t="s">
        <v>3147</v>
      </c>
      <c r="D536" s="0" t="s">
        <v>3551</v>
      </c>
      <c r="F536" s="0" t="n">
        <v>50</v>
      </c>
      <c r="G536" s="0" t="n">
        <v>24.7</v>
      </c>
      <c r="H536" s="0" t="s">
        <v>3552</v>
      </c>
      <c r="I536" s="0" t="s">
        <v>1002</v>
      </c>
      <c r="J536" s="0" t="s">
        <v>427</v>
      </c>
      <c r="K536" s="0" t="s">
        <v>427</v>
      </c>
      <c r="M536" s="44" t="str">
        <f aca="false">INDEX(fastqs!$A:$A, MATCH(A536, fastqs!$B:$B, 0), 1)</f>
        <v>32_nf1_lib32_S1_R1_001.fastq.gz</v>
      </c>
      <c r="N536" s="44" t="str">
        <f aca="false">INDEX(fastqs!$C:$C, MATCH(A536, fastqs!$B:$B, 0), 1)</f>
        <v>run0007</v>
      </c>
      <c r="O536" s="44" t="str">
        <f aca="false">INDEX(samples!$B:$B, MATCH(B536, samples!$A:$A, 0), 1)</f>
        <v>par0297</v>
      </c>
      <c r="P536" s="44" t="e">
        <f aca="false">INDEX(participants!$I:$I, MATCH(O536, participants!$A:$A, 0), 1)</f>
        <v>#N/A</v>
      </c>
      <c r="Q536" s="44" t="str">
        <f aca="false">INDEX(samples!$F:$F, MATCH(B536, samples!$A:$A, 0), 1)</f>
        <v>nf1_lib32</v>
      </c>
      <c r="R536" s="49" t="str">
        <f aca="false">INDEX(samples!$C:$C, MATCH(B536, samples!$A:$A, 0), 1)</f>
        <v>2024-12-17</v>
      </c>
      <c r="S536" s="50" t="str">
        <f aca="false">INDEX(samples!$D:$D,MATCH(B536, samples!$A:$A,0),1)</f>
        <v>blood</v>
      </c>
      <c r="T536" s="0" t="n">
        <v>1.5</v>
      </c>
      <c r="W536" s="0" t="n">
        <v>0</v>
      </c>
      <c r="Y536" s="8" t="s">
        <v>1002</v>
      </c>
      <c r="Z536" s="8" t="n">
        <v>0</v>
      </c>
      <c r="AA536" s="8" t="s">
        <v>3150</v>
      </c>
      <c r="AB536" s="8" t="n">
        <v>0</v>
      </c>
    </row>
    <row r="537" customFormat="false" ht="13.8" hidden="false" customHeight="false" outlineLevel="0" collapsed="false">
      <c r="A537" s="48" t="s">
        <v>3695</v>
      </c>
      <c r="B537" s="41" t="s">
        <v>2690</v>
      </c>
      <c r="C537" s="0" t="s">
        <v>3147</v>
      </c>
      <c r="D537" s="0" t="s">
        <v>3551</v>
      </c>
      <c r="F537" s="0" t="n">
        <v>50</v>
      </c>
      <c r="G537" s="0" t="n">
        <v>56.7</v>
      </c>
      <c r="H537" s="0" t="s">
        <v>3552</v>
      </c>
      <c r="I537" s="0" t="s">
        <v>1002</v>
      </c>
      <c r="J537" s="0" t="s">
        <v>427</v>
      </c>
      <c r="K537" s="0" t="s">
        <v>427</v>
      </c>
      <c r="M537" s="44" t="str">
        <f aca="false">INDEX(fastqs!$A:$A, MATCH(A537, fastqs!$B:$B, 0), 1)</f>
        <v>33_nf1_lib33_S1_R1_001.fastq.gz</v>
      </c>
      <c r="N537" s="44" t="str">
        <f aca="false">INDEX(fastqs!$C:$C, MATCH(A537, fastqs!$B:$B, 0), 1)</f>
        <v>run0007</v>
      </c>
      <c r="O537" s="44" t="str">
        <f aca="false">INDEX(samples!$B:$B, MATCH(B537, samples!$A:$A, 0), 1)</f>
        <v>par0294</v>
      </c>
      <c r="P537" s="44" t="e">
        <f aca="false">INDEX(participants!$I:$I, MATCH(O537, participants!$A:$A, 0), 1)</f>
        <v>#N/A</v>
      </c>
      <c r="Q537" s="44" t="str">
        <f aca="false">INDEX(samples!$F:$F, MATCH(B537, samples!$A:$A, 0), 1)</f>
        <v>nf1_lib33</v>
      </c>
      <c r="R537" s="49" t="str">
        <f aca="false">INDEX(samples!$C:$C, MATCH(B537, samples!$A:$A, 0), 1)</f>
        <v>2025-02-04</v>
      </c>
      <c r="S537" s="50" t="str">
        <f aca="false">INDEX(samples!$D:$D,MATCH(B537, samples!$A:$A,0),1)</f>
        <v>blood</v>
      </c>
      <c r="T537" s="0" t="n">
        <v>1.5</v>
      </c>
      <c r="W537" s="0" t="n">
        <v>18.9</v>
      </c>
      <c r="Y537" s="8" t="s">
        <v>1002</v>
      </c>
      <c r="Z537" s="8" t="n">
        <v>0</v>
      </c>
      <c r="AA537" s="8" t="s">
        <v>3150</v>
      </c>
      <c r="AB537" s="8" t="n">
        <v>0</v>
      </c>
    </row>
    <row r="538" customFormat="false" ht="13.8" hidden="false" customHeight="false" outlineLevel="0" collapsed="false">
      <c r="A538" s="48" t="s">
        <v>3696</v>
      </c>
      <c r="B538" s="41" t="s">
        <v>2693</v>
      </c>
      <c r="C538" s="0" t="s">
        <v>3147</v>
      </c>
      <c r="D538" s="0" t="s">
        <v>3551</v>
      </c>
      <c r="F538" s="0" t="n">
        <v>50</v>
      </c>
      <c r="G538" s="0" t="n">
        <v>64.9</v>
      </c>
      <c r="H538" s="0" t="s">
        <v>3552</v>
      </c>
      <c r="I538" s="0" t="s">
        <v>1002</v>
      </c>
      <c r="J538" s="0" t="s">
        <v>427</v>
      </c>
      <c r="K538" s="0" t="s">
        <v>427</v>
      </c>
      <c r="M538" s="44" t="str">
        <f aca="false">INDEX(fastqs!$A:$A, MATCH(A538, fastqs!$B:$B, 0), 1)</f>
        <v>34_nf1_lib34_S1_R1_001.fastq.gz</v>
      </c>
      <c r="N538" s="44" t="str">
        <f aca="false">INDEX(fastqs!$C:$C, MATCH(A538, fastqs!$B:$B, 0), 1)</f>
        <v>run0007</v>
      </c>
      <c r="O538" s="44" t="str">
        <f aca="false">INDEX(samples!$B:$B, MATCH(B538, samples!$A:$A, 0), 1)</f>
        <v>par0233</v>
      </c>
      <c r="P538" s="44" t="e">
        <f aca="false">INDEX(participants!$I:$I, MATCH(O538, participants!$A:$A, 0), 1)</f>
        <v>#N/A</v>
      </c>
      <c r="Q538" s="44" t="str">
        <f aca="false">INDEX(samples!$F:$F, MATCH(B538, samples!$A:$A, 0), 1)</f>
        <v>nf1_lib34</v>
      </c>
      <c r="R538" s="49" t="str">
        <f aca="false">INDEX(samples!$C:$C, MATCH(B538, samples!$A:$A, 0), 1)</f>
        <v>2025-02-18</v>
      </c>
      <c r="S538" s="50" t="str">
        <f aca="false">INDEX(samples!$D:$D,MATCH(B538, samples!$A:$A,0),1)</f>
        <v>blood</v>
      </c>
      <c r="W538" s="0" t="n">
        <v>21.7</v>
      </c>
      <c r="Y538" s="8" t="s">
        <v>1002</v>
      </c>
      <c r="Z538" s="8" t="n">
        <v>0</v>
      </c>
      <c r="AA538" s="8" t="s">
        <v>3150</v>
      </c>
      <c r="AB538" s="8" t="n">
        <v>0</v>
      </c>
    </row>
    <row r="539" customFormat="false" ht="13.8" hidden="false" customHeight="false" outlineLevel="0" collapsed="false">
      <c r="A539" s="48" t="s">
        <v>3697</v>
      </c>
      <c r="B539" s="41" t="s">
        <v>2696</v>
      </c>
      <c r="C539" s="0" t="s">
        <v>3147</v>
      </c>
      <c r="D539" s="0" t="s">
        <v>3551</v>
      </c>
      <c r="F539" s="0" t="n">
        <v>50</v>
      </c>
      <c r="G539" s="0" t="n">
        <v>70.6</v>
      </c>
      <c r="H539" s="0" t="s">
        <v>3552</v>
      </c>
      <c r="I539" s="0" t="s">
        <v>1002</v>
      </c>
      <c r="J539" s="0" t="s">
        <v>427</v>
      </c>
      <c r="K539" s="0" t="s">
        <v>427</v>
      </c>
      <c r="M539" s="44" t="str">
        <f aca="false">INDEX(fastqs!$A:$A, MATCH(A539, fastqs!$B:$B, 0), 1)</f>
        <v>35_nf1_lib35_S1_R1_001.fastq.gz</v>
      </c>
      <c r="N539" s="44" t="str">
        <f aca="false">INDEX(fastqs!$C:$C, MATCH(A539, fastqs!$B:$B, 0), 1)</f>
        <v>run0007</v>
      </c>
      <c r="O539" s="44" t="str">
        <f aca="false">INDEX(samples!$B:$B, MATCH(B539, samples!$A:$A, 0), 1)</f>
        <v>par0233</v>
      </c>
      <c r="P539" s="44" t="e">
        <f aca="false">INDEX(participants!$I:$I, MATCH(O539, participants!$A:$A, 0), 1)</f>
        <v>#N/A</v>
      </c>
      <c r="Q539" s="44" t="str">
        <f aca="false">INDEX(samples!$F:$F, MATCH(B539, samples!$A:$A, 0), 1)</f>
        <v>nf1_lib35</v>
      </c>
      <c r="R539" s="49" t="str">
        <f aca="false">INDEX(samples!$C:$C, MATCH(B539, samples!$A:$A, 0), 1)</f>
        <v>2024-12-17</v>
      </c>
      <c r="S539" s="50" t="str">
        <f aca="false">INDEX(samples!$D:$D,MATCH(B539, samples!$A:$A,0),1)</f>
        <v>blood</v>
      </c>
      <c r="T539" s="0" t="n">
        <v>1.5</v>
      </c>
      <c r="W539" s="0" t="n">
        <v>13.8</v>
      </c>
      <c r="Y539" s="8" t="s">
        <v>1002</v>
      </c>
      <c r="Z539" s="8" t="n">
        <v>0</v>
      </c>
      <c r="AA539" s="8" t="s">
        <v>3150</v>
      </c>
      <c r="AB539" s="8" t="n">
        <v>0</v>
      </c>
    </row>
    <row r="540" customFormat="false" ht="13.8" hidden="false" customHeight="false" outlineLevel="0" collapsed="false">
      <c r="A540" s="48" t="s">
        <v>3698</v>
      </c>
      <c r="B540" s="41" t="s">
        <v>2698</v>
      </c>
      <c r="C540" s="0" t="s">
        <v>3147</v>
      </c>
      <c r="D540" s="0" t="s">
        <v>3551</v>
      </c>
      <c r="F540" s="0" t="n">
        <v>50</v>
      </c>
      <c r="G540" s="0" t="n">
        <v>100</v>
      </c>
      <c r="H540" s="0" t="s">
        <v>3552</v>
      </c>
      <c r="I540" s="0" t="s">
        <v>1002</v>
      </c>
      <c r="J540" s="0" t="s">
        <v>427</v>
      </c>
      <c r="K540" s="0" t="s">
        <v>427</v>
      </c>
      <c r="M540" s="44" t="str">
        <f aca="false">INDEX(fastqs!$A:$A, MATCH(A540, fastqs!$B:$B, 0), 1)</f>
        <v>36_nf1_lib36_S1_R1_001.fastq.gz</v>
      </c>
      <c r="N540" s="44" t="str">
        <f aca="false">INDEX(fastqs!$C:$C, MATCH(A540, fastqs!$B:$B, 0), 1)</f>
        <v>run0007</v>
      </c>
      <c r="O540" s="44" t="str">
        <f aca="false">INDEX(samples!$B:$B, MATCH(B540, samples!$A:$A, 0), 1)</f>
        <v>par0247</v>
      </c>
      <c r="P540" s="44" t="e">
        <f aca="false">INDEX(participants!$I:$I, MATCH(O540, participants!$A:$A, 0), 1)</f>
        <v>#N/A</v>
      </c>
      <c r="Q540" s="44" t="str">
        <f aca="false">INDEX(samples!$F:$F, MATCH(B540, samples!$A:$A, 0), 1)</f>
        <v>nf1_lib36</v>
      </c>
      <c r="R540" s="49" t="str">
        <f aca="false">INDEX(samples!$C:$C, MATCH(B540, samples!$A:$A, 0), 1)</f>
        <v>2024-10-08</v>
      </c>
      <c r="S540" s="50" t="str">
        <f aca="false">INDEX(samples!$D:$D,MATCH(B540, samples!$A:$A,0),1)</f>
        <v>blood</v>
      </c>
      <c r="T540" s="0" t="n">
        <v>1.5</v>
      </c>
      <c r="W540" s="0" t="n">
        <v>7.45</v>
      </c>
      <c r="Y540" s="8" t="s">
        <v>1002</v>
      </c>
      <c r="Z540" s="8" t="n">
        <v>0</v>
      </c>
      <c r="AA540" s="8" t="s">
        <v>3150</v>
      </c>
      <c r="AB540" s="8" t="n">
        <v>0</v>
      </c>
    </row>
    <row r="541" customFormat="false" ht="13.8" hidden="false" customHeight="false" outlineLevel="0" collapsed="false">
      <c r="A541" s="48" t="s">
        <v>3699</v>
      </c>
      <c r="B541" s="41" t="s">
        <v>2702</v>
      </c>
      <c r="C541" s="0" t="s">
        <v>3147</v>
      </c>
      <c r="D541" s="0" t="s">
        <v>3551</v>
      </c>
      <c r="F541" s="0" t="n">
        <v>50</v>
      </c>
      <c r="G541" s="0" t="n">
        <v>55.2</v>
      </c>
      <c r="H541" s="0" t="s">
        <v>3552</v>
      </c>
      <c r="I541" s="0" t="s">
        <v>1002</v>
      </c>
      <c r="J541" s="0" t="s">
        <v>427</v>
      </c>
      <c r="K541" s="0" t="s">
        <v>427</v>
      </c>
      <c r="M541" s="44" t="str">
        <f aca="false">INDEX(fastqs!$A:$A, MATCH(A541, fastqs!$B:$B, 0), 1)</f>
        <v>37_nf1_lib37_S1_R1_001.fastq.gz</v>
      </c>
      <c r="N541" s="44" t="str">
        <f aca="false">INDEX(fastqs!$C:$C, MATCH(A541, fastqs!$B:$B, 0), 1)</f>
        <v>run0007</v>
      </c>
      <c r="O541" s="44" t="str">
        <f aca="false">INDEX(samples!$B:$B, MATCH(B541, samples!$A:$A, 0), 1)</f>
        <v>par0247</v>
      </c>
      <c r="P541" s="44" t="e">
        <f aca="false">INDEX(participants!$I:$I, MATCH(O541, participants!$A:$A, 0), 1)</f>
        <v>#N/A</v>
      </c>
      <c r="Q541" s="44" t="str">
        <f aca="false">INDEX(samples!$F:$F, MATCH(B541, samples!$A:$A, 0), 1)</f>
        <v>nf1_lib37</v>
      </c>
      <c r="R541" s="49" t="str">
        <f aca="false">INDEX(samples!$C:$C, MATCH(B541, samples!$A:$A, 0), 1)</f>
        <v>2025-02-25</v>
      </c>
      <c r="S541" s="50" t="str">
        <f aca="false">INDEX(samples!$D:$D,MATCH(B541, samples!$A:$A,0),1)</f>
        <v>blood</v>
      </c>
      <c r="T541" s="0" t="n">
        <v>1.5</v>
      </c>
      <c r="W541" s="0" t="n">
        <v>3.68</v>
      </c>
      <c r="Y541" s="8" t="s">
        <v>1002</v>
      </c>
      <c r="Z541" s="8" t="n">
        <v>0</v>
      </c>
      <c r="AA541" s="8" t="s">
        <v>3150</v>
      </c>
      <c r="AB541" s="8" t="n">
        <v>0</v>
      </c>
    </row>
    <row r="542" customFormat="false" ht="13.8" hidden="false" customHeight="false" outlineLevel="0" collapsed="false">
      <c r="A542" s="48" t="s">
        <v>3700</v>
      </c>
      <c r="B542" s="41" t="s">
        <v>2705</v>
      </c>
      <c r="C542" s="0" t="s">
        <v>3147</v>
      </c>
      <c r="D542" s="0" t="s">
        <v>3551</v>
      </c>
      <c r="F542" s="0" t="n">
        <v>51</v>
      </c>
      <c r="G542" s="0" t="n">
        <v>28.5</v>
      </c>
      <c r="H542" s="0" t="s">
        <v>3552</v>
      </c>
      <c r="I542" s="0" t="s">
        <v>1002</v>
      </c>
      <c r="J542" s="0" t="s">
        <v>427</v>
      </c>
      <c r="K542" s="0" t="s">
        <v>427</v>
      </c>
      <c r="M542" s="44" t="str">
        <f aca="false">INDEX(fastqs!$A:$A, MATCH(A542, fastqs!$B:$B, 0), 1)</f>
        <v>38_nf1_lib38_S1_R1_001.fastq.gz</v>
      </c>
      <c r="N542" s="44" t="str">
        <f aca="false">INDEX(fastqs!$C:$C, MATCH(A542, fastqs!$B:$B, 0), 1)</f>
        <v>run0007</v>
      </c>
      <c r="O542" s="44" t="str">
        <f aca="false">INDEX(samples!$B:$B, MATCH(B542, samples!$A:$A, 0), 1)</f>
        <v>par0298</v>
      </c>
      <c r="P542" s="44" t="e">
        <f aca="false">INDEX(participants!$I:$I, MATCH(O542, participants!$A:$A, 0), 1)</f>
        <v>#N/A</v>
      </c>
      <c r="Q542" s="44" t="str">
        <f aca="false">INDEX(samples!$F:$F, MATCH(B542, samples!$A:$A, 0), 1)</f>
        <v>nf1_lib38</v>
      </c>
      <c r="R542" s="49" t="str">
        <f aca="false">INDEX(samples!$C:$C, MATCH(B542, samples!$A:$A, 0), 1)</f>
        <v>2024-03-12</v>
      </c>
      <c r="S542" s="50" t="str">
        <f aca="false">INDEX(samples!$D:$D,MATCH(B542, samples!$A:$A,0),1)</f>
        <v>blood</v>
      </c>
      <c r="T542" s="0" t="n">
        <v>1.5</v>
      </c>
      <c r="W542" s="0" t="n">
        <v>12.7</v>
      </c>
      <c r="Y542" s="8" t="s">
        <v>1002</v>
      </c>
      <c r="Z542" s="8" t="n">
        <v>0</v>
      </c>
      <c r="AA542" s="8" t="s">
        <v>3150</v>
      </c>
      <c r="AB542" s="8" t="n">
        <v>0</v>
      </c>
    </row>
    <row r="543" customFormat="false" ht="13.8" hidden="false" customHeight="false" outlineLevel="0" collapsed="false">
      <c r="A543" s="48" t="s">
        <v>3701</v>
      </c>
      <c r="B543" s="41" t="s">
        <v>2708</v>
      </c>
      <c r="C543" s="0" t="s">
        <v>3147</v>
      </c>
      <c r="D543" s="0" t="s">
        <v>3551</v>
      </c>
      <c r="F543" s="0" t="n">
        <v>53</v>
      </c>
      <c r="G543" s="0" t="n">
        <v>32.4</v>
      </c>
      <c r="H543" s="0" t="s">
        <v>3552</v>
      </c>
      <c r="I543" s="0" t="s">
        <v>1002</v>
      </c>
      <c r="J543" s="0" t="s">
        <v>427</v>
      </c>
      <c r="K543" s="0" t="s">
        <v>427</v>
      </c>
      <c r="M543" s="44" t="str">
        <f aca="false">INDEX(fastqs!$A:$A, MATCH(A543, fastqs!$B:$B, 0), 1)</f>
        <v>39_nf1_lib39_S1_R1_001.fastq.gz</v>
      </c>
      <c r="N543" s="44" t="str">
        <f aca="false">INDEX(fastqs!$C:$C, MATCH(A543, fastqs!$B:$B, 0), 1)</f>
        <v>run0007</v>
      </c>
      <c r="O543" s="44" t="str">
        <f aca="false">INDEX(samples!$B:$B, MATCH(B543, samples!$A:$A, 0), 1)</f>
        <v>par0298</v>
      </c>
      <c r="P543" s="44" t="e">
        <f aca="false">INDEX(participants!$I:$I, MATCH(O543, participants!$A:$A, 0), 1)</f>
        <v>#N/A</v>
      </c>
      <c r="Q543" s="44" t="str">
        <f aca="false">INDEX(samples!$F:$F, MATCH(B543, samples!$A:$A, 0), 1)</f>
        <v>nf1_lib39</v>
      </c>
      <c r="R543" s="49" t="str">
        <f aca="false">INDEX(samples!$C:$C, MATCH(B543, samples!$A:$A, 0), 1)</f>
        <v>2024-07-18</v>
      </c>
      <c r="S543" s="50" t="str">
        <f aca="false">INDEX(samples!$D:$D,MATCH(B543, samples!$A:$A,0),1)</f>
        <v>blood</v>
      </c>
      <c r="T543" s="0" t="n">
        <v>2</v>
      </c>
      <c r="W543" s="0" t="n">
        <v>5.4</v>
      </c>
      <c r="Y543" s="8" t="s">
        <v>1002</v>
      </c>
      <c r="Z543" s="8" t="n">
        <v>0</v>
      </c>
      <c r="AA543" s="8" t="s">
        <v>3150</v>
      </c>
      <c r="AB543" s="8" t="n">
        <v>0</v>
      </c>
    </row>
    <row r="544" customFormat="false" ht="13.8" hidden="false" customHeight="false" outlineLevel="0" collapsed="false">
      <c r="A544" s="48" t="s">
        <v>3702</v>
      </c>
      <c r="B544" s="41" t="s">
        <v>2710</v>
      </c>
      <c r="C544" s="0" t="s">
        <v>3147</v>
      </c>
      <c r="D544" s="0" t="s">
        <v>3551</v>
      </c>
      <c r="F544" s="0" t="n">
        <v>48</v>
      </c>
      <c r="G544" s="0" t="n">
        <v>88.6</v>
      </c>
      <c r="H544" s="0" t="s">
        <v>3552</v>
      </c>
      <c r="I544" s="0" t="s">
        <v>1002</v>
      </c>
      <c r="J544" s="0" t="s">
        <v>427</v>
      </c>
      <c r="K544" s="0" t="s">
        <v>427</v>
      </c>
      <c r="M544" s="44" t="str">
        <f aca="false">INDEX(fastqs!$A:$A, MATCH(A544, fastqs!$B:$B, 0), 1)</f>
        <v>40_nf1_lib40_S1_R1_001.fastq.gz</v>
      </c>
      <c r="N544" s="44" t="str">
        <f aca="false">INDEX(fastqs!$C:$C, MATCH(A544, fastqs!$B:$B, 0), 1)</f>
        <v>run0007</v>
      </c>
      <c r="O544" s="44" t="str">
        <f aca="false">INDEX(samples!$B:$B, MATCH(B544, samples!$A:$A, 0), 1)</f>
        <v>par0245</v>
      </c>
      <c r="P544" s="44" t="e">
        <f aca="false">INDEX(participants!$I:$I, MATCH(O544, participants!$A:$A, 0), 1)</f>
        <v>#N/A</v>
      </c>
      <c r="Q544" s="44" t="str">
        <f aca="false">INDEX(samples!$F:$F, MATCH(B544, samples!$A:$A, 0), 1)</f>
        <v>nf1_lib40</v>
      </c>
      <c r="R544" s="49" t="str">
        <f aca="false">INDEX(samples!$C:$C, MATCH(B544, samples!$A:$A, 0), 1)</f>
        <v>2021-10-26</v>
      </c>
      <c r="S544" s="50" t="str">
        <f aca="false">INDEX(samples!$D:$D,MATCH(B544, samples!$A:$A,0),1)</f>
        <v>blood</v>
      </c>
      <c r="W544" s="0" t="n">
        <v>13.7</v>
      </c>
      <c r="Y544" s="8" t="s">
        <v>1002</v>
      </c>
      <c r="Z544" s="8" t="n">
        <v>0</v>
      </c>
      <c r="AA544" s="8" t="s">
        <v>3150</v>
      </c>
      <c r="AB544" s="8" t="n">
        <v>0</v>
      </c>
    </row>
    <row r="545" customFormat="false" ht="13.8" hidden="false" customHeight="false" outlineLevel="0" collapsed="false">
      <c r="A545" s="48" t="s">
        <v>3703</v>
      </c>
      <c r="B545" s="41" t="s">
        <v>2713</v>
      </c>
      <c r="C545" s="0" t="s">
        <v>3147</v>
      </c>
      <c r="D545" s="0" t="s">
        <v>3551</v>
      </c>
      <c r="F545" s="0" t="n">
        <v>48</v>
      </c>
      <c r="G545" s="0" t="n">
        <v>79.9</v>
      </c>
      <c r="H545" s="0" t="s">
        <v>3552</v>
      </c>
      <c r="I545" s="0" t="s">
        <v>1002</v>
      </c>
      <c r="J545" s="0" t="s">
        <v>427</v>
      </c>
      <c r="K545" s="0" t="s">
        <v>427</v>
      </c>
      <c r="M545" s="44" t="str">
        <f aca="false">INDEX(fastqs!$A:$A, MATCH(A545, fastqs!$B:$B, 0), 1)</f>
        <v>41_nf1_lib41_S1_R1_001.fastq.gz</v>
      </c>
      <c r="N545" s="44" t="str">
        <f aca="false">INDEX(fastqs!$C:$C, MATCH(A545, fastqs!$B:$B, 0), 1)</f>
        <v>run0007</v>
      </c>
      <c r="O545" s="44" t="str">
        <f aca="false">INDEX(samples!$B:$B, MATCH(B545, samples!$A:$A, 0), 1)</f>
        <v>par0249</v>
      </c>
      <c r="P545" s="44" t="e">
        <f aca="false">INDEX(participants!$I:$I, MATCH(O545, participants!$A:$A, 0), 1)</f>
        <v>#N/A</v>
      </c>
      <c r="Q545" s="44" t="str">
        <f aca="false">INDEX(samples!$F:$F, MATCH(B545, samples!$A:$A, 0), 1)</f>
        <v>nf1_lib41</v>
      </c>
      <c r="R545" s="49" t="str">
        <f aca="false">INDEX(samples!$C:$C, MATCH(B545, samples!$A:$A, 0), 1)</f>
        <v>2023-02-28</v>
      </c>
      <c r="S545" s="50" t="str">
        <f aca="false">INDEX(samples!$D:$D,MATCH(B545, samples!$A:$A,0),1)</f>
        <v>blood</v>
      </c>
      <c r="W545" s="0" t="n">
        <v>16.2</v>
      </c>
      <c r="Y545" s="8" t="s">
        <v>1002</v>
      </c>
      <c r="Z545" s="8" t="n">
        <v>0</v>
      </c>
      <c r="AA545" s="8" t="s">
        <v>3150</v>
      </c>
      <c r="AB545" s="8" t="n">
        <v>0</v>
      </c>
    </row>
    <row r="546" customFormat="false" ht="13.8" hidden="false" customHeight="false" outlineLevel="0" collapsed="false">
      <c r="A546" s="48" t="s">
        <v>3704</v>
      </c>
      <c r="B546" s="41" t="s">
        <v>2717</v>
      </c>
      <c r="C546" s="0" t="s">
        <v>3147</v>
      </c>
      <c r="D546" s="0" t="s">
        <v>3551</v>
      </c>
      <c r="F546" s="0" t="n">
        <v>48</v>
      </c>
      <c r="G546" s="0" t="n">
        <v>50.5</v>
      </c>
      <c r="H546" s="0" t="s">
        <v>3552</v>
      </c>
      <c r="I546" s="0" t="s">
        <v>1002</v>
      </c>
      <c r="J546" s="0" t="s">
        <v>427</v>
      </c>
      <c r="K546" s="0" t="s">
        <v>427</v>
      </c>
      <c r="M546" s="44" t="str">
        <f aca="false">INDEX(fastqs!$A:$A, MATCH(A546, fastqs!$B:$B, 0), 1)</f>
        <v>42_nf1_lib42_S1_R1_001.fastq.gz</v>
      </c>
      <c r="N546" s="44" t="str">
        <f aca="false">INDEX(fastqs!$C:$C, MATCH(A546, fastqs!$B:$B, 0), 1)</f>
        <v>run0007</v>
      </c>
      <c r="O546" s="44" t="str">
        <f aca="false">INDEX(samples!$B:$B, MATCH(B546, samples!$A:$A, 0), 1)</f>
        <v>par0249</v>
      </c>
      <c r="P546" s="44" t="e">
        <f aca="false">INDEX(participants!$I:$I, MATCH(O546, participants!$A:$A, 0), 1)</f>
        <v>#N/A</v>
      </c>
      <c r="Q546" s="44" t="str">
        <f aca="false">INDEX(samples!$F:$F, MATCH(B546, samples!$A:$A, 0), 1)</f>
        <v>nf1_lib42</v>
      </c>
      <c r="R546" s="49" t="str">
        <f aca="false">INDEX(samples!$C:$C, MATCH(B546, samples!$A:$A, 0), 1)</f>
        <v>2023-11-23</v>
      </c>
      <c r="S546" s="50" t="str">
        <f aca="false">INDEX(samples!$D:$D,MATCH(B546, samples!$A:$A,0),1)</f>
        <v>blood</v>
      </c>
      <c r="W546" s="0" t="n">
        <v>11</v>
      </c>
      <c r="Y546" s="8" t="s">
        <v>1002</v>
      </c>
      <c r="Z546" s="8" t="n">
        <v>0</v>
      </c>
      <c r="AA546" s="8" t="s">
        <v>3150</v>
      </c>
      <c r="AB546" s="8" t="n">
        <v>0</v>
      </c>
    </row>
    <row r="547" customFormat="false" ht="13.8" hidden="false" customHeight="false" outlineLevel="0" collapsed="false">
      <c r="A547" s="48" t="s">
        <v>3705</v>
      </c>
      <c r="B547" s="41" t="s">
        <v>2721</v>
      </c>
      <c r="C547" s="0" t="s">
        <v>3147</v>
      </c>
      <c r="D547" s="0" t="s">
        <v>3551</v>
      </c>
      <c r="F547" s="0" t="n">
        <v>48</v>
      </c>
      <c r="G547" s="0" t="n">
        <v>33.2</v>
      </c>
      <c r="H547" s="0" t="s">
        <v>3552</v>
      </c>
      <c r="I547" s="0" t="s">
        <v>1002</v>
      </c>
      <c r="J547" s="0" t="s">
        <v>427</v>
      </c>
      <c r="K547" s="0" t="s">
        <v>427</v>
      </c>
      <c r="M547" s="44" t="str">
        <f aca="false">INDEX(fastqs!$A:$A, MATCH(A547, fastqs!$B:$B, 0), 1)</f>
        <v>43_nf1_lib43_S1_R1_001.fastq.gz</v>
      </c>
      <c r="N547" s="44" t="str">
        <f aca="false">INDEX(fastqs!$C:$C, MATCH(A547, fastqs!$B:$B, 0), 1)</f>
        <v>run0007</v>
      </c>
      <c r="O547" s="44" t="str">
        <f aca="false">INDEX(samples!$B:$B, MATCH(B547, samples!$A:$A, 0), 1)</f>
        <v>par0257</v>
      </c>
      <c r="P547" s="44" t="e">
        <f aca="false">INDEX(participants!$I:$I, MATCH(O547, participants!$A:$A, 0), 1)</f>
        <v>#N/A</v>
      </c>
      <c r="Q547" s="44" t="str">
        <f aca="false">INDEX(samples!$F:$F, MATCH(B547, samples!$A:$A, 0), 1)</f>
        <v>nf1_lib43</v>
      </c>
      <c r="R547" s="49" t="str">
        <f aca="false">INDEX(samples!$C:$C, MATCH(B547, samples!$A:$A, 0), 1)</f>
        <v>2022-03-14</v>
      </c>
      <c r="S547" s="50" t="str">
        <f aca="false">INDEX(samples!$D:$D,MATCH(B547, samples!$A:$A,0),1)</f>
        <v>blood</v>
      </c>
      <c r="W547" s="0" t="n">
        <v>10.5</v>
      </c>
      <c r="Y547" s="8" t="s">
        <v>1002</v>
      </c>
      <c r="Z547" s="8" t="n">
        <v>0</v>
      </c>
      <c r="AA547" s="8" t="s">
        <v>3150</v>
      </c>
      <c r="AB547" s="8" t="n">
        <v>0</v>
      </c>
    </row>
    <row r="548" customFormat="false" ht="13.8" hidden="false" customHeight="false" outlineLevel="0" collapsed="false">
      <c r="A548" s="48" t="s">
        <v>3706</v>
      </c>
      <c r="B548" s="41" t="s">
        <v>2723</v>
      </c>
      <c r="C548" s="0" t="s">
        <v>3147</v>
      </c>
      <c r="D548" s="0" t="s">
        <v>3551</v>
      </c>
      <c r="F548" s="0" t="n">
        <v>48</v>
      </c>
      <c r="G548" s="0" t="n">
        <v>72.8</v>
      </c>
      <c r="H548" s="0" t="s">
        <v>3552</v>
      </c>
      <c r="I548" s="0" t="s">
        <v>1002</v>
      </c>
      <c r="J548" s="0" t="s">
        <v>427</v>
      </c>
      <c r="K548" s="0" t="s">
        <v>427</v>
      </c>
      <c r="M548" s="44" t="str">
        <f aca="false">INDEX(fastqs!$A:$A, MATCH(A548, fastqs!$B:$B, 0), 1)</f>
        <v>44_nf1_lib44_S1_R1_001.fastq.gz</v>
      </c>
      <c r="N548" s="44" t="str">
        <f aca="false">INDEX(fastqs!$C:$C, MATCH(A548, fastqs!$B:$B, 0), 1)</f>
        <v>run0007</v>
      </c>
      <c r="O548" s="44" t="str">
        <f aca="false">INDEX(samples!$B:$B, MATCH(B548, samples!$A:$A, 0), 1)</f>
        <v>par0257</v>
      </c>
      <c r="P548" s="44" t="e">
        <f aca="false">INDEX(participants!$I:$I, MATCH(O548, participants!$A:$A, 0), 1)</f>
        <v>#N/A</v>
      </c>
      <c r="Q548" s="44" t="str">
        <f aca="false">INDEX(samples!$F:$F, MATCH(B548, samples!$A:$A, 0), 1)</f>
        <v>nf1_lib44</v>
      </c>
      <c r="R548" s="49" t="str">
        <f aca="false">INDEX(samples!$C:$C, MATCH(B548, samples!$A:$A, 0), 1)</f>
        <v>2023-06-27</v>
      </c>
      <c r="S548" s="50" t="str">
        <f aca="false">INDEX(samples!$D:$D,MATCH(B548, samples!$A:$A,0),1)</f>
        <v>blood</v>
      </c>
      <c r="W548" s="0" t="n">
        <v>5.73</v>
      </c>
      <c r="Y548" s="8" t="s">
        <v>1002</v>
      </c>
      <c r="Z548" s="8" t="n">
        <v>0</v>
      </c>
      <c r="AA548" s="8" t="s">
        <v>3150</v>
      </c>
      <c r="AB548" s="8" t="n">
        <v>0</v>
      </c>
    </row>
    <row r="549" customFormat="false" ht="13.8" hidden="false" customHeight="false" outlineLevel="0" collapsed="false">
      <c r="A549" s="48" t="s">
        <v>3707</v>
      </c>
      <c r="B549" s="41" t="s">
        <v>2727</v>
      </c>
      <c r="C549" s="0" t="s">
        <v>3147</v>
      </c>
      <c r="D549" s="0" t="s">
        <v>3551</v>
      </c>
      <c r="F549" s="0" t="n">
        <v>48</v>
      </c>
      <c r="G549" s="0" t="n">
        <v>76</v>
      </c>
      <c r="H549" s="0" t="s">
        <v>3552</v>
      </c>
      <c r="I549" s="0" t="s">
        <v>1002</v>
      </c>
      <c r="J549" s="0" t="s">
        <v>427</v>
      </c>
      <c r="K549" s="0" t="s">
        <v>427</v>
      </c>
      <c r="M549" s="44" t="str">
        <f aca="false">INDEX(fastqs!$A:$A, MATCH(A549, fastqs!$B:$B, 0), 1)</f>
        <v>45_nf1_lib45_S1_R1_001.fastq.gz</v>
      </c>
      <c r="N549" s="44" t="str">
        <f aca="false">INDEX(fastqs!$C:$C, MATCH(A549, fastqs!$B:$B, 0), 1)</f>
        <v>run0007</v>
      </c>
      <c r="O549" s="44" t="str">
        <f aca="false">INDEX(samples!$B:$B, MATCH(B549, samples!$A:$A, 0), 1)</f>
        <v>par0257</v>
      </c>
      <c r="P549" s="44" t="e">
        <f aca="false">INDEX(participants!$I:$I, MATCH(O549, participants!$A:$A, 0), 1)</f>
        <v>#N/A</v>
      </c>
      <c r="Q549" s="44" t="str">
        <f aca="false">INDEX(samples!$F:$F, MATCH(B549, samples!$A:$A, 0), 1)</f>
        <v>nf1_lib45</v>
      </c>
      <c r="R549" s="49" t="str">
        <f aca="false">INDEX(samples!$C:$C, MATCH(B549, samples!$A:$A, 0), 1)</f>
        <v>2023-07-03</v>
      </c>
      <c r="S549" s="50" t="str">
        <f aca="false">INDEX(samples!$D:$D,MATCH(B549, samples!$A:$A,0),1)</f>
        <v>blood</v>
      </c>
      <c r="W549" s="0" t="n">
        <v>4.49</v>
      </c>
      <c r="Y549" s="8" t="s">
        <v>1002</v>
      </c>
      <c r="Z549" s="8" t="n">
        <v>0</v>
      </c>
      <c r="AA549" s="8" t="s">
        <v>3150</v>
      </c>
      <c r="AB549" s="8" t="n">
        <v>0</v>
      </c>
    </row>
    <row r="550" customFormat="false" ht="13.8" hidden="false" customHeight="false" outlineLevel="0" collapsed="false">
      <c r="A550" s="48" t="s">
        <v>3708</v>
      </c>
      <c r="B550" s="41" t="s">
        <v>2730</v>
      </c>
      <c r="C550" s="0" t="s">
        <v>3147</v>
      </c>
      <c r="D550" s="0" t="s">
        <v>3551</v>
      </c>
      <c r="F550" s="0" t="n">
        <v>48</v>
      </c>
      <c r="G550" s="0" t="n">
        <v>57.8</v>
      </c>
      <c r="H550" s="0" t="s">
        <v>3552</v>
      </c>
      <c r="I550" s="0" t="s">
        <v>1002</v>
      </c>
      <c r="J550" s="0" t="s">
        <v>427</v>
      </c>
      <c r="K550" s="0" t="s">
        <v>427</v>
      </c>
      <c r="M550" s="44" t="str">
        <f aca="false">INDEX(fastqs!$A:$A, MATCH(A550, fastqs!$B:$B, 0), 1)</f>
        <v>46_nf1_lib46_S1_R1_001.fastq.gz</v>
      </c>
      <c r="N550" s="44" t="str">
        <f aca="false">INDEX(fastqs!$C:$C, MATCH(A550, fastqs!$B:$B, 0), 1)</f>
        <v>run0007</v>
      </c>
      <c r="O550" s="44" t="str">
        <f aca="false">INDEX(samples!$B:$B, MATCH(B550, samples!$A:$A, 0), 1)</f>
        <v>par0294</v>
      </c>
      <c r="P550" s="44" t="e">
        <f aca="false">INDEX(participants!$I:$I, MATCH(O550, participants!$A:$A, 0), 1)</f>
        <v>#N/A</v>
      </c>
      <c r="Q550" s="44" t="str">
        <f aca="false">INDEX(samples!$F:$F, MATCH(B550, samples!$A:$A, 0), 1)</f>
        <v>nf1_lib46</v>
      </c>
      <c r="R550" s="49" t="str">
        <f aca="false">INDEX(samples!$C:$C, MATCH(B550, samples!$A:$A, 0), 1)</f>
        <v>2022-11-15</v>
      </c>
      <c r="S550" s="50" t="str">
        <f aca="false">INDEX(samples!$D:$D,MATCH(B550, samples!$A:$A,0),1)</f>
        <v>blood</v>
      </c>
      <c r="W550" s="0" t="n">
        <v>9.11</v>
      </c>
      <c r="Y550" s="8" t="s">
        <v>1002</v>
      </c>
      <c r="Z550" s="8" t="n">
        <v>0</v>
      </c>
      <c r="AA550" s="8" t="s">
        <v>3150</v>
      </c>
      <c r="AB550" s="8" t="n">
        <v>0</v>
      </c>
    </row>
    <row r="551" customFormat="false" ht="13.8" hidden="false" customHeight="false" outlineLevel="0" collapsed="false">
      <c r="A551" s="48" t="s">
        <v>3709</v>
      </c>
      <c r="B551" s="41" t="s">
        <v>2734</v>
      </c>
      <c r="C551" s="0" t="s">
        <v>3147</v>
      </c>
      <c r="D551" s="0" t="s">
        <v>3551</v>
      </c>
      <c r="G551" s="0" t="s">
        <v>3710</v>
      </c>
      <c r="H551" s="0" t="s">
        <v>3552</v>
      </c>
      <c r="I551" s="0" t="s">
        <v>1002</v>
      </c>
      <c r="J551" s="0" t="s">
        <v>427</v>
      </c>
      <c r="K551" s="0" t="s">
        <v>427</v>
      </c>
      <c r="M551" s="44" t="str">
        <f aca="false">INDEX(fastqs!$A:$A, MATCH(A551, fastqs!$B:$B, 0), 1)</f>
        <v>47_nf1_lib47_S1_R1_001.fastq.gz</v>
      </c>
      <c r="N551" s="44" t="str">
        <f aca="false">INDEX(fastqs!$C:$C, MATCH(A551, fastqs!$B:$B, 0), 1)</f>
        <v>run0007</v>
      </c>
      <c r="O551" s="44" t="str">
        <f aca="false">INDEX(samples!$B:$B, MATCH(B551, samples!$A:$A, 0), 1)</f>
        <v>par0241</v>
      </c>
      <c r="P551" s="44" t="e">
        <f aca="false">INDEX(participants!$I:$I, MATCH(O551, participants!$A:$A, 0), 1)</f>
        <v>#N/A</v>
      </c>
      <c r="Q551" s="44" t="str">
        <f aca="false">INDEX(samples!$F:$F, MATCH(B551, samples!$A:$A, 0), 1)</f>
        <v>nf1_lib47</v>
      </c>
      <c r="R551" s="49" t="str">
        <f aca="false">INDEX(samples!$C:$C, MATCH(B551, samples!$A:$A, 0), 1)</f>
        <v>2021-11-19</v>
      </c>
      <c r="S551" s="50" t="str">
        <f aca="false">INDEX(samples!$D:$D,MATCH(B551, samples!$A:$A,0),1)</f>
        <v>blood</v>
      </c>
      <c r="T551" s="0" t="n">
        <v>1.5</v>
      </c>
      <c r="W551" s="0" t="n">
        <v>5.01</v>
      </c>
      <c r="Y551" s="8" t="s">
        <v>1002</v>
      </c>
      <c r="Z551" s="8" t="n">
        <v>0</v>
      </c>
      <c r="AA551" s="8" t="s">
        <v>3150</v>
      </c>
      <c r="AB551" s="8" t="n">
        <v>0</v>
      </c>
    </row>
    <row r="552" customFormat="false" ht="13.8" hidden="false" customHeight="false" outlineLevel="0" collapsed="false">
      <c r="A552" s="48" t="s">
        <v>3711</v>
      </c>
      <c r="B552" s="41" t="s">
        <v>2737</v>
      </c>
      <c r="C552" s="0" t="s">
        <v>3147</v>
      </c>
      <c r="D552" s="0" t="s">
        <v>3551</v>
      </c>
      <c r="G552" s="0" t="s">
        <v>3710</v>
      </c>
      <c r="H552" s="0" t="s">
        <v>3552</v>
      </c>
      <c r="I552" s="0" t="s">
        <v>1002</v>
      </c>
      <c r="J552" s="0" t="s">
        <v>427</v>
      </c>
      <c r="K552" s="0" t="s">
        <v>427</v>
      </c>
      <c r="M552" s="44" t="str">
        <f aca="false">INDEX(fastqs!$A:$A, MATCH(A552, fastqs!$B:$B, 0), 1)</f>
        <v>48_nf1_lib48_S1_R1_001.fastq.gz</v>
      </c>
      <c r="N552" s="44" t="str">
        <f aca="false">INDEX(fastqs!$C:$C, MATCH(A552, fastqs!$B:$B, 0), 1)</f>
        <v>run0007</v>
      </c>
      <c r="O552" s="44" t="str">
        <f aca="false">INDEX(samples!$B:$B, MATCH(B552, samples!$A:$A, 0), 1)</f>
        <v>par0241</v>
      </c>
      <c r="P552" s="44" t="e">
        <f aca="false">INDEX(participants!$I:$I, MATCH(O552, participants!$A:$A, 0), 1)</f>
        <v>#N/A</v>
      </c>
      <c r="Q552" s="44" t="str">
        <f aca="false">INDEX(samples!$F:$F, MATCH(B552, samples!$A:$A, 0), 1)</f>
        <v>nf1_lib48</v>
      </c>
      <c r="R552" s="49" t="str">
        <f aca="false">INDEX(samples!$C:$C, MATCH(B552, samples!$A:$A, 0), 1)</f>
        <v>2022-07-26</v>
      </c>
      <c r="S552" s="50" t="str">
        <f aca="false">INDEX(samples!$D:$D,MATCH(B552, samples!$A:$A,0),1)</f>
        <v>blood</v>
      </c>
      <c r="T552" s="0" t="n">
        <v>1.5</v>
      </c>
      <c r="W552" s="0" t="n">
        <v>7.15</v>
      </c>
      <c r="Y552" s="8" t="s">
        <v>1002</v>
      </c>
      <c r="Z552" s="8" t="n">
        <v>0</v>
      </c>
      <c r="AA552" s="8" t="s">
        <v>3150</v>
      </c>
      <c r="AB552" s="8" t="n">
        <v>0</v>
      </c>
    </row>
    <row r="553" customFormat="false" ht="13.8" hidden="false" customHeight="false" outlineLevel="0" collapsed="false">
      <c r="A553" s="48" t="s">
        <v>3712</v>
      </c>
      <c r="B553" s="41" t="s">
        <v>2740</v>
      </c>
      <c r="C553" s="0" t="s">
        <v>3147</v>
      </c>
      <c r="D553" s="0" t="s">
        <v>3551</v>
      </c>
      <c r="F553" s="0" t="n">
        <v>48</v>
      </c>
      <c r="G553" s="0" t="n">
        <v>19.7</v>
      </c>
      <c r="H553" s="0" t="s">
        <v>3552</v>
      </c>
      <c r="I553" s="0" t="s">
        <v>1002</v>
      </c>
      <c r="J553" s="0" t="s">
        <v>427</v>
      </c>
      <c r="K553" s="0" t="s">
        <v>427</v>
      </c>
      <c r="M553" s="44" t="str">
        <f aca="false">INDEX(fastqs!$A:$A, MATCH(A553, fastqs!$B:$B, 0), 1)</f>
        <v>49_nf1_lib49_S1_R1_001.fastq.gz</v>
      </c>
      <c r="N553" s="44" t="str">
        <f aca="false">INDEX(fastqs!$C:$C, MATCH(A553, fastqs!$B:$B, 0), 1)</f>
        <v>run0007</v>
      </c>
      <c r="O553" s="44" t="str">
        <f aca="false">INDEX(samples!$B:$B, MATCH(B553, samples!$A:$A, 0), 1)</f>
        <v>par0202</v>
      </c>
      <c r="P553" s="44" t="e">
        <f aca="false">INDEX(participants!$I:$I, MATCH(O553, participants!$A:$A, 0), 1)</f>
        <v>#N/A</v>
      </c>
      <c r="Q553" s="44" t="str">
        <f aca="false">INDEX(samples!$F:$F, MATCH(B553, samples!$A:$A, 0), 1)</f>
        <v>nf1_lib49</v>
      </c>
      <c r="R553" s="49" t="str">
        <f aca="false">INDEX(samples!$C:$C, MATCH(B553, samples!$A:$A, 0), 1)</f>
        <v>2022-04-19</v>
      </c>
      <c r="S553" s="50" t="str">
        <f aca="false">INDEX(samples!$D:$D,MATCH(B553, samples!$A:$A,0),1)</f>
        <v>blood</v>
      </c>
      <c r="W553" s="0" t="n">
        <v>5.05</v>
      </c>
      <c r="Y553" s="8" t="s">
        <v>1002</v>
      </c>
      <c r="Z553" s="8" t="n">
        <v>0</v>
      </c>
      <c r="AA553" s="8" t="s">
        <v>3150</v>
      </c>
      <c r="AB553" s="8" t="n">
        <v>0</v>
      </c>
    </row>
    <row r="554" customFormat="false" ht="13.8" hidden="false" customHeight="false" outlineLevel="0" collapsed="false">
      <c r="A554" s="48" t="s">
        <v>3713</v>
      </c>
      <c r="B554" s="41" t="s">
        <v>2742</v>
      </c>
      <c r="C554" s="0" t="s">
        <v>3147</v>
      </c>
      <c r="D554" s="0" t="s">
        <v>3551</v>
      </c>
      <c r="F554" s="0" t="n">
        <v>48</v>
      </c>
      <c r="G554" s="0" t="n">
        <v>18.6</v>
      </c>
      <c r="H554" s="0" t="s">
        <v>3552</v>
      </c>
      <c r="I554" s="0" t="s">
        <v>1002</v>
      </c>
      <c r="J554" s="0" t="s">
        <v>427</v>
      </c>
      <c r="K554" s="0" t="s">
        <v>427</v>
      </c>
      <c r="M554" s="44" t="str">
        <f aca="false">INDEX(fastqs!$A:$A, MATCH(A554, fastqs!$B:$B, 0), 1)</f>
        <v>50_nf1_lib50_S1_R1_001.fastq.gz</v>
      </c>
      <c r="N554" s="44" t="str">
        <f aca="false">INDEX(fastqs!$C:$C, MATCH(A554, fastqs!$B:$B, 0), 1)</f>
        <v>run0007</v>
      </c>
      <c r="O554" s="44" t="str">
        <f aca="false">INDEX(samples!$B:$B, MATCH(B554, samples!$A:$A, 0), 1)</f>
        <v>par0202</v>
      </c>
      <c r="P554" s="44" t="e">
        <f aca="false">INDEX(participants!$I:$I, MATCH(O554, participants!$A:$A, 0), 1)</f>
        <v>#N/A</v>
      </c>
      <c r="Q554" s="44" t="str">
        <f aca="false">INDEX(samples!$F:$F, MATCH(B554, samples!$A:$A, 0), 1)</f>
        <v>nf1_lib50</v>
      </c>
      <c r="R554" s="49" t="str">
        <f aca="false">INDEX(samples!$C:$C, MATCH(B554, samples!$A:$A, 0), 1)</f>
        <v>2022-07-19</v>
      </c>
      <c r="S554" s="50" t="str">
        <f aca="false">INDEX(samples!$D:$D,MATCH(B554, samples!$A:$A,0),1)</f>
        <v>blood</v>
      </c>
      <c r="W554" s="0" t="n">
        <v>6.27</v>
      </c>
      <c r="Y554" s="8" t="s">
        <v>1002</v>
      </c>
      <c r="Z554" s="8" t="n">
        <v>0</v>
      </c>
      <c r="AA554" s="8" t="s">
        <v>3150</v>
      </c>
      <c r="AB554" s="8" t="n">
        <v>0</v>
      </c>
    </row>
    <row r="555" customFormat="false" ht="13.8" hidden="false" customHeight="false" outlineLevel="0" collapsed="false">
      <c r="A555" s="48" t="s">
        <v>3714</v>
      </c>
      <c r="B555" s="41" t="s">
        <v>2744</v>
      </c>
      <c r="C555" s="0" t="s">
        <v>3147</v>
      </c>
      <c r="D555" s="0" t="s">
        <v>3551</v>
      </c>
      <c r="F555" s="0" t="n">
        <v>48</v>
      </c>
      <c r="G555" s="0" t="n">
        <v>15.9</v>
      </c>
      <c r="H555" s="0" t="s">
        <v>3552</v>
      </c>
      <c r="I555" s="0" t="s">
        <v>1002</v>
      </c>
      <c r="J555" s="0" t="s">
        <v>427</v>
      </c>
      <c r="K555" s="0" t="s">
        <v>427</v>
      </c>
      <c r="M555" s="44" t="str">
        <f aca="false">INDEX(fastqs!$A:$A, MATCH(A555, fastqs!$B:$B, 0), 1)</f>
        <v>51_nf1_lib51_S1_R1_001.fastq.gz</v>
      </c>
      <c r="N555" s="44" t="str">
        <f aca="false">INDEX(fastqs!$C:$C, MATCH(A555, fastqs!$B:$B, 0), 1)</f>
        <v>run0007</v>
      </c>
      <c r="O555" s="44" t="str">
        <f aca="false">INDEX(samples!$B:$B, MATCH(B555, samples!$A:$A, 0), 1)</f>
        <v>par0202</v>
      </c>
      <c r="P555" s="44" t="e">
        <f aca="false">INDEX(participants!$I:$I, MATCH(O555, participants!$A:$A, 0), 1)</f>
        <v>#N/A</v>
      </c>
      <c r="Q555" s="44" t="str">
        <f aca="false">INDEX(samples!$F:$F, MATCH(B555, samples!$A:$A, 0), 1)</f>
        <v>nf1_lib51</v>
      </c>
      <c r="R555" s="49" t="str">
        <f aca="false">INDEX(samples!$C:$C, MATCH(B555, samples!$A:$A, 0), 1)</f>
        <v>2023-01-17</v>
      </c>
      <c r="S555" s="50" t="str">
        <f aca="false">INDEX(samples!$D:$D,MATCH(B555, samples!$A:$A,0),1)</f>
        <v>blood</v>
      </c>
      <c r="W555" s="0" t="n">
        <v>11.1</v>
      </c>
      <c r="Y555" s="8" t="s">
        <v>1002</v>
      </c>
      <c r="Z555" s="8" t="n">
        <v>0</v>
      </c>
      <c r="AA555" s="8" t="s">
        <v>3150</v>
      </c>
      <c r="AB555" s="8" t="n">
        <v>0</v>
      </c>
    </row>
    <row r="556" customFormat="false" ht="13.8" hidden="false" customHeight="false" outlineLevel="0" collapsed="false">
      <c r="A556" s="48" t="s">
        <v>3715</v>
      </c>
      <c r="B556" s="41" t="s">
        <v>2748</v>
      </c>
      <c r="C556" s="0" t="s">
        <v>3147</v>
      </c>
      <c r="D556" s="0" t="s">
        <v>3551</v>
      </c>
      <c r="F556" s="0" t="n">
        <v>50</v>
      </c>
      <c r="G556" s="0" t="n">
        <v>12.6</v>
      </c>
      <c r="H556" s="0" t="s">
        <v>3552</v>
      </c>
      <c r="I556" s="0" t="s">
        <v>1002</v>
      </c>
      <c r="J556" s="0" t="s">
        <v>427</v>
      </c>
      <c r="K556" s="0" t="s">
        <v>427</v>
      </c>
      <c r="M556" s="44" t="str">
        <f aca="false">INDEX(fastqs!$A:$A, MATCH(A556, fastqs!$B:$B, 0), 1)</f>
        <v>52_nf1_lib52_S1_R1_001.fastq.gz</v>
      </c>
      <c r="N556" s="44" t="str">
        <f aca="false">INDEX(fastqs!$C:$C, MATCH(A556, fastqs!$B:$B, 0), 1)</f>
        <v>run0007</v>
      </c>
      <c r="O556" s="44" t="str">
        <f aca="false">INDEX(samples!$B:$B, MATCH(B556, samples!$A:$A, 0), 1)</f>
        <v>par0295</v>
      </c>
      <c r="P556" s="44" t="e">
        <f aca="false">INDEX(participants!$I:$I, MATCH(O556, participants!$A:$A, 0), 1)</f>
        <v>#N/A</v>
      </c>
      <c r="Q556" s="44" t="str">
        <f aca="false">INDEX(samples!$F:$F, MATCH(B556, samples!$A:$A, 0), 1)</f>
        <v>nf1_lib52</v>
      </c>
      <c r="R556" s="49" t="str">
        <f aca="false">INDEX(samples!$C:$C, MATCH(B556, samples!$A:$A, 0), 1)</f>
        <v>2023-06-20</v>
      </c>
      <c r="S556" s="50" t="str">
        <f aca="false">INDEX(samples!$D:$D,MATCH(B556, samples!$A:$A,0),1)</f>
        <v>blood</v>
      </c>
      <c r="W556" s="0" t="n">
        <v>20.7</v>
      </c>
      <c r="Y556" s="8" t="s">
        <v>1002</v>
      </c>
      <c r="Z556" s="8" t="n">
        <v>0</v>
      </c>
      <c r="AA556" s="8" t="s">
        <v>3150</v>
      </c>
      <c r="AB556" s="8" t="n">
        <v>0</v>
      </c>
    </row>
    <row r="557" customFormat="false" ht="13.8" hidden="false" customHeight="false" outlineLevel="0" collapsed="false">
      <c r="A557" s="48" t="s">
        <v>3716</v>
      </c>
      <c r="B557" s="41" t="s">
        <v>2751</v>
      </c>
      <c r="C557" s="0" t="s">
        <v>3147</v>
      </c>
      <c r="D557" s="0" t="s">
        <v>3551</v>
      </c>
      <c r="F557" s="0" t="n">
        <v>50</v>
      </c>
      <c r="G557" s="0" t="n">
        <v>12.4</v>
      </c>
      <c r="H557" s="0" t="s">
        <v>3552</v>
      </c>
      <c r="I557" s="0" t="s">
        <v>1002</v>
      </c>
      <c r="J557" s="0" t="s">
        <v>427</v>
      </c>
      <c r="K557" s="0" t="s">
        <v>427</v>
      </c>
      <c r="M557" s="44" t="str">
        <f aca="false">INDEX(fastqs!$A:$A, MATCH(A557, fastqs!$B:$B, 0), 1)</f>
        <v>53_nf1_lib53_S1_R1_001.fastq.gz</v>
      </c>
      <c r="N557" s="44" t="str">
        <f aca="false">INDEX(fastqs!$C:$C, MATCH(A557, fastqs!$B:$B, 0), 1)</f>
        <v>run0007</v>
      </c>
      <c r="O557" s="44" t="str">
        <f aca="false">INDEX(samples!$B:$B, MATCH(B557, samples!$A:$A, 0), 1)</f>
        <v>par0295</v>
      </c>
      <c r="P557" s="44" t="e">
        <f aca="false">INDEX(participants!$I:$I, MATCH(O557, participants!$A:$A, 0), 1)</f>
        <v>#N/A</v>
      </c>
      <c r="Q557" s="44" t="str">
        <f aca="false">INDEX(samples!$F:$F, MATCH(B557, samples!$A:$A, 0), 1)</f>
        <v>nf1_lib53</v>
      </c>
      <c r="R557" s="49" t="str">
        <f aca="false">INDEX(samples!$C:$C, MATCH(B557, samples!$A:$A, 0), 1)</f>
        <v>2023-10-02</v>
      </c>
      <c r="S557" s="50" t="str">
        <f aca="false">INDEX(samples!$D:$D,MATCH(B557, samples!$A:$A,0),1)</f>
        <v>blood</v>
      </c>
      <c r="W557" s="0" t="n">
        <v>16.4</v>
      </c>
      <c r="Y557" s="8" t="s">
        <v>1002</v>
      </c>
      <c r="Z557" s="8" t="n">
        <v>0</v>
      </c>
      <c r="AA557" s="8" t="s">
        <v>3150</v>
      </c>
      <c r="AB557" s="8" t="n">
        <v>0</v>
      </c>
    </row>
    <row r="558" customFormat="false" ht="13.8" hidden="false" customHeight="false" outlineLevel="0" collapsed="false">
      <c r="A558" s="48" t="s">
        <v>3717</v>
      </c>
      <c r="B558" s="41" t="s">
        <v>2755</v>
      </c>
      <c r="C558" s="0" t="s">
        <v>3147</v>
      </c>
      <c r="D558" s="0" t="s">
        <v>3551</v>
      </c>
      <c r="F558" s="0" t="n">
        <v>50</v>
      </c>
      <c r="G558" s="0" t="n">
        <v>17.9</v>
      </c>
      <c r="H558" s="0" t="s">
        <v>3552</v>
      </c>
      <c r="I558" s="0" t="s">
        <v>1002</v>
      </c>
      <c r="J558" s="0" t="s">
        <v>427</v>
      </c>
      <c r="K558" s="0" t="s">
        <v>427</v>
      </c>
      <c r="M558" s="44" t="str">
        <f aca="false">INDEX(fastqs!$A:$A, MATCH(A558, fastqs!$B:$B, 0), 1)</f>
        <v>54_nf1_lib54_S1_R1_001.fastq.gz</v>
      </c>
      <c r="N558" s="44" t="str">
        <f aca="false">INDEX(fastqs!$C:$C, MATCH(A558, fastqs!$B:$B, 0), 1)</f>
        <v>run0007</v>
      </c>
      <c r="O558" s="44" t="str">
        <f aca="false">INDEX(samples!$B:$B, MATCH(B558, samples!$A:$A, 0), 1)</f>
        <v>par0295</v>
      </c>
      <c r="P558" s="44" t="e">
        <f aca="false">INDEX(participants!$I:$I, MATCH(O558, participants!$A:$A, 0), 1)</f>
        <v>#N/A</v>
      </c>
      <c r="Q558" s="44" t="str">
        <f aca="false">INDEX(samples!$F:$F, MATCH(B558, samples!$A:$A, 0), 1)</f>
        <v>nf1_lib54</v>
      </c>
      <c r="R558" s="49" t="str">
        <f aca="false">INDEX(samples!$C:$C, MATCH(B558, samples!$A:$A, 0), 1)</f>
        <v>2024-09-01</v>
      </c>
      <c r="S558" s="50" t="str">
        <f aca="false">INDEX(samples!$D:$D,MATCH(B558, samples!$A:$A,0),1)</f>
        <v>blood</v>
      </c>
      <c r="W558" s="0" t="n">
        <v>7.27</v>
      </c>
      <c r="Y558" s="8" t="s">
        <v>1002</v>
      </c>
      <c r="Z558" s="8" t="n">
        <v>0</v>
      </c>
      <c r="AA558" s="8" t="s">
        <v>3150</v>
      </c>
      <c r="AB558" s="8" t="n">
        <v>0</v>
      </c>
    </row>
    <row r="559" customFormat="false" ht="13.8" hidden="false" customHeight="false" outlineLevel="0" collapsed="false">
      <c r="A559" s="48" t="s">
        <v>3718</v>
      </c>
      <c r="B559" s="41" t="s">
        <v>2759</v>
      </c>
      <c r="C559" s="0" t="s">
        <v>3147</v>
      </c>
      <c r="D559" s="0" t="s">
        <v>3551</v>
      </c>
      <c r="F559" s="0" t="n">
        <v>50</v>
      </c>
      <c r="G559" s="0" t="n">
        <v>18</v>
      </c>
      <c r="H559" s="0" t="s">
        <v>3552</v>
      </c>
      <c r="I559" s="0" t="s">
        <v>1002</v>
      </c>
      <c r="J559" s="0" t="s">
        <v>427</v>
      </c>
      <c r="K559" s="0" t="s">
        <v>427</v>
      </c>
      <c r="M559" s="44" t="str">
        <f aca="false">INDEX(fastqs!$A:$A, MATCH(A559, fastqs!$B:$B, 0), 1)</f>
        <v>55_nf1_lib55_S1_R1_001.fastq.gz</v>
      </c>
      <c r="N559" s="44" t="str">
        <f aca="false">INDEX(fastqs!$C:$C, MATCH(A559, fastqs!$B:$B, 0), 1)</f>
        <v>run0007</v>
      </c>
      <c r="O559" s="44" t="str">
        <f aca="false">INDEX(samples!$B:$B, MATCH(B559, samples!$A:$A, 0), 1)</f>
        <v>par0295</v>
      </c>
      <c r="P559" s="44" t="e">
        <f aca="false">INDEX(participants!$I:$I, MATCH(O559, participants!$A:$A, 0), 1)</f>
        <v>#N/A</v>
      </c>
      <c r="Q559" s="44" t="str">
        <f aca="false">INDEX(samples!$F:$F, MATCH(B559, samples!$A:$A, 0), 1)</f>
        <v>nf1_lib55</v>
      </c>
      <c r="R559" s="49" t="str">
        <f aca="false">INDEX(samples!$C:$C, MATCH(B559, samples!$A:$A, 0), 1)</f>
        <v>2024-07-23</v>
      </c>
      <c r="S559" s="50" t="str">
        <f aca="false">INDEX(samples!$D:$D,MATCH(B559, samples!$A:$A,0),1)</f>
        <v>blood</v>
      </c>
      <c r="W559" s="0" t="n">
        <v>14.7</v>
      </c>
      <c r="Y559" s="8" t="s">
        <v>1002</v>
      </c>
      <c r="Z559" s="8" t="n">
        <v>0</v>
      </c>
      <c r="AA559" s="8" t="s">
        <v>3150</v>
      </c>
      <c r="AB559" s="8" t="n">
        <v>0</v>
      </c>
    </row>
    <row r="560" customFormat="false" ht="13.8" hidden="false" customHeight="false" outlineLevel="0" collapsed="false">
      <c r="A560" s="48" t="s">
        <v>3719</v>
      </c>
      <c r="B560" s="41" t="s">
        <v>2762</v>
      </c>
      <c r="C560" s="0" t="s">
        <v>3147</v>
      </c>
      <c r="D560" s="0" t="s">
        <v>3551</v>
      </c>
      <c r="F560" s="0" t="n">
        <v>50</v>
      </c>
      <c r="G560" s="0" t="n">
        <v>16.5</v>
      </c>
      <c r="H560" s="0" t="s">
        <v>3552</v>
      </c>
      <c r="I560" s="0" t="s">
        <v>1002</v>
      </c>
      <c r="J560" s="0" t="s">
        <v>427</v>
      </c>
      <c r="K560" s="0" t="s">
        <v>427</v>
      </c>
      <c r="M560" s="44" t="str">
        <f aca="false">INDEX(fastqs!$A:$A, MATCH(A560, fastqs!$B:$B, 0), 1)</f>
        <v>56_nf1_lib56_S1_R1_001.fastq.gz</v>
      </c>
      <c r="N560" s="44" t="str">
        <f aca="false">INDEX(fastqs!$C:$C, MATCH(A560, fastqs!$B:$B, 0), 1)</f>
        <v>run0007</v>
      </c>
      <c r="O560" s="44" t="str">
        <f aca="false">INDEX(samples!$B:$B, MATCH(B560, samples!$A:$A, 0), 1)</f>
        <v>par0297</v>
      </c>
      <c r="P560" s="44" t="e">
        <f aca="false">INDEX(participants!$I:$I, MATCH(O560, participants!$A:$A, 0), 1)</f>
        <v>#N/A</v>
      </c>
      <c r="Q560" s="44" t="str">
        <f aca="false">INDEX(samples!$F:$F, MATCH(B560, samples!$A:$A, 0), 1)</f>
        <v>nf1_lib56</v>
      </c>
      <c r="R560" s="49" t="n">
        <f aca="false">INDEX(samples!$C:$C, MATCH(B560, samples!$A:$A, 0), 1)</f>
        <v>45279</v>
      </c>
      <c r="S560" s="50" t="str">
        <f aca="false">INDEX(samples!$D:$D,MATCH(B560, samples!$A:$A,0),1)</f>
        <v>blood</v>
      </c>
      <c r="W560" s="0" t="n">
        <v>8.03</v>
      </c>
      <c r="Y560" s="8" t="s">
        <v>1002</v>
      </c>
      <c r="Z560" s="8" t="n">
        <v>0</v>
      </c>
      <c r="AA560" s="8" t="s">
        <v>3150</v>
      </c>
      <c r="AB560" s="8" t="n">
        <v>0</v>
      </c>
    </row>
    <row r="561" customFormat="false" ht="13.8" hidden="false" customHeight="false" outlineLevel="0" collapsed="false">
      <c r="A561" s="48" t="s">
        <v>3720</v>
      </c>
      <c r="B561" s="41" t="s">
        <v>3721</v>
      </c>
      <c r="C561" s="0" t="s">
        <v>3147</v>
      </c>
      <c r="D561" s="0" t="s">
        <v>3551</v>
      </c>
      <c r="F561" s="0" t="n">
        <v>50</v>
      </c>
      <c r="G561" s="0" t="n">
        <v>13.3</v>
      </c>
      <c r="H561" s="0" t="s">
        <v>3552</v>
      </c>
      <c r="I561" s="0" t="s">
        <v>1002</v>
      </c>
      <c r="J561" s="0" t="s">
        <v>427</v>
      </c>
      <c r="K561" s="0" t="s">
        <v>427</v>
      </c>
      <c r="M561" s="44" t="str">
        <f aca="false">INDEX(fastqs!$A:$A, MATCH(A561, fastqs!$B:$B, 0), 1)</f>
        <v>57_nf1_lib57_S1_R1_001.fastq.gz</v>
      </c>
      <c r="N561" s="44" t="str">
        <f aca="false">INDEX(fastqs!$C:$C, MATCH(A561, fastqs!$B:$B, 0), 1)</f>
        <v>run0008</v>
      </c>
      <c r="O561" s="44" t="e">
        <f aca="false">INDEX(samples!$B:$B, MATCH(B561, samples!$A:$A, 0), 1)</f>
        <v>#N/A</v>
      </c>
      <c r="P561" s="44" t="e">
        <f aca="false">INDEX(participants!$I:$I, MATCH(O561, participants!$A:$A, 0), 1)</f>
        <v>#N/A</v>
      </c>
      <c r="Q561" s="44" t="e">
        <f aca="false">INDEX(samples!$F:$F, MATCH(B561, samples!$A:$A, 0), 1)</f>
        <v>#N/A</v>
      </c>
      <c r="R561" s="49" t="e">
        <f aca="false">INDEX(samples!$C:$C, MATCH(B561, samples!$A:$A, 0), 1)</f>
        <v>#N/A</v>
      </c>
      <c r="S561" s="50" t="e">
        <f aca="false">INDEX(samples!$D:$D,MATCH(B561, samples!$A:$A,0),1)</f>
        <v>#N/A</v>
      </c>
      <c r="W561" s="0" t="n">
        <v>10</v>
      </c>
      <c r="Y561" s="8" t="s">
        <v>1002</v>
      </c>
      <c r="Z561" s="8" t="n">
        <v>0</v>
      </c>
      <c r="AA561" s="8" t="s">
        <v>3150</v>
      </c>
      <c r="AB561" s="8" t="n">
        <v>0</v>
      </c>
    </row>
    <row r="562" customFormat="false" ht="13.8" hidden="false" customHeight="false" outlineLevel="0" collapsed="false">
      <c r="A562" s="48" t="s">
        <v>3722</v>
      </c>
      <c r="B562" s="41" t="s">
        <v>2378</v>
      </c>
      <c r="C562" s="0" t="s">
        <v>3147</v>
      </c>
      <c r="D562" s="0" t="s">
        <v>3551</v>
      </c>
      <c r="F562" s="0" t="n">
        <v>50</v>
      </c>
      <c r="G562" s="0" t="n">
        <v>15.6</v>
      </c>
      <c r="H562" s="0" t="s">
        <v>3552</v>
      </c>
      <c r="I562" s="0" t="s">
        <v>1002</v>
      </c>
      <c r="J562" s="0" t="s">
        <v>427</v>
      </c>
      <c r="K562" s="0" t="s">
        <v>427</v>
      </c>
      <c r="M562" s="44" t="str">
        <f aca="false">INDEX(fastqs!$A:$A, MATCH(A562, fastqs!$B:$B, 0), 1)</f>
        <v>58_nf1_lib58_S1_R1_001.fastq.gz</v>
      </c>
      <c r="N562" s="44" t="str">
        <f aca="false">INDEX(fastqs!$C:$C, MATCH(A562, fastqs!$B:$B, 0), 1)</f>
        <v>run0008</v>
      </c>
      <c r="O562" s="44" t="str">
        <f aca="false">INDEX(samples!$B:$B, MATCH(B562, samples!$A:$A, 0), 1)</f>
        <v>par0233</v>
      </c>
      <c r="P562" s="44" t="e">
        <f aca="false">INDEX(participants!$I:$I, MATCH(O562, participants!$A:$A, 0), 1)</f>
        <v>#N/A</v>
      </c>
      <c r="Q562" s="44" t="str">
        <f aca="false">INDEX(samples!$F:$F, MATCH(B562, samples!$A:$A, 0), 1)</f>
        <v>nf1_lib58</v>
      </c>
      <c r="R562" s="49" t="str">
        <f aca="false">INDEX(samples!$C:$C, MATCH(B562, samples!$A:$A, 0), 1)</f>
        <v>2022-09-13</v>
      </c>
      <c r="S562" s="50" t="str">
        <f aca="false">INDEX(samples!$D:$D,MATCH(B562, samples!$A:$A,0),1)</f>
        <v>blood</v>
      </c>
      <c r="T562" s="0" t="n">
        <v>1.5</v>
      </c>
      <c r="W562" s="0" t="n">
        <v>11.6</v>
      </c>
      <c r="Y562" s="8" t="s">
        <v>1002</v>
      </c>
      <c r="Z562" s="8" t="n">
        <v>0</v>
      </c>
      <c r="AA562" s="8" t="s">
        <v>3150</v>
      </c>
      <c r="AB562" s="8" t="n">
        <v>0</v>
      </c>
    </row>
    <row r="563" customFormat="false" ht="13.8" hidden="false" customHeight="false" outlineLevel="0" collapsed="false">
      <c r="A563" s="48" t="s">
        <v>3723</v>
      </c>
      <c r="B563" s="41" t="s">
        <v>2764</v>
      </c>
      <c r="C563" s="0" t="s">
        <v>3147</v>
      </c>
      <c r="D563" s="0" t="s">
        <v>3551</v>
      </c>
      <c r="F563" s="0" t="n">
        <v>50</v>
      </c>
      <c r="G563" s="0" t="n">
        <v>19.7</v>
      </c>
      <c r="H563" s="0" t="s">
        <v>3552</v>
      </c>
      <c r="I563" s="0" t="s">
        <v>1002</v>
      </c>
      <c r="J563" s="0" t="s">
        <v>427</v>
      </c>
      <c r="K563" s="0" t="s">
        <v>427</v>
      </c>
      <c r="M563" s="44" t="str">
        <f aca="false">INDEX(fastqs!$A:$A, MATCH(A563, fastqs!$B:$B, 0), 1)</f>
        <v>59_nf1_lib59_S1_R1_001.fastq.gz</v>
      </c>
      <c r="N563" s="44" t="str">
        <f aca="false">INDEX(fastqs!$C:$C, MATCH(A563, fastqs!$B:$B, 0), 1)</f>
        <v>run0008</v>
      </c>
      <c r="O563" s="44" t="str">
        <f aca="false">INDEX(samples!$B:$B, MATCH(B563, samples!$A:$A, 0), 1)</f>
        <v>par0257</v>
      </c>
      <c r="P563" s="44" t="e">
        <f aca="false">INDEX(participants!$I:$I, MATCH(O563, participants!$A:$A, 0), 1)</f>
        <v>#N/A</v>
      </c>
      <c r="Q563" s="44" t="str">
        <f aca="false">INDEX(samples!$F:$F, MATCH(B563, samples!$A:$A, 0), 1)</f>
        <v>nf1_lib59</v>
      </c>
      <c r="R563" s="49" t="str">
        <f aca="false">INDEX(samples!$C:$C, MATCH(B563, samples!$A:$A, 0), 1)</f>
        <v>2023-09-19</v>
      </c>
      <c r="S563" s="50" t="str">
        <f aca="false">INDEX(samples!$D:$D,MATCH(B563, samples!$A:$A,0),1)</f>
        <v>blood</v>
      </c>
      <c r="W563" s="0" t="n">
        <v>19</v>
      </c>
      <c r="Y563" s="8" t="s">
        <v>1002</v>
      </c>
      <c r="Z563" s="8" t="n">
        <v>0</v>
      </c>
      <c r="AA563" s="8" t="s">
        <v>3150</v>
      </c>
      <c r="AB563" s="8" t="n">
        <v>0</v>
      </c>
    </row>
    <row r="564" customFormat="false" ht="13.8" hidden="false" customHeight="false" outlineLevel="0" collapsed="false">
      <c r="A564" s="48" t="s">
        <v>3724</v>
      </c>
      <c r="B564" s="41" t="s">
        <v>2766</v>
      </c>
      <c r="C564" s="0" t="s">
        <v>3147</v>
      </c>
      <c r="D564" s="0" t="s">
        <v>3551</v>
      </c>
      <c r="F564" s="0" t="n">
        <v>50</v>
      </c>
      <c r="G564" s="0" t="n">
        <v>14.9</v>
      </c>
      <c r="H564" s="0" t="s">
        <v>3552</v>
      </c>
      <c r="I564" s="0" t="s">
        <v>1002</v>
      </c>
      <c r="J564" s="0" t="s">
        <v>427</v>
      </c>
      <c r="K564" s="0" t="s">
        <v>427</v>
      </c>
      <c r="M564" s="44" t="str">
        <f aca="false">INDEX(fastqs!$A:$A, MATCH(A564, fastqs!$B:$B, 0), 1)</f>
        <v>60_nf1_lib60_S1_R1_001.fastq.gz</v>
      </c>
      <c r="N564" s="44" t="str">
        <f aca="false">INDEX(fastqs!$C:$C, MATCH(A564, fastqs!$B:$B, 0), 1)</f>
        <v>run0008</v>
      </c>
      <c r="O564" s="44" t="str">
        <f aca="false">INDEX(samples!$B:$B, MATCH(B564, samples!$A:$A, 0), 1)</f>
        <v>par0258</v>
      </c>
      <c r="P564" s="44" t="e">
        <f aca="false">INDEX(participants!$I:$I, MATCH(O564, participants!$A:$A, 0), 1)</f>
        <v>#N/A</v>
      </c>
      <c r="Q564" s="44" t="str">
        <f aca="false">INDEX(samples!$F:$F, MATCH(B564, samples!$A:$A, 0), 1)</f>
        <v>nf1_lib60</v>
      </c>
      <c r="R564" s="49" t="n">
        <f aca="false">INDEX(samples!$C:$C, MATCH(B564, samples!$A:$A, 0), 1)</f>
        <v>45279</v>
      </c>
      <c r="S564" s="50" t="str">
        <f aca="false">INDEX(samples!$D:$D,MATCH(B564, samples!$A:$A,0),1)</f>
        <v>blood</v>
      </c>
      <c r="W564" s="0" t="n">
        <v>11.8</v>
      </c>
      <c r="Y564" s="8" t="s">
        <v>1002</v>
      </c>
      <c r="Z564" s="8" t="n">
        <v>0</v>
      </c>
      <c r="AA564" s="8" t="s">
        <v>3150</v>
      </c>
      <c r="AB564" s="8" t="n">
        <v>0</v>
      </c>
    </row>
    <row r="565" customFormat="false" ht="13.8" hidden="false" customHeight="false" outlineLevel="0" collapsed="false">
      <c r="A565" s="48" t="s">
        <v>3725</v>
      </c>
      <c r="B565" s="41" t="s">
        <v>2769</v>
      </c>
      <c r="C565" s="0" t="s">
        <v>3147</v>
      </c>
      <c r="D565" s="0" t="s">
        <v>3551</v>
      </c>
      <c r="F565" s="0" t="n">
        <v>50</v>
      </c>
      <c r="G565" s="0" t="n">
        <v>16.8</v>
      </c>
      <c r="H565" s="0" t="s">
        <v>3552</v>
      </c>
      <c r="I565" s="0" t="s">
        <v>1002</v>
      </c>
      <c r="J565" s="0" t="s">
        <v>427</v>
      </c>
      <c r="K565" s="0" t="s">
        <v>427</v>
      </c>
      <c r="M565" s="44" t="str">
        <f aca="false">INDEX(fastqs!$A:$A, MATCH(A565, fastqs!$B:$B, 0), 1)</f>
        <v>61_nf1_lib61_S1_R1_001.fastq.gz</v>
      </c>
      <c r="N565" s="44" t="str">
        <f aca="false">INDEX(fastqs!$C:$C, MATCH(A565, fastqs!$B:$B, 0), 1)</f>
        <v>run0008</v>
      </c>
      <c r="O565" s="44" t="str">
        <f aca="false">INDEX(samples!$B:$B, MATCH(B565, samples!$A:$A, 0), 1)</f>
        <v>par0237</v>
      </c>
      <c r="P565" s="44" t="e">
        <f aca="false">INDEX(participants!$I:$I, MATCH(O565, participants!$A:$A, 0), 1)</f>
        <v>#N/A</v>
      </c>
      <c r="Q565" s="44" t="str">
        <f aca="false">INDEX(samples!$F:$F, MATCH(B565, samples!$A:$A, 0), 1)</f>
        <v>nf1_lib61</v>
      </c>
      <c r="R565" s="49" t="str">
        <f aca="false">INDEX(samples!$C:$C, MATCH(B565, samples!$A:$A, 0), 1)</f>
        <v>2024-11-19</v>
      </c>
      <c r="S565" s="50" t="str">
        <f aca="false">INDEX(samples!$D:$D,MATCH(B565, samples!$A:$A,0),1)</f>
        <v>blood</v>
      </c>
      <c r="T565" s="0" t="n">
        <v>1.5</v>
      </c>
      <c r="W565" s="0" t="n">
        <v>14.7</v>
      </c>
      <c r="Y565" s="8" t="s">
        <v>1002</v>
      </c>
      <c r="Z565" s="8" t="n">
        <v>0</v>
      </c>
      <c r="AA565" s="8" t="s">
        <v>3150</v>
      </c>
      <c r="AB565" s="8" t="n">
        <v>0</v>
      </c>
    </row>
    <row r="566" customFormat="false" ht="13.8" hidden="false" customHeight="false" outlineLevel="0" collapsed="false">
      <c r="A566" s="48" t="s">
        <v>3726</v>
      </c>
      <c r="B566" s="41" t="s">
        <v>2772</v>
      </c>
      <c r="C566" s="0" t="s">
        <v>3147</v>
      </c>
      <c r="D566" s="0" t="s">
        <v>3551</v>
      </c>
      <c r="F566" s="0" t="n">
        <v>50</v>
      </c>
      <c r="G566" s="0" t="n">
        <v>11.2</v>
      </c>
      <c r="H566" s="0" t="s">
        <v>3552</v>
      </c>
      <c r="I566" s="0" t="s">
        <v>1002</v>
      </c>
      <c r="J566" s="0" t="s">
        <v>427</v>
      </c>
      <c r="K566" s="0" t="s">
        <v>427</v>
      </c>
      <c r="M566" s="44" t="str">
        <f aca="false">INDEX(fastqs!$A:$A, MATCH(A566, fastqs!$B:$B, 0), 1)</f>
        <v>62_nf1_lib62_S1_R1_001.fastq.gz</v>
      </c>
      <c r="N566" s="44" t="str">
        <f aca="false">INDEX(fastqs!$C:$C, MATCH(A566, fastqs!$B:$B, 0), 1)</f>
        <v>run0008</v>
      </c>
      <c r="O566" s="44" t="str">
        <f aca="false">INDEX(samples!$B:$B, MATCH(B566, samples!$A:$A, 0), 1)</f>
        <v>par0249</v>
      </c>
      <c r="P566" s="44" t="e">
        <f aca="false">INDEX(participants!$I:$I, MATCH(O566, participants!$A:$A, 0), 1)</f>
        <v>#N/A</v>
      </c>
      <c r="Q566" s="44" t="str">
        <f aca="false">INDEX(samples!$F:$F, MATCH(B566, samples!$A:$A, 0), 1)</f>
        <v>nf1_lib62</v>
      </c>
      <c r="R566" s="49" t="str">
        <f aca="false">INDEX(samples!$C:$C, MATCH(B566, samples!$A:$A, 0), 1)</f>
        <v>2025-02-25</v>
      </c>
      <c r="S566" s="50" t="str">
        <f aca="false">INDEX(samples!$D:$D,MATCH(B566, samples!$A:$A,0),1)</f>
        <v>blood</v>
      </c>
      <c r="T566" s="0" t="n">
        <v>1.5</v>
      </c>
      <c r="W566" s="0" t="n">
        <v>13.2</v>
      </c>
      <c r="Y566" s="8" t="s">
        <v>1002</v>
      </c>
      <c r="Z566" s="8" t="n">
        <v>0</v>
      </c>
      <c r="AA566" s="8" t="s">
        <v>3150</v>
      </c>
      <c r="AB566" s="8" t="n">
        <v>0</v>
      </c>
    </row>
    <row r="567" customFormat="false" ht="13.8" hidden="false" customHeight="false" outlineLevel="0" collapsed="false">
      <c r="A567" s="48" t="s">
        <v>3727</v>
      </c>
      <c r="B567" s="41" t="s">
        <v>2775</v>
      </c>
      <c r="C567" s="0" t="s">
        <v>3147</v>
      </c>
      <c r="D567" s="0" t="s">
        <v>3551</v>
      </c>
      <c r="F567" s="0" t="n">
        <v>50</v>
      </c>
      <c r="G567" s="0" t="n">
        <v>12.8</v>
      </c>
      <c r="H567" s="0" t="s">
        <v>3552</v>
      </c>
      <c r="I567" s="0" t="s">
        <v>1002</v>
      </c>
      <c r="J567" s="0" t="s">
        <v>427</v>
      </c>
      <c r="K567" s="0" t="s">
        <v>427</v>
      </c>
      <c r="M567" s="44" t="str">
        <f aca="false">INDEX(fastqs!$A:$A, MATCH(A567, fastqs!$B:$B, 0), 1)</f>
        <v>63_nf1_lib63_S1_R1_001.fastq.gz</v>
      </c>
      <c r="N567" s="44" t="str">
        <f aca="false">INDEX(fastqs!$C:$C, MATCH(A567, fastqs!$B:$B, 0), 1)</f>
        <v>run0008</v>
      </c>
      <c r="O567" s="44" t="str">
        <f aca="false">INDEX(samples!$B:$B, MATCH(B567, samples!$A:$A, 0), 1)</f>
        <v>par0230</v>
      </c>
      <c r="P567" s="44" t="e">
        <f aca="false">INDEX(participants!$I:$I, MATCH(O567, participants!$A:$A, 0), 1)</f>
        <v>#N/A</v>
      </c>
      <c r="Q567" s="44" t="str">
        <f aca="false">INDEX(samples!$F:$F, MATCH(B567, samples!$A:$A, 0), 1)</f>
        <v>nf1_lib63</v>
      </c>
      <c r="R567" s="49" t="str">
        <f aca="false">INDEX(samples!$C:$C, MATCH(B567, samples!$A:$A, 0), 1)</f>
        <v>2025-02-25</v>
      </c>
      <c r="S567" s="50" t="str">
        <f aca="false">INDEX(samples!$D:$D,MATCH(B567, samples!$A:$A,0),1)</f>
        <v>blood</v>
      </c>
      <c r="T567" s="0" t="n">
        <v>1.5</v>
      </c>
      <c r="W567" s="0" t="n">
        <v>15.4</v>
      </c>
      <c r="Y567" s="8" t="s">
        <v>1002</v>
      </c>
      <c r="Z567" s="8" t="n">
        <v>0</v>
      </c>
      <c r="AA567" s="8" t="s">
        <v>3150</v>
      </c>
      <c r="AB567" s="8" t="n">
        <v>0</v>
      </c>
    </row>
    <row r="568" customFormat="false" ht="13.8" hidden="false" customHeight="false" outlineLevel="0" collapsed="false">
      <c r="A568" s="48" t="s">
        <v>3728</v>
      </c>
      <c r="B568" s="41" t="s">
        <v>2777</v>
      </c>
      <c r="C568" s="0" t="s">
        <v>3147</v>
      </c>
      <c r="D568" s="0" t="s">
        <v>3551</v>
      </c>
      <c r="F568" s="0" t="n">
        <v>50</v>
      </c>
      <c r="G568" s="0" t="n">
        <v>13.5</v>
      </c>
      <c r="H568" s="0" t="s">
        <v>3552</v>
      </c>
      <c r="I568" s="0" t="s">
        <v>1002</v>
      </c>
      <c r="J568" s="0" t="s">
        <v>427</v>
      </c>
      <c r="K568" s="0" t="s">
        <v>427</v>
      </c>
      <c r="M568" s="44" t="str">
        <f aca="false">INDEX(fastqs!$A:$A, MATCH(A568, fastqs!$B:$B, 0), 1)</f>
        <v>64_nf1_lib64_S1_R1_001.fastq.gz</v>
      </c>
      <c r="N568" s="44" t="str">
        <f aca="false">INDEX(fastqs!$C:$C, MATCH(A568, fastqs!$B:$B, 0), 1)</f>
        <v>run0008</v>
      </c>
      <c r="O568" s="44" t="str">
        <f aca="false">INDEX(samples!$B:$B, MATCH(B568, samples!$A:$A, 0), 1)</f>
        <v>par0247</v>
      </c>
      <c r="P568" s="44" t="e">
        <f aca="false">INDEX(participants!$I:$I, MATCH(O568, participants!$A:$A, 0), 1)</f>
        <v>#N/A</v>
      </c>
      <c r="Q568" s="44" t="str">
        <f aca="false">INDEX(samples!$F:$F, MATCH(B568, samples!$A:$A, 0), 1)</f>
        <v>nf1_lib64</v>
      </c>
      <c r="R568" s="49" t="str">
        <f aca="false">INDEX(samples!$C:$C, MATCH(B568, samples!$A:$A, 0), 1)</f>
        <v>2024-05-28</v>
      </c>
      <c r="S568" s="50" t="str">
        <f aca="false">INDEX(samples!$D:$D,MATCH(B568, samples!$A:$A,0),1)</f>
        <v>blood</v>
      </c>
      <c r="T568" s="0" t="n">
        <v>2</v>
      </c>
      <c r="W568" s="0" t="n">
        <v>13.9</v>
      </c>
      <c r="Y568" s="8" t="s">
        <v>1002</v>
      </c>
      <c r="Z568" s="8" t="n">
        <v>0</v>
      </c>
      <c r="AA568" s="8" t="s">
        <v>3150</v>
      </c>
      <c r="AB568" s="8" t="n">
        <v>0</v>
      </c>
    </row>
    <row r="569" customFormat="false" ht="13.8" hidden="false" customHeight="false" outlineLevel="0" collapsed="false">
      <c r="A569" s="48" t="s">
        <v>3729</v>
      </c>
      <c r="B569" s="41" t="s">
        <v>2780</v>
      </c>
      <c r="C569" s="0" t="s">
        <v>3147</v>
      </c>
      <c r="D569" s="0" t="s">
        <v>3551</v>
      </c>
      <c r="F569" s="0" t="n">
        <v>50</v>
      </c>
      <c r="G569" s="0" t="n">
        <v>11.9</v>
      </c>
      <c r="H569" s="0" t="s">
        <v>3552</v>
      </c>
      <c r="I569" s="0" t="s">
        <v>1002</v>
      </c>
      <c r="J569" s="0" t="s">
        <v>427</v>
      </c>
      <c r="K569" s="0" t="s">
        <v>427</v>
      </c>
      <c r="M569" s="44" t="str">
        <f aca="false">INDEX(fastqs!$A:$A, MATCH(A569, fastqs!$B:$B, 0), 1)</f>
        <v>65_nf1_lib65_S1_R1_001.fastq.gz</v>
      </c>
      <c r="N569" s="44" t="str">
        <f aca="false">INDEX(fastqs!$C:$C, MATCH(A569, fastqs!$B:$B, 0), 1)</f>
        <v>run0008</v>
      </c>
      <c r="O569" s="44" t="str">
        <f aca="false">INDEX(samples!$B:$B, MATCH(B569, samples!$A:$A, 0), 1)</f>
        <v>par0247</v>
      </c>
      <c r="P569" s="44" t="e">
        <f aca="false">INDEX(participants!$I:$I, MATCH(O569, participants!$A:$A, 0), 1)</f>
        <v>#N/A</v>
      </c>
      <c r="Q569" s="44" t="str">
        <f aca="false">INDEX(samples!$F:$F, MATCH(B569, samples!$A:$A, 0), 1)</f>
        <v>nf1_lib65</v>
      </c>
      <c r="R569" s="49" t="str">
        <f aca="false">INDEX(samples!$C:$C, MATCH(B569, samples!$A:$A, 0), 1)</f>
        <v>2023-05-30</v>
      </c>
      <c r="S569" s="50" t="str">
        <f aca="false">INDEX(samples!$D:$D,MATCH(B569, samples!$A:$A,0),1)</f>
        <v>blood</v>
      </c>
      <c r="T569" s="0" t="n">
        <v>2</v>
      </c>
      <c r="W569" s="0" t="n">
        <v>7.25</v>
      </c>
      <c r="Y569" s="8" t="s">
        <v>1002</v>
      </c>
      <c r="Z569" s="8" t="n">
        <v>0</v>
      </c>
      <c r="AA569" s="8" t="s">
        <v>3150</v>
      </c>
      <c r="AB569" s="8" t="n">
        <v>0</v>
      </c>
    </row>
    <row r="570" customFormat="false" ht="13.8" hidden="false" customHeight="false" outlineLevel="0" collapsed="false">
      <c r="A570" s="48" t="s">
        <v>3730</v>
      </c>
      <c r="B570" s="41" t="s">
        <v>2784</v>
      </c>
      <c r="C570" s="0" t="s">
        <v>3147</v>
      </c>
      <c r="D570" s="0" t="s">
        <v>3551</v>
      </c>
      <c r="F570" s="0" t="n">
        <v>52</v>
      </c>
      <c r="G570" s="0" t="n">
        <v>17.7</v>
      </c>
      <c r="H570" s="0" t="s">
        <v>3552</v>
      </c>
      <c r="I570" s="0" t="s">
        <v>1002</v>
      </c>
      <c r="J570" s="0" t="s">
        <v>427</v>
      </c>
      <c r="K570" s="0" t="s">
        <v>427</v>
      </c>
      <c r="M570" s="44" t="str">
        <f aca="false">INDEX(fastqs!$A:$A, MATCH(A570, fastqs!$B:$B, 0), 1)</f>
        <v>66_nf1_lib66_S1_R1_001.fastq.gz</v>
      </c>
      <c r="N570" s="44" t="str">
        <f aca="false">INDEX(fastqs!$C:$C, MATCH(A570, fastqs!$B:$B, 0), 1)</f>
        <v>run0008</v>
      </c>
      <c r="O570" s="44" t="str">
        <f aca="false">INDEX(samples!$B:$B, MATCH(B570, samples!$A:$A, 0), 1)</f>
        <v>par0230</v>
      </c>
      <c r="P570" s="44" t="e">
        <f aca="false">INDEX(participants!$I:$I, MATCH(O570, participants!$A:$A, 0), 1)</f>
        <v>#N/A</v>
      </c>
      <c r="Q570" s="44" t="str">
        <f aca="false">INDEX(samples!$F:$F, MATCH(B570, samples!$A:$A, 0), 1)</f>
        <v>nf1_lib66</v>
      </c>
      <c r="R570" s="49" t="str">
        <f aca="false">INDEX(samples!$C:$C, MATCH(B570, samples!$A:$A, 0), 1)</f>
        <v>2024-12-03</v>
      </c>
      <c r="S570" s="50" t="str">
        <f aca="false">INDEX(samples!$D:$D,MATCH(B570, samples!$A:$A,0),1)</f>
        <v>blood</v>
      </c>
      <c r="T570" s="0" t="n">
        <v>1.5</v>
      </c>
      <c r="W570" s="0" t="n">
        <v>16.1</v>
      </c>
      <c r="Y570" s="8" t="s">
        <v>1002</v>
      </c>
      <c r="Z570" s="8" t="n">
        <v>0</v>
      </c>
      <c r="AA570" s="8" t="s">
        <v>3150</v>
      </c>
      <c r="AB570" s="8" t="n">
        <v>0</v>
      </c>
    </row>
    <row r="571" customFormat="false" ht="13.8" hidden="false" customHeight="false" outlineLevel="0" collapsed="false">
      <c r="A571" s="48" t="s">
        <v>3731</v>
      </c>
      <c r="B571" s="41" t="s">
        <v>2354</v>
      </c>
      <c r="C571" s="0" t="s">
        <v>3147</v>
      </c>
      <c r="D571" s="0" t="s">
        <v>3551</v>
      </c>
      <c r="F571" s="0" t="n">
        <v>48</v>
      </c>
      <c r="G571" s="0" t="n">
        <v>19.2</v>
      </c>
      <c r="H571" s="0" t="s">
        <v>3552</v>
      </c>
      <c r="I571" s="0" t="s">
        <v>1002</v>
      </c>
      <c r="J571" s="0" t="s">
        <v>427</v>
      </c>
      <c r="K571" s="0" t="s">
        <v>427</v>
      </c>
      <c r="M571" s="44" t="str">
        <f aca="false">INDEX(fastqs!$A:$A, MATCH(A571, fastqs!$B:$B, 0), 1)</f>
        <v>67_nf1_lib67_S1_R1_001.fastq.gz</v>
      </c>
      <c r="N571" s="44" t="str">
        <f aca="false">INDEX(fastqs!$C:$C, MATCH(A571, fastqs!$B:$B, 0), 1)</f>
        <v>run0008</v>
      </c>
      <c r="O571" s="44" t="str">
        <f aca="false">INDEX(samples!$B:$B, MATCH(B571, samples!$A:$A, 0), 1)</f>
        <v>par0257</v>
      </c>
      <c r="P571" s="44" t="e">
        <f aca="false">INDEX(participants!$I:$I, MATCH(O571, participants!$A:$A, 0), 1)</f>
        <v>#N/A</v>
      </c>
      <c r="Q571" s="44" t="str">
        <f aca="false">INDEX(samples!$F:$F, MATCH(B571, samples!$A:$A, 0), 1)</f>
        <v>nf1_lib67</v>
      </c>
      <c r="R571" s="49" t="str">
        <f aca="false">INDEX(samples!$C:$C, MATCH(B571, samples!$A:$A, 0), 1)</f>
        <v>2022-05-24</v>
      </c>
      <c r="S571" s="50" t="str">
        <f aca="false">INDEX(samples!$D:$D,MATCH(B571, samples!$A:$A,0),1)</f>
        <v>blood</v>
      </c>
      <c r="W571" s="0" t="n">
        <v>3.37</v>
      </c>
      <c r="Y571" s="8" t="s">
        <v>1002</v>
      </c>
      <c r="Z571" s="8" t="n">
        <v>0</v>
      </c>
      <c r="AA571" s="8" t="s">
        <v>3150</v>
      </c>
      <c r="AB571" s="8" t="n">
        <v>0</v>
      </c>
    </row>
    <row r="572" customFormat="false" ht="13.8" hidden="false" customHeight="false" outlineLevel="0" collapsed="false">
      <c r="A572" s="48" t="s">
        <v>3732</v>
      </c>
      <c r="B572" s="41" t="s">
        <v>2787</v>
      </c>
      <c r="C572" s="0" t="s">
        <v>3147</v>
      </c>
      <c r="D572" s="0" t="s">
        <v>3551</v>
      </c>
      <c r="F572" s="0" t="n">
        <v>48</v>
      </c>
      <c r="G572" s="0" t="n">
        <v>6.45</v>
      </c>
      <c r="H572" s="0" t="s">
        <v>3552</v>
      </c>
      <c r="I572" s="0" t="s">
        <v>1002</v>
      </c>
      <c r="J572" s="0" t="s">
        <v>427</v>
      </c>
      <c r="K572" s="0" t="s">
        <v>427</v>
      </c>
      <c r="M572" s="44" t="str">
        <f aca="false">INDEX(fastqs!$A:$A, MATCH(A572, fastqs!$B:$B, 0), 1)</f>
        <v>68_nf1_lib68_S1_R1_001.fastq.gz</v>
      </c>
      <c r="N572" s="44" t="str">
        <f aca="false">INDEX(fastqs!$C:$C, MATCH(A572, fastqs!$B:$B, 0), 1)</f>
        <v>run0008</v>
      </c>
      <c r="O572" s="44" t="str">
        <f aca="false">INDEX(samples!$B:$B, MATCH(B572, samples!$A:$A, 0), 1)</f>
        <v>par0202</v>
      </c>
      <c r="P572" s="44" t="e">
        <f aca="false">INDEX(participants!$I:$I, MATCH(O572, participants!$A:$A, 0), 1)</f>
        <v>#N/A</v>
      </c>
      <c r="Q572" s="44" t="str">
        <f aca="false">INDEX(samples!$F:$F, MATCH(B572, samples!$A:$A, 0), 1)</f>
        <v>nf1_lib68</v>
      </c>
      <c r="R572" s="49" t="str">
        <f aca="false">INDEX(samples!$C:$C, MATCH(B572, samples!$A:$A, 0), 1)</f>
        <v>2022-10-18</v>
      </c>
      <c r="S572" s="50" t="str">
        <f aca="false">INDEX(samples!$D:$D,MATCH(B572, samples!$A:$A,0),1)</f>
        <v>blood</v>
      </c>
      <c r="W572" s="0" t="n">
        <v>8.02</v>
      </c>
      <c r="Y572" s="8" t="s">
        <v>1002</v>
      </c>
      <c r="Z572" s="8" t="n">
        <v>0</v>
      </c>
      <c r="AA572" s="8" t="s">
        <v>3150</v>
      </c>
      <c r="AB572" s="8" t="n">
        <v>0</v>
      </c>
    </row>
    <row r="573" customFormat="false" ht="13.8" hidden="false" customHeight="false" outlineLevel="0" collapsed="false">
      <c r="A573" s="48" t="s">
        <v>3733</v>
      </c>
      <c r="B573" s="41" t="s">
        <v>2790</v>
      </c>
      <c r="C573" s="0" t="s">
        <v>3147</v>
      </c>
      <c r="D573" s="0" t="s">
        <v>3551</v>
      </c>
      <c r="F573" s="0" t="n">
        <v>50</v>
      </c>
      <c r="G573" s="0" t="n">
        <v>5.26</v>
      </c>
      <c r="H573" s="0" t="s">
        <v>3552</v>
      </c>
      <c r="I573" s="0" t="s">
        <v>1002</v>
      </c>
      <c r="J573" s="0" t="s">
        <v>427</v>
      </c>
      <c r="K573" s="0" t="s">
        <v>427</v>
      </c>
      <c r="M573" s="44" t="str">
        <f aca="false">INDEX(fastqs!$A:$A, MATCH(A573, fastqs!$B:$B, 0), 1)</f>
        <v>69_nf1_lib69_S1_R1_001.fastq.gz</v>
      </c>
      <c r="N573" s="44" t="str">
        <f aca="false">INDEX(fastqs!$C:$C, MATCH(A573, fastqs!$B:$B, 0), 1)</f>
        <v>run0008</v>
      </c>
      <c r="O573" s="44" t="str">
        <f aca="false">INDEX(samples!$B:$B, MATCH(B573, samples!$A:$A, 0), 1)</f>
        <v>par0295</v>
      </c>
      <c r="P573" s="44" t="e">
        <f aca="false">INDEX(participants!$I:$I, MATCH(O573, participants!$A:$A, 0), 1)</f>
        <v>#N/A</v>
      </c>
      <c r="Q573" s="44" t="str">
        <f aca="false">INDEX(samples!$F:$F, MATCH(B573, samples!$A:$A, 0), 1)</f>
        <v>nf1_lib69</v>
      </c>
      <c r="R573" s="49" t="str">
        <f aca="false">INDEX(samples!$C:$C, MATCH(B573, samples!$A:$A, 0), 1)</f>
        <v>2024-10-25</v>
      </c>
      <c r="S573" s="50" t="str">
        <f aca="false">INDEX(samples!$D:$D,MATCH(B573, samples!$A:$A,0),1)</f>
        <v>blood</v>
      </c>
      <c r="W573" s="0" t="n">
        <v>11.5</v>
      </c>
      <c r="Y573" s="8" t="s">
        <v>1002</v>
      </c>
      <c r="Z573" s="8" t="n">
        <v>0</v>
      </c>
      <c r="AA573" s="8" t="s">
        <v>3150</v>
      </c>
      <c r="AB573" s="8" t="n">
        <v>0</v>
      </c>
    </row>
    <row r="574" customFormat="false" ht="13.8" hidden="false" customHeight="false" outlineLevel="0" collapsed="false">
      <c r="A574" s="48" t="s">
        <v>3734</v>
      </c>
      <c r="B574" s="41" t="s">
        <v>2794</v>
      </c>
      <c r="C574" s="0" t="s">
        <v>3147</v>
      </c>
      <c r="D574" s="0" t="s">
        <v>3551</v>
      </c>
      <c r="F574" s="0" t="n">
        <v>50</v>
      </c>
      <c r="G574" s="0" t="n">
        <v>9.73</v>
      </c>
      <c r="H574" s="0" t="s">
        <v>3552</v>
      </c>
      <c r="I574" s="0" t="s">
        <v>1002</v>
      </c>
      <c r="J574" s="0" t="s">
        <v>427</v>
      </c>
      <c r="K574" s="0" t="s">
        <v>427</v>
      </c>
      <c r="M574" s="44" t="str">
        <f aca="false">INDEX(fastqs!$A:$A, MATCH(A574, fastqs!$B:$B, 0), 1)</f>
        <v>70_nf1_lib70_S1_R1_001.fastq.gz</v>
      </c>
      <c r="N574" s="44" t="str">
        <f aca="false">INDEX(fastqs!$C:$C, MATCH(A574, fastqs!$B:$B, 0), 1)</f>
        <v>run0008</v>
      </c>
      <c r="O574" s="44" t="str">
        <f aca="false">INDEX(samples!$B:$B, MATCH(B574, samples!$A:$A, 0), 1)</f>
        <v>par0297</v>
      </c>
      <c r="P574" s="44" t="e">
        <f aca="false">INDEX(participants!$I:$I, MATCH(O574, participants!$A:$A, 0), 1)</f>
        <v>#N/A</v>
      </c>
      <c r="Q574" s="44" t="str">
        <f aca="false">INDEX(samples!$F:$F, MATCH(B574, samples!$A:$A, 0), 1)</f>
        <v>nf1_lib70</v>
      </c>
      <c r="R574" s="49" t="str">
        <f aca="false">INDEX(samples!$C:$C, MATCH(B574, samples!$A:$A, 0), 1)</f>
        <v>2024-06-18</v>
      </c>
      <c r="S574" s="50" t="str">
        <f aca="false">INDEX(samples!$D:$D,MATCH(B574, samples!$A:$A,0),1)</f>
        <v>blood</v>
      </c>
      <c r="W574" s="0" t="n">
        <v>8.44</v>
      </c>
      <c r="Y574" s="8" t="s">
        <v>1002</v>
      </c>
      <c r="Z574" s="8" t="n">
        <v>0</v>
      </c>
      <c r="AA574" s="8" t="s">
        <v>3150</v>
      </c>
      <c r="AB574" s="8" t="n">
        <v>0</v>
      </c>
    </row>
    <row r="575" customFormat="false" ht="13.8" hidden="false" customHeight="false" outlineLevel="0" collapsed="false">
      <c r="A575" s="48" t="s">
        <v>3735</v>
      </c>
      <c r="B575" s="41" t="s">
        <v>2797</v>
      </c>
      <c r="C575" s="0" t="s">
        <v>3147</v>
      </c>
      <c r="D575" s="0" t="s">
        <v>3551</v>
      </c>
      <c r="F575" s="0" t="n">
        <v>50</v>
      </c>
      <c r="G575" s="0" t="n">
        <v>6.96</v>
      </c>
      <c r="H575" s="0" t="s">
        <v>3552</v>
      </c>
      <c r="I575" s="0" t="s">
        <v>1002</v>
      </c>
      <c r="J575" s="0" t="s">
        <v>427</v>
      </c>
      <c r="K575" s="0" t="s">
        <v>427</v>
      </c>
      <c r="M575" s="44" t="str">
        <f aca="false">INDEX(fastqs!$A:$A, MATCH(A575, fastqs!$B:$B, 0), 1)</f>
        <v>71_nf1_lib71_S1_R1_001.fastq.gz</v>
      </c>
      <c r="N575" s="44" t="str">
        <f aca="false">INDEX(fastqs!$C:$C, MATCH(A575, fastqs!$B:$B, 0), 1)</f>
        <v>run0008</v>
      </c>
      <c r="O575" s="44" t="str">
        <f aca="false">INDEX(samples!$B:$B, MATCH(B575, samples!$A:$A, 0), 1)</f>
        <v>par0297</v>
      </c>
      <c r="P575" s="44" t="e">
        <f aca="false">INDEX(participants!$I:$I, MATCH(O575, participants!$A:$A, 0), 1)</f>
        <v>#N/A</v>
      </c>
      <c r="Q575" s="44" t="str">
        <f aca="false">INDEX(samples!$F:$F, MATCH(B575, samples!$A:$A, 0), 1)</f>
        <v>nf1_lib71</v>
      </c>
      <c r="R575" s="49" t="str">
        <f aca="false">INDEX(samples!$C:$C, MATCH(B575, samples!$A:$A, 0), 1)</f>
        <v>2024-09-17</v>
      </c>
      <c r="S575" s="50" t="str">
        <f aca="false">INDEX(samples!$D:$D,MATCH(B575, samples!$A:$A,0),1)</f>
        <v>blood</v>
      </c>
      <c r="W575" s="0" t="n">
        <v>10.1</v>
      </c>
      <c r="Y575" s="8" t="s">
        <v>1002</v>
      </c>
      <c r="Z575" s="8" t="n">
        <v>0</v>
      </c>
      <c r="AA575" s="8" t="s">
        <v>3150</v>
      </c>
      <c r="AB575" s="8" t="n">
        <v>0</v>
      </c>
    </row>
    <row r="576" customFormat="false" ht="13.8" hidden="false" customHeight="false" outlineLevel="0" collapsed="false">
      <c r="A576" s="48" t="s">
        <v>3736</v>
      </c>
      <c r="B576" s="41" t="s">
        <v>2547</v>
      </c>
      <c r="C576" s="0" t="s">
        <v>3147</v>
      </c>
      <c r="D576" s="0" t="s">
        <v>3551</v>
      </c>
      <c r="F576" s="0" t="n">
        <v>50</v>
      </c>
      <c r="G576" s="0" t="n">
        <v>6.63</v>
      </c>
      <c r="H576" s="0" t="s">
        <v>3552</v>
      </c>
      <c r="I576" s="0" t="s">
        <v>1002</v>
      </c>
      <c r="J576" s="0" t="s">
        <v>427</v>
      </c>
      <c r="K576" s="0" t="s">
        <v>427</v>
      </c>
      <c r="M576" s="44" t="str">
        <f aca="false">INDEX(fastqs!$A:$A, MATCH(A576, fastqs!$B:$B, 0), 1)</f>
        <v>72_nf1_lib72_S1_R1_001.fastq.gz</v>
      </c>
      <c r="N576" s="44" t="str">
        <f aca="false">INDEX(fastqs!$C:$C, MATCH(A576, fastqs!$B:$B, 0), 1)</f>
        <v>run0008</v>
      </c>
      <c r="O576" s="44" t="str">
        <f aca="false">INDEX(samples!$B:$B, MATCH(B576, samples!$A:$A, 0), 1)</f>
        <v>par0258</v>
      </c>
      <c r="P576" s="44" t="e">
        <f aca="false">INDEX(participants!$I:$I, MATCH(O576, participants!$A:$A, 0), 1)</f>
        <v>#N/A</v>
      </c>
      <c r="Q576" s="44" t="str">
        <f aca="false">INDEX(samples!$F:$F, MATCH(B576, samples!$A:$A, 0), 1)</f>
        <v>nf1_lib72</v>
      </c>
      <c r="R576" s="49" t="str">
        <f aca="false">INDEX(samples!$C:$C, MATCH(B576, samples!$A:$A, 0), 1)</f>
        <v>2022-08-23</v>
      </c>
      <c r="S576" s="50" t="str">
        <f aca="false">INDEX(samples!$D:$D,MATCH(B576, samples!$A:$A,0),1)</f>
        <v>blood</v>
      </c>
      <c r="W576" s="0" t="n">
        <v>11.6</v>
      </c>
      <c r="Y576" s="8" t="s">
        <v>1002</v>
      </c>
      <c r="Z576" s="8" t="n">
        <v>0</v>
      </c>
      <c r="AA576" s="8" t="s">
        <v>3150</v>
      </c>
      <c r="AB576" s="8" t="n">
        <v>0</v>
      </c>
    </row>
    <row r="577" customFormat="false" ht="13.8" hidden="false" customHeight="false" outlineLevel="0" collapsed="false">
      <c r="A577" s="48" t="s">
        <v>3737</v>
      </c>
      <c r="B577" s="41" t="s">
        <v>2800</v>
      </c>
      <c r="C577" s="0" t="s">
        <v>3147</v>
      </c>
      <c r="D577" s="0" t="s">
        <v>3551</v>
      </c>
      <c r="F577" s="0" t="n">
        <v>50</v>
      </c>
      <c r="G577" s="0" t="n">
        <v>6.18</v>
      </c>
      <c r="H577" s="0" t="s">
        <v>3552</v>
      </c>
      <c r="I577" s="0" t="s">
        <v>1002</v>
      </c>
      <c r="J577" s="0" t="s">
        <v>427</v>
      </c>
      <c r="K577" s="0" t="s">
        <v>427</v>
      </c>
      <c r="M577" s="44" t="str">
        <f aca="false">INDEX(fastqs!$A:$A, MATCH(A577, fastqs!$B:$B, 0), 1)</f>
        <v>73_nf1_lib73_S1_R1_001.fastq.gz</v>
      </c>
      <c r="N577" s="44" t="str">
        <f aca="false">INDEX(fastqs!$C:$C, MATCH(A577, fastqs!$B:$B, 0), 1)</f>
        <v>run0008</v>
      </c>
      <c r="O577" s="44" t="str">
        <f aca="false">INDEX(samples!$B:$B, MATCH(B577, samples!$A:$A, 0), 1)</f>
        <v>par0258</v>
      </c>
      <c r="P577" s="44" t="e">
        <f aca="false">INDEX(participants!$I:$I, MATCH(O577, participants!$A:$A, 0), 1)</f>
        <v>#N/A</v>
      </c>
      <c r="Q577" s="44" t="str">
        <f aca="false">INDEX(samples!$F:$F, MATCH(B577, samples!$A:$A, 0), 1)</f>
        <v>nf1_lib73</v>
      </c>
      <c r="R577" s="49" t="str">
        <f aca="false">INDEX(samples!$C:$C, MATCH(B577, samples!$A:$A, 0), 1)</f>
        <v>2024-06-18</v>
      </c>
      <c r="S577" s="50" t="str">
        <f aca="false">INDEX(samples!$D:$D,MATCH(B577, samples!$A:$A,0),1)</f>
        <v>blood</v>
      </c>
      <c r="W577" s="0" t="n">
        <v>15.5</v>
      </c>
      <c r="Y577" s="8" t="s">
        <v>1002</v>
      </c>
      <c r="Z577" s="8" t="n">
        <v>0</v>
      </c>
      <c r="AA577" s="8" t="s">
        <v>3150</v>
      </c>
      <c r="AB577" s="8" t="n">
        <v>0</v>
      </c>
    </row>
    <row r="578" customFormat="false" ht="13.8" hidden="false" customHeight="false" outlineLevel="0" collapsed="false">
      <c r="A578" s="48" t="s">
        <v>3738</v>
      </c>
      <c r="B578" s="41" t="s">
        <v>2802</v>
      </c>
      <c r="C578" s="0" t="s">
        <v>3147</v>
      </c>
      <c r="D578" s="0" t="s">
        <v>3551</v>
      </c>
      <c r="F578" s="0" t="n">
        <v>50</v>
      </c>
      <c r="G578" s="0" t="n">
        <v>2.64</v>
      </c>
      <c r="H578" s="0" t="s">
        <v>3552</v>
      </c>
      <c r="I578" s="0" t="s">
        <v>1002</v>
      </c>
      <c r="J578" s="0" t="s">
        <v>427</v>
      </c>
      <c r="K578" s="0" t="s">
        <v>427</v>
      </c>
      <c r="M578" s="44" t="str">
        <f aca="false">INDEX(fastqs!$A:$A, MATCH(A578, fastqs!$B:$B, 0), 1)</f>
        <v>74_nf1_lib74_S1_R1_001.fastq.gz</v>
      </c>
      <c r="N578" s="44" t="str">
        <f aca="false">INDEX(fastqs!$C:$C, MATCH(A578, fastqs!$B:$B, 0), 1)</f>
        <v>run0008</v>
      </c>
      <c r="O578" s="44" t="str">
        <f aca="false">INDEX(samples!$B:$B, MATCH(B578, samples!$A:$A, 0), 1)</f>
        <v>par0230</v>
      </c>
      <c r="P578" s="44" t="e">
        <f aca="false">INDEX(participants!$I:$I, MATCH(O578, participants!$A:$A, 0), 1)</f>
        <v>#N/A</v>
      </c>
      <c r="Q578" s="44" t="str">
        <f aca="false">INDEX(samples!$F:$F, MATCH(B578, samples!$A:$A, 0), 1)</f>
        <v>nf1_lib74</v>
      </c>
      <c r="R578" s="49" t="str">
        <f aca="false">INDEX(samples!$C:$C, MATCH(B578, samples!$A:$A, 0), 1)</f>
        <v>2025-01-14</v>
      </c>
      <c r="S578" s="50" t="str">
        <f aca="false">INDEX(samples!$D:$D,MATCH(B578, samples!$A:$A,0),1)</f>
        <v>blood</v>
      </c>
      <c r="T578" s="0" t="n">
        <v>1.5</v>
      </c>
      <c r="W578" s="0" t="n">
        <v>18.1</v>
      </c>
      <c r="Y578" s="8" t="s">
        <v>1002</v>
      </c>
      <c r="Z578" s="8" t="n">
        <v>0</v>
      </c>
      <c r="AA578" s="8" t="s">
        <v>3150</v>
      </c>
      <c r="AB578" s="8" t="n">
        <v>0</v>
      </c>
    </row>
    <row r="579" customFormat="false" ht="13.8" hidden="false" customHeight="false" outlineLevel="0" collapsed="false">
      <c r="A579" s="48" t="s">
        <v>3739</v>
      </c>
      <c r="B579" s="41" t="s">
        <v>2805</v>
      </c>
      <c r="C579" s="0" t="s">
        <v>3147</v>
      </c>
      <c r="D579" s="0" t="s">
        <v>3551</v>
      </c>
      <c r="F579" s="0" t="n">
        <v>50</v>
      </c>
      <c r="G579" s="0" t="n">
        <v>9.92</v>
      </c>
      <c r="H579" s="0" t="s">
        <v>3552</v>
      </c>
      <c r="I579" s="0" t="s">
        <v>1002</v>
      </c>
      <c r="J579" s="0" t="s">
        <v>427</v>
      </c>
      <c r="K579" s="0" t="s">
        <v>427</v>
      </c>
      <c r="M579" s="44" t="str">
        <f aca="false">INDEX(fastqs!$A:$A, MATCH(A579, fastqs!$B:$B, 0), 1)</f>
        <v>75_nf1_lib75_S1_R1_001.fastq.gz</v>
      </c>
      <c r="N579" s="44" t="str">
        <f aca="false">INDEX(fastqs!$C:$C, MATCH(A579, fastqs!$B:$B, 0), 1)</f>
        <v>run0008</v>
      </c>
      <c r="O579" s="44" t="str">
        <f aca="false">INDEX(samples!$B:$B, MATCH(B579, samples!$A:$A, 0), 1)</f>
        <v>par0258</v>
      </c>
      <c r="P579" s="44" t="e">
        <f aca="false">INDEX(participants!$I:$I, MATCH(O579, participants!$A:$A, 0), 1)</f>
        <v>#N/A</v>
      </c>
      <c r="Q579" s="44" t="str">
        <f aca="false">INDEX(samples!$F:$F, MATCH(B579, samples!$A:$A, 0), 1)</f>
        <v>nf1_lib75</v>
      </c>
      <c r="R579" s="49" t="str">
        <f aca="false">INDEX(samples!$C:$C, MATCH(B579, samples!$A:$A, 0), 1)</f>
        <v>2024-12-17</v>
      </c>
      <c r="S579" s="50" t="str">
        <f aca="false">INDEX(samples!$D:$D,MATCH(B579, samples!$A:$A,0),1)</f>
        <v>blood</v>
      </c>
      <c r="T579" s="0" t="n">
        <v>1.5</v>
      </c>
      <c r="W579" s="0" t="n">
        <v>8.73</v>
      </c>
      <c r="Y579" s="8" t="s">
        <v>1002</v>
      </c>
      <c r="Z579" s="8" t="n">
        <v>0</v>
      </c>
      <c r="AA579" s="8" t="s">
        <v>3150</v>
      </c>
      <c r="AB579" s="8" t="n">
        <v>0</v>
      </c>
    </row>
    <row r="580" customFormat="false" ht="13.8" hidden="false" customHeight="false" outlineLevel="0" collapsed="false">
      <c r="A580" s="48" t="s">
        <v>3740</v>
      </c>
      <c r="B580" s="41" t="s">
        <v>2808</v>
      </c>
      <c r="C580" s="0" t="s">
        <v>3147</v>
      </c>
      <c r="D580" s="0" t="s">
        <v>3551</v>
      </c>
      <c r="F580" s="0" t="n">
        <v>50</v>
      </c>
      <c r="G580" s="0" t="n">
        <v>7.57</v>
      </c>
      <c r="H580" s="0" t="s">
        <v>3552</v>
      </c>
      <c r="I580" s="0" t="s">
        <v>1002</v>
      </c>
      <c r="J580" s="0" t="s">
        <v>427</v>
      </c>
      <c r="K580" s="0" t="s">
        <v>427</v>
      </c>
      <c r="M580" s="44" t="str">
        <f aca="false">INDEX(fastqs!$A:$A, MATCH(A580, fastqs!$B:$B, 0), 1)</f>
        <v>76_nf1_lib76_S1_R1_001.fastq.gz</v>
      </c>
      <c r="N580" s="44" t="str">
        <f aca="false">INDEX(fastqs!$C:$C, MATCH(A580, fastqs!$B:$B, 0), 1)</f>
        <v>run0008</v>
      </c>
      <c r="O580" s="44" t="str">
        <f aca="false">INDEX(samples!$B:$B, MATCH(B580, samples!$A:$A, 0), 1)</f>
        <v>par0295</v>
      </c>
      <c r="P580" s="44" t="e">
        <f aca="false">INDEX(participants!$I:$I, MATCH(O580, participants!$A:$A, 0), 1)</f>
        <v>#N/A</v>
      </c>
      <c r="Q580" s="44" t="str">
        <f aca="false">INDEX(samples!$F:$F, MATCH(B580, samples!$A:$A, 0), 1)</f>
        <v>nf1_lib76</v>
      </c>
      <c r="R580" s="49" t="str">
        <f aca="false">INDEX(samples!$C:$C, MATCH(B580, samples!$A:$A, 0), 1)</f>
        <v>2022-10-25</v>
      </c>
      <c r="S580" s="50" t="str">
        <f aca="false">INDEX(samples!$D:$D,MATCH(B580, samples!$A:$A,0),1)</f>
        <v>blood</v>
      </c>
      <c r="T580" s="0" t="n">
        <v>1.5</v>
      </c>
      <c r="W580" s="0" t="n">
        <v>5.83</v>
      </c>
      <c r="Y580" s="8" t="s">
        <v>1002</v>
      </c>
      <c r="Z580" s="8" t="n">
        <v>0</v>
      </c>
      <c r="AA580" s="8" t="s">
        <v>3150</v>
      </c>
      <c r="AB580" s="8" t="n">
        <v>0</v>
      </c>
    </row>
    <row r="581" customFormat="false" ht="13.8" hidden="false" customHeight="false" outlineLevel="0" collapsed="false">
      <c r="A581" s="48" t="s">
        <v>3741</v>
      </c>
      <c r="B581" s="41" t="s">
        <v>2811</v>
      </c>
      <c r="C581" s="0" t="s">
        <v>3147</v>
      </c>
      <c r="D581" s="0" t="s">
        <v>3551</v>
      </c>
      <c r="F581" s="0" t="n">
        <v>50</v>
      </c>
      <c r="G581" s="0" t="n">
        <v>8.65</v>
      </c>
      <c r="H581" s="0" t="s">
        <v>3552</v>
      </c>
      <c r="I581" s="0" t="s">
        <v>1002</v>
      </c>
      <c r="J581" s="0" t="s">
        <v>427</v>
      </c>
      <c r="K581" s="0" t="s">
        <v>427</v>
      </c>
      <c r="M581" s="44" t="str">
        <f aca="false">INDEX(fastqs!$A:$A, MATCH(A581, fastqs!$B:$B, 0), 1)</f>
        <v>77_nf1_lib77_S1_R1_001.fastq.gz</v>
      </c>
      <c r="N581" s="44" t="str">
        <f aca="false">INDEX(fastqs!$C:$C, MATCH(A581, fastqs!$B:$B, 0), 1)</f>
        <v>run0008</v>
      </c>
      <c r="O581" s="44" t="str">
        <f aca="false">INDEX(samples!$B:$B, MATCH(B581, samples!$A:$A, 0), 1)</f>
        <v>par0202</v>
      </c>
      <c r="P581" s="44" t="e">
        <f aca="false">INDEX(participants!$I:$I, MATCH(O581, participants!$A:$A, 0), 1)</f>
        <v>#N/A</v>
      </c>
      <c r="Q581" s="44" t="str">
        <f aca="false">INDEX(samples!$F:$F, MATCH(B581, samples!$A:$A, 0), 1)</f>
        <v>nf1_lib77</v>
      </c>
      <c r="R581" s="49" t="str">
        <f aca="false">INDEX(samples!$C:$C, MATCH(B581, samples!$A:$A, 0), 1)</f>
        <v>2024-11-12</v>
      </c>
      <c r="S581" s="50" t="str">
        <f aca="false">INDEX(samples!$D:$D,MATCH(B581, samples!$A:$A,0),1)</f>
        <v>blood</v>
      </c>
      <c r="T581" s="0" t="n">
        <v>1.5</v>
      </c>
      <c r="W581" s="0" t="n">
        <v>8.5</v>
      </c>
      <c r="Y581" s="8" t="s">
        <v>1002</v>
      </c>
      <c r="Z581" s="8" t="n">
        <v>0</v>
      </c>
      <c r="AA581" s="8" t="s">
        <v>3150</v>
      </c>
      <c r="AB581" s="8" t="n">
        <v>0</v>
      </c>
    </row>
    <row r="582" customFormat="false" ht="13.8" hidden="false" customHeight="false" outlineLevel="0" collapsed="false">
      <c r="A582" s="48" t="s">
        <v>3742</v>
      </c>
      <c r="B582" s="41" t="s">
        <v>2815</v>
      </c>
      <c r="C582" s="0" t="s">
        <v>3147</v>
      </c>
      <c r="D582" s="0" t="s">
        <v>3551</v>
      </c>
      <c r="F582" s="0" t="n">
        <v>50</v>
      </c>
      <c r="G582" s="0" t="n">
        <v>2.63</v>
      </c>
      <c r="H582" s="0" t="s">
        <v>3552</v>
      </c>
      <c r="I582" s="0" t="s">
        <v>1002</v>
      </c>
      <c r="J582" s="0" t="s">
        <v>427</v>
      </c>
      <c r="K582" s="0" t="s">
        <v>427</v>
      </c>
      <c r="M582" s="44" t="str">
        <f aca="false">INDEX(fastqs!$A:$A, MATCH(A582, fastqs!$B:$B, 0), 1)</f>
        <v>78_nf1_lib78_S1_R1_001.fastq.gz</v>
      </c>
      <c r="N582" s="44" t="str">
        <f aca="false">INDEX(fastqs!$C:$C, MATCH(A582, fastqs!$B:$B, 0), 1)</f>
        <v>run0008</v>
      </c>
      <c r="O582" s="44" t="str">
        <f aca="false">INDEX(samples!$B:$B, MATCH(B582, samples!$A:$A, 0), 1)</f>
        <v>par0247</v>
      </c>
      <c r="P582" s="44" t="e">
        <f aca="false">INDEX(participants!$I:$I, MATCH(O582, participants!$A:$A, 0), 1)</f>
        <v>#N/A</v>
      </c>
      <c r="Q582" s="44" t="str">
        <f aca="false">INDEX(samples!$F:$F, MATCH(B582, samples!$A:$A, 0), 1)</f>
        <v>nf1_lib78</v>
      </c>
      <c r="R582" s="49" t="str">
        <f aca="false">INDEX(samples!$C:$C, MATCH(B582, samples!$A:$A, 0), 1)</f>
        <v>2024-12-10</v>
      </c>
      <c r="S582" s="50" t="str">
        <f aca="false">INDEX(samples!$D:$D,MATCH(B582, samples!$A:$A,0),1)</f>
        <v>blood</v>
      </c>
      <c r="T582" s="0" t="n">
        <v>1.5</v>
      </c>
      <c r="W582" s="0" t="n">
        <v>7.45</v>
      </c>
      <c r="Y582" s="8" t="s">
        <v>1002</v>
      </c>
      <c r="Z582" s="8" t="n">
        <v>0</v>
      </c>
      <c r="AA582" s="8" t="s">
        <v>3150</v>
      </c>
      <c r="AB582" s="8" t="n">
        <v>0</v>
      </c>
    </row>
    <row r="583" customFormat="false" ht="13.8" hidden="false" customHeight="false" outlineLevel="0" collapsed="false">
      <c r="A583" s="48" t="s">
        <v>3743</v>
      </c>
      <c r="B583" s="41" t="s">
        <v>2818</v>
      </c>
      <c r="C583" s="0" t="s">
        <v>3147</v>
      </c>
      <c r="D583" s="0" t="s">
        <v>3551</v>
      </c>
      <c r="F583" s="0" t="n">
        <v>50</v>
      </c>
      <c r="G583" s="0" t="n">
        <v>2.21</v>
      </c>
      <c r="H583" s="0" t="s">
        <v>3552</v>
      </c>
      <c r="I583" s="0" t="s">
        <v>1002</v>
      </c>
      <c r="J583" s="0" t="s">
        <v>427</v>
      </c>
      <c r="K583" s="0" t="s">
        <v>427</v>
      </c>
      <c r="M583" s="44" t="str">
        <f aca="false">INDEX(fastqs!$A:$A, MATCH(A583, fastqs!$B:$B, 0), 1)</f>
        <v>79_nf1_lib79_S1_R1_001.fastq.gz</v>
      </c>
      <c r="N583" s="44" t="str">
        <f aca="false">INDEX(fastqs!$C:$C, MATCH(A583, fastqs!$B:$B, 0), 1)</f>
        <v>run0008</v>
      </c>
      <c r="O583" s="44" t="str">
        <f aca="false">INDEX(samples!$B:$B, MATCH(B583, samples!$A:$A, 0), 1)</f>
        <v>par0247</v>
      </c>
      <c r="P583" s="44" t="e">
        <f aca="false">INDEX(participants!$I:$I, MATCH(O583, participants!$A:$A, 0), 1)</f>
        <v>#N/A</v>
      </c>
      <c r="Q583" s="44" t="str">
        <f aca="false">INDEX(samples!$F:$F, MATCH(B583, samples!$A:$A, 0), 1)</f>
        <v>nf1_lib79</v>
      </c>
      <c r="R583" s="49" t="str">
        <f aca="false">INDEX(samples!$C:$C, MATCH(B583, samples!$A:$A, 0), 1)</f>
        <v>2021-07-27</v>
      </c>
      <c r="S583" s="50" t="str">
        <f aca="false">INDEX(samples!$D:$D,MATCH(B583, samples!$A:$A,0),1)</f>
        <v>blood</v>
      </c>
      <c r="T583" s="0" t="n">
        <v>2</v>
      </c>
      <c r="W583" s="0" t="n">
        <v>10.7</v>
      </c>
      <c r="Y583" s="8" t="s">
        <v>1002</v>
      </c>
      <c r="Z583" s="8" t="n">
        <v>0</v>
      </c>
      <c r="AA583" s="8" t="s">
        <v>3150</v>
      </c>
      <c r="AB583" s="8" t="n">
        <v>0</v>
      </c>
    </row>
    <row r="584" customFormat="false" ht="13.8" hidden="false" customHeight="false" outlineLevel="0" collapsed="false">
      <c r="A584" s="48" t="s">
        <v>3744</v>
      </c>
      <c r="B584" s="41" t="s">
        <v>2820</v>
      </c>
      <c r="C584" s="0" t="s">
        <v>3147</v>
      </c>
      <c r="D584" s="0" t="s">
        <v>3551</v>
      </c>
      <c r="F584" s="0" t="n">
        <v>48</v>
      </c>
      <c r="G584" s="0" t="n">
        <v>8.89</v>
      </c>
      <c r="H584" s="0" t="s">
        <v>3552</v>
      </c>
      <c r="I584" s="0" t="s">
        <v>1002</v>
      </c>
      <c r="J584" s="0" t="s">
        <v>427</v>
      </c>
      <c r="K584" s="0" t="s">
        <v>427</v>
      </c>
      <c r="M584" s="44" t="str">
        <f aca="false">INDEX(fastqs!$A:$A, MATCH(A584, fastqs!$B:$B, 0), 1)</f>
        <v>80_nf1_lib80_S1_R1_001.fastq.gz</v>
      </c>
      <c r="N584" s="44" t="str">
        <f aca="false">INDEX(fastqs!$C:$C, MATCH(A584, fastqs!$B:$B, 0), 1)</f>
        <v>run0008</v>
      </c>
      <c r="O584" s="44" t="str">
        <f aca="false">INDEX(samples!$B:$B, MATCH(B584, samples!$A:$A, 0), 1)</f>
        <v>par0257</v>
      </c>
      <c r="P584" s="44" t="e">
        <f aca="false">INDEX(participants!$I:$I, MATCH(O584, participants!$A:$A, 0), 1)</f>
        <v>#N/A</v>
      </c>
      <c r="Q584" s="44" t="str">
        <f aca="false">INDEX(samples!$F:$F, MATCH(B584, samples!$A:$A, 0), 1)</f>
        <v>nf1_lib80</v>
      </c>
      <c r="R584" s="49" t="str">
        <f aca="false">INDEX(samples!$C:$C, MATCH(B584, samples!$A:$A, 0), 1)</f>
        <v>2022-08-16</v>
      </c>
      <c r="S584" s="50" t="str">
        <f aca="false">INDEX(samples!$D:$D,MATCH(B584, samples!$A:$A,0),1)</f>
        <v>blood</v>
      </c>
      <c r="W584" s="0" t="n">
        <v>2.48</v>
      </c>
      <c r="Y584" s="8" t="s">
        <v>1002</v>
      </c>
      <c r="Z584" s="8" t="n">
        <v>0</v>
      </c>
      <c r="AA584" s="8" t="s">
        <v>3150</v>
      </c>
      <c r="AB584" s="8" t="n">
        <v>0</v>
      </c>
    </row>
    <row r="585" customFormat="false" ht="13.8" hidden="false" customHeight="false" outlineLevel="0" collapsed="false">
      <c r="A585" s="48" t="s">
        <v>3745</v>
      </c>
      <c r="B585" s="41" t="s">
        <v>2822</v>
      </c>
      <c r="C585" s="0" t="s">
        <v>3147</v>
      </c>
      <c r="D585" s="0" t="s">
        <v>3551</v>
      </c>
      <c r="F585" s="0" t="n">
        <v>48</v>
      </c>
      <c r="G585" s="0" t="n">
        <v>7.21</v>
      </c>
      <c r="H585" s="0" t="s">
        <v>3552</v>
      </c>
      <c r="I585" s="0" t="s">
        <v>1002</v>
      </c>
      <c r="J585" s="0" t="s">
        <v>427</v>
      </c>
      <c r="K585" s="0" t="s">
        <v>427</v>
      </c>
      <c r="M585" s="44" t="str">
        <f aca="false">INDEX(fastqs!$A:$A, MATCH(A585, fastqs!$B:$B, 0), 1)</f>
        <v>81_nf1_lib81_S1_R1_001.fastq.gz</v>
      </c>
      <c r="N585" s="44" t="str">
        <f aca="false">INDEX(fastqs!$C:$C, MATCH(A585, fastqs!$B:$B, 0), 1)</f>
        <v>run0008</v>
      </c>
      <c r="O585" s="44" t="str">
        <f aca="false">INDEX(samples!$B:$B, MATCH(B585, samples!$A:$A, 0), 1)</f>
        <v>par0230</v>
      </c>
      <c r="P585" s="44" t="e">
        <f aca="false">INDEX(participants!$I:$I, MATCH(O585, participants!$A:$A, 0), 1)</f>
        <v>#N/A</v>
      </c>
      <c r="Q585" s="44" t="str">
        <f aca="false">INDEX(samples!$F:$F, MATCH(B585, samples!$A:$A, 0), 1)</f>
        <v>nf1_lib81</v>
      </c>
      <c r="R585" s="49" t="str">
        <f aca="false">INDEX(samples!$C:$C, MATCH(B585, samples!$A:$A, 0), 1)</f>
        <v>2024-01-23</v>
      </c>
      <c r="S585" s="50" t="str">
        <f aca="false">INDEX(samples!$D:$D,MATCH(B585, samples!$A:$A,0),1)</f>
        <v>blood</v>
      </c>
      <c r="W585" s="0" t="n">
        <v>1.19</v>
      </c>
      <c r="Y585" s="8" t="s">
        <v>1002</v>
      </c>
      <c r="Z585" s="8" t="n">
        <v>0</v>
      </c>
      <c r="AA585" s="8" t="s">
        <v>3150</v>
      </c>
      <c r="AB585" s="8" t="n">
        <v>0</v>
      </c>
    </row>
    <row r="586" customFormat="false" ht="13.8" hidden="false" customHeight="false" outlineLevel="0" collapsed="false">
      <c r="A586" s="48" t="s">
        <v>3746</v>
      </c>
      <c r="B586" s="41" t="s">
        <v>2826</v>
      </c>
      <c r="C586" s="0" t="s">
        <v>3147</v>
      </c>
      <c r="D586" s="0" t="s">
        <v>3551</v>
      </c>
      <c r="F586" s="0" t="n">
        <v>48</v>
      </c>
      <c r="G586" s="0" t="n">
        <v>175</v>
      </c>
      <c r="H586" s="0" t="s">
        <v>3552</v>
      </c>
      <c r="I586" s="0" t="s">
        <v>1002</v>
      </c>
      <c r="J586" s="0" t="s">
        <v>427</v>
      </c>
      <c r="K586" s="0" t="s">
        <v>427</v>
      </c>
      <c r="M586" s="44" t="str">
        <f aca="false">INDEX(fastqs!$A:$A, MATCH(A586, fastqs!$B:$B, 0), 1)</f>
        <v>82_nf1_lib82_S1_R1_001.fastq.gz</v>
      </c>
      <c r="N586" s="44" t="str">
        <f aca="false">INDEX(fastqs!$C:$C, MATCH(A586, fastqs!$B:$B, 0), 1)</f>
        <v>run0008</v>
      </c>
      <c r="O586" s="44" t="str">
        <f aca="false">INDEX(samples!$B:$B, MATCH(B586, samples!$A:$A, 0), 1)</f>
        <v>par0249</v>
      </c>
      <c r="P586" s="44" t="e">
        <f aca="false">INDEX(participants!$I:$I, MATCH(O586, participants!$A:$A, 0), 1)</f>
        <v>#N/A</v>
      </c>
      <c r="Q586" s="44" t="str">
        <f aca="false">INDEX(samples!$F:$F, MATCH(B586, samples!$A:$A, 0), 1)</f>
        <v>nf1_lib82</v>
      </c>
      <c r="R586" s="49" t="str">
        <f aca="false">INDEX(samples!$C:$C, MATCH(B586, samples!$A:$A, 0), 1)</f>
        <v>2022-05-24</v>
      </c>
      <c r="S586" s="50" t="str">
        <f aca="false">INDEX(samples!$D:$D,MATCH(B586, samples!$A:$A,0),1)</f>
        <v>blood</v>
      </c>
      <c r="W586" s="0" t="n">
        <v>21.3</v>
      </c>
      <c r="Y586" s="8" t="s">
        <v>1002</v>
      </c>
      <c r="Z586" s="8" t="n">
        <v>0</v>
      </c>
      <c r="AA586" s="8" t="s">
        <v>3150</v>
      </c>
      <c r="AB586" s="8" t="n">
        <v>0</v>
      </c>
    </row>
    <row r="587" customFormat="false" ht="13.8" hidden="false" customHeight="false" outlineLevel="0" collapsed="false">
      <c r="A587" s="48" t="s">
        <v>3747</v>
      </c>
      <c r="B587" s="41" t="s">
        <v>2829</v>
      </c>
      <c r="C587" s="0" t="s">
        <v>3147</v>
      </c>
      <c r="D587" s="0" t="s">
        <v>3551</v>
      </c>
      <c r="F587" s="0" t="n">
        <v>50</v>
      </c>
      <c r="G587" s="0" t="n">
        <v>120</v>
      </c>
      <c r="H587" s="0" t="s">
        <v>3552</v>
      </c>
      <c r="I587" s="0" t="s">
        <v>1002</v>
      </c>
      <c r="J587" s="0" t="s">
        <v>427</v>
      </c>
      <c r="K587" s="0" t="s">
        <v>427</v>
      </c>
      <c r="M587" s="44" t="str">
        <f aca="false">INDEX(fastqs!$A:$A, MATCH(A587, fastqs!$B:$B, 0), 1)</f>
        <v>83_nf1_lib83_S1_R1_001.fastq.gz</v>
      </c>
      <c r="N587" s="44" t="str">
        <f aca="false">INDEX(fastqs!$C:$C, MATCH(A587, fastqs!$B:$B, 0), 1)</f>
        <v>run0008</v>
      </c>
      <c r="O587" s="44" t="str">
        <f aca="false">INDEX(samples!$B:$B, MATCH(B587, samples!$A:$A, 0), 1)</f>
        <v>par0297</v>
      </c>
      <c r="P587" s="44" t="e">
        <f aca="false">INDEX(participants!$I:$I, MATCH(O587, participants!$A:$A, 0), 1)</f>
        <v>#N/A</v>
      </c>
      <c r="Q587" s="44" t="str">
        <f aca="false">INDEX(samples!$F:$F, MATCH(B587, samples!$A:$A, 0), 1)</f>
        <v>nf1_lib83</v>
      </c>
      <c r="R587" s="49" t="str">
        <f aca="false">INDEX(samples!$C:$C, MATCH(B587, samples!$A:$A, 0), 1)</f>
        <v>2023-07-11</v>
      </c>
      <c r="S587" s="50" t="str">
        <f aca="false">INDEX(samples!$D:$D,MATCH(B587, samples!$A:$A,0),1)</f>
        <v>blood</v>
      </c>
      <c r="W587" s="0" t="n">
        <v>16.5</v>
      </c>
      <c r="Y587" s="8" t="s">
        <v>1002</v>
      </c>
      <c r="Z587" s="8" t="n">
        <v>0</v>
      </c>
      <c r="AA587" s="8" t="s">
        <v>3150</v>
      </c>
      <c r="AB587" s="8" t="n">
        <v>0</v>
      </c>
    </row>
    <row r="588" customFormat="false" ht="13.8" hidden="false" customHeight="false" outlineLevel="0" collapsed="false">
      <c r="A588" s="48" t="s">
        <v>3748</v>
      </c>
      <c r="B588" s="41" t="s">
        <v>2832</v>
      </c>
      <c r="C588" s="0" t="s">
        <v>3147</v>
      </c>
      <c r="D588" s="0" t="s">
        <v>3551</v>
      </c>
      <c r="F588" s="0" t="n">
        <v>50</v>
      </c>
      <c r="G588" s="0" t="n">
        <v>150</v>
      </c>
      <c r="H588" s="0" t="s">
        <v>3552</v>
      </c>
      <c r="I588" s="0" t="s">
        <v>1002</v>
      </c>
      <c r="J588" s="0" t="s">
        <v>427</v>
      </c>
      <c r="K588" s="0" t="s">
        <v>427</v>
      </c>
      <c r="M588" s="44" t="str">
        <f aca="false">INDEX(fastqs!$A:$A, MATCH(A588, fastqs!$B:$B, 0), 1)</f>
        <v>84_nf1_lib84_S1_R1_001.fastq.gz</v>
      </c>
      <c r="N588" s="44" t="str">
        <f aca="false">INDEX(fastqs!$C:$C, MATCH(A588, fastqs!$B:$B, 0), 1)</f>
        <v>run0008</v>
      </c>
      <c r="O588" s="44" t="str">
        <f aca="false">INDEX(samples!$B:$B, MATCH(B588, samples!$A:$A, 0), 1)</f>
        <v>par0227</v>
      </c>
      <c r="P588" s="44" t="e">
        <f aca="false">INDEX(participants!$I:$I, MATCH(O588, participants!$A:$A, 0), 1)</f>
        <v>#N/A</v>
      </c>
      <c r="Q588" s="44" t="str">
        <f aca="false">INDEX(samples!$F:$F, MATCH(B588, samples!$A:$A, 0), 1)</f>
        <v>nf1_lib84</v>
      </c>
      <c r="R588" s="49" t="str">
        <f aca="false">INDEX(samples!$C:$C, MATCH(B588, samples!$A:$A, 0), 1)</f>
        <v>2022-05-03</v>
      </c>
      <c r="S588" s="50" t="str">
        <f aca="false">INDEX(samples!$D:$D,MATCH(B588, samples!$A:$A,0),1)</f>
        <v>blood</v>
      </c>
      <c r="W588" s="0" t="n">
        <v>13.6</v>
      </c>
      <c r="Y588" s="8" t="s">
        <v>1002</v>
      </c>
      <c r="Z588" s="8" t="n">
        <v>0</v>
      </c>
      <c r="AA588" s="8" t="s">
        <v>3150</v>
      </c>
      <c r="AB588" s="8" t="n">
        <v>0</v>
      </c>
    </row>
    <row r="589" customFormat="false" ht="13.8" hidden="false" customHeight="false" outlineLevel="0" collapsed="false">
      <c r="A589" s="48" t="s">
        <v>3749</v>
      </c>
      <c r="B589" s="41" t="s">
        <v>2835</v>
      </c>
      <c r="C589" s="0" t="s">
        <v>3147</v>
      </c>
      <c r="D589" s="0" t="s">
        <v>3551</v>
      </c>
      <c r="F589" s="0" t="n">
        <v>50</v>
      </c>
      <c r="G589" s="0" t="n">
        <v>188</v>
      </c>
      <c r="H589" s="0" t="s">
        <v>3552</v>
      </c>
      <c r="I589" s="0" t="s">
        <v>1002</v>
      </c>
      <c r="J589" s="0" t="s">
        <v>427</v>
      </c>
      <c r="K589" s="0" t="s">
        <v>427</v>
      </c>
      <c r="M589" s="44" t="str">
        <f aca="false">INDEX(fastqs!$A:$A, MATCH(A589, fastqs!$B:$B, 0), 1)</f>
        <v>85_nf1_lib85_S1_R1_001.fastq.gz</v>
      </c>
      <c r="N589" s="44" t="str">
        <f aca="false">INDEX(fastqs!$C:$C, MATCH(A589, fastqs!$B:$B, 0), 1)</f>
        <v>run0008</v>
      </c>
      <c r="O589" s="44" t="str">
        <f aca="false">INDEX(samples!$B:$B, MATCH(B589, samples!$A:$A, 0), 1)</f>
        <v>par0298</v>
      </c>
      <c r="P589" s="44" t="e">
        <f aca="false">INDEX(participants!$I:$I, MATCH(O589, participants!$A:$A, 0), 1)</f>
        <v>#N/A</v>
      </c>
      <c r="Q589" s="44" t="str">
        <f aca="false">INDEX(samples!$F:$F, MATCH(B589, samples!$A:$A, 0), 1)</f>
        <v>nf1_lib85</v>
      </c>
      <c r="R589" s="49" t="str">
        <f aca="false">INDEX(samples!$C:$C, MATCH(B589, samples!$A:$A, 0), 1)</f>
        <v>2024-04-06</v>
      </c>
      <c r="S589" s="50" t="str">
        <f aca="false">INDEX(samples!$D:$D,MATCH(B589, samples!$A:$A,0),1)</f>
        <v>blood</v>
      </c>
      <c r="T589" s="0" t="n">
        <v>1.5</v>
      </c>
      <c r="W589" s="0" t="n">
        <v>12.3</v>
      </c>
      <c r="Y589" s="8" t="s">
        <v>1002</v>
      </c>
      <c r="Z589" s="8" t="n">
        <v>0</v>
      </c>
      <c r="AA589" s="8" t="s">
        <v>3150</v>
      </c>
      <c r="AB589" s="8" t="n">
        <v>0</v>
      </c>
    </row>
    <row r="590" customFormat="false" ht="13.8" hidden="false" customHeight="false" outlineLevel="0" collapsed="false">
      <c r="A590" s="48" t="s">
        <v>3750</v>
      </c>
      <c r="B590" s="41" t="s">
        <v>2838</v>
      </c>
      <c r="C590" s="0" t="s">
        <v>3147</v>
      </c>
      <c r="D590" s="0" t="s">
        <v>3551</v>
      </c>
      <c r="F590" s="0" t="n">
        <v>48</v>
      </c>
      <c r="G590" s="0" t="n">
        <v>1040</v>
      </c>
      <c r="H590" s="0" t="s">
        <v>3552</v>
      </c>
      <c r="I590" s="0" t="s">
        <v>1002</v>
      </c>
      <c r="J590" s="0" t="s">
        <v>427</v>
      </c>
      <c r="K590" s="0" t="s">
        <v>427</v>
      </c>
      <c r="M590" s="44" t="str">
        <f aca="false">INDEX(fastqs!$A:$A, MATCH(A590, fastqs!$B:$B, 0), 1)</f>
        <v>86_nf1_lib86_S1_R1_001.fastq.gz</v>
      </c>
      <c r="N590" s="44" t="str">
        <f aca="false">INDEX(fastqs!$C:$C, MATCH(A590, fastqs!$B:$B, 0), 1)</f>
        <v>run0008</v>
      </c>
      <c r="O590" s="44" t="str">
        <f aca="false">INDEX(samples!$B:$B, MATCH(B590, samples!$A:$A, 0), 1)</f>
        <v>par0230</v>
      </c>
      <c r="P590" s="44" t="e">
        <f aca="false">INDEX(participants!$I:$I, MATCH(O590, participants!$A:$A, 0), 1)</f>
        <v>#N/A</v>
      </c>
      <c r="Q590" s="44" t="str">
        <f aca="false">INDEX(samples!$F:$F, MATCH(B590, samples!$A:$A, 0), 1)</f>
        <v>nf1_lib86</v>
      </c>
      <c r="R590" s="49" t="str">
        <f aca="false">INDEX(samples!$C:$C, MATCH(B590, samples!$A:$A, 0), 1)</f>
        <v>2024-08-20</v>
      </c>
      <c r="S590" s="50" t="str">
        <f aca="false">INDEX(samples!$D:$D,MATCH(B590, samples!$A:$A,0),1)</f>
        <v>blood</v>
      </c>
      <c r="W590" s="0" t="n">
        <v>5.49</v>
      </c>
      <c r="Y590" s="8" t="s">
        <v>1002</v>
      </c>
      <c r="Z590" s="8" t="n">
        <v>0</v>
      </c>
      <c r="AA590" s="8" t="s">
        <v>3150</v>
      </c>
      <c r="AB590" s="8" t="n">
        <v>0</v>
      </c>
    </row>
    <row r="591" customFormat="false" ht="13.8" hidden="false" customHeight="false" outlineLevel="0" collapsed="false">
      <c r="A591" s="48" t="s">
        <v>3751</v>
      </c>
      <c r="B591" s="41" t="s">
        <v>2842</v>
      </c>
      <c r="C591" s="0" t="s">
        <v>3147</v>
      </c>
      <c r="D591" s="0" t="s">
        <v>3551</v>
      </c>
      <c r="F591" s="0" t="n">
        <v>48</v>
      </c>
      <c r="G591" s="0" t="n">
        <v>411</v>
      </c>
      <c r="H591" s="0" t="s">
        <v>3552</v>
      </c>
      <c r="I591" s="0" t="s">
        <v>1002</v>
      </c>
      <c r="J591" s="0" t="s">
        <v>427</v>
      </c>
      <c r="K591" s="0" t="s">
        <v>427</v>
      </c>
      <c r="M591" s="44" t="str">
        <f aca="false">INDEX(fastqs!$A:$A, MATCH(A591, fastqs!$B:$B, 0), 1)</f>
        <v>87_nf1_lib87_S1_R1_001.fastq.gz</v>
      </c>
      <c r="N591" s="44" t="str">
        <f aca="false">INDEX(fastqs!$C:$C, MATCH(A591, fastqs!$B:$B, 0), 1)</f>
        <v>run0008</v>
      </c>
      <c r="O591" s="44" t="str">
        <f aca="false">INDEX(samples!$B:$B, MATCH(B591, samples!$A:$A, 0), 1)</f>
        <v>par0230</v>
      </c>
      <c r="P591" s="44" t="e">
        <f aca="false">INDEX(participants!$I:$I, MATCH(O591, participants!$A:$A, 0), 1)</f>
        <v>#N/A</v>
      </c>
      <c r="Q591" s="44" t="str">
        <f aca="false">INDEX(samples!$F:$F, MATCH(B591, samples!$A:$A, 0), 1)</f>
        <v>nf1_lib87</v>
      </c>
      <c r="R591" s="49" t="str">
        <f aca="false">INDEX(samples!$C:$C, MATCH(B591, samples!$A:$A, 0), 1)</f>
        <v>2024-09-03</v>
      </c>
      <c r="S591" s="50" t="str">
        <f aca="false">INDEX(samples!$D:$D,MATCH(B591, samples!$A:$A,0),1)</f>
        <v>blood</v>
      </c>
      <c r="W591" s="0" t="n">
        <v>11.9</v>
      </c>
      <c r="Y591" s="8" t="s">
        <v>1002</v>
      </c>
      <c r="Z591" s="8" t="n">
        <v>0</v>
      </c>
      <c r="AA591" s="8" t="s">
        <v>3150</v>
      </c>
      <c r="AB591" s="8" t="n">
        <v>0</v>
      </c>
    </row>
    <row r="592" customFormat="false" ht="13.8" hidden="false" customHeight="false" outlineLevel="0" collapsed="false">
      <c r="A592" s="48" t="s">
        <v>3752</v>
      </c>
      <c r="B592" s="41" t="s">
        <v>2845</v>
      </c>
      <c r="C592" s="0" t="s">
        <v>3147</v>
      </c>
      <c r="D592" s="0" t="s">
        <v>3551</v>
      </c>
      <c r="F592" s="0" t="n">
        <v>50</v>
      </c>
      <c r="G592" s="0" t="n">
        <v>276</v>
      </c>
      <c r="H592" s="0" t="s">
        <v>3552</v>
      </c>
      <c r="I592" s="0" t="s">
        <v>1002</v>
      </c>
      <c r="J592" s="0" t="s">
        <v>427</v>
      </c>
      <c r="K592" s="0" t="s">
        <v>427</v>
      </c>
      <c r="M592" s="44" t="str">
        <f aca="false">INDEX(fastqs!$A:$A, MATCH(A592, fastqs!$B:$B, 0), 1)</f>
        <v>88_nf1_lib88_S1_R1_001.fastq.gz</v>
      </c>
      <c r="N592" s="44" t="str">
        <f aca="false">INDEX(fastqs!$C:$C, MATCH(A592, fastqs!$B:$B, 0), 1)</f>
        <v>run0008</v>
      </c>
      <c r="O592" s="44" t="str">
        <f aca="false">INDEX(samples!$B:$B, MATCH(B592, samples!$A:$A, 0), 1)</f>
        <v>par0294</v>
      </c>
      <c r="P592" s="44" t="e">
        <f aca="false">INDEX(participants!$I:$I, MATCH(O592, participants!$A:$A, 0), 1)</f>
        <v>#N/A</v>
      </c>
      <c r="Q592" s="44" t="str">
        <f aca="false">INDEX(samples!$F:$F, MATCH(B592, samples!$A:$A, 0), 1)</f>
        <v>nf1_lib88</v>
      </c>
      <c r="R592" s="49" t="str">
        <f aca="false">INDEX(samples!$C:$C, MATCH(B592, samples!$A:$A, 0), 1)</f>
        <v>2023-05-30</v>
      </c>
      <c r="S592" s="50" t="str">
        <f aca="false">INDEX(samples!$D:$D,MATCH(B592, samples!$A:$A,0),1)</f>
        <v>blood</v>
      </c>
      <c r="W592" s="0" t="n">
        <v>19.1</v>
      </c>
      <c r="Y592" s="8" t="s">
        <v>1002</v>
      </c>
      <c r="Z592" s="8" t="n">
        <v>0</v>
      </c>
      <c r="AA592" s="8" t="s">
        <v>3150</v>
      </c>
      <c r="AB592" s="8" t="n">
        <v>0</v>
      </c>
    </row>
    <row r="593" customFormat="false" ht="13.8" hidden="false" customHeight="false" outlineLevel="0" collapsed="false">
      <c r="A593" s="48" t="s">
        <v>3753</v>
      </c>
      <c r="B593" s="41" t="s">
        <v>2848</v>
      </c>
      <c r="C593" s="0" t="s">
        <v>3147</v>
      </c>
      <c r="D593" s="0" t="s">
        <v>3551</v>
      </c>
      <c r="F593" s="0" t="n">
        <v>50</v>
      </c>
      <c r="G593" s="0" t="n">
        <v>271</v>
      </c>
      <c r="H593" s="0" t="s">
        <v>3552</v>
      </c>
      <c r="I593" s="0" t="s">
        <v>1002</v>
      </c>
      <c r="J593" s="0" t="s">
        <v>427</v>
      </c>
      <c r="K593" s="0" t="s">
        <v>427</v>
      </c>
      <c r="M593" s="44" t="str">
        <f aca="false">INDEX(fastqs!$A:$A, MATCH(A593, fastqs!$B:$B, 0), 1)</f>
        <v>89_nf1_lib89_S1_R1_001.fastq.gz</v>
      </c>
      <c r="N593" s="44" t="str">
        <f aca="false">INDEX(fastqs!$C:$C, MATCH(A593, fastqs!$B:$B, 0), 1)</f>
        <v>run0008</v>
      </c>
      <c r="O593" s="44" t="str">
        <f aca="false">INDEX(samples!$B:$B, MATCH(B593, samples!$A:$A, 0), 1)</f>
        <v>par0257</v>
      </c>
      <c r="P593" s="44" t="e">
        <f aca="false">INDEX(participants!$I:$I, MATCH(O593, participants!$A:$A, 0), 1)</f>
        <v>#N/A</v>
      </c>
      <c r="Q593" s="44" t="str">
        <f aca="false">INDEX(samples!$F:$F, MATCH(B593, samples!$A:$A, 0), 1)</f>
        <v>nf1_lib89</v>
      </c>
      <c r="R593" s="49" t="str">
        <f aca="false">INDEX(samples!$C:$C, MATCH(B593, samples!$A:$A, 0), 1)</f>
        <v>2022-12-20</v>
      </c>
      <c r="S593" s="50" t="str">
        <f aca="false">INDEX(samples!$D:$D,MATCH(B593, samples!$A:$A,0),1)</f>
        <v>blood</v>
      </c>
      <c r="W593" s="0" t="n">
        <v>19.7</v>
      </c>
      <c r="Y593" s="8" t="s">
        <v>1002</v>
      </c>
      <c r="Z593" s="8" t="n">
        <v>0</v>
      </c>
      <c r="AA593" s="8" t="s">
        <v>3150</v>
      </c>
      <c r="AB593" s="8" t="n">
        <v>0</v>
      </c>
    </row>
    <row r="594" customFormat="false" ht="13.8" hidden="false" customHeight="false" outlineLevel="0" collapsed="false">
      <c r="A594" s="48" t="s">
        <v>3754</v>
      </c>
      <c r="B594" s="41" t="s">
        <v>2852</v>
      </c>
      <c r="C594" s="0" t="s">
        <v>3147</v>
      </c>
      <c r="D594" s="0" t="s">
        <v>3551</v>
      </c>
      <c r="F594" s="0" t="n">
        <v>48</v>
      </c>
      <c r="G594" s="0" t="s">
        <v>3755</v>
      </c>
      <c r="H594" s="0" t="s">
        <v>3552</v>
      </c>
      <c r="I594" s="0" t="s">
        <v>1002</v>
      </c>
      <c r="J594" s="0" t="s">
        <v>427</v>
      </c>
      <c r="K594" s="0" t="s">
        <v>427</v>
      </c>
      <c r="M594" s="44" t="str">
        <f aca="false">INDEX(fastqs!$A:$A, MATCH(A594, fastqs!$B:$B, 0), 1)</f>
        <v>90_nf1_lib90_S1_R1_001.fastq.gz</v>
      </c>
      <c r="N594" s="44" t="str">
        <f aca="false">INDEX(fastqs!$C:$C, MATCH(A594, fastqs!$B:$B, 0), 1)</f>
        <v>run0008</v>
      </c>
      <c r="O594" s="44" t="str">
        <f aca="false">INDEX(samples!$B:$B, MATCH(B594, samples!$A:$A, 0), 1)</f>
        <v>par0237</v>
      </c>
      <c r="P594" s="44" t="e">
        <f aca="false">INDEX(participants!$I:$I, MATCH(O594, participants!$A:$A, 0), 1)</f>
        <v>#N/A</v>
      </c>
      <c r="Q594" s="44" t="str">
        <f aca="false">INDEX(samples!$F:$F, MATCH(B594, samples!$A:$A, 0), 1)</f>
        <v>nf1_lib90</v>
      </c>
      <c r="R594" s="49" t="n">
        <f aca="false">INDEX(samples!$C:$C, MATCH(B594, samples!$A:$A, 0), 1)</f>
        <v>44361</v>
      </c>
      <c r="S594" s="50" t="str">
        <f aca="false">INDEX(samples!$D:$D,MATCH(B594, samples!$A:$A,0),1)</f>
        <v>blood</v>
      </c>
      <c r="W594" s="0" t="n">
        <v>5.39</v>
      </c>
      <c r="Y594" s="8" t="s">
        <v>1002</v>
      </c>
      <c r="Z594" s="8" t="n">
        <v>0</v>
      </c>
      <c r="AA594" s="8" t="s">
        <v>3150</v>
      </c>
      <c r="AB594" s="8" t="n">
        <v>0</v>
      </c>
    </row>
    <row r="595" customFormat="false" ht="13.8" hidden="false" customHeight="false" outlineLevel="0" collapsed="false">
      <c r="A595" s="48" t="s">
        <v>3756</v>
      </c>
      <c r="B595" s="41" t="s">
        <v>2855</v>
      </c>
      <c r="C595" s="0" t="s">
        <v>3147</v>
      </c>
      <c r="D595" s="0" t="s">
        <v>3551</v>
      </c>
      <c r="F595" s="0" t="n">
        <v>48</v>
      </c>
      <c r="G595" s="0" t="n">
        <v>162</v>
      </c>
      <c r="H595" s="0" t="s">
        <v>3552</v>
      </c>
      <c r="I595" s="0" t="s">
        <v>1002</v>
      </c>
      <c r="J595" s="0" t="s">
        <v>427</v>
      </c>
      <c r="K595" s="0" t="s">
        <v>427</v>
      </c>
      <c r="M595" s="44" t="str">
        <f aca="false">INDEX(fastqs!$A:$A, MATCH(A595, fastqs!$B:$B, 0), 1)</f>
        <v>91_nf1_lib91_S1_R1_001.fastq.gz</v>
      </c>
      <c r="N595" s="44" t="str">
        <f aca="false">INDEX(fastqs!$C:$C, MATCH(A595, fastqs!$B:$B, 0), 1)</f>
        <v>run0008</v>
      </c>
      <c r="O595" s="44" t="str">
        <f aca="false">INDEX(samples!$B:$B, MATCH(B595, samples!$A:$A, 0), 1)</f>
        <v>par0237</v>
      </c>
      <c r="P595" s="44" t="e">
        <f aca="false">INDEX(participants!$I:$I, MATCH(O595, participants!$A:$A, 0), 1)</f>
        <v>#N/A</v>
      </c>
      <c r="Q595" s="44" t="str">
        <f aca="false">INDEX(samples!$F:$F, MATCH(B595, samples!$A:$A, 0), 1)</f>
        <v>nf1_lib91</v>
      </c>
      <c r="R595" s="49" t="n">
        <f aca="false">INDEX(samples!$C:$C, MATCH(B595, samples!$A:$A, 0), 1)</f>
        <v>45062</v>
      </c>
      <c r="S595" s="50" t="str">
        <f aca="false">INDEX(samples!$D:$D,MATCH(B595, samples!$A:$A,0),1)</f>
        <v>blood</v>
      </c>
      <c r="W595" s="0" t="n">
        <v>21.6</v>
      </c>
      <c r="Y595" s="8" t="s">
        <v>1002</v>
      </c>
      <c r="Z595" s="8" t="n">
        <v>0</v>
      </c>
      <c r="AA595" s="8" t="s">
        <v>3150</v>
      </c>
      <c r="AB595" s="8" t="n">
        <v>0</v>
      </c>
    </row>
    <row r="596" customFormat="false" ht="13.8" hidden="false" customHeight="false" outlineLevel="0" collapsed="false">
      <c r="A596" s="48" t="s">
        <v>3757</v>
      </c>
      <c r="B596" s="41" t="s">
        <v>2858</v>
      </c>
      <c r="C596" s="0" t="s">
        <v>3147</v>
      </c>
      <c r="D596" s="0" t="s">
        <v>3551</v>
      </c>
      <c r="F596" s="0" t="n">
        <v>48</v>
      </c>
      <c r="G596" s="0" t="n">
        <v>126</v>
      </c>
      <c r="H596" s="0" t="s">
        <v>3552</v>
      </c>
      <c r="I596" s="0" t="s">
        <v>1002</v>
      </c>
      <c r="J596" s="0" t="s">
        <v>427</v>
      </c>
      <c r="K596" s="0" t="s">
        <v>427</v>
      </c>
      <c r="M596" s="44" t="str">
        <f aca="false">INDEX(fastqs!$A:$A, MATCH(A596, fastqs!$B:$B, 0), 1)</f>
        <v>92_nf1_lib92_S1_R1_001.fastq.gz</v>
      </c>
      <c r="N596" s="44" t="str">
        <f aca="false">INDEX(fastqs!$C:$C, MATCH(A596, fastqs!$B:$B, 0), 1)</f>
        <v>run0008</v>
      </c>
      <c r="O596" s="44" t="str">
        <f aca="false">INDEX(samples!$B:$B, MATCH(B596, samples!$A:$A, 0), 1)</f>
        <v>par0237</v>
      </c>
      <c r="P596" s="44" t="e">
        <f aca="false">INDEX(participants!$I:$I, MATCH(O596, participants!$A:$A, 0), 1)</f>
        <v>#N/A</v>
      </c>
      <c r="Q596" s="44" t="str">
        <f aca="false">INDEX(samples!$F:$F, MATCH(B596, samples!$A:$A, 0), 1)</f>
        <v>nf1_lib92</v>
      </c>
      <c r="R596" s="49" t="str">
        <f aca="false">INDEX(samples!$C:$C, MATCH(B596, samples!$A:$A, 0), 1)</f>
        <v>2025-02-18</v>
      </c>
      <c r="S596" s="50" t="str">
        <f aca="false">INDEX(samples!$D:$D,MATCH(B596, samples!$A:$A,0),1)</f>
        <v>blood</v>
      </c>
      <c r="T596" s="0" t="n">
        <v>1.5</v>
      </c>
      <c r="W596" s="0" t="n">
        <v>18.6</v>
      </c>
      <c r="Y596" s="8" t="s">
        <v>1002</v>
      </c>
      <c r="Z596" s="8" t="n">
        <v>0</v>
      </c>
      <c r="AA596" s="8" t="s">
        <v>3150</v>
      </c>
      <c r="AB596" s="8" t="n">
        <v>0</v>
      </c>
    </row>
    <row r="597" customFormat="false" ht="13.8" hidden="false" customHeight="false" outlineLevel="0" collapsed="false">
      <c r="A597" s="48" t="s">
        <v>3758</v>
      </c>
      <c r="B597" s="41" t="s">
        <v>2860</v>
      </c>
      <c r="C597" s="0" t="s">
        <v>3147</v>
      </c>
      <c r="D597" s="0" t="s">
        <v>3551</v>
      </c>
      <c r="F597" s="0" t="n">
        <v>48</v>
      </c>
      <c r="G597" s="0" t="n">
        <v>144</v>
      </c>
      <c r="H597" s="0" t="s">
        <v>3552</v>
      </c>
      <c r="I597" s="0" t="s">
        <v>1002</v>
      </c>
      <c r="J597" s="0" t="s">
        <v>427</v>
      </c>
      <c r="K597" s="0" t="s">
        <v>427</v>
      </c>
      <c r="M597" s="44" t="str">
        <f aca="false">INDEX(fastqs!$A:$A, MATCH(A597, fastqs!$B:$B, 0), 1)</f>
        <v>93_nf1_lib93_S1_R1_001.fastq.gz</v>
      </c>
      <c r="N597" s="44" t="str">
        <f aca="false">INDEX(fastqs!$C:$C, MATCH(A597, fastqs!$B:$B, 0), 1)</f>
        <v>run0008</v>
      </c>
      <c r="O597" s="44" t="str">
        <f aca="false">INDEX(samples!$B:$B, MATCH(B597, samples!$A:$A, 0), 1)</f>
        <v>par0257</v>
      </c>
      <c r="P597" s="44" t="e">
        <f aca="false">INDEX(participants!$I:$I, MATCH(O597, participants!$A:$A, 0), 1)</f>
        <v>#N/A</v>
      </c>
      <c r="Q597" s="44" t="str">
        <f aca="false">INDEX(samples!$F:$F, MATCH(B597, samples!$A:$A, 0), 1)</f>
        <v>nf1_lib93</v>
      </c>
      <c r="R597" s="49" t="str">
        <f aca="false">INDEX(samples!$C:$C, MATCH(B597, samples!$A:$A, 0), 1)</f>
        <v>2023-10-17</v>
      </c>
      <c r="S597" s="50" t="str">
        <f aca="false">INDEX(samples!$D:$D,MATCH(B597, samples!$A:$A,0),1)</f>
        <v>blood</v>
      </c>
      <c r="W597" s="0" t="n">
        <v>17.6</v>
      </c>
      <c r="Y597" s="8" t="s">
        <v>1002</v>
      </c>
      <c r="Z597" s="8" t="n">
        <v>0</v>
      </c>
      <c r="AA597" s="8" t="s">
        <v>3150</v>
      </c>
      <c r="AB597" s="8" t="n">
        <v>0</v>
      </c>
    </row>
    <row r="598" customFormat="false" ht="13.8" hidden="false" customHeight="false" outlineLevel="0" collapsed="false">
      <c r="A598" s="48" t="s">
        <v>3759</v>
      </c>
      <c r="B598" s="41" t="s">
        <v>2864</v>
      </c>
      <c r="C598" s="0" t="s">
        <v>3147</v>
      </c>
      <c r="D598" s="0" t="s">
        <v>3551</v>
      </c>
      <c r="F598" s="0" t="n">
        <v>48</v>
      </c>
      <c r="G598" s="0" t="n">
        <v>277</v>
      </c>
      <c r="H598" s="0" t="s">
        <v>3552</v>
      </c>
      <c r="I598" s="0" t="s">
        <v>1002</v>
      </c>
      <c r="J598" s="0" t="s">
        <v>427</v>
      </c>
      <c r="K598" s="0" t="s">
        <v>427</v>
      </c>
      <c r="M598" s="44" t="str">
        <f aca="false">INDEX(fastqs!$A:$A, MATCH(A598, fastqs!$B:$B, 0), 1)</f>
        <v>94_nf1_lib94_S1_R1_001.fastq.gz</v>
      </c>
      <c r="N598" s="44" t="str">
        <f aca="false">INDEX(fastqs!$C:$C, MATCH(A598, fastqs!$B:$B, 0), 1)</f>
        <v>run0008</v>
      </c>
      <c r="O598" s="44" t="str">
        <f aca="false">INDEX(samples!$B:$B, MATCH(B598, samples!$A:$A, 0), 1)</f>
        <v>par0295</v>
      </c>
      <c r="P598" s="44" t="e">
        <f aca="false">INDEX(participants!$I:$I, MATCH(O598, participants!$A:$A, 0), 1)</f>
        <v>#N/A</v>
      </c>
      <c r="Q598" s="44" t="str">
        <f aca="false">INDEX(samples!$F:$F, MATCH(B598, samples!$A:$A, 0), 1)</f>
        <v>nf1_lib94</v>
      </c>
      <c r="R598" s="49" t="str">
        <f aca="false">INDEX(samples!$C:$C, MATCH(B598, samples!$A:$A, 0), 1)</f>
        <v>2023-02-28</v>
      </c>
      <c r="S598" s="50" t="str">
        <f aca="false">INDEX(samples!$D:$D,MATCH(B598, samples!$A:$A,0),1)</f>
        <v>blood</v>
      </c>
      <c r="W598" s="0" t="n">
        <v>13.3</v>
      </c>
      <c r="Y598" s="8" t="s">
        <v>1002</v>
      </c>
      <c r="Z598" s="8" t="n">
        <v>0</v>
      </c>
      <c r="AA598" s="8" t="s">
        <v>3150</v>
      </c>
      <c r="AB598" s="8" t="n">
        <v>0</v>
      </c>
    </row>
    <row r="599" customFormat="false" ht="13.8" hidden="false" customHeight="false" outlineLevel="0" collapsed="false">
      <c r="A599" s="48" t="s">
        <v>3760</v>
      </c>
      <c r="B599" s="41" t="s">
        <v>2867</v>
      </c>
      <c r="C599" s="0" t="s">
        <v>3147</v>
      </c>
      <c r="D599" s="0" t="s">
        <v>3551</v>
      </c>
      <c r="F599" s="0" t="n">
        <v>48</v>
      </c>
      <c r="G599" s="0" t="n">
        <v>467</v>
      </c>
      <c r="H599" s="0" t="s">
        <v>3552</v>
      </c>
      <c r="I599" s="0" t="s">
        <v>1002</v>
      </c>
      <c r="J599" s="0" t="s">
        <v>427</v>
      </c>
      <c r="K599" s="0" t="s">
        <v>427</v>
      </c>
      <c r="M599" s="44" t="str">
        <f aca="false">INDEX(fastqs!$A:$A, MATCH(A599, fastqs!$B:$B, 0), 1)</f>
        <v>95_nf1_lib95_S1_R1_001.fastq.gz</v>
      </c>
      <c r="N599" s="44" t="str">
        <f aca="false">INDEX(fastqs!$C:$C, MATCH(A599, fastqs!$B:$B, 0), 1)</f>
        <v>run0008</v>
      </c>
      <c r="O599" s="44" t="str">
        <f aca="false">INDEX(samples!$B:$B, MATCH(B599, samples!$A:$A, 0), 1)</f>
        <v>ms001</v>
      </c>
      <c r="P599" s="44" t="e">
        <f aca="false">INDEX(participants!$I:$I, MATCH(O599, participants!$A:$A, 0), 1)</f>
        <v>#N/A</v>
      </c>
      <c r="Q599" s="44" t="str">
        <f aca="false">INDEX(samples!$F:$F, MATCH(B599, samples!$A:$A, 0), 1)</f>
        <v>nf1_lib95</v>
      </c>
      <c r="R599" s="49" t="str">
        <f aca="false">INDEX(samples!$C:$C, MATCH(B599, samples!$A:$A, 0), 1)</f>
        <v>2024-08-20</v>
      </c>
      <c r="S599" s="50" t="str">
        <f aca="false">INDEX(samples!$D:$D,MATCH(B599, samples!$A:$A,0),1)</f>
        <v>blood</v>
      </c>
      <c r="T599" s="0" t="n">
        <v>0.45</v>
      </c>
      <c r="W599" s="0" t="n">
        <v>9.65</v>
      </c>
      <c r="Y599" s="8" t="s">
        <v>1002</v>
      </c>
      <c r="Z599" s="8" t="n">
        <v>0</v>
      </c>
      <c r="AA599" s="8" t="s">
        <v>1002</v>
      </c>
      <c r="AB599" s="8" t="s">
        <v>3150</v>
      </c>
    </row>
    <row r="600" customFormat="false" ht="13.8" hidden="false" customHeight="false" outlineLevel="0" collapsed="false">
      <c r="A600" s="48" t="s">
        <v>3761</v>
      </c>
      <c r="B600" s="41" t="s">
        <v>2870</v>
      </c>
      <c r="C600" s="0" t="s">
        <v>3147</v>
      </c>
      <c r="D600" s="0" t="s">
        <v>3551</v>
      </c>
      <c r="F600" s="0" t="n">
        <v>48</v>
      </c>
      <c r="G600" s="0" t="n">
        <v>536</v>
      </c>
      <c r="H600" s="0" t="s">
        <v>3552</v>
      </c>
      <c r="I600" s="0" t="s">
        <v>1002</v>
      </c>
      <c r="J600" s="0" t="s">
        <v>427</v>
      </c>
      <c r="K600" s="0" t="s">
        <v>427</v>
      </c>
      <c r="M600" s="44" t="str">
        <f aca="false">INDEX(fastqs!$A:$A, MATCH(A600, fastqs!$B:$B, 0), 1)</f>
        <v>101_nf1_lib101_S1_R1_001.fastq.gz</v>
      </c>
      <c r="N600" s="44" t="str">
        <f aca="false">INDEX(fastqs!$C:$C, MATCH(A600, fastqs!$B:$B, 0), 1)</f>
        <v>run0008</v>
      </c>
      <c r="O600" s="44" t="str">
        <f aca="false">INDEX(samples!$B:$B, MATCH(B600, samples!$A:$A, 0), 1)</f>
        <v>ms002</v>
      </c>
      <c r="P600" s="44" t="e">
        <f aca="false">INDEX(participants!$I:$I, MATCH(O600, participants!$A:$A, 0), 1)</f>
        <v>#N/A</v>
      </c>
      <c r="Q600" s="44" t="str">
        <f aca="false">INDEX(samples!$F:$F, MATCH(B600, samples!$A:$A, 0), 1)</f>
        <v>nf1_lib96</v>
      </c>
      <c r="R600" s="49" t="str">
        <f aca="false">INDEX(samples!$C:$C, MATCH(B600, samples!$A:$A, 0), 1)</f>
        <v>2024-08-20</v>
      </c>
      <c r="S600" s="50" t="str">
        <f aca="false">INDEX(samples!$D:$D,MATCH(B600, samples!$A:$A,0),1)</f>
        <v>blood</v>
      </c>
      <c r="T600" s="0" t="n">
        <v>0.5</v>
      </c>
      <c r="W600" s="0" t="n">
        <v>14</v>
      </c>
      <c r="Y600" s="8" t="s">
        <v>1002</v>
      </c>
      <c r="Z600" s="8" t="n">
        <v>0</v>
      </c>
      <c r="AA600" s="8" t="s">
        <v>1002</v>
      </c>
      <c r="AB600" s="8" t="s">
        <v>3150</v>
      </c>
    </row>
    <row r="601" customFormat="false" ht="13.8" hidden="false" customHeight="false" outlineLevel="0" collapsed="false">
      <c r="A601" s="48" t="s">
        <v>3762</v>
      </c>
      <c r="B601" s="41" t="s">
        <v>2872</v>
      </c>
      <c r="C601" s="0" t="s">
        <v>3147</v>
      </c>
      <c r="D601" s="0" t="s">
        <v>3551</v>
      </c>
      <c r="F601" s="0" t="n">
        <v>48</v>
      </c>
      <c r="G601" s="0" t="n">
        <v>111</v>
      </c>
      <c r="H601" s="0" t="s">
        <v>3552</v>
      </c>
      <c r="I601" s="0" t="s">
        <v>1002</v>
      </c>
      <c r="J601" s="0" t="s">
        <v>427</v>
      </c>
      <c r="K601" s="0" t="s">
        <v>427</v>
      </c>
      <c r="M601" s="44" t="str">
        <f aca="false">INDEX(fastqs!$A:$A, MATCH(A601, fastqs!$B:$B, 0), 1)</f>
        <v>96_nf1_lib96_S1_R1_001.fastq.gz</v>
      </c>
      <c r="N601" s="44" t="str">
        <f aca="false">INDEX(fastqs!$C:$C, MATCH(A601, fastqs!$B:$B, 0), 1)</f>
        <v>run0008</v>
      </c>
      <c r="O601" s="44" t="str">
        <f aca="false">INDEX(samples!$B:$B, MATCH(B601, samples!$A:$A, 0), 1)</f>
        <v>ms003</v>
      </c>
      <c r="P601" s="44" t="e">
        <f aca="false">INDEX(participants!$I:$I, MATCH(O601, participants!$A:$A, 0), 1)</f>
        <v>#N/A</v>
      </c>
      <c r="Q601" s="44" t="str">
        <f aca="false">INDEX(samples!$F:$F, MATCH(B601, samples!$A:$A, 0), 1)</f>
        <v>nf1_lib97</v>
      </c>
      <c r="R601" s="49" t="str">
        <f aca="false">INDEX(samples!$C:$C, MATCH(B601, samples!$A:$A, 0), 1)</f>
        <v>2024-08-20</v>
      </c>
      <c r="S601" s="50" t="str">
        <f aca="false">INDEX(samples!$D:$D,MATCH(B601, samples!$A:$A,0),1)</f>
        <v>blood</v>
      </c>
      <c r="T601" s="0" t="n">
        <v>0.45</v>
      </c>
      <c r="W601" s="0" t="n">
        <v>8.15</v>
      </c>
      <c r="Y601" s="8" t="s">
        <v>1002</v>
      </c>
      <c r="Z601" s="8" t="n">
        <v>0</v>
      </c>
      <c r="AA601" s="8" t="s">
        <v>1002</v>
      </c>
      <c r="AB601" s="8" t="s">
        <v>3150</v>
      </c>
    </row>
    <row r="602" customFormat="false" ht="13.8" hidden="false" customHeight="false" outlineLevel="0" collapsed="false">
      <c r="A602" s="48" t="s">
        <v>3763</v>
      </c>
      <c r="B602" s="41" t="s">
        <v>2874</v>
      </c>
      <c r="C602" s="0" t="s">
        <v>3147</v>
      </c>
      <c r="D602" s="0" t="s">
        <v>3551</v>
      </c>
      <c r="F602" s="0" t="n">
        <v>48</v>
      </c>
      <c r="G602" s="0" t="n">
        <v>1720</v>
      </c>
      <c r="H602" s="0" t="s">
        <v>3552</v>
      </c>
      <c r="I602" s="0" t="s">
        <v>1002</v>
      </c>
      <c r="J602" s="0" t="s">
        <v>427</v>
      </c>
      <c r="K602" s="0" t="s">
        <v>427</v>
      </c>
      <c r="M602" s="44" t="str">
        <f aca="false">INDEX(fastqs!$A:$A, MATCH(A602, fastqs!$B:$B, 0), 1)</f>
        <v>97_nf1_lib97_S1_R1_001.fastq.gz</v>
      </c>
      <c r="N602" s="44" t="str">
        <f aca="false">INDEX(fastqs!$C:$C, MATCH(A602, fastqs!$B:$B, 0), 1)</f>
        <v>run0008</v>
      </c>
      <c r="O602" s="44" t="str">
        <f aca="false">INDEX(samples!$B:$B, MATCH(B602, samples!$A:$A, 0), 1)</f>
        <v>ms004</v>
      </c>
      <c r="P602" s="44" t="e">
        <f aca="false">INDEX(participants!$I:$I, MATCH(O602, participants!$A:$A, 0), 1)</f>
        <v>#N/A</v>
      </c>
      <c r="Q602" s="44" t="str">
        <f aca="false">INDEX(samples!$F:$F, MATCH(B602, samples!$A:$A, 0), 1)</f>
        <v>nf1_lib98</v>
      </c>
      <c r="R602" s="49" t="str">
        <f aca="false">INDEX(samples!$C:$C, MATCH(B602, samples!$A:$A, 0), 1)</f>
        <v>2024-08-30</v>
      </c>
      <c r="S602" s="50" t="str">
        <f aca="false">INDEX(samples!$D:$D,MATCH(B602, samples!$A:$A,0),1)</f>
        <v>blood</v>
      </c>
      <c r="T602" s="0" t="n">
        <v>0.5</v>
      </c>
      <c r="W602" s="0" t="n">
        <v>7.42</v>
      </c>
      <c r="Y602" s="8" t="s">
        <v>1002</v>
      </c>
      <c r="Z602" s="8" t="n">
        <v>0</v>
      </c>
      <c r="AA602" s="8" t="s">
        <v>1002</v>
      </c>
      <c r="AB602" s="8" t="s">
        <v>3150</v>
      </c>
    </row>
    <row r="603" customFormat="false" ht="13.8" hidden="false" customHeight="false" outlineLevel="0" collapsed="false">
      <c r="A603" s="48" t="s">
        <v>3764</v>
      </c>
      <c r="B603" s="41" t="s">
        <v>2877</v>
      </c>
      <c r="C603" s="0" t="s">
        <v>3147</v>
      </c>
      <c r="D603" s="0" t="s">
        <v>3551</v>
      </c>
      <c r="F603" s="0" t="n">
        <v>48</v>
      </c>
      <c r="G603" s="0" t="n">
        <v>2380</v>
      </c>
      <c r="H603" s="0" t="s">
        <v>3552</v>
      </c>
      <c r="I603" s="0" t="s">
        <v>1002</v>
      </c>
      <c r="J603" s="0" t="s">
        <v>427</v>
      </c>
      <c r="K603" s="0" t="s">
        <v>427</v>
      </c>
      <c r="M603" s="44" t="str">
        <f aca="false">INDEX(fastqs!$A:$A, MATCH(A603, fastqs!$B:$B, 0), 1)</f>
        <v>98_nf1_lib98_S1_R1_001.fastq.gz</v>
      </c>
      <c r="N603" s="44" t="str">
        <f aca="false">INDEX(fastqs!$C:$C, MATCH(A603, fastqs!$B:$B, 0), 1)</f>
        <v>run0008</v>
      </c>
      <c r="O603" s="44" t="str">
        <f aca="false">INDEX(samples!$B:$B, MATCH(B603, samples!$A:$A, 0), 1)</f>
        <v>ms005</v>
      </c>
      <c r="P603" s="44" t="e">
        <f aca="false">INDEX(participants!$I:$I, MATCH(O603, participants!$A:$A, 0), 1)</f>
        <v>#N/A</v>
      </c>
      <c r="Q603" s="44" t="str">
        <f aca="false">INDEX(samples!$F:$F, MATCH(B603, samples!$A:$A, 0), 1)</f>
        <v>nf1_lib99</v>
      </c>
      <c r="R603" s="49" t="str">
        <f aca="false">INDEX(samples!$C:$C, MATCH(B603, samples!$A:$A, 0), 1)</f>
        <v>2024-08-30</v>
      </c>
      <c r="S603" s="50" t="str">
        <f aca="false">INDEX(samples!$D:$D,MATCH(B603, samples!$A:$A,0),1)</f>
        <v>blood</v>
      </c>
      <c r="T603" s="0" t="n">
        <v>0.4</v>
      </c>
      <c r="W603" s="0" t="n">
        <v>10.5</v>
      </c>
      <c r="Y603" s="8" t="s">
        <v>1002</v>
      </c>
      <c r="Z603" s="8" t="n">
        <v>0</v>
      </c>
      <c r="AA603" s="8" t="s">
        <v>1002</v>
      </c>
      <c r="AB603" s="8" t="s">
        <v>3150</v>
      </c>
    </row>
    <row r="604" customFormat="false" ht="13.8" hidden="false" customHeight="false" outlineLevel="0" collapsed="false">
      <c r="A604" s="48" t="s">
        <v>3765</v>
      </c>
      <c r="B604" s="41" t="s">
        <v>2879</v>
      </c>
      <c r="C604" s="0" t="s">
        <v>3147</v>
      </c>
      <c r="D604" s="0" t="s">
        <v>3551</v>
      </c>
      <c r="F604" s="0" t="n">
        <v>48</v>
      </c>
      <c r="G604" s="0" t="n">
        <v>387</v>
      </c>
      <c r="H604" s="0" t="s">
        <v>3552</v>
      </c>
      <c r="I604" s="0" t="s">
        <v>1002</v>
      </c>
      <c r="J604" s="0" t="s">
        <v>427</v>
      </c>
      <c r="K604" s="0" t="s">
        <v>427</v>
      </c>
      <c r="M604" s="44" t="str">
        <f aca="false">INDEX(fastqs!$A:$A, MATCH(A604, fastqs!$B:$B, 0), 1)</f>
        <v>99_nf1_lib99_S1_R1_001.fastq.gz</v>
      </c>
      <c r="N604" s="44" t="str">
        <f aca="false">INDEX(fastqs!$C:$C, MATCH(A604, fastqs!$B:$B, 0), 1)</f>
        <v>run0008</v>
      </c>
      <c r="O604" s="44" t="str">
        <f aca="false">INDEX(samples!$B:$B, MATCH(B604, samples!$A:$A, 0), 1)</f>
        <v>ms006</v>
      </c>
      <c r="P604" s="44" t="e">
        <f aca="false">INDEX(participants!$I:$I, MATCH(O604, participants!$A:$A, 0), 1)</f>
        <v>#N/A</v>
      </c>
      <c r="Q604" s="44" t="str">
        <f aca="false">INDEX(samples!$F:$F, MATCH(B604, samples!$A:$A, 0), 1)</f>
        <v>nf1_lib100</v>
      </c>
      <c r="R604" s="49" t="str">
        <f aca="false">INDEX(samples!$C:$C, MATCH(B604, samples!$A:$A, 0), 1)</f>
        <v>2024-08-30</v>
      </c>
      <c r="S604" s="50" t="str">
        <f aca="false">INDEX(samples!$D:$D,MATCH(B604, samples!$A:$A,0),1)</f>
        <v>blood</v>
      </c>
      <c r="T604" s="0" t="n">
        <v>0.4</v>
      </c>
      <c r="W604" s="0" t="n">
        <v>6.84</v>
      </c>
      <c r="Y604" s="8" t="s">
        <v>1002</v>
      </c>
      <c r="Z604" s="8" t="n">
        <v>0</v>
      </c>
      <c r="AA604" s="8" t="s">
        <v>1002</v>
      </c>
      <c r="AB604" s="8" t="s">
        <v>3150</v>
      </c>
    </row>
    <row r="605" customFormat="false" ht="13.8" hidden="false" customHeight="false" outlineLevel="0" collapsed="false">
      <c r="A605" s="48" t="s">
        <v>3766</v>
      </c>
      <c r="B605" s="41" t="s">
        <v>2881</v>
      </c>
      <c r="C605" s="0" t="s">
        <v>3147</v>
      </c>
      <c r="D605" s="0" t="s">
        <v>3551</v>
      </c>
      <c r="F605" s="0" t="n">
        <v>48</v>
      </c>
      <c r="G605" s="0" t="n">
        <v>11.7</v>
      </c>
      <c r="H605" s="0" t="s">
        <v>3552</v>
      </c>
      <c r="I605" s="0" t="s">
        <v>1002</v>
      </c>
      <c r="J605" s="0" t="s">
        <v>427</v>
      </c>
      <c r="K605" s="0" t="s">
        <v>427</v>
      </c>
      <c r="M605" s="44" t="str">
        <f aca="false">INDEX(fastqs!$A:$A, MATCH(A605, fastqs!$B:$B, 0), 1)</f>
        <v>100_nf1_lib100_S1_R1_001.fastq.gz</v>
      </c>
      <c r="N605" s="44" t="str">
        <f aca="false">INDEX(fastqs!$C:$C, MATCH(A605, fastqs!$B:$B, 0), 1)</f>
        <v>run0008</v>
      </c>
      <c r="O605" s="44" t="str">
        <f aca="false">INDEX(samples!$B:$B, MATCH(B605, samples!$A:$A, 0), 1)</f>
        <v>ms007</v>
      </c>
      <c r="P605" s="44" t="e">
        <f aca="false">INDEX(participants!$I:$I, MATCH(O605, participants!$A:$A, 0), 1)</f>
        <v>#N/A</v>
      </c>
      <c r="Q605" s="44" t="str">
        <f aca="false">INDEX(samples!$F:$F, MATCH(B605, samples!$A:$A, 0), 1)</f>
        <v>nf1_lib101; m13 JH-2-005 1-4 D19 S</v>
      </c>
      <c r="R605" s="49" t="str">
        <f aca="false">INDEX(samples!$C:$C, MATCH(B605, samples!$A:$A, 0), 1)</f>
        <v>2024-10-01</v>
      </c>
      <c r="S605" s="50" t="str">
        <f aca="false">INDEX(samples!$D:$D,MATCH(B605, samples!$A:$A,0),1)</f>
        <v>blood</v>
      </c>
      <c r="T605" s="0" t="n">
        <v>0.05</v>
      </c>
      <c r="W605" s="0" t="n">
        <v>1.43</v>
      </c>
      <c r="Y605" s="8" t="s">
        <v>1002</v>
      </c>
      <c r="Z605" s="8" t="n">
        <v>0</v>
      </c>
      <c r="AA605" s="8" t="s">
        <v>1002</v>
      </c>
      <c r="AB605" s="8" t="s">
        <v>3150</v>
      </c>
    </row>
    <row r="606" customFormat="false" ht="13.8" hidden="false" customHeight="false" outlineLevel="0" collapsed="false">
      <c r="A606" s="48" t="s">
        <v>3767</v>
      </c>
      <c r="B606" s="41" t="s">
        <v>2885</v>
      </c>
      <c r="C606" s="0" t="s">
        <v>3147</v>
      </c>
      <c r="D606" s="0" t="s">
        <v>3551</v>
      </c>
      <c r="F606" s="0" t="n">
        <v>48</v>
      </c>
      <c r="G606" s="0" t="n">
        <v>3.18</v>
      </c>
      <c r="H606" s="0" t="s">
        <v>3552</v>
      </c>
      <c r="I606" s="0" t="s">
        <v>1002</v>
      </c>
      <c r="J606" s="0" t="s">
        <v>427</v>
      </c>
      <c r="K606" s="0" t="s">
        <v>427</v>
      </c>
      <c r="M606" s="44" t="str">
        <f aca="false">INDEX(fastqs!$A:$A, MATCH(A606, fastqs!$B:$B, 0), 1)</f>
        <v>102_nf1_lib102_S1_R1_001.fastq.gz</v>
      </c>
      <c r="N606" s="44" t="str">
        <f aca="false">INDEX(fastqs!$C:$C, MATCH(A606, fastqs!$B:$B, 0), 1)</f>
        <v>run0008</v>
      </c>
      <c r="O606" s="44" t="str">
        <f aca="false">INDEX(samples!$B:$B, MATCH(B606, samples!$A:$A, 0), 1)</f>
        <v>ms008</v>
      </c>
      <c r="P606" s="44" t="e">
        <f aca="false">INDEX(participants!$I:$I, MATCH(O606, participants!$A:$A, 0), 1)</f>
        <v>#N/A</v>
      </c>
      <c r="Q606" s="44" t="str">
        <f aca="false">INDEX(samples!$F:$F, MATCH(B606, samples!$A:$A, 0), 1)</f>
        <v>nf1_lib102; m14 JH-2-005 4-5 D19 S</v>
      </c>
      <c r="R606" s="49" t="str">
        <f aca="false">INDEX(samples!$C:$C, MATCH(B606, samples!$A:$A, 0), 1)</f>
        <v>2024-10-01</v>
      </c>
      <c r="S606" s="50" t="str">
        <f aca="false">INDEX(samples!$D:$D,MATCH(B606, samples!$A:$A,0),1)</f>
        <v>blood</v>
      </c>
      <c r="T606" s="0" t="n">
        <v>0.05</v>
      </c>
      <c r="W606" s="0" t="n">
        <v>1.95</v>
      </c>
      <c r="Y606" s="8" t="s">
        <v>1002</v>
      </c>
      <c r="Z606" s="8" t="n">
        <v>0</v>
      </c>
      <c r="AA606" s="8" t="s">
        <v>1002</v>
      </c>
      <c r="AB606" s="8" t="s">
        <v>3150</v>
      </c>
    </row>
    <row r="607" customFormat="false" ht="13.8" hidden="false" customHeight="false" outlineLevel="0" collapsed="false">
      <c r="A607" s="48" t="s">
        <v>3768</v>
      </c>
      <c r="B607" s="41" t="s">
        <v>2887</v>
      </c>
      <c r="C607" s="0" t="s">
        <v>3147</v>
      </c>
      <c r="D607" s="0" t="s">
        <v>3551</v>
      </c>
      <c r="F607" s="0" t="n">
        <v>48</v>
      </c>
      <c r="G607" s="0" t="n">
        <v>30.9</v>
      </c>
      <c r="H607" s="0" t="s">
        <v>3552</v>
      </c>
      <c r="I607" s="0" t="s">
        <v>1002</v>
      </c>
      <c r="J607" s="0" t="s">
        <v>427</v>
      </c>
      <c r="K607" s="0" t="s">
        <v>427</v>
      </c>
      <c r="M607" s="44" t="str">
        <f aca="false">INDEX(fastqs!$A:$A, MATCH(A607, fastqs!$B:$B, 0), 1)</f>
        <v>103_nf1_lib103_S1_R1_001.fastq.gz</v>
      </c>
      <c r="N607" s="44" t="str">
        <f aca="false">INDEX(fastqs!$C:$C, MATCH(A607, fastqs!$B:$B, 0), 1)</f>
        <v>run0008</v>
      </c>
      <c r="O607" s="44" t="str">
        <f aca="false">INDEX(samples!$B:$B, MATCH(B607, samples!$A:$A, 0), 1)</f>
        <v>ms009</v>
      </c>
      <c r="P607" s="44" t="e">
        <f aca="false">INDEX(participants!$I:$I, MATCH(O607, participants!$A:$A, 0), 1)</f>
        <v>#N/A</v>
      </c>
      <c r="Q607" s="44" t="str">
        <f aca="false">INDEX(samples!$F:$F, MATCH(B607, samples!$A:$A, 0), 1)</f>
        <v>nf1_lib103; m15 JH-2-005 5-5 D19 S</v>
      </c>
      <c r="R607" s="49" t="str">
        <f aca="false">INDEX(samples!$C:$C, MATCH(B607, samples!$A:$A, 0), 1)</f>
        <v>2024-10-01</v>
      </c>
      <c r="S607" s="50" t="str">
        <f aca="false">INDEX(samples!$D:$D,MATCH(B607, samples!$A:$A,0),1)</f>
        <v>blood</v>
      </c>
      <c r="T607" s="0" t="n">
        <v>0.05</v>
      </c>
      <c r="W607" s="0" t="n">
        <v>2.34</v>
      </c>
      <c r="Y607" s="8" t="s">
        <v>1002</v>
      </c>
      <c r="Z607" s="8" t="n">
        <v>0</v>
      </c>
      <c r="AA607" s="8" t="s">
        <v>1002</v>
      </c>
      <c r="AB607" s="8" t="s">
        <v>3150</v>
      </c>
    </row>
    <row r="608" customFormat="false" ht="13.8" hidden="false" customHeight="false" outlineLevel="0" collapsed="false">
      <c r="A608" s="48" t="s">
        <v>3769</v>
      </c>
      <c r="B608" s="41" t="s">
        <v>2889</v>
      </c>
      <c r="C608" s="0" t="s">
        <v>3147</v>
      </c>
      <c r="D608" s="0" t="s">
        <v>3551</v>
      </c>
      <c r="F608" s="0" t="n">
        <v>48</v>
      </c>
      <c r="G608" s="0" t="n">
        <v>13.3</v>
      </c>
      <c r="H608" s="0" t="s">
        <v>3552</v>
      </c>
      <c r="I608" s="0" t="s">
        <v>1002</v>
      </c>
      <c r="J608" s="0" t="s">
        <v>427</v>
      </c>
      <c r="K608" s="0" t="s">
        <v>427</v>
      </c>
      <c r="M608" s="44" t="str">
        <f aca="false">INDEX(fastqs!$A:$A, MATCH(A608, fastqs!$B:$B, 0), 1)</f>
        <v>104_nf1_lib104_S1_R1_001.fastq.gz</v>
      </c>
      <c r="N608" s="44" t="str">
        <f aca="false">INDEX(fastqs!$C:$C, MATCH(A608, fastqs!$B:$B, 0), 1)</f>
        <v>run0008</v>
      </c>
      <c r="O608" s="44" t="str">
        <f aca="false">INDEX(samples!$B:$B, MATCH(B608, samples!$A:$A, 0), 1)</f>
        <v>ms010</v>
      </c>
      <c r="P608" s="44" t="e">
        <f aca="false">INDEX(participants!$I:$I, MATCH(O608, participants!$A:$A, 0), 1)</f>
        <v>#N/A</v>
      </c>
      <c r="Q608" s="44" t="str">
        <f aca="false">INDEX(samples!$F:$F, MATCH(B608, samples!$A:$A, 0), 1)</f>
        <v>nf1_lib104; m16 JH-2-005 3-2 D19 S</v>
      </c>
      <c r="R608" s="49" t="str">
        <f aca="false">INDEX(samples!$C:$C, MATCH(B608, samples!$A:$A, 0), 1)</f>
        <v>2024-10-01</v>
      </c>
      <c r="S608" s="50" t="str">
        <f aca="false">INDEX(samples!$D:$D,MATCH(B608, samples!$A:$A,0),1)</f>
        <v>blood</v>
      </c>
      <c r="T608" s="0" t="n">
        <v>0.05</v>
      </c>
      <c r="W608" s="0" t="n">
        <v>1.36</v>
      </c>
      <c r="Y608" s="8" t="s">
        <v>1002</v>
      </c>
      <c r="Z608" s="8" t="n">
        <v>0</v>
      </c>
      <c r="AA608" s="8" t="s">
        <v>1002</v>
      </c>
      <c r="AB608" s="8" t="s">
        <v>3150</v>
      </c>
    </row>
    <row r="609" customFormat="false" ht="13.8" hidden="false" customHeight="false" outlineLevel="0" collapsed="false">
      <c r="A609" s="48" t="s">
        <v>3770</v>
      </c>
      <c r="B609" s="41" t="s">
        <v>2891</v>
      </c>
      <c r="C609" s="0" t="s">
        <v>3147</v>
      </c>
      <c r="D609" s="0" t="s">
        <v>3551</v>
      </c>
      <c r="F609" s="0" t="n">
        <v>48</v>
      </c>
      <c r="G609" s="0" t="n">
        <v>14.4</v>
      </c>
      <c r="H609" s="0" t="s">
        <v>3552</v>
      </c>
      <c r="I609" s="0" t="s">
        <v>1002</v>
      </c>
      <c r="J609" s="0" t="s">
        <v>427</v>
      </c>
      <c r="K609" s="0" t="s">
        <v>427</v>
      </c>
      <c r="M609" s="44" t="str">
        <f aca="false">INDEX(fastqs!$A:$A, MATCH(A609, fastqs!$B:$B, 0), 1)</f>
        <v>105_nf1_lib105_S1_R1_001.fastq.gz</v>
      </c>
      <c r="N609" s="44" t="str">
        <f aca="false">INDEX(fastqs!$C:$C, MATCH(A609, fastqs!$B:$B, 0), 1)</f>
        <v>run0008</v>
      </c>
      <c r="O609" s="44" t="str">
        <f aca="false">INDEX(samples!$B:$B, MATCH(B609, samples!$A:$A, 0), 1)</f>
        <v>ms011</v>
      </c>
      <c r="P609" s="44" t="e">
        <f aca="false">INDEX(participants!$I:$I, MATCH(O609, participants!$A:$A, 0), 1)</f>
        <v>#N/A</v>
      </c>
      <c r="Q609" s="44" t="str">
        <f aca="false">INDEX(samples!$F:$F, MATCH(B609, samples!$A:$A, 0), 1)</f>
        <v>nf1_lib105; m17 JH-2-005 3-3 D19 S</v>
      </c>
      <c r="R609" s="49" t="str">
        <f aca="false">INDEX(samples!$C:$C, MATCH(B609, samples!$A:$A, 0), 1)</f>
        <v>2024-10-01</v>
      </c>
      <c r="S609" s="50" t="str">
        <f aca="false">INDEX(samples!$D:$D,MATCH(B609, samples!$A:$A,0),1)</f>
        <v>blood</v>
      </c>
      <c r="T609" s="0" t="n">
        <v>0.05</v>
      </c>
      <c r="W609" s="0" t="n">
        <v>2.39</v>
      </c>
      <c r="Y609" s="8" t="s">
        <v>1002</v>
      </c>
      <c r="Z609" s="8" t="n">
        <v>0</v>
      </c>
      <c r="AA609" s="8" t="s">
        <v>1002</v>
      </c>
      <c r="AB609" s="8" t="s">
        <v>3150</v>
      </c>
    </row>
    <row r="610" customFormat="false" ht="13.8" hidden="false" customHeight="false" outlineLevel="0" collapsed="false">
      <c r="A610" s="48" t="s">
        <v>3771</v>
      </c>
      <c r="B610" s="41" t="s">
        <v>2893</v>
      </c>
      <c r="C610" s="0" t="s">
        <v>3147</v>
      </c>
      <c r="D610" s="0" t="s">
        <v>3551</v>
      </c>
      <c r="F610" s="0" t="n">
        <v>48</v>
      </c>
      <c r="G610" s="0" t="n">
        <v>5.28</v>
      </c>
      <c r="H610" s="0" t="s">
        <v>3552</v>
      </c>
      <c r="I610" s="0" t="s">
        <v>1002</v>
      </c>
      <c r="J610" s="0" t="s">
        <v>427</v>
      </c>
      <c r="K610" s="0" t="s">
        <v>427</v>
      </c>
      <c r="M610" s="44" t="str">
        <f aca="false">INDEX(fastqs!$A:$A, MATCH(A610, fastqs!$B:$B, 0), 1)</f>
        <v>106_nf1_lib106_S1_R1_001.fastq.gz</v>
      </c>
      <c r="N610" s="44" t="str">
        <f aca="false">INDEX(fastqs!$C:$C, MATCH(A610, fastqs!$B:$B, 0), 1)</f>
        <v>run0008</v>
      </c>
      <c r="O610" s="44" t="str">
        <f aca="false">INDEX(samples!$B:$B, MATCH(B610, samples!$A:$A, 0), 1)</f>
        <v>ms012</v>
      </c>
      <c r="P610" s="44" t="e">
        <f aca="false">INDEX(participants!$I:$I, MATCH(O610, participants!$A:$A, 0), 1)</f>
        <v>#N/A</v>
      </c>
      <c r="Q610" s="44" t="str">
        <f aca="false">INDEX(samples!$F:$F, MATCH(B610, samples!$A:$A, 0), 1)</f>
        <v>nf1_lib106; m18 JH-2-005 7-5 D19 S</v>
      </c>
      <c r="R610" s="49" t="str">
        <f aca="false">INDEX(samples!$C:$C, MATCH(B610, samples!$A:$A, 0), 1)</f>
        <v>2024-10-01</v>
      </c>
      <c r="S610" s="50" t="str">
        <f aca="false">INDEX(samples!$D:$D,MATCH(B610, samples!$A:$A,0),1)</f>
        <v>blood</v>
      </c>
      <c r="T610" s="0" t="n">
        <v>0.05</v>
      </c>
      <c r="W610" s="0" t="n">
        <v>1.19</v>
      </c>
      <c r="Y610" s="8" t="s">
        <v>1002</v>
      </c>
      <c r="Z610" s="8" t="n">
        <v>0</v>
      </c>
      <c r="AA610" s="8" t="s">
        <v>1002</v>
      </c>
      <c r="AB610" s="8" t="s">
        <v>3150</v>
      </c>
    </row>
    <row r="611" customFormat="false" ht="13.8" hidden="false" customHeight="false" outlineLevel="0" collapsed="false">
      <c r="A611" s="48" t="s">
        <v>3772</v>
      </c>
      <c r="B611" s="41" t="s">
        <v>2895</v>
      </c>
      <c r="C611" s="0" t="s">
        <v>3147</v>
      </c>
      <c r="D611" s="0" t="s">
        <v>3551</v>
      </c>
      <c r="F611" s="0" t="n">
        <v>48</v>
      </c>
      <c r="G611" s="0" t="n">
        <v>49.9</v>
      </c>
      <c r="H611" s="0" t="s">
        <v>3552</v>
      </c>
      <c r="I611" s="0" t="s">
        <v>1002</v>
      </c>
      <c r="J611" s="0" t="s">
        <v>427</v>
      </c>
      <c r="K611" s="0" t="s">
        <v>427</v>
      </c>
      <c r="M611" s="44" t="str">
        <f aca="false">INDEX(fastqs!$A:$A, MATCH(A611, fastqs!$B:$B, 0), 1)</f>
        <v>107_nf1_lib107_S1_R1_001.fastq.gz</v>
      </c>
      <c r="N611" s="44" t="str">
        <f aca="false">INDEX(fastqs!$C:$C, MATCH(A611, fastqs!$B:$B, 0), 1)</f>
        <v>run0008</v>
      </c>
      <c r="O611" s="44" t="str">
        <f aca="false">INDEX(samples!$B:$B, MATCH(B611, samples!$A:$A, 0), 1)</f>
        <v>ms007</v>
      </c>
      <c r="P611" s="44" t="e">
        <f aca="false">INDEX(participants!$I:$I, MATCH(O611, participants!$A:$A, 0), 1)</f>
        <v>#N/A</v>
      </c>
      <c r="Q611" s="44" t="str">
        <f aca="false">INDEX(samples!$F:$F, MATCH(B611, samples!$A:$A, 0), 1)</f>
        <v>nf1_lib107</v>
      </c>
      <c r="R611" s="49" t="str">
        <f aca="false">INDEX(samples!$C:$C, MATCH(B611, samples!$A:$A, 0), 1)</f>
        <v>2024-10-29</v>
      </c>
      <c r="S611" s="50" t="str">
        <f aca="false">INDEX(samples!$D:$D,MATCH(B611, samples!$A:$A,0),1)</f>
        <v>blood</v>
      </c>
      <c r="T611" s="0" t="n">
        <v>0.05</v>
      </c>
      <c r="W611" s="0" t="n">
        <v>2.92</v>
      </c>
      <c r="Y611" s="8" t="s">
        <v>1002</v>
      </c>
      <c r="Z611" s="8" t="n">
        <v>0</v>
      </c>
      <c r="AA611" s="8" t="s">
        <v>1002</v>
      </c>
      <c r="AB611" s="8" t="s">
        <v>3150</v>
      </c>
    </row>
    <row r="612" customFormat="false" ht="13.8" hidden="false" customHeight="false" outlineLevel="0" collapsed="false">
      <c r="A612" s="48" t="s">
        <v>3773</v>
      </c>
      <c r="B612" s="41" t="s">
        <v>2898</v>
      </c>
      <c r="C612" s="0" t="s">
        <v>3147</v>
      </c>
      <c r="D612" s="0" t="s">
        <v>3551</v>
      </c>
      <c r="F612" s="0" t="n">
        <v>48</v>
      </c>
      <c r="G612" s="0" t="n">
        <v>1.58</v>
      </c>
      <c r="H612" s="0" t="s">
        <v>3552</v>
      </c>
      <c r="I612" s="0" t="s">
        <v>1002</v>
      </c>
      <c r="J612" s="0" t="s">
        <v>427</v>
      </c>
      <c r="K612" s="0" t="s">
        <v>427</v>
      </c>
      <c r="M612" s="44" t="str">
        <f aca="false">INDEX(fastqs!$A:$A, MATCH(A612, fastqs!$B:$B, 0), 1)</f>
        <v>108_nf1_lib108_S1_R1_001.fastq.gz</v>
      </c>
      <c r="N612" s="44" t="str">
        <f aca="false">INDEX(fastqs!$C:$C, MATCH(A612, fastqs!$B:$B, 0), 1)</f>
        <v>run0008</v>
      </c>
      <c r="O612" s="44" t="str">
        <f aca="false">INDEX(samples!$B:$B, MATCH(B612, samples!$A:$A, 0), 1)</f>
        <v>ms008</v>
      </c>
      <c r="P612" s="44" t="e">
        <f aca="false">INDEX(participants!$I:$I, MATCH(O612, participants!$A:$A, 0), 1)</f>
        <v>#N/A</v>
      </c>
      <c r="Q612" s="44" t="str">
        <f aca="false">INDEX(samples!$F:$F, MATCH(B612, samples!$A:$A, 0), 1)</f>
        <v>nf1_lib108</v>
      </c>
      <c r="R612" s="49" t="str">
        <f aca="false">INDEX(samples!$C:$C, MATCH(B612, samples!$A:$A, 0), 1)</f>
        <v>2024-10-29</v>
      </c>
      <c r="S612" s="50" t="str">
        <f aca="false">INDEX(samples!$D:$D,MATCH(B612, samples!$A:$A,0),1)</f>
        <v>blood</v>
      </c>
      <c r="T612" s="0" t="n">
        <v>0.05</v>
      </c>
      <c r="W612" s="0" t="n">
        <v>0.921</v>
      </c>
      <c r="Y612" s="8" t="s">
        <v>1002</v>
      </c>
      <c r="Z612" s="8" t="n">
        <v>0</v>
      </c>
      <c r="AA612" s="8" t="s">
        <v>1002</v>
      </c>
      <c r="AB612" s="8" t="s">
        <v>3150</v>
      </c>
    </row>
    <row r="613" customFormat="false" ht="13.8" hidden="false" customHeight="false" outlineLevel="0" collapsed="false">
      <c r="A613" s="48" t="s">
        <v>3774</v>
      </c>
      <c r="B613" s="41" t="s">
        <v>2900</v>
      </c>
      <c r="C613" s="0" t="s">
        <v>3147</v>
      </c>
      <c r="D613" s="0" t="s">
        <v>3551</v>
      </c>
      <c r="F613" s="0" t="n">
        <v>48</v>
      </c>
      <c r="G613" s="0" t="n">
        <v>8.44</v>
      </c>
      <c r="H613" s="0" t="s">
        <v>3552</v>
      </c>
      <c r="I613" s="0" t="s">
        <v>1002</v>
      </c>
      <c r="J613" s="0" t="s">
        <v>427</v>
      </c>
      <c r="K613" s="0" t="s">
        <v>427</v>
      </c>
      <c r="M613" s="44" t="str">
        <f aca="false">INDEX(fastqs!$A:$A, MATCH(A613, fastqs!$B:$B, 0), 1)</f>
        <v>109_nf1_lib109_S1_R1_001.fastq.gz</v>
      </c>
      <c r="N613" s="44" t="str">
        <f aca="false">INDEX(fastqs!$C:$C, MATCH(A613, fastqs!$B:$B, 0), 1)</f>
        <v>run0008</v>
      </c>
      <c r="O613" s="44" t="str">
        <f aca="false">INDEX(samples!$B:$B, MATCH(B613, samples!$A:$A, 0), 1)</f>
        <v>ms009</v>
      </c>
      <c r="P613" s="44" t="e">
        <f aca="false">INDEX(participants!$I:$I, MATCH(O613, participants!$A:$A, 0), 1)</f>
        <v>#N/A</v>
      </c>
      <c r="Q613" s="44" t="str">
        <f aca="false">INDEX(samples!$F:$F, MATCH(B613, samples!$A:$A, 0), 1)</f>
        <v>nf1_lib109</v>
      </c>
      <c r="R613" s="49" t="str">
        <f aca="false">INDEX(samples!$C:$C, MATCH(B613, samples!$A:$A, 0), 1)</f>
        <v>2024-10-29</v>
      </c>
      <c r="S613" s="50" t="str">
        <f aca="false">INDEX(samples!$D:$D,MATCH(B613, samples!$A:$A,0),1)</f>
        <v>blood</v>
      </c>
      <c r="T613" s="0" t="n">
        <v>0.05</v>
      </c>
      <c r="W613" s="0" t="n">
        <v>4.78</v>
      </c>
      <c r="Y613" s="8" t="s">
        <v>1002</v>
      </c>
      <c r="Z613" s="8" t="n">
        <v>0</v>
      </c>
      <c r="AA613" s="8" t="s">
        <v>1002</v>
      </c>
      <c r="AB613" s="8" t="s">
        <v>3150</v>
      </c>
    </row>
    <row r="614" customFormat="false" ht="13.8" hidden="false" customHeight="false" outlineLevel="0" collapsed="false">
      <c r="A614" s="48" t="s">
        <v>3775</v>
      </c>
      <c r="B614" s="41" t="s">
        <v>2902</v>
      </c>
      <c r="C614" s="0" t="s">
        <v>3147</v>
      </c>
      <c r="D614" s="0" t="s">
        <v>3551</v>
      </c>
      <c r="F614" s="0" t="n">
        <v>48</v>
      </c>
      <c r="G614" s="0" t="n">
        <v>8.81</v>
      </c>
      <c r="H614" s="0" t="s">
        <v>3552</v>
      </c>
      <c r="I614" s="0" t="s">
        <v>1002</v>
      </c>
      <c r="J614" s="0" t="s">
        <v>427</v>
      </c>
      <c r="K614" s="0" t="s">
        <v>427</v>
      </c>
      <c r="M614" s="44" t="str">
        <f aca="false">INDEX(fastqs!$A:$A, MATCH(A614, fastqs!$B:$B, 0), 1)</f>
        <v>110_nf1_lib110_S1_R1_001.fastq.gz</v>
      </c>
      <c r="N614" s="44" t="str">
        <f aca="false">INDEX(fastqs!$C:$C, MATCH(A614, fastqs!$B:$B, 0), 1)</f>
        <v>run0008</v>
      </c>
      <c r="O614" s="44" t="str">
        <f aca="false">INDEX(samples!$B:$B, MATCH(B614, samples!$A:$A, 0), 1)</f>
        <v>ms010</v>
      </c>
      <c r="P614" s="44" t="e">
        <f aca="false">INDEX(participants!$I:$I, MATCH(O614, participants!$A:$A, 0), 1)</f>
        <v>#N/A</v>
      </c>
      <c r="Q614" s="44" t="str">
        <f aca="false">INDEX(samples!$F:$F, MATCH(B614, samples!$A:$A, 0), 1)</f>
        <v>nf1_lib110</v>
      </c>
      <c r="R614" s="49" t="str">
        <f aca="false">INDEX(samples!$C:$C, MATCH(B614, samples!$A:$A, 0), 1)</f>
        <v>2024-10-29</v>
      </c>
      <c r="S614" s="50" t="str">
        <f aca="false">INDEX(samples!$D:$D,MATCH(B614, samples!$A:$A,0),1)</f>
        <v>blood</v>
      </c>
      <c r="T614" s="0" t="n">
        <v>0.05</v>
      </c>
      <c r="W614" s="0" t="n">
        <v>1.01</v>
      </c>
      <c r="Y614" s="8" t="s">
        <v>1002</v>
      </c>
      <c r="Z614" s="8" t="n">
        <v>0</v>
      </c>
      <c r="AA614" s="8" t="s">
        <v>1002</v>
      </c>
      <c r="AB614" s="8" t="s">
        <v>3150</v>
      </c>
    </row>
    <row r="615" customFormat="false" ht="13.8" hidden="false" customHeight="false" outlineLevel="0" collapsed="false">
      <c r="A615" s="48" t="s">
        <v>3776</v>
      </c>
      <c r="B615" s="41" t="s">
        <v>2904</v>
      </c>
      <c r="C615" s="0" t="s">
        <v>3147</v>
      </c>
      <c r="D615" s="0" t="s">
        <v>3551</v>
      </c>
      <c r="F615" s="0" t="n">
        <v>48</v>
      </c>
      <c r="G615" s="0" t="n">
        <v>27.5</v>
      </c>
      <c r="H615" s="0" t="s">
        <v>3552</v>
      </c>
      <c r="I615" s="0" t="s">
        <v>1002</v>
      </c>
      <c r="J615" s="0" t="s">
        <v>427</v>
      </c>
      <c r="K615" s="0" t="s">
        <v>427</v>
      </c>
      <c r="M615" s="44" t="str">
        <f aca="false">INDEX(fastqs!$A:$A, MATCH(A615, fastqs!$B:$B, 0), 1)</f>
        <v>111_nf1_lib111_S1_R1_001.fastq.gz</v>
      </c>
      <c r="N615" s="44" t="str">
        <f aca="false">INDEX(fastqs!$C:$C, MATCH(A615, fastqs!$B:$B, 0), 1)</f>
        <v>run0008</v>
      </c>
      <c r="O615" s="44" t="str">
        <f aca="false">INDEX(samples!$B:$B, MATCH(B615, samples!$A:$A, 0), 1)</f>
        <v>ms011</v>
      </c>
      <c r="P615" s="44" t="e">
        <f aca="false">INDEX(participants!$I:$I, MATCH(O615, participants!$A:$A, 0), 1)</f>
        <v>#N/A</v>
      </c>
      <c r="Q615" s="44" t="str">
        <f aca="false">INDEX(samples!$F:$F, MATCH(B615, samples!$A:$A, 0), 1)</f>
        <v>nf1_lib111</v>
      </c>
      <c r="R615" s="49" t="str">
        <f aca="false">INDEX(samples!$C:$C, MATCH(B615, samples!$A:$A, 0), 1)</f>
        <v>2024-10-29</v>
      </c>
      <c r="S615" s="50" t="str">
        <f aca="false">INDEX(samples!$D:$D,MATCH(B615, samples!$A:$A,0),1)</f>
        <v>blood</v>
      </c>
      <c r="T615" s="0" t="n">
        <v>0.05</v>
      </c>
      <c r="W615" s="0" t="n">
        <v>8.43</v>
      </c>
      <c r="Y615" s="8" t="s">
        <v>1002</v>
      </c>
      <c r="Z615" s="8" t="n">
        <v>0</v>
      </c>
      <c r="AA615" s="8" t="s">
        <v>1002</v>
      </c>
      <c r="AB615" s="8" t="s">
        <v>3150</v>
      </c>
    </row>
    <row r="616" customFormat="false" ht="13.8" hidden="false" customHeight="false" outlineLevel="0" collapsed="false">
      <c r="A616" s="48" t="s">
        <v>3777</v>
      </c>
      <c r="B616" s="41" t="s">
        <v>2906</v>
      </c>
      <c r="C616" s="0" t="s">
        <v>3147</v>
      </c>
      <c r="D616" s="0" t="s">
        <v>3551</v>
      </c>
      <c r="F616" s="0" t="n">
        <v>48</v>
      </c>
      <c r="G616" s="0" t="n">
        <v>19.4</v>
      </c>
      <c r="H616" s="0" t="s">
        <v>3552</v>
      </c>
      <c r="I616" s="0" t="s">
        <v>1002</v>
      </c>
      <c r="J616" s="0" t="s">
        <v>427</v>
      </c>
      <c r="K616" s="0" t="s">
        <v>427</v>
      </c>
      <c r="M616" s="44" t="str">
        <f aca="false">INDEX(fastqs!$A:$A, MATCH(A616, fastqs!$B:$B, 0), 1)</f>
        <v>112_nf1_lib112_S1_R1_001.fastq.gz</v>
      </c>
      <c r="N616" s="44" t="str">
        <f aca="false">INDEX(fastqs!$C:$C, MATCH(A616, fastqs!$B:$B, 0), 1)</f>
        <v>run0008</v>
      </c>
      <c r="O616" s="44" t="str">
        <f aca="false">INDEX(samples!$B:$B, MATCH(B616, samples!$A:$A, 0), 1)</f>
        <v>ms012</v>
      </c>
      <c r="P616" s="44" t="e">
        <f aca="false">INDEX(participants!$I:$I, MATCH(O616, participants!$A:$A, 0), 1)</f>
        <v>#N/A</v>
      </c>
      <c r="Q616" s="44" t="str">
        <f aca="false">INDEX(samples!$F:$F, MATCH(B616, samples!$A:$A, 0), 1)</f>
        <v>nf1_lib112</v>
      </c>
      <c r="R616" s="49" t="str">
        <f aca="false">INDEX(samples!$C:$C, MATCH(B616, samples!$A:$A, 0), 1)</f>
        <v>2024-10-29</v>
      </c>
      <c r="S616" s="50" t="str">
        <f aca="false">INDEX(samples!$D:$D,MATCH(B616, samples!$A:$A,0),1)</f>
        <v>blood</v>
      </c>
      <c r="T616" s="0" t="n">
        <v>0.05</v>
      </c>
      <c r="W616" s="0" t="n">
        <v>1.71</v>
      </c>
      <c r="Y616" s="8" t="s">
        <v>1002</v>
      </c>
      <c r="Z616" s="8" t="n">
        <v>0</v>
      </c>
      <c r="AA616" s="8" t="s">
        <v>1002</v>
      </c>
      <c r="AB616" s="8" t="s">
        <v>3150</v>
      </c>
    </row>
    <row r="617" customFormat="false" ht="13.8" hidden="false" customHeight="false" outlineLevel="0" collapsed="false">
      <c r="A617" s="25" t="s">
        <v>3778</v>
      </c>
      <c r="B617" s="38" t="s">
        <v>2908</v>
      </c>
      <c r="M617" s="44" t="str">
        <f aca="false">INDEX(fastqs!$A:$A, MATCH(A617, fastqs!$B:$B, 0), 1)</f>
        <v>23-YCQ71cf-WM-WGSOncology-cfDNAFFPE-Dev1_S7_L001_R1_001.fastq.gz</v>
      </c>
      <c r="N617" s="44" t="str">
        <f aca="false">INDEX(fastqs!$C:$C, MATCH(A617, fastqs!$B:$B, 0), 1)</f>
        <v>run0002</v>
      </c>
      <c r="O617" s="44" t="str">
        <f aca="false">INDEX(samples!$B:$B, MATCH(B617, samples!$A:$A, 0), 1)</f>
        <v>par0299</v>
      </c>
      <c r="P617" s="44" t="e">
        <f aca="false">INDEX(participants!$I:$I, MATCH(O617, participants!$A:$A, 0), 1)</f>
        <v>#N/A</v>
      </c>
      <c r="Q617" s="44" t="n">
        <f aca="false">INDEX(samples!$F:$F, MATCH(B617, samples!$A:$A, 0), 1)</f>
        <v>0</v>
      </c>
      <c r="R617" s="49" t="n">
        <f aca="false">INDEX(samples!$C:$C, MATCH(B617, samples!$A:$A, 0), 1)</f>
        <v>0</v>
      </c>
      <c r="S617" s="50" t="str">
        <f aca="false">INDEX(samples!$D:$D,MATCH(B617, samples!$A:$A,0),1)</f>
        <v>GET</v>
      </c>
      <c r="Y617" s="8" t="n">
        <v>0</v>
      </c>
      <c r="Z617" s="8" t="s">
        <v>3150</v>
      </c>
      <c r="AA617" s="8" t="n">
        <v>0</v>
      </c>
      <c r="AB617" s="8" t="n">
        <v>0</v>
      </c>
    </row>
    <row r="618" customFormat="false" ht="13.8" hidden="false" customHeight="false" outlineLevel="0" collapsed="false">
      <c r="A618" s="25" t="s">
        <v>3779</v>
      </c>
      <c r="B618" s="38" t="s">
        <v>2910</v>
      </c>
      <c r="M618" s="44" t="str">
        <f aca="false">INDEX(fastqs!$A:$A, MATCH(A618, fastqs!$B:$B, 0), 1)</f>
        <v>24-JWLFHcf-WM-WGSOncology-cfDNAFFPE-Dev1_S8_L001_R1_001.fastq.gz</v>
      </c>
      <c r="N618" s="44" t="str">
        <f aca="false">INDEX(fastqs!$C:$C, MATCH(A618, fastqs!$B:$B, 0), 1)</f>
        <v>run0002</v>
      </c>
      <c r="O618" s="44" t="str">
        <f aca="false">INDEX(samples!$B:$B, MATCH(B618, samples!$A:$A, 0), 1)</f>
        <v>par0300</v>
      </c>
      <c r="P618" s="44" t="e">
        <f aca="false">INDEX(participants!$I:$I, MATCH(O618, participants!$A:$A, 0), 1)</f>
        <v>#N/A</v>
      </c>
      <c r="Q618" s="44" t="n">
        <f aca="false">INDEX(samples!$F:$F, MATCH(B618, samples!$A:$A, 0), 1)</f>
        <v>0</v>
      </c>
      <c r="R618" s="49" t="str">
        <f aca="false">INDEX(samples!$C:$C, MATCH(B618, samples!$A:$A, 0), 1)</f>
        <v>1899-12-30</v>
      </c>
      <c r="S618" s="50" t="str">
        <f aca="false">INDEX(samples!$D:$D,MATCH(B618, samples!$A:$A,0),1)</f>
        <v>GET</v>
      </c>
      <c r="Y618" s="8" t="n">
        <v>0</v>
      </c>
      <c r="Z618" s="8" t="s">
        <v>3150</v>
      </c>
      <c r="AA618" s="8" t="n">
        <v>0</v>
      </c>
      <c r="AB618" s="8" t="n">
        <v>0</v>
      </c>
    </row>
    <row r="619" customFormat="false" ht="13.8" hidden="false" customHeight="false" outlineLevel="0" collapsed="false">
      <c r="A619" s="25" t="s">
        <v>3780</v>
      </c>
      <c r="B619" s="38" t="s">
        <v>2913</v>
      </c>
      <c r="M619" s="44" t="str">
        <f aca="false">INDEX(fastqs!$A:$A, MATCH(A619, fastqs!$B:$B, 0), 1)</f>
        <v>510cf-WM-WGSOncology-cfDNAFFPE-Dev1_S1_L001_R1_001.fastq.gz</v>
      </c>
      <c r="N619" s="44" t="str">
        <f aca="false">INDEX(fastqs!$C:$C, MATCH(A619, fastqs!$B:$B, 0), 1)</f>
        <v>run0002</v>
      </c>
      <c r="O619" s="44" t="str">
        <f aca="false">INDEX(samples!$B:$B, MATCH(B619, samples!$A:$A, 0), 1)</f>
        <v>par0090</v>
      </c>
      <c r="P619" s="44" t="str">
        <f aca="false">INDEX(participants!$I:$I, MATCH(O619, participants!$A:$A, 0), 1)</f>
        <v>nf510</v>
      </c>
      <c r="Q619" s="44" t="n">
        <f aca="false">INDEX(samples!$F:$F, MATCH(B619, samples!$A:$A, 0), 1)</f>
        <v>0</v>
      </c>
      <c r="R619" s="49" t="str">
        <f aca="false">INDEX(samples!$C:$C, MATCH(B619, samples!$A:$A, 0), 1)</f>
        <v>1899-12-30</v>
      </c>
      <c r="S619" s="50" t="str">
        <f aca="false">INDEX(samples!$D:$D,MATCH(B619, samples!$A:$A,0),1)</f>
        <v>blood</v>
      </c>
      <c r="T619" s="0" t="n">
        <v>4</v>
      </c>
      <c r="Y619" s="8" t="n">
        <v>0</v>
      </c>
      <c r="Z619" s="8" t="s">
        <v>3150</v>
      </c>
      <c r="AA619" s="8" t="n">
        <v>0</v>
      </c>
      <c r="AB619" s="8" t="n">
        <v>0</v>
      </c>
    </row>
    <row r="620" customFormat="false" ht="13.8" hidden="false" customHeight="false" outlineLevel="0" collapsed="false">
      <c r="A620" s="25" t="s">
        <v>3781</v>
      </c>
      <c r="B620" s="38" t="s">
        <v>2914</v>
      </c>
      <c r="M620" s="44" t="str">
        <f aca="false">INDEX(fastqs!$A:$A, MATCH(A620, fastqs!$B:$B, 0), 1)</f>
        <v>625FFPE-WM-WGSOncology-cfDNAFFPE-Dev1_S5_L001_R1_001.fastq.gz</v>
      </c>
      <c r="N620" s="44" t="str">
        <f aca="false">INDEX(fastqs!$C:$C, MATCH(A620, fastqs!$B:$B, 0), 1)</f>
        <v>run0002</v>
      </c>
      <c r="O620" s="44" t="str">
        <f aca="false">INDEX(samples!$B:$B, MATCH(B620, samples!$A:$A, 0), 1)</f>
        <v>par0212</v>
      </c>
      <c r="P620" s="44" t="e">
        <f aca="false">INDEX(participants!$I:$I, MATCH(O620, participants!$A:$A, 0), 1)</f>
        <v>#N/A</v>
      </c>
      <c r="Q620" s="44" t="n">
        <f aca="false">INDEX(samples!$F:$F, MATCH(B620, samples!$A:$A, 0), 1)</f>
        <v>0</v>
      </c>
      <c r="R620" s="49" t="str">
        <f aca="false">INDEX(samples!$C:$C, MATCH(B620, samples!$A:$A, 0), 1)</f>
        <v>1899-12-30</v>
      </c>
      <c r="S620" s="50" t="str">
        <f aca="false">INDEX(samples!$D:$D,MATCH(B620, samples!$A:$A,0),1)</f>
        <v>tumor</v>
      </c>
      <c r="Y620" s="8" t="n">
        <v>0</v>
      </c>
      <c r="Z620" s="8" t="s">
        <v>3150</v>
      </c>
      <c r="AA620" s="8" t="n">
        <v>0</v>
      </c>
      <c r="AB620" s="8" t="n">
        <v>0</v>
      </c>
    </row>
    <row r="621" customFormat="false" ht="13.8" hidden="false" customHeight="false" outlineLevel="0" collapsed="false">
      <c r="A621" s="25" t="s">
        <v>3782</v>
      </c>
      <c r="B621" s="38" t="s">
        <v>2915</v>
      </c>
      <c r="M621" s="44" t="str">
        <f aca="false">INDEX(fastqs!$A:$A, MATCH(A621, fastqs!$B:$B, 0), 1)</f>
        <v>625cf-WM-WGSOncology-cfDNAFFPE-Dev1_S2_L001_R1_001.fastq.gz</v>
      </c>
      <c r="N621" s="44" t="str">
        <f aca="false">INDEX(fastqs!$C:$C, MATCH(A621, fastqs!$B:$B, 0), 1)</f>
        <v>run0002</v>
      </c>
      <c r="O621" s="44" t="str">
        <f aca="false">INDEX(samples!$B:$B, MATCH(B621, samples!$A:$A, 0), 1)</f>
        <v>par0212</v>
      </c>
      <c r="P621" s="44" t="e">
        <f aca="false">INDEX(participants!$I:$I, MATCH(O621, participants!$A:$A, 0), 1)</f>
        <v>#N/A</v>
      </c>
      <c r="Q621" s="44" t="n">
        <f aca="false">INDEX(samples!$F:$F, MATCH(B621, samples!$A:$A, 0), 1)</f>
        <v>0</v>
      </c>
      <c r="R621" s="49" t="str">
        <f aca="false">INDEX(samples!$C:$C, MATCH(B621, samples!$A:$A, 0), 1)</f>
        <v>1899-12-30</v>
      </c>
      <c r="S621" s="50" t="str">
        <f aca="false">INDEX(samples!$D:$D,MATCH(B621, samples!$A:$A,0),1)</f>
        <v>blood</v>
      </c>
      <c r="T621" s="0" t="n">
        <v>3</v>
      </c>
      <c r="Y621" s="8" t="n">
        <v>0</v>
      </c>
      <c r="Z621" s="8" t="s">
        <v>3150</v>
      </c>
      <c r="AA621" s="8" t="n">
        <v>0</v>
      </c>
      <c r="AB621" s="8" t="n">
        <v>0</v>
      </c>
    </row>
    <row r="622" customFormat="false" ht="13.8" hidden="false" customHeight="false" outlineLevel="0" collapsed="false">
      <c r="A622" s="25" t="s">
        <v>3783</v>
      </c>
      <c r="B622" s="38" t="s">
        <v>2916</v>
      </c>
      <c r="M622" s="44" t="str">
        <f aca="false">INDEX(fastqs!$A:$A, MATCH(A622, fastqs!$B:$B, 0), 1)</f>
        <v>627FFPE-WM-WGSOncology-cfDNAFFPE-Dev1_S6_L001_R1_001.fastq.gz</v>
      </c>
      <c r="N622" s="44" t="str">
        <f aca="false">INDEX(fastqs!$C:$C, MATCH(A622, fastqs!$B:$B, 0), 1)</f>
        <v>run0002</v>
      </c>
      <c r="O622" s="44" t="str">
        <f aca="false">INDEX(samples!$B:$B, MATCH(B622, samples!$A:$A, 0), 1)</f>
        <v>par0213</v>
      </c>
      <c r="P622" s="44" t="e">
        <f aca="false">INDEX(participants!$I:$I, MATCH(O622, participants!$A:$A, 0), 1)</f>
        <v>#N/A</v>
      </c>
      <c r="Q622" s="44" t="n">
        <f aca="false">INDEX(samples!$F:$F, MATCH(B622, samples!$A:$A, 0), 1)</f>
        <v>0</v>
      </c>
      <c r="R622" s="49" t="str">
        <f aca="false">INDEX(samples!$C:$C, MATCH(B622, samples!$A:$A, 0), 1)</f>
        <v>GET</v>
      </c>
      <c r="S622" s="50" t="str">
        <f aca="false">INDEX(samples!$D:$D,MATCH(B622, samples!$A:$A,0),1)</f>
        <v>tumor</v>
      </c>
      <c r="Y622" s="8" t="n">
        <v>0</v>
      </c>
      <c r="Z622" s="8" t="s">
        <v>3150</v>
      </c>
      <c r="AA622" s="8" t="n">
        <v>0</v>
      </c>
      <c r="AB622" s="8" t="n">
        <v>0</v>
      </c>
    </row>
    <row r="623" customFormat="false" ht="13.8" hidden="false" customHeight="false" outlineLevel="0" collapsed="false">
      <c r="A623" s="25" t="s">
        <v>3784</v>
      </c>
      <c r="B623" s="38" t="s">
        <v>2917</v>
      </c>
      <c r="M623" s="44" t="str">
        <f aca="false">INDEX(fastqs!$A:$A, MATCH(A623, fastqs!$B:$B, 0), 1)</f>
        <v>627cf-WM-WGSOncology-cfDNAFFPE-Dev1_S3_L001_R1_001.fastq.gz</v>
      </c>
      <c r="N623" s="44" t="str">
        <f aca="false">INDEX(fastqs!$C:$C, MATCH(A623, fastqs!$B:$B, 0), 1)</f>
        <v>run0002</v>
      </c>
      <c r="O623" s="44" t="str">
        <f aca="false">INDEX(samples!$B:$B, MATCH(B623, samples!$A:$A, 0), 1)</f>
        <v>par0213</v>
      </c>
      <c r="P623" s="44" t="e">
        <f aca="false">INDEX(participants!$I:$I, MATCH(O623, participants!$A:$A, 0), 1)</f>
        <v>#N/A</v>
      </c>
      <c r="Q623" s="44" t="n">
        <f aca="false">INDEX(samples!$F:$F, MATCH(B623, samples!$A:$A, 0), 1)</f>
        <v>0</v>
      </c>
      <c r="R623" s="49" t="str">
        <f aca="false">INDEX(samples!$C:$C, MATCH(B623, samples!$A:$A, 0), 1)</f>
        <v>GET</v>
      </c>
      <c r="S623" s="50" t="str">
        <f aca="false">INDEX(samples!$D:$D,MATCH(B623, samples!$A:$A,0),1)</f>
        <v>blood</v>
      </c>
      <c r="T623" s="0" t="n">
        <v>4</v>
      </c>
      <c r="Y623" s="8" t="n">
        <v>0</v>
      </c>
      <c r="Z623" s="8" t="s">
        <v>3150</v>
      </c>
      <c r="AA623" s="8" t="n">
        <v>0</v>
      </c>
      <c r="AB623" s="8" t="n">
        <v>0</v>
      </c>
    </row>
    <row r="624" customFormat="false" ht="13.8" hidden="false" customHeight="false" outlineLevel="0" collapsed="false">
      <c r="A624" s="25" t="s">
        <v>3785</v>
      </c>
      <c r="B624" s="38" t="s">
        <v>2918</v>
      </c>
      <c r="M624" s="44" t="str">
        <f aca="false">INDEX(fastqs!$A:$A, MATCH(A624, fastqs!$B:$B, 0), 1)</f>
        <v>673cf-WM-WGSOncology-cfDNAFFPE-Dev1_S4_L001_R1_001.fastq.gz</v>
      </c>
      <c r="N624" s="44" t="str">
        <f aca="false">INDEX(fastqs!$C:$C, MATCH(A624, fastqs!$B:$B, 0), 1)</f>
        <v>run0002</v>
      </c>
      <c r="O624" s="44" t="str">
        <f aca="false">INDEX(samples!$B:$B, MATCH(B624, samples!$A:$A, 0), 1)</f>
        <v>par0223</v>
      </c>
      <c r="P624" s="44" t="e">
        <f aca="false">INDEX(participants!$I:$I, MATCH(O624, participants!$A:$A, 0), 1)</f>
        <v>#N/A</v>
      </c>
      <c r="Q624" s="44" t="n">
        <f aca="false">INDEX(samples!$F:$F, MATCH(B624, samples!$A:$A, 0), 1)</f>
        <v>0</v>
      </c>
      <c r="R624" s="49" t="str">
        <f aca="false">INDEX(samples!$C:$C, MATCH(B624, samples!$A:$A, 0), 1)</f>
        <v>1899-12-30</v>
      </c>
      <c r="S624" s="50" t="str">
        <f aca="false">INDEX(samples!$D:$D,MATCH(B624, samples!$A:$A,0),1)</f>
        <v>blood</v>
      </c>
      <c r="T624" s="0" t="n">
        <v>4.5</v>
      </c>
      <c r="Y624" s="8" t="n">
        <v>0</v>
      </c>
      <c r="Z624" s="8" t="s">
        <v>3150</v>
      </c>
      <c r="AA624" s="8" t="n">
        <v>0</v>
      </c>
      <c r="AB624" s="8" t="n">
        <v>0</v>
      </c>
    </row>
    <row r="625" customFormat="false" ht="13.8" hidden="false" customHeight="false" outlineLevel="0" collapsed="false">
      <c r="A625" s="25" t="s">
        <v>3786</v>
      </c>
      <c r="B625" s="41" t="s">
        <v>3008</v>
      </c>
      <c r="M625" s="44" t="str">
        <f aca="false">INDEX(fastqs!$A:$A, MATCH(A625, fastqs!$B:$B, 0), 1)</f>
        <v>Sample_1_multiome_lib1</v>
      </c>
      <c r="N625" s="44" t="str">
        <f aca="false">INDEX(fastqs!$C:$C, MATCH(A625, fastqs!$B:$B, 0), 1)</f>
        <v>multiome</v>
      </c>
      <c r="O625" s="44" t="str">
        <f aca="false">INDEX(samples!$B:$B, MATCH(B625, samples!$A:$A, 0), 1)</f>
        <v>par0230</v>
      </c>
      <c r="P625" s="44" t="e">
        <f aca="false">INDEX(participants!$I:$I, MATCH(O625, participants!$A:$A, 0), 1)</f>
        <v>#N/A</v>
      </c>
      <c r="Y625" s="8" t="n">
        <v>0</v>
      </c>
      <c r="Z625" s="8" t="n">
        <v>0</v>
      </c>
      <c r="AA625" s="8" t="n">
        <v>0</v>
      </c>
      <c r="AB625" s="8" t="n">
        <v>0</v>
      </c>
    </row>
    <row r="626" customFormat="false" ht="13.8" hidden="false" customHeight="false" outlineLevel="0" collapsed="false">
      <c r="A626" s="25" t="s">
        <v>3787</v>
      </c>
      <c r="B626" s="41" t="s">
        <v>3010</v>
      </c>
      <c r="M626" s="44" t="str">
        <f aca="false">INDEX(fastqs!$A:$A, MATCH(A626, fastqs!$B:$B, 0), 1)</f>
        <v>Sample_2_multiome_lib2</v>
      </c>
      <c r="N626" s="44" t="str">
        <f aca="false">INDEX(fastqs!$C:$C, MATCH(A626, fastqs!$B:$B, 0), 1)</f>
        <v>multiome</v>
      </c>
      <c r="O626" s="44" t="n">
        <f aca="false">INDEX(samples!$B:$B, MATCH(B626, samples!$A:$A, 0), 1)</f>
        <v>0</v>
      </c>
      <c r="P626" s="44" t="e">
        <f aca="false">INDEX(participants!$I:$I, MATCH(O626, participants!$A:$A, 0), 1)</f>
        <v>#N/A</v>
      </c>
      <c r="Y626" s="8" t="n">
        <v>0</v>
      </c>
      <c r="Z626" s="8" t="n">
        <v>0</v>
      </c>
      <c r="AA626" s="8" t="n">
        <v>0</v>
      </c>
      <c r="AB626" s="8" t="n">
        <v>0</v>
      </c>
    </row>
    <row r="627" customFormat="false" ht="13.8" hidden="false" customHeight="false" outlineLevel="0" collapsed="false">
      <c r="A627" s="25" t="s">
        <v>3788</v>
      </c>
      <c r="B627" s="41" t="s">
        <v>3011</v>
      </c>
      <c r="M627" s="44" t="str">
        <f aca="false">INDEX(fastqs!$A:$A, MATCH(A627, fastqs!$B:$B, 0), 1)</f>
        <v>Sample_3_multiome_lib3</v>
      </c>
      <c r="N627" s="44" t="str">
        <f aca="false">INDEX(fastqs!$C:$C, MATCH(A627, fastqs!$B:$B, 0), 1)</f>
        <v>multiome</v>
      </c>
      <c r="O627" s="44" t="n">
        <f aca="false">INDEX(samples!$B:$B, MATCH(B627, samples!$A:$A, 0), 1)</f>
        <v>0</v>
      </c>
      <c r="P627" s="44" t="e">
        <f aca="false">INDEX(participants!$I:$I, MATCH(O627, participants!$A:$A, 0), 1)</f>
        <v>#N/A</v>
      </c>
      <c r="Y627" s="8" t="n">
        <v>0</v>
      </c>
      <c r="Z627" s="8" t="n">
        <v>0</v>
      </c>
      <c r="AA627" s="8" t="n">
        <v>0</v>
      </c>
      <c r="AB627" s="8" t="n">
        <v>0</v>
      </c>
    </row>
    <row r="628" customFormat="false" ht="13.8" hidden="false" customHeight="false" outlineLevel="0" collapsed="false">
      <c r="A628" s="25" t="s">
        <v>3789</v>
      </c>
      <c r="B628" s="41" t="s">
        <v>3012</v>
      </c>
      <c r="M628" s="44" t="str">
        <f aca="false">INDEX(fastqs!$A:$A, MATCH(A628, fastqs!$B:$B, 0), 1)</f>
        <v>Sample_4_multiome_lib4</v>
      </c>
      <c r="N628" s="44" t="str">
        <f aca="false">INDEX(fastqs!$C:$C, MATCH(A628, fastqs!$B:$B, 0), 1)</f>
        <v>multiome</v>
      </c>
      <c r="O628" s="44" t="n">
        <f aca="false">INDEX(samples!$B:$B, MATCH(B628, samples!$A:$A, 0), 1)</f>
        <v>0</v>
      </c>
      <c r="P628" s="44" t="e">
        <f aca="false">INDEX(participants!$I:$I, MATCH(O628, participants!$A:$A, 0), 1)</f>
        <v>#N/A</v>
      </c>
      <c r="Y628" s="8" t="n">
        <v>0</v>
      </c>
      <c r="Z628" s="8" t="n">
        <v>0</v>
      </c>
      <c r="AA628" s="8" t="n">
        <v>0</v>
      </c>
      <c r="AB628" s="8" t="n">
        <v>0</v>
      </c>
    </row>
    <row r="629" customFormat="false" ht="13.8" hidden="false" customHeight="false" outlineLevel="0" collapsed="false">
      <c r="A629" s="25" t="s">
        <v>3790</v>
      </c>
      <c r="B629" s="41" t="s">
        <v>3013</v>
      </c>
      <c r="M629" s="44" t="str">
        <f aca="false">INDEX(fastqs!$A:$A, MATCH(A629, fastqs!$B:$B, 0), 1)</f>
        <v>Sample_5_multiome_lib5</v>
      </c>
      <c r="N629" s="44" t="str">
        <f aca="false">INDEX(fastqs!$C:$C, MATCH(A629, fastqs!$B:$B, 0), 1)</f>
        <v>multiome</v>
      </c>
      <c r="O629" s="44" t="n">
        <f aca="false">INDEX(samples!$B:$B, MATCH(B629, samples!$A:$A, 0), 1)</f>
        <v>0</v>
      </c>
      <c r="P629" s="44" t="e">
        <f aca="false">INDEX(participants!$I:$I, MATCH(O629, participants!$A:$A, 0), 1)</f>
        <v>#N/A</v>
      </c>
      <c r="Y629" s="8" t="n">
        <v>0</v>
      </c>
      <c r="Z629" s="8" t="n">
        <v>0</v>
      </c>
      <c r="AA629" s="8" t="n">
        <v>0</v>
      </c>
      <c r="AB629" s="8" t="n">
        <v>0</v>
      </c>
    </row>
    <row r="630" customFormat="false" ht="13.8" hidden="false" customHeight="false" outlineLevel="0" collapsed="false">
      <c r="A630" s="25" t="s">
        <v>3791</v>
      </c>
      <c r="B630" s="41" t="s">
        <v>3014</v>
      </c>
      <c r="M630" s="44" t="str">
        <f aca="false">INDEX(fastqs!$A:$A, MATCH(A630, fastqs!$B:$B, 0), 1)</f>
        <v>Sample_6_multiome_lib6</v>
      </c>
      <c r="N630" s="44" t="str">
        <f aca="false">INDEX(fastqs!$C:$C, MATCH(A630, fastqs!$B:$B, 0), 1)</f>
        <v>multiome</v>
      </c>
      <c r="O630" s="44" t="n">
        <f aca="false">INDEX(samples!$B:$B, MATCH(B630, samples!$A:$A, 0), 1)</f>
        <v>0</v>
      </c>
      <c r="P630" s="44" t="e">
        <f aca="false">INDEX(participants!$I:$I, MATCH(O630, participants!$A:$A, 0), 1)</f>
        <v>#N/A</v>
      </c>
      <c r="Y630" s="8" t="n">
        <v>0</v>
      </c>
      <c r="Z630" s="8" t="n">
        <v>0</v>
      </c>
      <c r="AA630" s="8" t="n">
        <v>0</v>
      </c>
      <c r="AB630" s="8" t="n">
        <v>0</v>
      </c>
    </row>
    <row r="631" customFormat="false" ht="13.8" hidden="false" customHeight="false" outlineLevel="0" collapsed="false">
      <c r="A631" s="25" t="s">
        <v>3792</v>
      </c>
      <c r="B631" s="41" t="s">
        <v>3015</v>
      </c>
      <c r="M631" s="44" t="str">
        <f aca="false">INDEX(fastqs!$A:$A, MATCH(A631, fastqs!$B:$B, 0), 1)</f>
        <v>Sample_7_multiome_lib7</v>
      </c>
      <c r="N631" s="44" t="str">
        <f aca="false">INDEX(fastqs!$C:$C, MATCH(A631, fastqs!$B:$B, 0), 1)</f>
        <v>multiome</v>
      </c>
      <c r="O631" s="44" t="n">
        <f aca="false">INDEX(samples!$B:$B, MATCH(B631, samples!$A:$A, 0), 1)</f>
        <v>0</v>
      </c>
      <c r="P631" s="44" t="e">
        <f aca="false">INDEX(participants!$I:$I, MATCH(O631, participants!$A:$A, 0), 1)</f>
        <v>#N/A</v>
      </c>
      <c r="Y631" s="8" t="n">
        <v>0</v>
      </c>
      <c r="Z631" s="8" t="n">
        <v>0</v>
      </c>
      <c r="AA631" s="8" t="n">
        <v>0</v>
      </c>
      <c r="AB631" s="8" t="n">
        <v>0</v>
      </c>
    </row>
    <row r="632" customFormat="false" ht="13.8" hidden="false" customHeight="false" outlineLevel="0" collapsed="false">
      <c r="A632" s="25" t="s">
        <v>3793</v>
      </c>
      <c r="B632" s="41" t="s">
        <v>3016</v>
      </c>
      <c r="M632" s="44" t="str">
        <f aca="false">INDEX(fastqs!$A:$A, MATCH(A632, fastqs!$B:$B, 0), 1)</f>
        <v>Sample_8_multiome_lib8</v>
      </c>
      <c r="N632" s="44" t="str">
        <f aca="false">INDEX(fastqs!$C:$C, MATCH(A632, fastqs!$B:$B, 0), 1)</f>
        <v>multiome</v>
      </c>
      <c r="O632" s="44" t="n">
        <f aca="false">INDEX(samples!$B:$B, MATCH(B632, samples!$A:$A, 0), 1)</f>
        <v>0</v>
      </c>
      <c r="P632" s="44" t="e">
        <f aca="false">INDEX(participants!$I:$I, MATCH(O632, participants!$A:$A, 0), 1)</f>
        <v>#N/A</v>
      </c>
      <c r="Y632" s="8" t="n">
        <v>0</v>
      </c>
      <c r="Z632" s="8" t="n">
        <v>0</v>
      </c>
      <c r="AA632" s="8" t="n">
        <v>0</v>
      </c>
      <c r="AB632" s="8" t="n">
        <v>0</v>
      </c>
    </row>
    <row r="633" customFormat="false" ht="13.8" hidden="false" customHeight="false" outlineLevel="0" collapsed="false">
      <c r="A633" s="25" t="s">
        <v>3794</v>
      </c>
      <c r="B633" s="41" t="s">
        <v>3017</v>
      </c>
      <c r="M633" s="44" t="str">
        <f aca="false">INDEX(fastqs!$A:$A, MATCH(A633, fastqs!$B:$B, 0), 1)</f>
        <v>Sample_10_multiome_lib10</v>
      </c>
      <c r="N633" s="44" t="str">
        <f aca="false">INDEX(fastqs!$C:$C, MATCH(A633, fastqs!$B:$B, 0), 1)</f>
        <v>multiome</v>
      </c>
      <c r="O633" s="44" t="n">
        <f aca="false">INDEX(samples!$B:$B, MATCH(B633, samples!$A:$A, 0), 1)</f>
        <v>0</v>
      </c>
      <c r="P633" s="44" t="e">
        <f aca="false">INDEX(participants!$I:$I, MATCH(O633, participants!$A:$A, 0), 1)</f>
        <v>#N/A</v>
      </c>
      <c r="Y633" s="8" t="n">
        <v>0</v>
      </c>
      <c r="Z633" s="8" t="n">
        <v>0</v>
      </c>
      <c r="AA633" s="8" t="n">
        <v>0</v>
      </c>
      <c r="AB633" s="8" t="n">
        <v>0</v>
      </c>
    </row>
    <row r="634" customFormat="false" ht="13.8" hidden="false" customHeight="false" outlineLevel="0" collapsed="false">
      <c r="A634" s="25" t="s">
        <v>3795</v>
      </c>
      <c r="B634" s="41" t="s">
        <v>3018</v>
      </c>
      <c r="M634" s="44" t="str">
        <f aca="false">INDEX(fastqs!$A:$A, MATCH(A634, fastqs!$B:$B, 0), 1)</f>
        <v>Sample_11_multiome_lib11</v>
      </c>
      <c r="N634" s="44" t="str">
        <f aca="false">INDEX(fastqs!$C:$C, MATCH(A634, fastqs!$B:$B, 0), 1)</f>
        <v>multiome</v>
      </c>
      <c r="O634" s="44" t="n">
        <f aca="false">INDEX(samples!$B:$B, MATCH(B634, samples!$A:$A, 0), 1)</f>
        <v>0</v>
      </c>
      <c r="P634" s="44" t="e">
        <f aca="false">INDEX(participants!$I:$I, MATCH(O634, participants!$A:$A, 0), 1)</f>
        <v>#N/A</v>
      </c>
      <c r="Y634" s="8" t="n">
        <v>0</v>
      </c>
      <c r="Z634" s="8" t="n">
        <v>0</v>
      </c>
      <c r="AA634" s="8" t="n">
        <v>0</v>
      </c>
      <c r="AB634" s="8" t="n">
        <v>0</v>
      </c>
    </row>
    <row r="635" customFormat="false" ht="13.8" hidden="false" customHeight="false" outlineLevel="0" collapsed="false">
      <c r="A635" s="25" t="s">
        <v>3796</v>
      </c>
      <c r="B635" s="41" t="s">
        <v>3019</v>
      </c>
      <c r="M635" s="44" t="str">
        <f aca="false">INDEX(fastqs!$A:$A, MATCH(A635, fastqs!$B:$B, 0), 1)</f>
        <v>Sample_13_multiome_lib13</v>
      </c>
      <c r="N635" s="44" t="str">
        <f aca="false">INDEX(fastqs!$C:$C, MATCH(A635, fastqs!$B:$B, 0), 1)</f>
        <v>multiome</v>
      </c>
      <c r="O635" s="44" t="n">
        <f aca="false">INDEX(samples!$B:$B, MATCH(B635, samples!$A:$A, 0), 1)</f>
        <v>0</v>
      </c>
      <c r="P635" s="44" t="e">
        <f aca="false">INDEX(participants!$I:$I, MATCH(O635, participants!$A:$A, 0), 1)</f>
        <v>#N/A</v>
      </c>
      <c r="Y635" s="8" t="n">
        <v>0</v>
      </c>
      <c r="Z635" s="8" t="n">
        <v>0</v>
      </c>
      <c r="AA635" s="8" t="n">
        <v>0</v>
      </c>
      <c r="AB635" s="8" t="n">
        <v>0</v>
      </c>
    </row>
    <row r="636" customFormat="false" ht="13.8" hidden="false" customHeight="false" outlineLevel="0" collapsed="false">
      <c r="A636" s="25" t="s">
        <v>3797</v>
      </c>
      <c r="B636" s="41" t="s">
        <v>3020</v>
      </c>
      <c r="M636" s="44" t="str">
        <f aca="false">INDEX(fastqs!$A:$A, MATCH(A636, fastqs!$B:$B, 0), 1)</f>
        <v>Sample_14_multiome_lib14</v>
      </c>
      <c r="N636" s="44" t="str">
        <f aca="false">INDEX(fastqs!$C:$C, MATCH(A636, fastqs!$B:$B, 0), 1)</f>
        <v>multiome</v>
      </c>
      <c r="O636" s="44" t="n">
        <f aca="false">INDEX(samples!$B:$B, MATCH(B636, samples!$A:$A, 0), 1)</f>
        <v>0</v>
      </c>
      <c r="P636" s="44" t="e">
        <f aca="false">INDEX(participants!$I:$I, MATCH(O636, participants!$A:$A, 0), 1)</f>
        <v>#N/A</v>
      </c>
      <c r="Y636" s="8" t="n">
        <v>0</v>
      </c>
      <c r="Z636" s="8" t="n">
        <v>0</v>
      </c>
      <c r="AA636" s="8" t="n">
        <v>0</v>
      </c>
      <c r="AB636" s="8" t="n">
        <v>0</v>
      </c>
    </row>
    <row r="637" customFormat="false" ht="13.8" hidden="false" customHeight="false" outlineLevel="0" collapsed="false">
      <c r="A637" s="25" t="s">
        <v>3798</v>
      </c>
      <c r="B637" s="41" t="s">
        <v>3021</v>
      </c>
      <c r="M637" s="44" t="str">
        <f aca="false">INDEX(fastqs!$A:$A, MATCH(A637, fastqs!$B:$B, 0), 1)</f>
        <v>Sample_15_multiome_lib15</v>
      </c>
      <c r="N637" s="44" t="str">
        <f aca="false">INDEX(fastqs!$C:$C, MATCH(A637, fastqs!$B:$B, 0), 1)</f>
        <v>multiome</v>
      </c>
      <c r="O637" s="44" t="n">
        <f aca="false">INDEX(samples!$B:$B, MATCH(B637, samples!$A:$A, 0), 1)</f>
        <v>0</v>
      </c>
      <c r="P637" s="44" t="e">
        <f aca="false">INDEX(participants!$I:$I, MATCH(O637, participants!$A:$A, 0), 1)</f>
        <v>#N/A</v>
      </c>
      <c r="Y637" s="8" t="n">
        <v>0</v>
      </c>
      <c r="Z637" s="8" t="n">
        <v>0</v>
      </c>
      <c r="AA637" s="8" t="n">
        <v>0</v>
      </c>
      <c r="AB637" s="8" t="n">
        <v>0</v>
      </c>
    </row>
    <row r="638" customFormat="false" ht="13.8" hidden="false" customHeight="false" outlineLevel="0" collapsed="false">
      <c r="A638" s="25" t="s">
        <v>3799</v>
      </c>
      <c r="B638" s="41" t="s">
        <v>3022</v>
      </c>
      <c r="M638" s="44" t="str">
        <f aca="false">INDEX(fastqs!$A:$A, MATCH(A638, fastqs!$B:$B, 0), 1)</f>
        <v>Sample_16_multiome_lib16</v>
      </c>
      <c r="N638" s="44" t="str">
        <f aca="false">INDEX(fastqs!$C:$C, MATCH(A638, fastqs!$B:$B, 0), 1)</f>
        <v>multiome</v>
      </c>
      <c r="O638" s="44" t="n">
        <f aca="false">INDEX(samples!$B:$B, MATCH(B638, samples!$A:$A, 0), 1)</f>
        <v>0</v>
      </c>
      <c r="P638" s="44" t="e">
        <f aca="false">INDEX(participants!$I:$I, MATCH(O638, participants!$A:$A, 0), 1)</f>
        <v>#N/A</v>
      </c>
      <c r="Y638" s="8" t="n">
        <v>0</v>
      </c>
      <c r="Z638" s="8" t="n">
        <v>0</v>
      </c>
      <c r="AA638" s="8" t="n">
        <v>0</v>
      </c>
      <c r="AB638" s="8" t="n">
        <v>0</v>
      </c>
    </row>
    <row r="639" customFormat="false" ht="13.8" hidden="false" customHeight="false" outlineLevel="0" collapsed="false">
      <c r="A639" s="25" t="s">
        <v>3800</v>
      </c>
      <c r="B639" s="41" t="s">
        <v>3023</v>
      </c>
      <c r="M639" s="44" t="str">
        <f aca="false">INDEX(fastqs!$A:$A, MATCH(A639, fastqs!$B:$B, 0), 1)</f>
        <v>Sample_18_multiome_lib18</v>
      </c>
      <c r="N639" s="44" t="str">
        <f aca="false">INDEX(fastqs!$C:$C, MATCH(A639, fastqs!$B:$B, 0), 1)</f>
        <v>multiome</v>
      </c>
      <c r="O639" s="44" t="n">
        <f aca="false">INDEX(samples!$B:$B, MATCH(B639, samples!$A:$A, 0), 1)</f>
        <v>0</v>
      </c>
      <c r="P639" s="44" t="e">
        <f aca="false">INDEX(participants!$I:$I, MATCH(O639, participants!$A:$A, 0), 1)</f>
        <v>#N/A</v>
      </c>
      <c r="Y639" s="8" t="n">
        <v>0</v>
      </c>
      <c r="Z639" s="8" t="n">
        <v>0</v>
      </c>
      <c r="AA639" s="8" t="n">
        <v>0</v>
      </c>
      <c r="AB639" s="8" t="n">
        <v>0</v>
      </c>
    </row>
    <row r="640" customFormat="false" ht="13.8" hidden="false" customHeight="false" outlineLevel="0" collapsed="false">
      <c r="A640" s="25" t="s">
        <v>3801</v>
      </c>
      <c r="B640" s="41" t="s">
        <v>3024</v>
      </c>
      <c r="M640" s="44" t="str">
        <f aca="false">INDEX(fastqs!$A:$A, MATCH(A640, fastqs!$B:$B, 0), 1)</f>
        <v>Sample_19_multiome_lib19</v>
      </c>
      <c r="N640" s="44" t="str">
        <f aca="false">INDEX(fastqs!$C:$C, MATCH(A640, fastqs!$B:$B, 0), 1)</f>
        <v>multiome</v>
      </c>
      <c r="O640" s="44" t="n">
        <f aca="false">INDEX(samples!$B:$B, MATCH(B640, samples!$A:$A, 0), 1)</f>
        <v>0</v>
      </c>
      <c r="P640" s="44" t="e">
        <f aca="false">INDEX(participants!$I:$I, MATCH(O640, participants!$A:$A, 0), 1)</f>
        <v>#N/A</v>
      </c>
      <c r="Y640" s="8" t="n">
        <v>0</v>
      </c>
      <c r="Z640" s="8" t="n">
        <v>0</v>
      </c>
      <c r="AA640" s="8" t="n">
        <v>0</v>
      </c>
      <c r="AB640" s="8" t="n">
        <v>0</v>
      </c>
    </row>
    <row r="641" customFormat="false" ht="13.8" hidden="false" customHeight="false" outlineLevel="0" collapsed="false">
      <c r="A641" s="25" t="s">
        <v>3802</v>
      </c>
      <c r="B641" s="41" t="s">
        <v>3025</v>
      </c>
      <c r="M641" s="44" t="str">
        <f aca="false">INDEX(fastqs!$A:$A, MATCH(A641, fastqs!$B:$B, 0), 1)</f>
        <v>Sample_20_multiome_lib20</v>
      </c>
      <c r="N641" s="44" t="str">
        <f aca="false">INDEX(fastqs!$C:$C, MATCH(A641, fastqs!$B:$B, 0), 1)</f>
        <v>multiome</v>
      </c>
      <c r="O641" s="44" t="n">
        <f aca="false">INDEX(samples!$B:$B, MATCH(B641, samples!$A:$A, 0), 1)</f>
        <v>0</v>
      </c>
      <c r="Y641" s="8" t="n">
        <v>0</v>
      </c>
      <c r="Z641" s="8" t="n">
        <v>0</v>
      </c>
      <c r="AA641" s="8" t="n">
        <v>0</v>
      </c>
      <c r="AB641" s="8" t="n">
        <v>0</v>
      </c>
    </row>
    <row r="642" customFormat="false" ht="13.8" hidden="false" customHeight="false" outlineLevel="0" collapsed="false">
      <c r="A642" s="25" t="s">
        <v>3803</v>
      </c>
      <c r="B642" s="41" t="s">
        <v>3026</v>
      </c>
      <c r="M642" s="44" t="str">
        <f aca="false">INDEX(fastqs!$A:$A, MATCH(A642, fastqs!$B:$B, 0), 1)</f>
        <v>Sample_21_multiome_lib21</v>
      </c>
      <c r="N642" s="44" t="str">
        <f aca="false">INDEX(fastqs!$C:$C, MATCH(A642, fastqs!$B:$B, 0), 1)</f>
        <v>multiome</v>
      </c>
      <c r="O642" s="44" t="n">
        <f aca="false">INDEX(samples!$B:$B, MATCH(B642, samples!$A:$A, 0), 1)</f>
        <v>0</v>
      </c>
      <c r="Y642" s="8" t="n">
        <v>0</v>
      </c>
      <c r="Z642" s="8" t="n">
        <v>0</v>
      </c>
      <c r="AA642" s="8" t="n">
        <v>0</v>
      </c>
      <c r="AB642" s="8" t="n">
        <v>0</v>
      </c>
    </row>
    <row r="643" customFormat="false" ht="13.8" hidden="false" customHeight="false" outlineLevel="0" collapsed="false">
      <c r="A643" s="25" t="s">
        <v>3804</v>
      </c>
      <c r="B643" s="41" t="s">
        <v>3027</v>
      </c>
      <c r="M643" s="44" t="str">
        <f aca="false">INDEX(fastqs!$A:$A, MATCH(A643, fastqs!$B:$B, 0), 1)</f>
        <v>Sample_22_multiome_lib22</v>
      </c>
      <c r="N643" s="44" t="str">
        <f aca="false">INDEX(fastqs!$C:$C, MATCH(A643, fastqs!$B:$B, 0), 1)</f>
        <v>multiome</v>
      </c>
      <c r="O643" s="44" t="n">
        <f aca="false">INDEX(samples!$B:$B, MATCH(B643, samples!$A:$A, 0), 1)</f>
        <v>0</v>
      </c>
      <c r="Y643" s="8" t="n">
        <v>0</v>
      </c>
      <c r="Z643" s="8" t="n">
        <v>0</v>
      </c>
      <c r="AA643" s="8" t="n">
        <v>0</v>
      </c>
      <c r="AB643" s="8" t="n">
        <v>0</v>
      </c>
    </row>
    <row r="644" customFormat="false" ht="13.8" hidden="false" customHeight="false" outlineLevel="0" collapsed="false">
      <c r="A644" s="25" t="s">
        <v>3805</v>
      </c>
      <c r="B644" s="41" t="s">
        <v>3028</v>
      </c>
      <c r="M644" s="44" t="str">
        <f aca="false">INDEX(fastqs!$A:$A, MATCH(A644, fastqs!$B:$B, 0), 1)</f>
        <v>Sample_23_multiome_lib23</v>
      </c>
      <c r="N644" s="44" t="str">
        <f aca="false">INDEX(fastqs!$C:$C, MATCH(A644, fastqs!$B:$B, 0), 1)</f>
        <v>multiome</v>
      </c>
      <c r="O644" s="44" t="n">
        <f aca="false">INDEX(samples!$B:$B, MATCH(B644, samples!$A:$A, 0), 1)</f>
        <v>0</v>
      </c>
      <c r="Y644" s="8" t="n">
        <v>0</v>
      </c>
      <c r="Z644" s="8" t="n">
        <v>0</v>
      </c>
      <c r="AA644" s="8" t="n">
        <v>0</v>
      </c>
      <c r="AB644" s="8" t="n">
        <v>0</v>
      </c>
    </row>
    <row r="645" customFormat="false" ht="13.8" hidden="false" customHeight="false" outlineLevel="0" collapsed="false">
      <c r="A645" s="25" t="s">
        <v>3806</v>
      </c>
      <c r="B645" s="41" t="s">
        <v>3029</v>
      </c>
      <c r="M645" s="44" t="str">
        <f aca="false">INDEX(fastqs!$A:$A, MATCH(A645, fastqs!$B:$B, 0), 1)</f>
        <v>Sample_24_multiome_lib24</v>
      </c>
      <c r="N645" s="44" t="str">
        <f aca="false">INDEX(fastqs!$C:$C, MATCH(A645, fastqs!$B:$B, 0), 1)</f>
        <v>multiome</v>
      </c>
      <c r="O645" s="44" t="n">
        <f aca="false">INDEX(samples!$B:$B, MATCH(B645, samples!$A:$A, 0), 1)</f>
        <v>0</v>
      </c>
      <c r="Y645" s="8" t="n">
        <v>0</v>
      </c>
      <c r="Z645" s="8" t="n">
        <v>0</v>
      </c>
      <c r="AA645" s="8" t="n">
        <v>0</v>
      </c>
      <c r="AB645" s="8" t="n">
        <v>0</v>
      </c>
    </row>
    <row r="646" customFormat="false" ht="13.8" hidden="false" customHeight="false" outlineLevel="0" collapsed="false">
      <c r="A646" s="25" t="s">
        <v>3807</v>
      </c>
      <c r="B646" s="41" t="s">
        <v>3030</v>
      </c>
      <c r="M646" s="44" t="str">
        <f aca="false">INDEX(fastqs!$A:$A, MATCH(A646, fastqs!$B:$B, 0), 1)</f>
        <v>Sample_25_multiome_lib25</v>
      </c>
      <c r="N646" s="44" t="str">
        <f aca="false">INDEX(fastqs!$C:$C, MATCH(A646, fastqs!$B:$B, 0), 1)</f>
        <v>multiome</v>
      </c>
      <c r="O646" s="44" t="n">
        <f aca="false">INDEX(samples!$B:$B, MATCH(B646, samples!$A:$A, 0), 1)</f>
        <v>0</v>
      </c>
      <c r="Y646" s="8" t="n">
        <v>0</v>
      </c>
      <c r="Z646" s="8" t="n">
        <v>0</v>
      </c>
      <c r="AA646" s="8" t="n">
        <v>0</v>
      </c>
      <c r="AB646" s="8" t="n">
        <v>0</v>
      </c>
    </row>
    <row r="647" customFormat="false" ht="13.8" hidden="false" customHeight="false" outlineLevel="0" collapsed="false">
      <c r="A647" s="25" t="s">
        <v>3808</v>
      </c>
      <c r="B647" s="41" t="s">
        <v>3031</v>
      </c>
      <c r="M647" s="44" t="str">
        <f aca="false">INDEX(fastqs!$A:$A, MATCH(A647, fastqs!$B:$B, 0), 1)</f>
        <v>Sample_26_multiome_lib26</v>
      </c>
      <c r="N647" s="44" t="str">
        <f aca="false">INDEX(fastqs!$C:$C, MATCH(A647, fastqs!$B:$B, 0), 1)</f>
        <v>multiome</v>
      </c>
      <c r="O647" s="44" t="n">
        <f aca="false">INDEX(samples!$B:$B, MATCH(B647, samples!$A:$A, 0), 1)</f>
        <v>0</v>
      </c>
      <c r="Y647" s="8" t="n">
        <v>0</v>
      </c>
      <c r="Z647" s="8" t="n">
        <v>0</v>
      </c>
      <c r="AA647" s="8" t="n">
        <v>0</v>
      </c>
      <c r="AB647" s="8" t="n">
        <v>0</v>
      </c>
    </row>
    <row r="648" customFormat="false" ht="13.8" hidden="false" customHeight="false" outlineLevel="0" collapsed="false">
      <c r="A648" s="25" t="s">
        <v>3809</v>
      </c>
      <c r="B648" s="41" t="s">
        <v>3032</v>
      </c>
      <c r="M648" s="44" t="str">
        <f aca="false">INDEX(fastqs!$A:$A, MATCH(A648, fastqs!$B:$B, 0), 1)</f>
        <v>Sample_27_multiome_lib27</v>
      </c>
      <c r="N648" s="44" t="str">
        <f aca="false">INDEX(fastqs!$C:$C, MATCH(A648, fastqs!$B:$B, 0), 1)</f>
        <v>multiome</v>
      </c>
      <c r="O648" s="44" t="n">
        <f aca="false">INDEX(samples!$B:$B, MATCH(B648, samples!$A:$A, 0), 1)</f>
        <v>0</v>
      </c>
      <c r="Y648" s="8" t="n">
        <v>0</v>
      </c>
      <c r="Z648" s="8" t="n">
        <v>0</v>
      </c>
      <c r="AA648" s="8" t="n">
        <v>0</v>
      </c>
      <c r="AB648" s="8" t="n">
        <v>0</v>
      </c>
    </row>
    <row r="649" customFormat="false" ht="13.8" hidden="false" customHeight="false" outlineLevel="0" collapsed="false">
      <c r="A649" s="25" t="s">
        <v>3810</v>
      </c>
      <c r="B649" s="41" t="s">
        <v>3033</v>
      </c>
      <c r="M649" s="44" t="str">
        <f aca="false">INDEX(fastqs!$A:$A, MATCH(A649, fastqs!$B:$B, 0), 1)</f>
        <v>Sample_28_multiome_lib28</v>
      </c>
      <c r="N649" s="44" t="str">
        <f aca="false">INDEX(fastqs!$C:$C, MATCH(A649, fastqs!$B:$B, 0), 1)</f>
        <v>multiome</v>
      </c>
      <c r="O649" s="44" t="n">
        <f aca="false">INDEX(samples!$B:$B, MATCH(B649, samples!$A:$A, 0), 1)</f>
        <v>0</v>
      </c>
      <c r="Y649" s="8" t="n">
        <v>0</v>
      </c>
      <c r="Z649" s="8" t="n">
        <v>0</v>
      </c>
      <c r="AA649" s="8" t="n">
        <v>0</v>
      </c>
      <c r="AB649" s="8" t="n">
        <v>0</v>
      </c>
    </row>
    <row r="650" customFormat="false" ht="13.8" hidden="false" customHeight="false" outlineLevel="0" collapsed="false">
      <c r="A650" s="25" t="s">
        <v>3811</v>
      </c>
      <c r="B650" s="41" t="s">
        <v>3034</v>
      </c>
      <c r="M650" s="44" t="str">
        <f aca="false">INDEX(fastqs!$A:$A, MATCH(A650, fastqs!$B:$B, 0), 1)</f>
        <v>Sample_29_multiome_lib29</v>
      </c>
      <c r="N650" s="44" t="str">
        <f aca="false">INDEX(fastqs!$C:$C, MATCH(A650, fastqs!$B:$B, 0), 1)</f>
        <v>multiome</v>
      </c>
      <c r="O650" s="44" t="n">
        <f aca="false">INDEX(samples!$B:$B, MATCH(B650, samples!$A:$A, 0), 1)</f>
        <v>0</v>
      </c>
      <c r="Y650" s="8" t="n">
        <v>0</v>
      </c>
      <c r="Z650" s="8" t="n">
        <v>0</v>
      </c>
      <c r="AA650" s="8" t="n">
        <v>0</v>
      </c>
      <c r="AB650" s="8" t="n">
        <v>0</v>
      </c>
    </row>
    <row r="651" customFormat="false" ht="13.8" hidden="false" customHeight="false" outlineLevel="0" collapsed="false">
      <c r="A651" s="25" t="s">
        <v>3812</v>
      </c>
      <c r="B651" s="41" t="s">
        <v>3035</v>
      </c>
      <c r="M651" s="44" t="str">
        <f aca="false">INDEX(fastqs!$A:$A, MATCH(A651, fastqs!$B:$B, 0), 1)</f>
        <v>Sample_30_multiome_lib30</v>
      </c>
      <c r="N651" s="44" t="str">
        <f aca="false">INDEX(fastqs!$C:$C, MATCH(A651, fastqs!$B:$B, 0), 1)</f>
        <v>multiome</v>
      </c>
      <c r="O651" s="44" t="n">
        <f aca="false">INDEX(samples!$B:$B, MATCH(B651, samples!$A:$A, 0), 1)</f>
        <v>0</v>
      </c>
      <c r="Y651" s="8" t="n">
        <v>0</v>
      </c>
      <c r="Z651" s="8" t="n">
        <v>0</v>
      </c>
      <c r="AA651" s="8" t="n">
        <v>0</v>
      </c>
      <c r="AB651" s="8" t="n">
        <v>0</v>
      </c>
    </row>
    <row r="652" customFormat="false" ht="13.8" hidden="false" customHeight="false" outlineLevel="0" collapsed="false">
      <c r="A652" s="25" t="s">
        <v>3813</v>
      </c>
      <c r="B652" s="41" t="s">
        <v>3036</v>
      </c>
      <c r="M652" s="44" t="str">
        <f aca="false">INDEX(fastqs!$A:$A, MATCH(A652, fastqs!$B:$B, 0), 1)</f>
        <v>Sample_31_multiome_lib31</v>
      </c>
      <c r="N652" s="44" t="str">
        <f aca="false">INDEX(fastqs!$C:$C, MATCH(A652, fastqs!$B:$B, 0), 1)</f>
        <v>multiome</v>
      </c>
      <c r="O652" s="44" t="n">
        <f aca="false">INDEX(samples!$B:$B, MATCH(B652, samples!$A:$A, 0), 1)</f>
        <v>0</v>
      </c>
      <c r="Y652" s="8" t="n">
        <v>0</v>
      </c>
      <c r="Z652" s="8" t="n">
        <v>0</v>
      </c>
      <c r="AA652" s="8" t="n">
        <v>0</v>
      </c>
      <c r="AB652" s="8" t="n">
        <v>0</v>
      </c>
    </row>
    <row r="653" customFormat="false" ht="13.8" hidden="false" customHeight="false" outlineLevel="0" collapsed="false">
      <c r="A653" s="25" t="s">
        <v>3814</v>
      </c>
      <c r="B653" s="41" t="s">
        <v>3037</v>
      </c>
      <c r="M653" s="44" t="str">
        <f aca="false">INDEX(fastqs!$A:$A, MATCH(A653, fastqs!$B:$B, 0), 1)</f>
        <v>Sample_32_multiome_lib32</v>
      </c>
      <c r="N653" s="44" t="str">
        <f aca="false">INDEX(fastqs!$C:$C, MATCH(A653, fastqs!$B:$B, 0), 1)</f>
        <v>multiome</v>
      </c>
      <c r="O653" s="44" t="n">
        <f aca="false">INDEX(samples!$B:$B, MATCH(B653, samples!$A:$A, 0), 1)</f>
        <v>0</v>
      </c>
      <c r="Y653" s="8" t="n">
        <v>0</v>
      </c>
      <c r="Z653" s="8" t="n">
        <v>0</v>
      </c>
      <c r="AA653" s="8" t="n">
        <v>0</v>
      </c>
      <c r="AB653" s="8" t="n">
        <v>0</v>
      </c>
    </row>
    <row r="654" customFormat="false" ht="13.8" hidden="false" customHeight="false" outlineLevel="0" collapsed="false">
      <c r="A654" s="25" t="s">
        <v>3815</v>
      </c>
      <c r="B654" s="41" t="s">
        <v>3038</v>
      </c>
      <c r="M654" s="44" t="str">
        <f aca="false">INDEX(fastqs!$A:$A, MATCH(A654, fastqs!$B:$B, 0), 1)</f>
        <v>Sample_33_multiome_lib33</v>
      </c>
      <c r="N654" s="44" t="str">
        <f aca="false">INDEX(fastqs!$C:$C, MATCH(A654, fastqs!$B:$B, 0), 1)</f>
        <v>multiome</v>
      </c>
      <c r="O654" s="44" t="n">
        <f aca="false">INDEX(samples!$B:$B, MATCH(B654, samples!$A:$A, 0), 1)</f>
        <v>0</v>
      </c>
      <c r="Y654" s="8" t="n">
        <v>0</v>
      </c>
      <c r="Z654" s="8" t="n">
        <v>0</v>
      </c>
      <c r="AA654" s="8" t="n">
        <v>0</v>
      </c>
      <c r="AB654" s="8" t="n">
        <v>0</v>
      </c>
    </row>
    <row r="655" customFormat="false" ht="13.8" hidden="false" customHeight="false" outlineLevel="0" collapsed="false">
      <c r="A655" s="25" t="s">
        <v>3816</v>
      </c>
      <c r="B655" s="41" t="s">
        <v>3039</v>
      </c>
      <c r="M655" s="44" t="str">
        <f aca="false">INDEX(fastqs!$A:$A, MATCH(A655, fastqs!$B:$B, 0), 1)</f>
        <v>Sample_34_multiome_lib34</v>
      </c>
      <c r="N655" s="44" t="str">
        <f aca="false">INDEX(fastqs!$C:$C, MATCH(A655, fastqs!$B:$B, 0), 1)</f>
        <v>multiome</v>
      </c>
      <c r="O655" s="44" t="n">
        <f aca="false">INDEX(samples!$B:$B, MATCH(B655, samples!$A:$A, 0), 1)</f>
        <v>0</v>
      </c>
      <c r="Y655" s="8" t="n">
        <v>0</v>
      </c>
      <c r="Z655" s="8" t="n">
        <v>0</v>
      </c>
      <c r="AA655" s="8" t="n">
        <v>0</v>
      </c>
      <c r="AB655" s="8" t="n">
        <v>0</v>
      </c>
    </row>
    <row r="656" customFormat="false" ht="13.8" hidden="false" customHeight="false" outlineLevel="0" collapsed="false">
      <c r="A656" s="25" t="s">
        <v>3817</v>
      </c>
      <c r="B656" s="41" t="s">
        <v>3040</v>
      </c>
      <c r="M656" s="44" t="str">
        <f aca="false">INDEX(fastqs!$A:$A, MATCH(A656, fastqs!$B:$B, 0), 1)</f>
        <v>Sample_35_multiome_lib35</v>
      </c>
      <c r="N656" s="44" t="str">
        <f aca="false">INDEX(fastqs!$C:$C, MATCH(A656, fastqs!$B:$B, 0), 1)</f>
        <v>multiome</v>
      </c>
      <c r="O656" s="44" t="n">
        <f aca="false">INDEX(samples!$B:$B, MATCH(B656, samples!$A:$A, 0), 1)</f>
        <v>0</v>
      </c>
      <c r="Y656" s="8" t="n">
        <v>0</v>
      </c>
      <c r="Z656" s="8" t="n">
        <v>0</v>
      </c>
      <c r="AA656" s="8" t="n">
        <v>0</v>
      </c>
      <c r="AB656" s="8" t="n">
        <v>0</v>
      </c>
    </row>
    <row r="657" customFormat="false" ht="13.8" hidden="false" customHeight="false" outlineLevel="0" collapsed="false">
      <c r="A657" s="25" t="s">
        <v>3818</v>
      </c>
      <c r="B657" s="41" t="s">
        <v>3041</v>
      </c>
      <c r="M657" s="44" t="str">
        <f aca="false">INDEX(fastqs!$A:$A, MATCH(A657, fastqs!$B:$B, 0), 1)</f>
        <v>Sample_36_multiome_lib36</v>
      </c>
      <c r="N657" s="44" t="str">
        <f aca="false">INDEX(fastqs!$C:$C, MATCH(A657, fastqs!$B:$B, 0), 1)</f>
        <v>multiome</v>
      </c>
      <c r="O657" s="44" t="n">
        <f aca="false">INDEX(samples!$B:$B, MATCH(B657, samples!$A:$A, 0), 1)</f>
        <v>0</v>
      </c>
      <c r="Y657" s="8" t="n">
        <v>0</v>
      </c>
      <c r="Z657" s="8" t="n">
        <v>0</v>
      </c>
      <c r="AA657" s="8" t="n">
        <v>0</v>
      </c>
      <c r="AB657" s="8" t="n">
        <v>0</v>
      </c>
    </row>
    <row r="658" customFormat="false" ht="13.8" hidden="false" customHeight="false" outlineLevel="0" collapsed="false">
      <c r="A658" s="25" t="s">
        <v>3819</v>
      </c>
      <c r="B658" s="41" t="s">
        <v>3042</v>
      </c>
      <c r="M658" s="44" t="str">
        <f aca="false">INDEX(fastqs!$A:$A, MATCH(A658, fastqs!$B:$B, 0), 1)</f>
        <v>Sample_37_multiome_lib37</v>
      </c>
      <c r="N658" s="44" t="str">
        <f aca="false">INDEX(fastqs!$C:$C, MATCH(A658, fastqs!$B:$B, 0), 1)</f>
        <v>multiome</v>
      </c>
      <c r="O658" s="44" t="n">
        <f aca="false">INDEX(samples!$B:$B, MATCH(B658, samples!$A:$A, 0), 1)</f>
        <v>0</v>
      </c>
      <c r="Y658" s="8" t="n">
        <v>0</v>
      </c>
      <c r="Z658" s="8" t="n">
        <v>0</v>
      </c>
      <c r="AA658" s="8" t="n">
        <v>0</v>
      </c>
      <c r="AB658" s="8" t="n">
        <v>0</v>
      </c>
    </row>
    <row r="659" customFormat="false" ht="13.8" hidden="false" customHeight="false" outlineLevel="0" collapsed="false">
      <c r="A659" s="25" t="s">
        <v>3820</v>
      </c>
      <c r="B659" s="41" t="s">
        <v>3043</v>
      </c>
      <c r="M659" s="44" t="str">
        <f aca="false">INDEX(fastqs!$A:$A, MATCH(A659, fastqs!$B:$B, 0), 1)</f>
        <v>Sample_38_multiome_lib38</v>
      </c>
      <c r="N659" s="44" t="str">
        <f aca="false">INDEX(fastqs!$C:$C, MATCH(A659, fastqs!$B:$B, 0), 1)</f>
        <v>multiome</v>
      </c>
      <c r="O659" s="44" t="n">
        <f aca="false">INDEX(samples!$B:$B, MATCH(B659, samples!$A:$A, 0), 1)</f>
        <v>0</v>
      </c>
      <c r="Y659" s="8" t="n">
        <v>0</v>
      </c>
      <c r="Z659" s="8" t="n">
        <v>0</v>
      </c>
      <c r="AA659" s="8" t="n">
        <v>0</v>
      </c>
      <c r="AB659" s="8" t="n">
        <v>0</v>
      </c>
    </row>
    <row r="660" customFormat="false" ht="13.8" hidden="false" customHeight="false" outlineLevel="0" collapsed="false">
      <c r="A660" s="25" t="s">
        <v>3821</v>
      </c>
      <c r="B660" s="41" t="s">
        <v>3044</v>
      </c>
      <c r="M660" s="44" t="str">
        <f aca="false">INDEX(fastqs!$A:$A, MATCH(A660, fastqs!$B:$B, 0), 1)</f>
        <v>Sample_39_multiome_lib39</v>
      </c>
      <c r="N660" s="44" t="str">
        <f aca="false">INDEX(fastqs!$C:$C, MATCH(A660, fastqs!$B:$B, 0), 1)</f>
        <v>multiome</v>
      </c>
      <c r="O660" s="44" t="n">
        <f aca="false">INDEX(samples!$B:$B, MATCH(B660, samples!$A:$A, 0), 1)</f>
        <v>0</v>
      </c>
      <c r="Y660" s="8" t="n">
        <v>0</v>
      </c>
      <c r="Z660" s="8" t="n">
        <v>0</v>
      </c>
      <c r="AA660" s="8" t="n">
        <v>0</v>
      </c>
      <c r="AB660" s="8" t="n">
        <v>0</v>
      </c>
    </row>
    <row r="661" customFormat="false" ht="13.8" hidden="false" customHeight="false" outlineLevel="0" collapsed="false">
      <c r="A661" s="25" t="s">
        <v>3822</v>
      </c>
      <c r="B661" s="41" t="s">
        <v>3045</v>
      </c>
      <c r="M661" s="44" t="str">
        <f aca="false">INDEX(fastqs!$A:$A, MATCH(A661, fastqs!$B:$B, 0), 1)</f>
        <v>Sample_40_multiome_lib40</v>
      </c>
      <c r="N661" s="44" t="str">
        <f aca="false">INDEX(fastqs!$C:$C, MATCH(A661, fastqs!$B:$B, 0), 1)</f>
        <v>multiome</v>
      </c>
      <c r="O661" s="44" t="n">
        <f aca="false">INDEX(samples!$B:$B, MATCH(B661, samples!$A:$A, 0), 1)</f>
        <v>0</v>
      </c>
      <c r="Y661" s="8" t="n">
        <v>0</v>
      </c>
      <c r="Z661" s="8" t="n">
        <v>0</v>
      </c>
      <c r="AA661" s="8" t="n">
        <v>0</v>
      </c>
      <c r="AB661" s="8" t="n">
        <v>0</v>
      </c>
    </row>
    <row r="662" customFormat="false" ht="13.8" hidden="false" customHeight="false" outlineLevel="0" collapsed="false">
      <c r="A662" s="25" t="s">
        <v>3823</v>
      </c>
      <c r="B662" s="41" t="s">
        <v>3046</v>
      </c>
      <c r="M662" s="44" t="str">
        <f aca="false">INDEX(fastqs!$A:$A, MATCH(A662, fastqs!$B:$B, 0), 1)</f>
        <v>Sample_41_multiome_lib41</v>
      </c>
      <c r="N662" s="44" t="str">
        <f aca="false">INDEX(fastqs!$C:$C, MATCH(A662, fastqs!$B:$B, 0), 1)</f>
        <v>multiome</v>
      </c>
      <c r="O662" s="44" t="n">
        <f aca="false">INDEX(samples!$B:$B, MATCH(B662, samples!$A:$A, 0), 1)</f>
        <v>0</v>
      </c>
      <c r="Y662" s="8" t="n">
        <v>0</v>
      </c>
      <c r="Z662" s="8" t="n">
        <v>0</v>
      </c>
      <c r="AA662" s="8" t="n">
        <v>0</v>
      </c>
      <c r="AB662" s="8" t="n">
        <v>0</v>
      </c>
    </row>
    <row r="663" customFormat="false" ht="13.8" hidden="false" customHeight="false" outlineLevel="0" collapsed="false">
      <c r="A663" s="25" t="s">
        <v>3824</v>
      </c>
      <c r="B663" s="41" t="s">
        <v>3047</v>
      </c>
      <c r="M663" s="44" t="str">
        <f aca="false">INDEX(fastqs!$A:$A, MATCH(A663, fastqs!$B:$B, 0), 1)</f>
        <v>Sample_42_multiome_lib42</v>
      </c>
      <c r="N663" s="44" t="str">
        <f aca="false">INDEX(fastqs!$C:$C, MATCH(A663, fastqs!$B:$B, 0), 1)</f>
        <v>multiome</v>
      </c>
      <c r="O663" s="44" t="n">
        <f aca="false">INDEX(samples!$B:$B, MATCH(B663, samples!$A:$A, 0), 1)</f>
        <v>0</v>
      </c>
      <c r="Y663" s="8" t="n">
        <v>0</v>
      </c>
      <c r="Z663" s="8" t="n">
        <v>0</v>
      </c>
      <c r="AA663" s="8" t="n">
        <v>0</v>
      </c>
      <c r="AB663" s="8" t="n">
        <v>0</v>
      </c>
    </row>
    <row r="664" customFormat="false" ht="13.8" hidden="false" customHeight="false" outlineLevel="0" collapsed="false">
      <c r="A664" s="25" t="s">
        <v>3825</v>
      </c>
      <c r="B664" s="41" t="s">
        <v>3048</v>
      </c>
      <c r="M664" s="44" t="str">
        <f aca="false">INDEX(fastqs!$A:$A, MATCH(A664, fastqs!$B:$B, 0), 1)</f>
        <v>Sample_43_multiome_lib43</v>
      </c>
      <c r="N664" s="44" t="str">
        <f aca="false">INDEX(fastqs!$C:$C, MATCH(A664, fastqs!$B:$B, 0), 1)</f>
        <v>multiome</v>
      </c>
      <c r="O664" s="44" t="n">
        <f aca="false">INDEX(samples!$B:$B, MATCH(B664, samples!$A:$A, 0), 1)</f>
        <v>0</v>
      </c>
      <c r="Y664" s="8" t="n">
        <v>0</v>
      </c>
      <c r="Z664" s="8" t="n">
        <v>0</v>
      </c>
      <c r="AA664" s="8" t="n">
        <v>0</v>
      </c>
      <c r="AB664" s="8" t="n">
        <v>0</v>
      </c>
    </row>
    <row r="665" customFormat="false" ht="13.8" hidden="false" customHeight="false" outlineLevel="0" collapsed="false">
      <c r="A665" s="25" t="s">
        <v>3826</v>
      </c>
      <c r="B665" s="41" t="s">
        <v>3049</v>
      </c>
      <c r="M665" s="44" t="str">
        <f aca="false">INDEX(fastqs!$A:$A, MATCH(A665, fastqs!$B:$B, 0), 1)</f>
        <v>Sample_44_multiome_lib44</v>
      </c>
      <c r="N665" s="44" t="str">
        <f aca="false">INDEX(fastqs!$C:$C, MATCH(A665, fastqs!$B:$B, 0), 1)</f>
        <v>multiome</v>
      </c>
      <c r="O665" s="44" t="n">
        <f aca="false">INDEX(samples!$B:$B, MATCH(B665, samples!$A:$A, 0), 1)</f>
        <v>0</v>
      </c>
      <c r="Y665" s="8" t="n">
        <v>0</v>
      </c>
      <c r="Z665" s="8" t="n">
        <v>0</v>
      </c>
      <c r="AA665" s="8" t="n">
        <v>0</v>
      </c>
      <c r="AB665" s="8" t="n">
        <v>0</v>
      </c>
    </row>
    <row r="666" customFormat="false" ht="13.8" hidden="false" customHeight="false" outlineLevel="0" collapsed="false">
      <c r="A666" s="25" t="s">
        <v>3827</v>
      </c>
      <c r="B666" s="41" t="s">
        <v>3050</v>
      </c>
      <c r="M666" s="44" t="str">
        <f aca="false">INDEX(fastqs!$A:$A, MATCH(A666, fastqs!$B:$B, 0), 1)</f>
        <v>Sample_45_multiome_lib45</v>
      </c>
      <c r="N666" s="44" t="str">
        <f aca="false">INDEX(fastqs!$C:$C, MATCH(A666, fastqs!$B:$B, 0), 1)</f>
        <v>multiome</v>
      </c>
      <c r="O666" s="44" t="n">
        <f aca="false">INDEX(samples!$B:$B, MATCH(B666, samples!$A:$A, 0), 1)</f>
        <v>0</v>
      </c>
      <c r="Y666" s="8" t="n">
        <v>0</v>
      </c>
      <c r="Z666" s="8" t="n">
        <v>0</v>
      </c>
      <c r="AA666" s="8" t="n">
        <v>0</v>
      </c>
      <c r="AB666" s="8" t="n">
        <v>0</v>
      </c>
    </row>
    <row r="667" customFormat="false" ht="13.8" hidden="false" customHeight="false" outlineLevel="0" collapsed="false">
      <c r="A667" s="25" t="s">
        <v>3828</v>
      </c>
      <c r="B667" s="41" t="s">
        <v>3051</v>
      </c>
      <c r="M667" s="44" t="str">
        <f aca="false">INDEX(fastqs!$A:$A, MATCH(A667, fastqs!$B:$B, 0), 1)</f>
        <v>Sample_46_multiome_lib46</v>
      </c>
      <c r="N667" s="44" t="str">
        <f aca="false">INDEX(fastqs!$C:$C, MATCH(A667, fastqs!$B:$B, 0), 1)</f>
        <v>multiome</v>
      </c>
      <c r="O667" s="44" t="n">
        <f aca="false">INDEX(samples!$B:$B, MATCH(B667, samples!$A:$A, 0), 1)</f>
        <v>0</v>
      </c>
      <c r="Y667" s="8" t="n">
        <v>0</v>
      </c>
      <c r="Z667" s="8" t="n">
        <v>0</v>
      </c>
      <c r="AA667" s="8" t="n">
        <v>0</v>
      </c>
      <c r="AB667" s="8" t="n">
        <v>0</v>
      </c>
    </row>
    <row r="668" customFormat="false" ht="13.8" hidden="false" customHeight="false" outlineLevel="0" collapsed="false">
      <c r="A668" s="25" t="s">
        <v>3829</v>
      </c>
      <c r="B668" s="41" t="s">
        <v>3052</v>
      </c>
      <c r="M668" s="44" t="str">
        <f aca="false">INDEX(fastqs!$A:$A, MATCH(A668, fastqs!$B:$B, 0), 1)</f>
        <v>Sample_47_multiome_lib47</v>
      </c>
      <c r="N668" s="44" t="str">
        <f aca="false">INDEX(fastqs!$C:$C, MATCH(A668, fastqs!$B:$B, 0), 1)</f>
        <v>multiome</v>
      </c>
      <c r="O668" s="44" t="n">
        <f aca="false">INDEX(samples!$B:$B, MATCH(B668, samples!$A:$A, 0), 1)</f>
        <v>0</v>
      </c>
      <c r="Y668" s="8" t="n">
        <v>0</v>
      </c>
      <c r="Z668" s="8" t="n">
        <v>0</v>
      </c>
      <c r="AA668" s="8" t="n">
        <v>0</v>
      </c>
      <c r="AB668" s="8" t="n">
        <v>0</v>
      </c>
    </row>
    <row r="669" customFormat="false" ht="13.8" hidden="false" customHeight="false" outlineLevel="0" collapsed="false">
      <c r="A669" s="25" t="s">
        <v>3830</v>
      </c>
      <c r="B669" s="41" t="s">
        <v>3053</v>
      </c>
      <c r="M669" s="44" t="str">
        <f aca="false">INDEX(fastqs!$A:$A, MATCH(A669, fastqs!$B:$B, 0), 1)</f>
        <v>Sample_48_multiome_lib48</v>
      </c>
      <c r="N669" s="44" t="str">
        <f aca="false">INDEX(fastqs!$C:$C, MATCH(A669, fastqs!$B:$B, 0), 1)</f>
        <v>multiome</v>
      </c>
      <c r="O669" s="44" t="n">
        <f aca="false">INDEX(samples!$B:$B, MATCH(B669, samples!$A:$A, 0), 1)</f>
        <v>0</v>
      </c>
      <c r="Y669" s="8" t="n">
        <v>0</v>
      </c>
      <c r="Z669" s="8" t="n">
        <v>0</v>
      </c>
      <c r="AA669" s="8" t="n">
        <v>0</v>
      </c>
      <c r="AB669" s="8" t="n">
        <v>0</v>
      </c>
    </row>
    <row r="670" customFormat="false" ht="13.8" hidden="false" customHeight="false" outlineLevel="0" collapsed="false">
      <c r="A670" s="25" t="s">
        <v>3831</v>
      </c>
      <c r="B670" s="41" t="s">
        <v>3054</v>
      </c>
      <c r="M670" s="44" t="str">
        <f aca="false">INDEX(fastqs!$A:$A, MATCH(A670, fastqs!$B:$B, 0), 1)</f>
        <v>Sample_49_multiome_lib49</v>
      </c>
      <c r="N670" s="44" t="str">
        <f aca="false">INDEX(fastqs!$C:$C, MATCH(A670, fastqs!$B:$B, 0), 1)</f>
        <v>multiome</v>
      </c>
      <c r="O670" s="44" t="n">
        <f aca="false">INDEX(samples!$B:$B, MATCH(B670, samples!$A:$A, 0), 1)</f>
        <v>0</v>
      </c>
      <c r="Y670" s="8" t="n">
        <v>0</v>
      </c>
      <c r="Z670" s="8" t="n">
        <v>0</v>
      </c>
      <c r="AA670" s="8" t="n">
        <v>0</v>
      </c>
      <c r="AB670" s="8" t="n">
        <v>0</v>
      </c>
    </row>
    <row r="671" customFormat="false" ht="13.8" hidden="false" customHeight="false" outlineLevel="0" collapsed="false">
      <c r="A671" s="25" t="s">
        <v>3832</v>
      </c>
      <c r="B671" s="41" t="s">
        <v>3055</v>
      </c>
      <c r="M671" s="44" t="str">
        <f aca="false">INDEX(fastqs!$A:$A, MATCH(A671, fastqs!$B:$B, 0), 1)</f>
        <v>Sample_50_multiome_lib50</v>
      </c>
      <c r="N671" s="44" t="str">
        <f aca="false">INDEX(fastqs!$C:$C, MATCH(A671, fastqs!$B:$B, 0), 1)</f>
        <v>multiome</v>
      </c>
      <c r="O671" s="44" t="n">
        <f aca="false">INDEX(samples!$B:$B, MATCH(B671, samples!$A:$A, 0), 1)</f>
        <v>0</v>
      </c>
      <c r="Y671" s="8" t="n">
        <v>0</v>
      </c>
      <c r="Z671" s="8" t="n">
        <v>0</v>
      </c>
      <c r="AA671" s="8" t="n">
        <v>0</v>
      </c>
      <c r="AB671" s="8" t="n">
        <v>0</v>
      </c>
    </row>
    <row r="672" customFormat="false" ht="13.8" hidden="false" customHeight="false" outlineLevel="0" collapsed="false">
      <c r="A672" s="25" t="s">
        <v>3833</v>
      </c>
      <c r="B672" s="41" t="s">
        <v>3056</v>
      </c>
      <c r="M672" s="44" t="str">
        <f aca="false">INDEX(fastqs!$A:$A, MATCH(A672, fastqs!$B:$B, 0), 1)</f>
        <v>Sample_53_multiome_lib53</v>
      </c>
      <c r="N672" s="44" t="str">
        <f aca="false">INDEX(fastqs!$C:$C, MATCH(A672, fastqs!$B:$B, 0), 1)</f>
        <v>multiome</v>
      </c>
      <c r="O672" s="44" t="n">
        <f aca="false">INDEX(samples!$B:$B, MATCH(B672, samples!$A:$A, 0), 1)</f>
        <v>0</v>
      </c>
      <c r="Y672" s="8" t="n">
        <v>0</v>
      </c>
      <c r="Z672" s="8" t="n">
        <v>0</v>
      </c>
      <c r="AA672" s="8" t="n">
        <v>0</v>
      </c>
      <c r="AB672" s="8" t="n">
        <v>0</v>
      </c>
    </row>
    <row r="673" customFormat="false" ht="13.8" hidden="false" customHeight="false" outlineLevel="0" collapsed="false">
      <c r="A673" s="25" t="s">
        <v>3834</v>
      </c>
      <c r="B673" s="41" t="s">
        <v>3057</v>
      </c>
      <c r="M673" s="44" t="str">
        <f aca="false">INDEX(fastqs!$A:$A, MATCH(A673, fastqs!$B:$B, 0), 1)</f>
        <v>Sample_54_multiome_lib54</v>
      </c>
      <c r="N673" s="44" t="str">
        <f aca="false">INDEX(fastqs!$C:$C, MATCH(A673, fastqs!$B:$B, 0), 1)</f>
        <v>multiome</v>
      </c>
      <c r="O673" s="44" t="n">
        <f aca="false">INDEX(samples!$B:$B, MATCH(B673, samples!$A:$A, 0), 1)</f>
        <v>0</v>
      </c>
      <c r="Y673" s="8" t="n">
        <v>0</v>
      </c>
      <c r="Z673" s="8" t="n">
        <v>0</v>
      </c>
      <c r="AA673" s="8" t="n">
        <v>0</v>
      </c>
      <c r="AB673" s="8" t="n">
        <v>0</v>
      </c>
    </row>
    <row r="674" customFormat="false" ht="13.8" hidden="false" customHeight="false" outlineLevel="0" collapsed="false">
      <c r="A674" s="25" t="s">
        <v>3835</v>
      </c>
      <c r="B674" s="41" t="s">
        <v>3058</v>
      </c>
      <c r="M674" s="44" t="str">
        <f aca="false">INDEX(fastqs!$A:$A, MATCH(A674, fastqs!$B:$B, 0), 1)</f>
        <v>Sample_55_multiome_lib55</v>
      </c>
      <c r="N674" s="44" t="str">
        <f aca="false">INDEX(fastqs!$C:$C, MATCH(A674, fastqs!$B:$B, 0), 1)</f>
        <v>multiome</v>
      </c>
      <c r="O674" s="44" t="n">
        <f aca="false">INDEX(samples!$B:$B, MATCH(B674, samples!$A:$A, 0), 1)</f>
        <v>0</v>
      </c>
      <c r="Y674" s="8" t="n">
        <v>0</v>
      </c>
      <c r="Z674" s="8" t="n">
        <v>0</v>
      </c>
      <c r="AA674" s="8" t="n">
        <v>0</v>
      </c>
      <c r="AB674" s="8" t="n">
        <v>0</v>
      </c>
    </row>
    <row r="675" customFormat="false" ht="13.8" hidden="false" customHeight="false" outlineLevel="0" collapsed="false">
      <c r="A675" s="25" t="s">
        <v>3836</v>
      </c>
      <c r="B675" s="41" t="s">
        <v>3059</v>
      </c>
      <c r="M675" s="44" t="str">
        <f aca="false">INDEX(fastqs!$A:$A, MATCH(A675, fastqs!$B:$B, 0), 1)</f>
        <v>Sample_56_multiome_lib56</v>
      </c>
      <c r="N675" s="44" t="str">
        <f aca="false">INDEX(fastqs!$C:$C, MATCH(A675, fastqs!$B:$B, 0), 1)</f>
        <v>multiome</v>
      </c>
      <c r="O675" s="44" t="n">
        <f aca="false">INDEX(samples!$B:$B, MATCH(B675, samples!$A:$A, 0), 1)</f>
        <v>0</v>
      </c>
      <c r="Y675" s="8" t="n">
        <v>0</v>
      </c>
      <c r="Z675" s="8" t="n">
        <v>0</v>
      </c>
      <c r="AA675" s="8" t="n">
        <v>0</v>
      </c>
      <c r="AB675" s="8" t="n">
        <v>0</v>
      </c>
    </row>
    <row r="676" customFormat="false" ht="13.8" hidden="false" customHeight="false" outlineLevel="0" collapsed="false">
      <c r="A676" s="25" t="s">
        <v>3837</v>
      </c>
      <c r="B676" s="41" t="s">
        <v>3060</v>
      </c>
      <c r="M676" s="44" t="str">
        <f aca="false">INDEX(fastqs!$A:$A, MATCH(A676, fastqs!$B:$B, 0), 1)</f>
        <v>Sample_57_multiome_lib57</v>
      </c>
      <c r="N676" s="44" t="str">
        <f aca="false">INDEX(fastqs!$C:$C, MATCH(A676, fastqs!$B:$B, 0), 1)</f>
        <v>multiome</v>
      </c>
      <c r="O676" s="44" t="n">
        <f aca="false">INDEX(samples!$B:$B, MATCH(B676, samples!$A:$A, 0), 1)</f>
        <v>0</v>
      </c>
      <c r="Y676" s="8" t="n">
        <v>0</v>
      </c>
      <c r="Z676" s="8" t="n">
        <v>0</v>
      </c>
      <c r="AA676" s="8" t="n">
        <v>0</v>
      </c>
      <c r="AB676" s="8" t="n">
        <v>0</v>
      </c>
    </row>
    <row r="677" customFormat="false" ht="13.8" hidden="false" customHeight="false" outlineLevel="0" collapsed="false">
      <c r="A677" s="25" t="s">
        <v>3838</v>
      </c>
      <c r="B677" s="41" t="s">
        <v>3061</v>
      </c>
      <c r="M677" s="44" t="str">
        <f aca="false">INDEX(fastqs!$A:$A, MATCH(A677, fastqs!$B:$B, 0), 1)</f>
        <v>Sample_58_multiome_lib58</v>
      </c>
      <c r="N677" s="44" t="str">
        <f aca="false">INDEX(fastqs!$C:$C, MATCH(A677, fastqs!$B:$B, 0), 1)</f>
        <v>multiome</v>
      </c>
      <c r="O677" s="44" t="n">
        <f aca="false">INDEX(samples!$B:$B, MATCH(B677, samples!$A:$A, 0), 1)</f>
        <v>0</v>
      </c>
      <c r="Y677" s="8" t="n">
        <v>0</v>
      </c>
      <c r="Z677" s="8" t="n">
        <v>0</v>
      </c>
      <c r="AA677" s="8" t="n">
        <v>0</v>
      </c>
      <c r="AB677" s="8" t="n">
        <v>0</v>
      </c>
    </row>
    <row r="678" customFormat="false" ht="13.8" hidden="false" customHeight="false" outlineLevel="0" collapsed="false">
      <c r="A678" s="25" t="s">
        <v>3839</v>
      </c>
      <c r="B678" s="41" t="s">
        <v>3062</v>
      </c>
      <c r="M678" s="44" t="str">
        <f aca="false">INDEX(fastqs!$A:$A, MATCH(A678, fastqs!$B:$B, 0), 1)</f>
        <v>Sample_59_multiome_lib59</v>
      </c>
      <c r="N678" s="44" t="str">
        <f aca="false">INDEX(fastqs!$C:$C, MATCH(A678, fastqs!$B:$B, 0), 1)</f>
        <v>multiome</v>
      </c>
      <c r="O678" s="44" t="n">
        <f aca="false">INDEX(samples!$B:$B, MATCH(B678, samples!$A:$A, 0), 1)</f>
        <v>0</v>
      </c>
      <c r="Y678" s="8" t="n">
        <v>0</v>
      </c>
      <c r="Z678" s="8" t="n">
        <v>0</v>
      </c>
      <c r="AA678" s="8" t="n">
        <v>0</v>
      </c>
      <c r="AB678" s="8" t="n">
        <v>0</v>
      </c>
    </row>
    <row r="679" customFormat="false" ht="13.8" hidden="false" customHeight="false" outlineLevel="0" collapsed="false">
      <c r="A679" s="25" t="s">
        <v>3840</v>
      </c>
      <c r="B679" s="41" t="s">
        <v>3063</v>
      </c>
      <c r="M679" s="44" t="str">
        <f aca="false">INDEX(fastqs!$A:$A, MATCH(A679, fastqs!$B:$B, 0), 1)</f>
        <v>Sample_60_multiome_lib60</v>
      </c>
      <c r="N679" s="44" t="str">
        <f aca="false">INDEX(fastqs!$C:$C, MATCH(A679, fastqs!$B:$B, 0), 1)</f>
        <v>multiome</v>
      </c>
      <c r="O679" s="44" t="n">
        <f aca="false">INDEX(samples!$B:$B, MATCH(B679, samples!$A:$A, 0), 1)</f>
        <v>0</v>
      </c>
      <c r="Y679" s="8" t="n">
        <v>0</v>
      </c>
      <c r="Z679" s="8" t="n">
        <v>0</v>
      </c>
      <c r="AA679" s="8" t="n">
        <v>0</v>
      </c>
      <c r="AB679" s="8" t="n">
        <v>0</v>
      </c>
    </row>
    <row r="680" customFormat="false" ht="13.8" hidden="false" customHeight="false" outlineLevel="0" collapsed="false">
      <c r="A680" s="25" t="s">
        <v>3841</v>
      </c>
      <c r="B680" s="41" t="s">
        <v>3063</v>
      </c>
      <c r="M680" s="44" t="str">
        <f aca="false">INDEX(fastqs!$A:$A, MATCH(A680, fastqs!$B:$B, 0), 1)</f>
        <v>Sample_61_multiome_lib61</v>
      </c>
      <c r="N680" s="44" t="str">
        <f aca="false">INDEX(fastqs!$C:$C, MATCH(A680, fastqs!$B:$B, 0), 1)</f>
        <v>multiome</v>
      </c>
      <c r="O680" s="44" t="n">
        <f aca="false">INDEX(samples!$B:$B, MATCH(B680, samples!$A:$A, 0), 1)</f>
        <v>0</v>
      </c>
      <c r="Y680" s="8" t="n">
        <v>0</v>
      </c>
      <c r="Z680" s="8" t="n">
        <v>0</v>
      </c>
      <c r="AA680" s="8" t="n">
        <v>0</v>
      </c>
      <c r="AB680" s="8" t="n">
        <v>0</v>
      </c>
    </row>
    <row r="681" customFormat="false" ht="13.8" hidden="false" customHeight="false" outlineLevel="0" collapsed="false">
      <c r="A681" s="25" t="s">
        <v>3842</v>
      </c>
      <c r="B681" s="41" t="s">
        <v>3064</v>
      </c>
      <c r="M681" s="44" t="str">
        <f aca="false">INDEX(fastqs!$A:$A, MATCH(A681, fastqs!$B:$B, 0), 1)</f>
        <v>Sample_62_multiome_lib62</v>
      </c>
      <c r="N681" s="44" t="str">
        <f aca="false">INDEX(fastqs!$C:$C, MATCH(A681, fastqs!$B:$B, 0), 1)</f>
        <v>multiome</v>
      </c>
      <c r="O681" s="44" t="n">
        <f aca="false">INDEX(samples!$B:$B, MATCH(B681, samples!$A:$A, 0), 1)</f>
        <v>0</v>
      </c>
      <c r="Y681" s="8" t="n">
        <v>0</v>
      </c>
      <c r="Z681" s="8" t="n">
        <v>0</v>
      </c>
      <c r="AA681" s="8" t="n">
        <v>0</v>
      </c>
      <c r="AB681" s="8" t="n">
        <v>0</v>
      </c>
    </row>
    <row r="682" customFormat="false" ht="13.8" hidden="false" customHeight="false" outlineLevel="0" collapsed="false">
      <c r="A682" s="25" t="s">
        <v>3843</v>
      </c>
      <c r="B682" s="41" t="s">
        <v>3065</v>
      </c>
      <c r="M682" s="44" t="str">
        <f aca="false">INDEX(fastqs!$A:$A, MATCH(A682, fastqs!$B:$B, 0), 1)</f>
        <v>Sample_63_multiome_lib63</v>
      </c>
      <c r="N682" s="44" t="str">
        <f aca="false">INDEX(fastqs!$C:$C, MATCH(A682, fastqs!$B:$B, 0), 1)</f>
        <v>multiome</v>
      </c>
      <c r="O682" s="44" t="n">
        <f aca="false">INDEX(samples!$B:$B, MATCH(B682, samples!$A:$A, 0), 1)</f>
        <v>0</v>
      </c>
      <c r="Y682" s="8" t="n">
        <v>0</v>
      </c>
      <c r="Z682" s="8" t="n">
        <v>0</v>
      </c>
      <c r="AA682" s="8" t="n">
        <v>0</v>
      </c>
      <c r="AB682" s="8" t="n">
        <v>0</v>
      </c>
    </row>
    <row r="683" customFormat="false" ht="13.8" hidden="false" customHeight="false" outlineLevel="0" collapsed="false">
      <c r="A683" s="25" t="s">
        <v>3844</v>
      </c>
      <c r="B683" s="41" t="s">
        <v>3066</v>
      </c>
      <c r="M683" s="44" t="str">
        <f aca="false">INDEX(fastqs!$A:$A, MATCH(A683, fastqs!$B:$B, 0), 1)</f>
        <v>Sample_64_multiome_lib64</v>
      </c>
      <c r="N683" s="44" t="str">
        <f aca="false">INDEX(fastqs!$C:$C, MATCH(A683, fastqs!$B:$B, 0), 1)</f>
        <v>multiome</v>
      </c>
      <c r="O683" s="44" t="n">
        <f aca="false">INDEX(samples!$B:$B, MATCH(B683, samples!$A:$A, 0), 1)</f>
        <v>0</v>
      </c>
      <c r="Y683" s="8" t="n">
        <v>0</v>
      </c>
      <c r="Z683" s="8" t="n">
        <v>0</v>
      </c>
      <c r="AA683" s="8" t="n">
        <v>0</v>
      </c>
      <c r="AB683" s="8" t="n">
        <v>0</v>
      </c>
    </row>
    <row r="684" customFormat="false" ht="13.8" hidden="false" customHeight="false" outlineLevel="0" collapsed="false">
      <c r="A684" s="25" t="s">
        <v>3845</v>
      </c>
      <c r="B684" s="41" t="s">
        <v>3067</v>
      </c>
      <c r="M684" s="44" t="str">
        <f aca="false">INDEX(fastqs!$A:$A, MATCH(A684, fastqs!$B:$B, 0), 1)</f>
        <v>Sample_65_multiome_lib65</v>
      </c>
      <c r="N684" s="44" t="str">
        <f aca="false">INDEX(fastqs!$C:$C, MATCH(A684, fastqs!$B:$B, 0), 1)</f>
        <v>multiome</v>
      </c>
      <c r="O684" s="44" t="n">
        <f aca="false">INDEX(samples!$B:$B, MATCH(B684, samples!$A:$A, 0), 1)</f>
        <v>0</v>
      </c>
      <c r="Y684" s="8" t="n">
        <v>0</v>
      </c>
      <c r="Z684" s="8" t="n">
        <v>0</v>
      </c>
      <c r="AA684" s="8" t="n">
        <v>0</v>
      </c>
      <c r="AB684" s="8" t="n">
        <v>0</v>
      </c>
    </row>
    <row r="685" customFormat="false" ht="13.8" hidden="false" customHeight="false" outlineLevel="0" collapsed="false">
      <c r="A685" s="25" t="s">
        <v>3846</v>
      </c>
      <c r="B685" s="41" t="s">
        <v>3068</v>
      </c>
      <c r="M685" s="44" t="str">
        <f aca="false">INDEX(fastqs!$A:$A, MATCH(A685, fastqs!$B:$B, 0), 1)</f>
        <v>Sample_66_multiome_lib66</v>
      </c>
      <c r="N685" s="44" t="str">
        <f aca="false">INDEX(fastqs!$C:$C, MATCH(A685, fastqs!$B:$B, 0), 1)</f>
        <v>multiome</v>
      </c>
      <c r="O685" s="44" t="n">
        <f aca="false">INDEX(samples!$B:$B, MATCH(B685, samples!$A:$A, 0), 1)</f>
        <v>0</v>
      </c>
      <c r="Y685" s="8" t="n">
        <v>0</v>
      </c>
      <c r="Z685" s="8" t="n">
        <v>0</v>
      </c>
      <c r="AA685" s="8" t="n">
        <v>0</v>
      </c>
      <c r="AB685" s="8" t="n">
        <v>0</v>
      </c>
    </row>
    <row r="686" customFormat="false" ht="13.8" hidden="false" customHeight="false" outlineLevel="0" collapsed="false">
      <c r="A686" s="25" t="s">
        <v>3847</v>
      </c>
      <c r="B686" s="41" t="s">
        <v>3069</v>
      </c>
      <c r="M686" s="44" t="str">
        <f aca="false">INDEX(fastqs!$A:$A, MATCH(A686, fastqs!$B:$B, 0), 1)</f>
        <v>Sample_67_multiome_lib67</v>
      </c>
      <c r="N686" s="44" t="str">
        <f aca="false">INDEX(fastqs!$C:$C, MATCH(A686, fastqs!$B:$B, 0), 1)</f>
        <v>multiome</v>
      </c>
      <c r="O686" s="44" t="n">
        <f aca="false">INDEX(samples!$B:$B, MATCH(B686, samples!$A:$A, 0), 1)</f>
        <v>0</v>
      </c>
      <c r="Y686" s="8" t="n">
        <v>0</v>
      </c>
      <c r="Z686" s="8" t="n">
        <v>0</v>
      </c>
      <c r="AA686" s="8" t="n">
        <v>0</v>
      </c>
      <c r="AB686" s="8" t="n">
        <v>0</v>
      </c>
    </row>
    <row r="687" customFormat="false" ht="13.8" hidden="false" customHeight="false" outlineLevel="0" collapsed="false">
      <c r="A687" s="25" t="s">
        <v>3848</v>
      </c>
      <c r="B687" s="41" t="s">
        <v>3070</v>
      </c>
      <c r="M687" s="44" t="str">
        <f aca="false">INDEX(fastqs!$A:$A, MATCH(A687, fastqs!$B:$B, 0), 1)</f>
        <v>Sample_68_multiome_lib68</v>
      </c>
      <c r="N687" s="44" t="str">
        <f aca="false">INDEX(fastqs!$C:$C, MATCH(A687, fastqs!$B:$B, 0), 1)</f>
        <v>multiome</v>
      </c>
      <c r="O687" s="44" t="n">
        <f aca="false">INDEX(samples!$B:$B, MATCH(B687, samples!$A:$A, 0), 1)</f>
        <v>0</v>
      </c>
      <c r="Y687" s="8" t="n">
        <v>0</v>
      </c>
      <c r="Z687" s="8" t="n">
        <v>0</v>
      </c>
      <c r="AA687" s="8" t="n">
        <v>0</v>
      </c>
      <c r="AB687" s="8" t="n">
        <v>0</v>
      </c>
    </row>
    <row r="688" customFormat="false" ht="13.8" hidden="false" customHeight="false" outlineLevel="0" collapsed="false">
      <c r="A688" s="25" t="s">
        <v>3849</v>
      </c>
      <c r="B688" s="41" t="s">
        <v>3071</v>
      </c>
      <c r="M688" s="44" t="str">
        <f aca="false">INDEX(fastqs!$A:$A, MATCH(A688, fastqs!$B:$B, 0), 1)</f>
        <v>Sample_69_multiome_lib69</v>
      </c>
      <c r="N688" s="44" t="str">
        <f aca="false">INDEX(fastqs!$C:$C, MATCH(A688, fastqs!$B:$B, 0), 1)</f>
        <v>multiome</v>
      </c>
      <c r="O688" s="44" t="n">
        <f aca="false">INDEX(samples!$B:$B, MATCH(B688, samples!$A:$A, 0), 1)</f>
        <v>0</v>
      </c>
      <c r="Y688" s="8" t="n">
        <v>0</v>
      </c>
      <c r="Z688" s="8" t="n">
        <v>0</v>
      </c>
      <c r="AA688" s="8" t="n">
        <v>0</v>
      </c>
      <c r="AB688" s="8" t="n">
        <v>0</v>
      </c>
    </row>
    <row r="689" customFormat="false" ht="13.8" hidden="false" customHeight="false" outlineLevel="0" collapsed="false">
      <c r="A689" s="25" t="s">
        <v>3850</v>
      </c>
      <c r="B689" s="41" t="s">
        <v>3072</v>
      </c>
      <c r="M689" s="44" t="str">
        <f aca="false">INDEX(fastqs!$A:$A, MATCH(A689, fastqs!$B:$B, 0), 1)</f>
        <v>NH_11.FC22LV2TLT4_L1_R1_ICGAGAGAA.fastq.gz</v>
      </c>
      <c r="N689" s="44" t="str">
        <f aca="false">INDEX(fastqs!$C:$C, MATCH(A689, fastqs!$B:$B, 0), 1)</f>
        <v>run0009</v>
      </c>
    </row>
    <row r="690" customFormat="false" ht="13.8" hidden="false" customHeight="false" outlineLevel="0" collapsed="false">
      <c r="A690" s="25" t="s">
        <v>3851</v>
      </c>
      <c r="B690" s="38" t="s">
        <v>3074</v>
      </c>
      <c r="M690" s="44" t="str">
        <f aca="false">INDEX(fastqs!$A:$A, MATCH(A690, fastqs!$B:$B, 0), 1)</f>
        <v>NH_13.FC22LV2TLT4_L1_R1_ICGAATACG.fastq.gz</v>
      </c>
      <c r="N690" s="44" t="str">
        <f aca="false">INDEX(fastqs!$C:$C, MATCH(A690, fastqs!$B:$B, 0), 1)</f>
        <v>run0009</v>
      </c>
    </row>
    <row r="691" customFormat="false" ht="13.8" hidden="false" customHeight="false" outlineLevel="0" collapsed="false">
      <c r="A691" s="25" t="s">
        <v>3852</v>
      </c>
      <c r="B691" s="38" t="s">
        <v>3076</v>
      </c>
      <c r="M691" s="44" t="str">
        <f aca="false">INDEX(fastqs!$A:$A, MATCH(A691, fastqs!$B:$B, 0), 1)</f>
        <v>NH_15.FC22LV2TLT4_L1_R1_ICTTGCTAG.fastq.gz</v>
      </c>
      <c r="N691" s="44" t="str">
        <f aca="false">INDEX(fastqs!$C:$C, MATCH(A691, fastqs!$B:$B, 0), 1)</f>
        <v>run0009</v>
      </c>
    </row>
    <row r="692" customFormat="false" ht="13.8" hidden="false" customHeight="false" outlineLevel="0" collapsed="false">
      <c r="A692" s="25" t="s">
        <v>3853</v>
      </c>
      <c r="B692" s="38" t="s">
        <v>3078</v>
      </c>
      <c r="M692" s="44" t="str">
        <f aca="false">INDEX(fastqs!$A:$A, MATCH(A692, fastqs!$B:$B, 0), 1)</f>
        <v>NH_18.FC22LV2TLT4_L1_R1_IGTCCTTGA.fastq.gz</v>
      </c>
      <c r="N692" s="44" t="str">
        <f aca="false">INDEX(fastqs!$C:$C, MATCH(A692, fastqs!$B:$B, 0), 1)</f>
        <v>run0009</v>
      </c>
    </row>
    <row r="693" customFormat="false" ht="13.8" hidden="false" customHeight="false" outlineLevel="0" collapsed="false">
      <c r="A693" s="25" t="s">
        <v>3854</v>
      </c>
      <c r="B693" s="38" t="s">
        <v>3080</v>
      </c>
      <c r="M693" s="44" t="str">
        <f aca="false">INDEX(fastqs!$A:$A, MATCH(A693, fastqs!$B:$B, 0), 1)</f>
        <v>NH_25.FC22LV2TLT4_L1_R1_ICAGTGCTT.fastq.gz</v>
      </c>
      <c r="N693" s="44" t="str">
        <f aca="false">INDEX(fastqs!$C:$C, MATCH(A693, fastqs!$B:$B, 0), 1)</f>
        <v>run0009</v>
      </c>
    </row>
    <row r="694" customFormat="false" ht="13.8" hidden="false" customHeight="false" outlineLevel="0" collapsed="false">
      <c r="A694" s="25" t="s">
        <v>3855</v>
      </c>
      <c r="B694" s="38" t="s">
        <v>3082</v>
      </c>
      <c r="M694" s="44" t="str">
        <f aca="false">INDEX(fastqs!$A:$A, MATCH(A694, fastqs!$B:$B, 0), 1)</f>
        <v>NH_3.FC22LV2TLT4_L1_R1_ITCTAGGAG.fastq.gz</v>
      </c>
      <c r="N694" s="44" t="str">
        <f aca="false">INDEX(fastqs!$C:$C, MATCH(A694, fastqs!$B:$B, 0), 1)</f>
        <v>run0009</v>
      </c>
    </row>
    <row r="695" customFormat="false" ht="13.8" hidden="false" customHeight="false" outlineLevel="0" collapsed="false">
      <c r="A695" s="25" t="s">
        <v>3856</v>
      </c>
      <c r="B695" s="38" t="s">
        <v>3084</v>
      </c>
      <c r="M695" s="44" t="str">
        <f aca="false">INDEX(fastqs!$A:$A, MATCH(A695, fastqs!$B:$B, 0), 1)</f>
        <v>NH_30.FC22LV2TLT4_L1_R1_IGTCGATTG.fastq.gz</v>
      </c>
      <c r="N695" s="44" t="str">
        <f aca="false">INDEX(fastqs!$C:$C, MATCH(A695, fastqs!$B:$B, 0), 1)</f>
        <v>run0009</v>
      </c>
    </row>
    <row r="696" customFormat="false" ht="13.8" hidden="false" customHeight="false" outlineLevel="0" collapsed="false">
      <c r="A696" s="25" t="s">
        <v>3857</v>
      </c>
      <c r="B696" s="38" t="s">
        <v>3086</v>
      </c>
      <c r="M696" s="44" t="str">
        <f aca="false">INDEX(fastqs!$A:$A, MATCH(A696, fastqs!$B:$B, 0), 1)</f>
        <v>NH_39.FC22LV2TLT4_L1_R1_IGAATCACC.fastq.gz</v>
      </c>
      <c r="N696" s="44" t="str">
        <f aca="false">INDEX(fastqs!$C:$C, MATCH(A696, fastqs!$B:$B, 0), 1)</f>
        <v>run0009</v>
      </c>
    </row>
    <row r="697" customFormat="false" ht="13.8" hidden="false" customHeight="false" outlineLevel="0" collapsed="false">
      <c r="A697" s="25" t="s">
        <v>3858</v>
      </c>
      <c r="B697" s="38" t="s">
        <v>3088</v>
      </c>
      <c r="M697" s="44" t="str">
        <f aca="false">INDEX(fastqs!$A:$A, MATCH(A697, fastqs!$B:$B, 0), 1)</f>
        <v>NH_41.FC22LV2TLT4_L1_R1_IAGCGAGAT.fastq.gz</v>
      </c>
      <c r="N697" s="44" t="str">
        <f aca="false">INDEX(fastqs!$C:$C, MATCH(A697, fastqs!$B:$B, 0), 1)</f>
        <v>run0009</v>
      </c>
    </row>
    <row r="698" customFormat="false" ht="13.8" hidden="false" customHeight="false" outlineLevel="0" collapsed="false">
      <c r="A698" s="25" t="s">
        <v>3859</v>
      </c>
      <c r="B698" s="38" t="s">
        <v>3090</v>
      </c>
      <c r="M698" s="44" t="str">
        <f aca="false">INDEX(fastqs!$A:$A, MATCH(A698, fastqs!$B:$B, 0), 1)</f>
        <v>NH_45.FC22LV2TLT4_L1_R1_ICGCAACTA.fastq.gz</v>
      </c>
      <c r="N698" s="44" t="str">
        <f aca="false">INDEX(fastqs!$C:$C, MATCH(A698, fastqs!$B:$B, 0), 1)</f>
        <v>run0009</v>
      </c>
    </row>
    <row r="699" customFormat="false" ht="13.8" hidden="false" customHeight="false" outlineLevel="0" collapsed="false">
      <c r="A699" s="25" t="s">
        <v>3860</v>
      </c>
      <c r="B699" s="38" t="s">
        <v>3092</v>
      </c>
      <c r="M699" s="44" t="str">
        <f aca="false">INDEX(fastqs!$A:$A, MATCH(A699, fastqs!$B:$B, 0), 1)</f>
        <v>NH_48.FC22LV2TLT4_L1_R1_IGTAAGGTG.fastq.gz</v>
      </c>
      <c r="N699" s="44" t="str">
        <f aca="false">INDEX(fastqs!$C:$C, MATCH(A699, fastqs!$B:$B, 0), 1)</f>
        <v>run0009</v>
      </c>
    </row>
    <row r="700" customFormat="false" ht="13.8" hidden="false" customHeight="false" outlineLevel="0" collapsed="false">
      <c r="A700" s="25" t="s">
        <v>3861</v>
      </c>
      <c r="B700" s="38" t="s">
        <v>3094</v>
      </c>
      <c r="M700" s="44" t="str">
        <f aca="false">INDEX(fastqs!$A:$A, MATCH(A700, fastqs!$B:$B, 0), 1)</f>
        <v>NH_54.FC22LV2TLT4_L1_R1_IATAACGCC.fastq.gz</v>
      </c>
      <c r="N700" s="44" t="str">
        <f aca="false">INDEX(fastqs!$C:$C, MATCH(A700, fastqs!$B:$B, 0), 1)</f>
        <v>run0009</v>
      </c>
    </row>
    <row r="701" customFormat="false" ht="13.8" hidden="false" customHeight="false" outlineLevel="0" collapsed="false">
      <c r="A701" s="25" t="s">
        <v>3862</v>
      </c>
      <c r="B701" s="38" t="s">
        <v>3096</v>
      </c>
      <c r="M701" s="44" t="str">
        <f aca="false">INDEX(fastqs!$A:$A, MATCH(A701, fastqs!$B:$B, 0), 1)</f>
        <v>NH_6.FC22LV2TLT4_L1_R1_ITATGGCAC.fastq.gz</v>
      </c>
      <c r="N701" s="44" t="str">
        <f aca="false">INDEX(fastqs!$C:$C, MATCH(A701, fastqs!$B:$B, 0), 1)</f>
        <v>run0009</v>
      </c>
    </row>
    <row r="702" customFormat="false" ht="13.8" hidden="false" customHeight="false" outlineLevel="0" collapsed="false">
      <c r="A702" s="25" t="s">
        <v>3863</v>
      </c>
      <c r="B702" s="38" t="s">
        <v>3098</v>
      </c>
      <c r="M702" s="44" t="str">
        <f aca="false">INDEX(fastqs!$A:$A, MATCH(A702, fastqs!$B:$B, 0), 1)</f>
        <v>NH_72.FC22LV2TLT4_L1_R1_IGGTATAGG.fastq.gz</v>
      </c>
      <c r="N702" s="44" t="str">
        <f aca="false">INDEX(fastqs!$C:$C, MATCH(A702, fastqs!$B:$B, 0), 1)</f>
        <v>run0009</v>
      </c>
    </row>
    <row r="703" customFormat="false" ht="13.8" hidden="false" customHeight="false" outlineLevel="0" collapsed="false">
      <c r="A703" s="25" t="s">
        <v>3864</v>
      </c>
      <c r="B703" s="38" t="s">
        <v>3100</v>
      </c>
      <c r="M703" s="44" t="str">
        <f aca="false">INDEX(fastqs!$A:$A, MATCH(A703, fastqs!$B:$B, 0), 1)</f>
        <v>NH_69.FC22LV2TLT4_L1_R1_IGCCTTAAC.fastq.gz</v>
      </c>
      <c r="N703" s="44" t="str">
        <f aca="false">INDEX(fastqs!$C:$C, MATCH(A703, fastqs!$B:$B, 0), 1)</f>
        <v>run0009</v>
      </c>
    </row>
  </sheetData>
  <autoFilter ref="A1:X688"/>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T8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E55" activePane="bottomRight" state="frozen"/>
      <selection pane="topLeft" activeCell="A1" activeCellId="0" sqref="A1"/>
      <selection pane="topRight" activeCell="E1" activeCellId="0" sqref="E1"/>
      <selection pane="bottomLeft" activeCell="A55" activeCellId="0" sqref="A55"/>
      <selection pane="bottomRight" activeCell="U1" activeCellId="0" sqref="U1"/>
    </sheetView>
  </sheetViews>
  <sheetFormatPr defaultColWidth="11.640625" defaultRowHeight="13.8" zeroHeight="false" outlineLevelRow="0" outlineLevelCol="0"/>
  <cols>
    <col collapsed="false" customWidth="true" hidden="false" outlineLevel="0" max="1" min="1" style="25" width="26.13"/>
    <col collapsed="false" customWidth="false" hidden="false" outlineLevel="0" max="2" min="2" style="38" width="11.57"/>
    <col collapsed="false" customWidth="true" hidden="false" outlineLevel="0" max="3" min="3" style="0" width="9.03"/>
    <col collapsed="false" customWidth="true" hidden="false" outlineLevel="0" max="10" min="4" style="0" width="15.93"/>
    <col collapsed="false" customWidth="true" hidden="false" outlineLevel="0" max="11" min="11" style="39" width="15.93"/>
    <col collapsed="false" customWidth="true" hidden="false" outlineLevel="0" max="12" min="12" style="47" width="11.94"/>
    <col collapsed="false" customWidth="true" hidden="false" outlineLevel="0" max="13" min="13" style="0" width="13.89"/>
    <col collapsed="false" customWidth="true" hidden="false" outlineLevel="0" max="14" min="14" style="39" width="13.06"/>
    <col collapsed="false" customWidth="true" hidden="false" outlineLevel="0" max="15" min="15" style="39" width="8.33"/>
    <col collapsed="false" customWidth="true" hidden="false" outlineLevel="0" max="16" min="16" style="0" width="6.94"/>
    <col collapsed="false" customWidth="true" hidden="false" outlineLevel="0" max="17" min="17" style="0" width="14.31"/>
  </cols>
  <sheetData>
    <row r="1" customFormat="false" ht="13.8" hidden="false" customHeight="false" outlineLevel="0" collapsed="false">
      <c r="A1" s="48" t="s">
        <v>3865</v>
      </c>
      <c r="B1" s="41" t="s">
        <v>274</v>
      </c>
      <c r="C1" s="8" t="s">
        <v>3102</v>
      </c>
      <c r="D1" s="8" t="s">
        <v>3866</v>
      </c>
      <c r="E1" s="8" t="s">
        <v>3867</v>
      </c>
      <c r="F1" s="8" t="s">
        <v>3868</v>
      </c>
      <c r="G1" s="8" t="s">
        <v>3869</v>
      </c>
      <c r="H1" s="8" t="s">
        <v>3870</v>
      </c>
      <c r="I1" s="8" t="s">
        <v>3871</v>
      </c>
      <c r="J1" s="8" t="s">
        <v>415</v>
      </c>
      <c r="K1" s="43" t="s">
        <v>3872</v>
      </c>
      <c r="L1" s="47" t="s">
        <v>1693</v>
      </c>
      <c r="M1" s="54" t="s">
        <v>85</v>
      </c>
      <c r="N1" s="43" t="s">
        <v>416</v>
      </c>
      <c r="O1" s="43" t="s">
        <v>44</v>
      </c>
      <c r="P1" s="8" t="s">
        <v>3873</v>
      </c>
      <c r="Q1" s="8" t="s">
        <v>3874</v>
      </c>
      <c r="R1" s="33" t="s">
        <v>3875</v>
      </c>
      <c r="T1" s="8"/>
    </row>
    <row r="2" customFormat="false" ht="13.8" hidden="false" customHeight="false" outlineLevel="0" collapsed="false">
      <c r="A2" s="25" t="s">
        <v>3876</v>
      </c>
      <c r="B2" s="41" t="s">
        <v>3254</v>
      </c>
      <c r="C2" s="8" t="s">
        <v>427</v>
      </c>
      <c r="D2" s="8" t="s">
        <v>3877</v>
      </c>
      <c r="E2" s="0" t="s">
        <v>3878</v>
      </c>
      <c r="F2" s="0" t="s">
        <v>427</v>
      </c>
      <c r="G2" s="0" t="s">
        <v>427</v>
      </c>
      <c r="H2" s="0" t="s">
        <v>427</v>
      </c>
      <c r="I2" s="0" t="s">
        <v>3879</v>
      </c>
      <c r="K2" s="44" t="str">
        <f aca="false">INDEX(libraries!$B:$B, MATCH(B2, libraries!$A:$A, 0), 1)</f>
        <v>sam0007</v>
      </c>
      <c r="L2" s="44" t="n">
        <f aca="false">INDEX(samples!$F:$F, MATCH(K2, samples!$A:$A, 0), 1)</f>
        <v>0</v>
      </c>
      <c r="M2" s="55" t="str">
        <f aca="false">INDEX(samples!$C:$C, MATCH(K2, samples!$A:$A, 0), 1)</f>
        <v>UNK</v>
      </c>
      <c r="N2" s="44" t="str">
        <f aca="false">INDEX(samples!$B:$B, MATCH(K2, samples!$A:$A, 0), 1)</f>
        <v>par0116</v>
      </c>
      <c r="O2" s="44" t="s">
        <v>847</v>
      </c>
      <c r="P2" s="8" t="s">
        <v>3880</v>
      </c>
      <c r="Q2" s="8" t="s">
        <v>36</v>
      </c>
      <c r="R2" s="33" t="s">
        <v>3881</v>
      </c>
      <c r="T2" s="8"/>
    </row>
    <row r="3" customFormat="false" ht="13.8" hidden="false" customHeight="false" outlineLevel="0" collapsed="false">
      <c r="A3" s="25" t="s">
        <v>3882</v>
      </c>
      <c r="B3" s="41" t="s">
        <v>3199</v>
      </c>
      <c r="C3" s="8" t="s">
        <v>427</v>
      </c>
      <c r="D3" s="8" t="s">
        <v>3877</v>
      </c>
      <c r="E3" s="0" t="s">
        <v>3878</v>
      </c>
      <c r="F3" s="0" t="s">
        <v>427</v>
      </c>
      <c r="G3" s="0" t="s">
        <v>427</v>
      </c>
      <c r="H3" s="0" t="s">
        <v>427</v>
      </c>
      <c r="I3" s="0" t="s">
        <v>3879</v>
      </c>
      <c r="K3" s="44" t="str">
        <f aca="false">INDEX(libraries!$B:$B, MATCH(B3, libraries!$A:$A, 0), 1)</f>
        <v>sam0028</v>
      </c>
      <c r="L3" s="44" t="n">
        <f aca="false">INDEX(samples!$F:$F, MATCH(K3, samples!$A:$A, 0), 1)</f>
        <v>0</v>
      </c>
      <c r="M3" s="55" t="str">
        <f aca="false">INDEX(samples!$C:$C, MATCH(K3, samples!$A:$A, 0), 1)</f>
        <v>2017-05-15</v>
      </c>
      <c r="N3" s="44" t="str">
        <f aca="false">INDEX(samples!$B:$B, MATCH(K3, samples!$A:$A, 0), 1)</f>
        <v>par0012</v>
      </c>
      <c r="O3" s="44" t="s">
        <v>524</v>
      </c>
      <c r="P3" s="8" t="s">
        <v>3880</v>
      </c>
      <c r="Q3" s="8" t="s">
        <v>36</v>
      </c>
      <c r="R3" s="33" t="s">
        <v>3881</v>
      </c>
      <c r="T3" s="8"/>
    </row>
    <row r="4" customFormat="false" ht="13.8" hidden="false" customHeight="false" outlineLevel="0" collapsed="false">
      <c r="A4" s="25" t="s">
        <v>3883</v>
      </c>
      <c r="B4" s="41" t="s">
        <v>3367</v>
      </c>
      <c r="C4" s="8" t="s">
        <v>427</v>
      </c>
      <c r="D4" s="8" t="s">
        <v>3877</v>
      </c>
      <c r="E4" s="0" t="s">
        <v>3878</v>
      </c>
      <c r="F4" s="0" t="s">
        <v>427</v>
      </c>
      <c r="G4" s="0" t="s">
        <v>427</v>
      </c>
      <c r="H4" s="0" t="s">
        <v>427</v>
      </c>
      <c r="I4" s="0" t="s">
        <v>3879</v>
      </c>
      <c r="K4" s="44" t="str">
        <f aca="false">INDEX(libraries!$B:$B, MATCH(B4, libraries!$A:$A, 0), 1)</f>
        <v>sam0225</v>
      </c>
      <c r="L4" s="44" t="n">
        <f aca="false">INDEX(samples!$F:$F, MATCH(K4, samples!$A:$A, 0), 1)</f>
        <v>0</v>
      </c>
      <c r="M4" s="55" t="str">
        <f aca="false">INDEX(samples!$C:$C, MATCH(K4, samples!$A:$A, 0), 1)</f>
        <v>2019-11-20</v>
      </c>
      <c r="N4" s="44" t="str">
        <f aca="false">INDEX(samples!$B:$B, MATCH(K4, samples!$A:$A, 0), 1)</f>
        <v>par0010</v>
      </c>
      <c r="O4" s="44" t="s">
        <v>515</v>
      </c>
      <c r="P4" s="8" t="s">
        <v>3880</v>
      </c>
      <c r="Q4" s="8" t="s">
        <v>36</v>
      </c>
      <c r="R4" s="33" t="s">
        <v>3881</v>
      </c>
      <c r="T4" s="8"/>
    </row>
    <row r="5" customFormat="false" ht="13.8" hidden="false" customHeight="false" outlineLevel="0" collapsed="false">
      <c r="A5" s="25" t="s">
        <v>3884</v>
      </c>
      <c r="B5" s="53" t="s">
        <v>3659</v>
      </c>
      <c r="C5" s="33" t="s">
        <v>3107</v>
      </c>
      <c r="D5" s="33" t="s">
        <v>3877</v>
      </c>
      <c r="E5" s="0" t="s">
        <v>3878</v>
      </c>
      <c r="F5" s="0" t="s">
        <v>3885</v>
      </c>
      <c r="G5" s="0" t="s">
        <v>3886</v>
      </c>
      <c r="H5" s="0" t="s">
        <v>427</v>
      </c>
      <c r="I5" s="0" t="s">
        <v>3887</v>
      </c>
      <c r="K5" s="44" t="str">
        <f aca="false">INDEX(libraries!$B:$B, MATCH(B5, libraries!$A:$A, 0), 1)</f>
        <v>sam0481</v>
      </c>
      <c r="L5" s="44" t="str">
        <f aca="false">INDEX(samples!$F:$F, MATCH(K5, samples!$A:$A, 0), 1)</f>
        <v>emseq_05</v>
      </c>
      <c r="M5" s="55" t="str">
        <f aca="false">INDEX(samples!$C:$C, MATCH(K5, samples!$A:$A, 0), 1)</f>
        <v>GET</v>
      </c>
      <c r="N5" s="44" t="str">
        <f aca="false">INDEX(samples!$B:$B, MATCH(K5, samples!$A:$A, 0), 1)</f>
        <v>par0291</v>
      </c>
      <c r="O5" s="44" t="s">
        <v>1422</v>
      </c>
      <c r="P5" s="8" t="s">
        <v>3880</v>
      </c>
      <c r="Q5" s="8" t="s">
        <v>36</v>
      </c>
      <c r="R5" s="8" t="s">
        <v>3881</v>
      </c>
      <c r="T5" s="8"/>
    </row>
    <row r="6" customFormat="false" ht="13.8" hidden="false" customHeight="false" outlineLevel="0" collapsed="false">
      <c r="A6" s="25" t="s">
        <v>3888</v>
      </c>
      <c r="B6" s="41" t="s">
        <v>3663</v>
      </c>
      <c r="C6" s="8" t="s">
        <v>3123</v>
      </c>
      <c r="D6" s="8" t="s">
        <v>3877</v>
      </c>
      <c r="E6" s="0" t="s">
        <v>3878</v>
      </c>
      <c r="F6" s="0" t="s">
        <v>3889</v>
      </c>
      <c r="G6" s="0" t="s">
        <v>3890</v>
      </c>
      <c r="H6" s="0" t="s">
        <v>427</v>
      </c>
      <c r="I6" s="0" t="s">
        <v>3891</v>
      </c>
      <c r="K6" s="44" t="str">
        <f aca="false">INDEX(libraries!$B:$B, MATCH(B6, libraries!$A:$A, 0), 1)</f>
        <v>sam0493</v>
      </c>
      <c r="L6" s="44" t="str">
        <f aca="false">INDEX(samples!$F:$F, MATCH(K6, samples!$A:$A, 0), 1)</f>
        <v>nf1_lib1</v>
      </c>
      <c r="M6" s="55" t="str">
        <f aca="false">INDEX(samples!$C:$C, MATCH(K6, samples!$A:$A, 0), 1)</f>
        <v>2024-10-15</v>
      </c>
      <c r="N6" s="44" t="str">
        <f aca="false">INDEX(samples!$B:$B, MATCH(K6, samples!$A:$A, 0), 1)</f>
        <v>par0202</v>
      </c>
      <c r="O6" s="44" t="s">
        <v>1086</v>
      </c>
      <c r="P6" s="8" t="s">
        <v>3880</v>
      </c>
      <c r="Q6" s="8" t="s">
        <v>3892</v>
      </c>
      <c r="R6" s="8" t="s">
        <v>3893</v>
      </c>
      <c r="T6" s="8"/>
    </row>
    <row r="7" customFormat="false" ht="13.8" hidden="false" customHeight="false" outlineLevel="0" collapsed="false">
      <c r="A7" s="25" t="s">
        <v>3894</v>
      </c>
      <c r="B7" s="41" t="s">
        <v>3540</v>
      </c>
      <c r="C7" s="8" t="s">
        <v>3118</v>
      </c>
      <c r="D7" s="8" t="s">
        <v>427</v>
      </c>
      <c r="E7" s="0" t="s">
        <v>427</v>
      </c>
      <c r="F7" s="0" t="s">
        <v>427</v>
      </c>
      <c r="G7" s="0" t="s">
        <v>427</v>
      </c>
      <c r="H7" s="0" t="s">
        <v>427</v>
      </c>
      <c r="I7" s="0" t="s">
        <v>3895</v>
      </c>
      <c r="K7" s="44" t="str">
        <f aca="false">INDEX(libraries!$B:$B, MATCH(B7, libraries!$A:$A, 0), 1)</f>
        <v>sam0151</v>
      </c>
      <c r="L7" s="44" t="n">
        <f aca="false">INDEX(samples!$F:$F, MATCH(K7, samples!$A:$A, 0), 1)</f>
        <v>0</v>
      </c>
      <c r="M7" s="55" t="str">
        <f aca="false">INDEX(samples!$C:$C, MATCH(K7, samples!$A:$A, 0), 1)</f>
        <v>2020-01-21</v>
      </c>
      <c r="N7" s="44" t="str">
        <f aca="false">INDEX(samples!$B:$B, MATCH(K7, samples!$A:$A, 0), 1)</f>
        <v>par0109</v>
      </c>
      <c r="O7" s="44" t="s">
        <v>724</v>
      </c>
      <c r="P7" s="8" t="s">
        <v>427</v>
      </c>
      <c r="Q7" s="8" t="s">
        <v>36</v>
      </c>
      <c r="R7" s="33" t="s">
        <v>3881</v>
      </c>
      <c r="T7" s="8"/>
    </row>
    <row r="8" customFormat="false" ht="13.8" hidden="false" customHeight="false" outlineLevel="0" collapsed="false">
      <c r="A8" s="25" t="s">
        <v>3896</v>
      </c>
      <c r="B8" s="41" t="s">
        <v>3245</v>
      </c>
      <c r="C8" s="8" t="s">
        <v>427</v>
      </c>
      <c r="D8" s="8" t="s">
        <v>3877</v>
      </c>
      <c r="E8" s="0" t="s">
        <v>3878</v>
      </c>
      <c r="F8" s="0" t="s">
        <v>427</v>
      </c>
      <c r="G8" s="0" t="s">
        <v>427</v>
      </c>
      <c r="H8" s="0" t="s">
        <v>427</v>
      </c>
      <c r="I8" s="0" t="s">
        <v>3879</v>
      </c>
      <c r="K8" s="44" t="str">
        <f aca="false">INDEX(libraries!$B:$B, MATCH(B8, libraries!$A:$A, 0), 1)</f>
        <v>sam0001</v>
      </c>
      <c r="L8" s="44" t="n">
        <f aca="false">INDEX(samples!$F:$F, MATCH(K8, samples!$A:$A, 0), 1)</f>
        <v>0</v>
      </c>
      <c r="M8" s="55" t="str">
        <f aca="false">INDEX(samples!$C:$C, MATCH(K8, samples!$A:$A, 0), 1)</f>
        <v>UNK</v>
      </c>
      <c r="N8" s="44" t="str">
        <f aca="false">INDEX(samples!$B:$B, MATCH(K8, samples!$A:$A, 0), 1)</f>
        <v>par0110</v>
      </c>
      <c r="O8" s="44" t="s">
        <v>828</v>
      </c>
      <c r="P8" s="8" t="s">
        <v>3880</v>
      </c>
      <c r="Q8" s="8" t="s">
        <v>36</v>
      </c>
      <c r="R8" s="33" t="s">
        <v>3881</v>
      </c>
      <c r="T8" s="8"/>
    </row>
    <row r="9" customFormat="false" ht="13.8" hidden="false" customHeight="false" outlineLevel="0" collapsed="false">
      <c r="A9" s="25" t="s">
        <v>3897</v>
      </c>
      <c r="B9" s="53" t="s">
        <v>3656</v>
      </c>
      <c r="C9" s="33" t="s">
        <v>3107</v>
      </c>
      <c r="D9" s="33" t="s">
        <v>3877</v>
      </c>
      <c r="E9" s="0" t="s">
        <v>3878</v>
      </c>
      <c r="F9" s="0" t="s">
        <v>3898</v>
      </c>
      <c r="G9" s="0" t="s">
        <v>3899</v>
      </c>
      <c r="H9" s="0" t="s">
        <v>427</v>
      </c>
      <c r="I9" s="0" t="s">
        <v>3900</v>
      </c>
      <c r="K9" s="44" t="str">
        <f aca="false">INDEX(libraries!$B:$B, MATCH(B9, libraries!$A:$A, 0), 1)</f>
        <v>sam0483</v>
      </c>
      <c r="L9" s="44" t="str">
        <f aca="false">INDEX(samples!$F:$F, MATCH(K9, samples!$A:$A, 0), 1)</f>
        <v>emseq_07</v>
      </c>
      <c r="M9" s="55" t="str">
        <f aca="false">INDEX(samples!$C:$C, MATCH(K9, samples!$A:$A, 0), 1)</f>
        <v>GET</v>
      </c>
      <c r="N9" s="44" t="str">
        <f aca="false">INDEX(samples!$B:$B, MATCH(K9, samples!$A:$A, 0), 1)</f>
        <v>par0292</v>
      </c>
      <c r="O9" s="44" t="s">
        <v>1425</v>
      </c>
      <c r="P9" s="8" t="s">
        <v>3880</v>
      </c>
      <c r="Q9" s="8" t="s">
        <v>36</v>
      </c>
      <c r="R9" s="8" t="s">
        <v>3893</v>
      </c>
      <c r="T9" s="8"/>
    </row>
    <row r="10" customFormat="false" ht="13.8" hidden="false" customHeight="false" outlineLevel="0" collapsed="false">
      <c r="A10" s="25" t="s">
        <v>3901</v>
      </c>
      <c r="B10" s="41" t="s">
        <v>3208</v>
      </c>
      <c r="C10" s="8" t="s">
        <v>427</v>
      </c>
      <c r="D10" s="8" t="s">
        <v>3877</v>
      </c>
      <c r="E10" s="0" t="s">
        <v>3878</v>
      </c>
      <c r="F10" s="0" t="s">
        <v>427</v>
      </c>
      <c r="G10" s="0" t="s">
        <v>427</v>
      </c>
      <c r="H10" s="0" t="s">
        <v>427</v>
      </c>
      <c r="I10" s="0" t="s">
        <v>3879</v>
      </c>
      <c r="K10" s="44" t="str">
        <f aca="false">INDEX(libraries!$B:$B, MATCH(B10, libraries!$A:$A, 0), 1)</f>
        <v>sam0037</v>
      </c>
      <c r="L10" s="44" t="n">
        <f aca="false">INDEX(samples!$F:$F, MATCH(K10, samples!$A:$A, 0), 1)</f>
        <v>0</v>
      </c>
      <c r="M10" s="55" t="str">
        <f aca="false">INDEX(samples!$C:$C, MATCH(K10, samples!$A:$A, 0), 1)</f>
        <v>2018-04-09</v>
      </c>
      <c r="N10" s="44" t="str">
        <f aca="false">INDEX(samples!$B:$B, MATCH(K10, samples!$A:$A, 0), 1)</f>
        <v>par0124</v>
      </c>
      <c r="O10" s="44" t="s">
        <v>871</v>
      </c>
      <c r="P10" s="8" t="s">
        <v>3880</v>
      </c>
      <c r="Q10" s="8" t="s">
        <v>36</v>
      </c>
      <c r="R10" s="33" t="s">
        <v>3881</v>
      </c>
      <c r="T10" s="8"/>
    </row>
    <row r="11" customFormat="false" ht="13.8" hidden="false" customHeight="false" outlineLevel="0" collapsed="false">
      <c r="A11" s="25" t="s">
        <v>3902</v>
      </c>
      <c r="B11" s="41" t="s">
        <v>3361</v>
      </c>
      <c r="C11" s="8" t="s">
        <v>427</v>
      </c>
      <c r="D11" s="8" t="s">
        <v>3877</v>
      </c>
      <c r="E11" s="0" t="s">
        <v>3878</v>
      </c>
      <c r="F11" s="0" t="s">
        <v>427</v>
      </c>
      <c r="G11" s="0" t="s">
        <v>427</v>
      </c>
      <c r="H11" s="0" t="s">
        <v>427</v>
      </c>
      <c r="I11" s="0" t="s">
        <v>3879</v>
      </c>
      <c r="K11" s="44" t="str">
        <f aca="false">INDEX(libraries!$B:$B, MATCH(B11, libraries!$A:$A, 0), 1)</f>
        <v>sam0217</v>
      </c>
      <c r="L11" s="44" t="n">
        <f aca="false">INDEX(samples!$F:$F, MATCH(K11, samples!$A:$A, 0), 1)</f>
        <v>0</v>
      </c>
      <c r="M11" s="55" t="str">
        <f aca="false">INDEX(samples!$C:$C, MATCH(K11, samples!$A:$A, 0), 1)</f>
        <v>2019-09-03</v>
      </c>
      <c r="N11" s="44" t="str">
        <f aca="false">INDEX(samples!$B:$B, MATCH(K11, samples!$A:$A, 0), 1)</f>
        <v>par0138</v>
      </c>
      <c r="O11" s="44" t="s">
        <v>915</v>
      </c>
      <c r="P11" s="8" t="s">
        <v>3880</v>
      </c>
      <c r="Q11" s="8" t="s">
        <v>36</v>
      </c>
      <c r="R11" s="33" t="s">
        <v>3881</v>
      </c>
      <c r="T11" s="8"/>
    </row>
    <row r="12" customFormat="false" ht="13.8" hidden="false" customHeight="false" outlineLevel="0" collapsed="false">
      <c r="A12" s="25" t="s">
        <v>3903</v>
      </c>
      <c r="B12" s="41" t="s">
        <v>3549</v>
      </c>
      <c r="C12" s="8" t="s">
        <v>3118</v>
      </c>
      <c r="D12" s="8" t="s">
        <v>427</v>
      </c>
      <c r="E12" s="0" t="s">
        <v>427</v>
      </c>
      <c r="F12" s="0" t="s">
        <v>427</v>
      </c>
      <c r="G12" s="0" t="s">
        <v>427</v>
      </c>
      <c r="H12" s="0" t="s">
        <v>427</v>
      </c>
      <c r="I12" s="0" t="s">
        <v>3895</v>
      </c>
      <c r="K12" s="44" t="str">
        <f aca="false">INDEX(libraries!$B:$B, MATCH(B12, libraries!$A:$A, 0), 1)</f>
        <v>sam0342</v>
      </c>
      <c r="L12" s="44" t="n">
        <f aca="false">INDEX(samples!$F:$F, MATCH(K12, samples!$A:$A, 0), 1)</f>
        <v>0</v>
      </c>
      <c r="M12" s="55" t="str">
        <f aca="false">INDEX(samples!$C:$C, MATCH(K12, samples!$A:$A, 0), 1)</f>
        <v>2020-09-15</v>
      </c>
      <c r="N12" s="44" t="str">
        <f aca="false">INDEX(samples!$B:$B, MATCH(K12, samples!$A:$A, 0), 1)</f>
        <v>par0164</v>
      </c>
      <c r="O12" s="44" t="s">
        <v>988</v>
      </c>
      <c r="P12" s="8" t="s">
        <v>427</v>
      </c>
      <c r="Q12" s="8" t="s">
        <v>36</v>
      </c>
      <c r="R12" s="33" t="s">
        <v>3881</v>
      </c>
      <c r="T12" s="8"/>
    </row>
    <row r="13" customFormat="false" ht="13.8" hidden="false" customHeight="false" outlineLevel="0" collapsed="false">
      <c r="A13" s="25" t="s">
        <v>3904</v>
      </c>
      <c r="B13" s="41" t="s">
        <v>3672</v>
      </c>
      <c r="C13" s="8" t="s">
        <v>3123</v>
      </c>
      <c r="D13" s="8" t="s">
        <v>3877</v>
      </c>
      <c r="E13" s="0" t="s">
        <v>3878</v>
      </c>
      <c r="F13" s="0" t="s">
        <v>3905</v>
      </c>
      <c r="G13" s="0" t="s">
        <v>3906</v>
      </c>
      <c r="H13" s="0" t="s">
        <v>427</v>
      </c>
      <c r="I13" s="0" t="s">
        <v>3891</v>
      </c>
      <c r="K13" s="44" t="str">
        <f aca="false">INDEX(libraries!$B:$B, MATCH(B13, libraries!$A:$A, 0), 1)</f>
        <v>sam0502</v>
      </c>
      <c r="L13" s="44" t="str">
        <f aca="false">INDEX(samples!$F:$F, MATCH(K13, samples!$A:$A, 0), 1)</f>
        <v>nf1_lib10</v>
      </c>
      <c r="M13" s="55" t="str">
        <f aca="false">INDEX(samples!$C:$C, MATCH(K13, samples!$A:$A, 0), 1)</f>
        <v>2023-06-20</v>
      </c>
      <c r="N13" s="44" t="str">
        <f aca="false">INDEX(samples!$B:$B, MATCH(K13, samples!$A:$A, 0), 1)</f>
        <v>par0296</v>
      </c>
      <c r="O13" s="44" t="s">
        <v>1437</v>
      </c>
      <c r="P13" s="8" t="s">
        <v>3880</v>
      </c>
      <c r="Q13" s="8" t="s">
        <v>3907</v>
      </c>
      <c r="R13" s="8" t="s">
        <v>3893</v>
      </c>
      <c r="T13" s="8"/>
    </row>
    <row r="14" customFormat="false" ht="13.8" hidden="false" customHeight="false" outlineLevel="0" collapsed="false">
      <c r="A14" s="25" t="s">
        <v>3908</v>
      </c>
      <c r="B14" s="41" t="s">
        <v>3766</v>
      </c>
      <c r="C14" s="8" t="s">
        <v>3125</v>
      </c>
      <c r="D14" s="8" t="s">
        <v>3877</v>
      </c>
      <c r="E14" s="0" t="s">
        <v>3878</v>
      </c>
      <c r="F14" s="0" t="s">
        <v>3909</v>
      </c>
      <c r="G14" s="0" t="s">
        <v>3910</v>
      </c>
      <c r="H14" s="0" t="s">
        <v>427</v>
      </c>
      <c r="I14" s="0" t="s">
        <v>3911</v>
      </c>
      <c r="K14" s="44" t="str">
        <f aca="false">INDEX(libraries!$B:$B, MATCH(B14, libraries!$A:$A, 0), 1)</f>
        <v>sam0593</v>
      </c>
      <c r="L14" s="44" t="str">
        <f aca="false">INDEX(samples!$F:$F, MATCH(K14, samples!$A:$A, 0), 1)</f>
        <v>nf1_lib101; m13 JH-2-005 1-4 D19 S</v>
      </c>
      <c r="M14" s="55" t="str">
        <f aca="false">INDEX(samples!$C:$C, MATCH(K14, samples!$A:$A, 0), 1)</f>
        <v>2024-10-01</v>
      </c>
      <c r="N14" s="44" t="str">
        <f aca="false">INDEX(samples!$B:$B, MATCH(K14, samples!$A:$A, 0), 1)</f>
        <v>ms007</v>
      </c>
      <c r="O14" s="44" t="s">
        <v>3912</v>
      </c>
      <c r="P14" s="8" t="s">
        <v>3880</v>
      </c>
      <c r="Q14" s="8" t="s">
        <v>3913</v>
      </c>
      <c r="R14" s="8" t="s">
        <v>3893</v>
      </c>
      <c r="T14" s="8"/>
    </row>
    <row r="15" customFormat="false" ht="13.8" hidden="false" customHeight="false" outlineLevel="0" collapsed="false">
      <c r="A15" s="25" t="s">
        <v>3914</v>
      </c>
      <c r="B15" s="41" t="s">
        <v>3761</v>
      </c>
      <c r="C15" s="8" t="s">
        <v>3125</v>
      </c>
      <c r="D15" s="8" t="s">
        <v>3877</v>
      </c>
      <c r="E15" s="0" t="s">
        <v>3878</v>
      </c>
      <c r="F15" s="0" t="s">
        <v>3915</v>
      </c>
      <c r="G15" s="0" t="s">
        <v>3916</v>
      </c>
      <c r="H15" s="0" t="s">
        <v>427</v>
      </c>
      <c r="I15" s="0" t="s">
        <v>3911</v>
      </c>
      <c r="K15" s="44" t="str">
        <f aca="false">INDEX(libraries!$B:$B, MATCH(B15, libraries!$A:$A, 0), 1)</f>
        <v>sam0588</v>
      </c>
      <c r="L15" s="44" t="str">
        <f aca="false">INDEX(samples!$F:$F, MATCH(K15, samples!$A:$A, 0), 1)</f>
        <v>nf1_lib96</v>
      </c>
      <c r="M15" s="55" t="str">
        <f aca="false">INDEX(samples!$C:$C, MATCH(K15, samples!$A:$A, 0), 1)</f>
        <v>2024-08-20</v>
      </c>
      <c r="N15" s="44" t="str">
        <f aca="false">INDEX(samples!$B:$B, MATCH(K15, samples!$A:$A, 0), 1)</f>
        <v>ms002</v>
      </c>
      <c r="O15" s="44" t="s">
        <v>3917</v>
      </c>
      <c r="P15" s="8" t="s">
        <v>3880</v>
      </c>
      <c r="Q15" s="8" t="s">
        <v>3918</v>
      </c>
      <c r="R15" s="8" t="s">
        <v>3893</v>
      </c>
      <c r="T15" s="8"/>
    </row>
    <row r="16" customFormat="false" ht="13.8" hidden="false" customHeight="false" outlineLevel="0" collapsed="false">
      <c r="A16" s="25" t="s">
        <v>3919</v>
      </c>
      <c r="B16" s="41" t="s">
        <v>3767</v>
      </c>
      <c r="C16" s="8" t="s">
        <v>3125</v>
      </c>
      <c r="D16" s="8" t="s">
        <v>3877</v>
      </c>
      <c r="E16" s="0" t="s">
        <v>3878</v>
      </c>
      <c r="F16" s="0" t="s">
        <v>3920</v>
      </c>
      <c r="G16" s="0" t="s">
        <v>3921</v>
      </c>
      <c r="H16" s="0" t="s">
        <v>427</v>
      </c>
      <c r="I16" s="0" t="s">
        <v>3911</v>
      </c>
      <c r="K16" s="44" t="str">
        <f aca="false">INDEX(libraries!$B:$B, MATCH(B16, libraries!$A:$A, 0), 1)</f>
        <v>sam0594</v>
      </c>
      <c r="L16" s="44" t="str">
        <f aca="false">INDEX(samples!$F:$F, MATCH(K16, samples!$A:$A, 0), 1)</f>
        <v>nf1_lib102; m14 JH-2-005 4-5 D19 S</v>
      </c>
      <c r="M16" s="55" t="str">
        <f aca="false">INDEX(samples!$C:$C, MATCH(K16, samples!$A:$A, 0), 1)</f>
        <v>2024-10-01</v>
      </c>
      <c r="N16" s="44" t="str">
        <f aca="false">INDEX(samples!$B:$B, MATCH(K16, samples!$A:$A, 0), 1)</f>
        <v>ms008</v>
      </c>
      <c r="O16" s="44" t="s">
        <v>3922</v>
      </c>
      <c r="P16" s="8" t="s">
        <v>3880</v>
      </c>
      <c r="Q16" s="8" t="s">
        <v>3923</v>
      </c>
      <c r="R16" s="8" t="s">
        <v>3893</v>
      </c>
      <c r="T16" s="8"/>
    </row>
    <row r="17" customFormat="false" ht="13.8" hidden="false" customHeight="false" outlineLevel="0" collapsed="false">
      <c r="A17" s="25" t="s">
        <v>3924</v>
      </c>
      <c r="B17" s="41" t="s">
        <v>3768</v>
      </c>
      <c r="C17" s="8" t="s">
        <v>3125</v>
      </c>
      <c r="D17" s="8" t="s">
        <v>3877</v>
      </c>
      <c r="E17" s="0" t="s">
        <v>3878</v>
      </c>
      <c r="F17" s="0" t="s">
        <v>3925</v>
      </c>
      <c r="G17" s="0" t="s">
        <v>3926</v>
      </c>
      <c r="H17" s="0" t="s">
        <v>427</v>
      </c>
      <c r="I17" s="0" t="s">
        <v>3911</v>
      </c>
      <c r="K17" s="44" t="str">
        <f aca="false">INDEX(libraries!$B:$B, MATCH(B17, libraries!$A:$A, 0), 1)</f>
        <v>sam0595</v>
      </c>
      <c r="L17" s="44" t="str">
        <f aca="false">INDEX(samples!$F:$F, MATCH(K17, samples!$A:$A, 0), 1)</f>
        <v>nf1_lib103; m15 JH-2-005 5-5 D19 S</v>
      </c>
      <c r="M17" s="55" t="str">
        <f aca="false">INDEX(samples!$C:$C, MATCH(K17, samples!$A:$A, 0), 1)</f>
        <v>2024-10-01</v>
      </c>
      <c r="N17" s="44" t="str">
        <f aca="false">INDEX(samples!$B:$B, MATCH(K17, samples!$A:$A, 0), 1)</f>
        <v>ms009</v>
      </c>
      <c r="O17" s="44" t="s">
        <v>3927</v>
      </c>
      <c r="P17" s="8" t="s">
        <v>3880</v>
      </c>
      <c r="Q17" s="8" t="s">
        <v>3928</v>
      </c>
      <c r="R17" s="8" t="s">
        <v>3893</v>
      </c>
      <c r="T17" s="8"/>
    </row>
    <row r="18" customFormat="false" ht="13.8" hidden="false" customHeight="false" outlineLevel="0" collapsed="false">
      <c r="A18" s="25" t="s">
        <v>3929</v>
      </c>
      <c r="B18" s="41" t="s">
        <v>3769</v>
      </c>
      <c r="C18" s="8" t="s">
        <v>3125</v>
      </c>
      <c r="D18" s="8" t="s">
        <v>3877</v>
      </c>
      <c r="E18" s="0" t="s">
        <v>3878</v>
      </c>
      <c r="F18" s="0" t="s">
        <v>3930</v>
      </c>
      <c r="G18" s="0" t="s">
        <v>3931</v>
      </c>
      <c r="H18" s="0" t="s">
        <v>427</v>
      </c>
      <c r="I18" s="0" t="s">
        <v>3911</v>
      </c>
      <c r="K18" s="44" t="str">
        <f aca="false">INDEX(libraries!$B:$B, MATCH(B18, libraries!$A:$A, 0), 1)</f>
        <v>sam0596</v>
      </c>
      <c r="L18" s="44" t="str">
        <f aca="false">INDEX(samples!$F:$F, MATCH(K18, samples!$A:$A, 0), 1)</f>
        <v>nf1_lib104; m16 JH-2-005 3-2 D19 S</v>
      </c>
      <c r="M18" s="55" t="str">
        <f aca="false">INDEX(samples!$C:$C, MATCH(K18, samples!$A:$A, 0), 1)</f>
        <v>2024-10-01</v>
      </c>
      <c r="N18" s="44" t="str">
        <f aca="false">INDEX(samples!$B:$B, MATCH(K18, samples!$A:$A, 0), 1)</f>
        <v>ms010</v>
      </c>
      <c r="O18" s="44" t="s">
        <v>3932</v>
      </c>
      <c r="P18" s="8" t="s">
        <v>3880</v>
      </c>
      <c r="Q18" s="8" t="s">
        <v>3933</v>
      </c>
      <c r="R18" s="8" t="s">
        <v>3893</v>
      </c>
      <c r="T18" s="8"/>
    </row>
    <row r="19" customFormat="false" ht="13.8" hidden="false" customHeight="false" outlineLevel="0" collapsed="false">
      <c r="A19" s="25" t="s">
        <v>3934</v>
      </c>
      <c r="B19" s="41" t="s">
        <v>3770</v>
      </c>
      <c r="C19" s="8" t="s">
        <v>3125</v>
      </c>
      <c r="D19" s="8" t="s">
        <v>3877</v>
      </c>
      <c r="E19" s="0" t="s">
        <v>3878</v>
      </c>
      <c r="F19" s="0" t="s">
        <v>3935</v>
      </c>
      <c r="G19" s="0" t="s">
        <v>3936</v>
      </c>
      <c r="H19" s="0" t="s">
        <v>427</v>
      </c>
      <c r="I19" s="0" t="s">
        <v>3911</v>
      </c>
      <c r="K19" s="44" t="str">
        <f aca="false">INDEX(libraries!$B:$B, MATCH(B19, libraries!$A:$A, 0), 1)</f>
        <v>sam0597</v>
      </c>
      <c r="L19" s="44" t="str">
        <f aca="false">INDEX(samples!$F:$F, MATCH(K19, samples!$A:$A, 0), 1)</f>
        <v>nf1_lib105; m17 JH-2-005 3-3 D19 S</v>
      </c>
      <c r="M19" s="55" t="str">
        <f aca="false">INDEX(samples!$C:$C, MATCH(K19, samples!$A:$A, 0), 1)</f>
        <v>2024-10-01</v>
      </c>
      <c r="N19" s="44" t="str">
        <f aca="false">INDEX(samples!$B:$B, MATCH(K19, samples!$A:$A, 0), 1)</f>
        <v>ms011</v>
      </c>
      <c r="O19" s="44" t="s">
        <v>3937</v>
      </c>
      <c r="P19" s="8" t="s">
        <v>3880</v>
      </c>
      <c r="Q19" s="8" t="s">
        <v>3938</v>
      </c>
      <c r="R19" s="8" t="s">
        <v>3893</v>
      </c>
      <c r="T19" s="8"/>
    </row>
    <row r="20" customFormat="false" ht="13.8" hidden="false" customHeight="false" outlineLevel="0" collapsed="false">
      <c r="A20" s="25" t="s">
        <v>3939</v>
      </c>
      <c r="B20" s="41" t="s">
        <v>3771</v>
      </c>
      <c r="C20" s="8" t="s">
        <v>3125</v>
      </c>
      <c r="D20" s="8" t="s">
        <v>3877</v>
      </c>
      <c r="E20" s="0" t="s">
        <v>3878</v>
      </c>
      <c r="F20" s="0" t="s">
        <v>3940</v>
      </c>
      <c r="G20" s="0" t="s">
        <v>3941</v>
      </c>
      <c r="H20" s="0" t="s">
        <v>427</v>
      </c>
      <c r="I20" s="0" t="s">
        <v>3911</v>
      </c>
      <c r="K20" s="44" t="str">
        <f aca="false">INDEX(libraries!$B:$B, MATCH(B20, libraries!$A:$A, 0), 1)</f>
        <v>sam0598</v>
      </c>
      <c r="L20" s="44" t="str">
        <f aca="false">INDEX(samples!$F:$F, MATCH(K20, samples!$A:$A, 0), 1)</f>
        <v>nf1_lib106; m18 JH-2-005 7-5 D19 S</v>
      </c>
      <c r="M20" s="55" t="str">
        <f aca="false">INDEX(samples!$C:$C, MATCH(K20, samples!$A:$A, 0), 1)</f>
        <v>2024-10-01</v>
      </c>
      <c r="N20" s="44" t="str">
        <f aca="false">INDEX(samples!$B:$B, MATCH(K20, samples!$A:$A, 0), 1)</f>
        <v>ms012</v>
      </c>
      <c r="O20" s="44" t="s">
        <v>3942</v>
      </c>
      <c r="P20" s="8" t="s">
        <v>3880</v>
      </c>
      <c r="Q20" s="8" t="s">
        <v>3943</v>
      </c>
      <c r="R20" s="8" t="s">
        <v>3893</v>
      </c>
      <c r="T20" s="8"/>
    </row>
    <row r="21" customFormat="false" ht="13.8" hidden="false" customHeight="false" outlineLevel="0" collapsed="false">
      <c r="A21" s="25" t="s">
        <v>3944</v>
      </c>
      <c r="B21" s="41" t="s">
        <v>3772</v>
      </c>
      <c r="C21" s="8" t="s">
        <v>3125</v>
      </c>
      <c r="D21" s="8" t="s">
        <v>3877</v>
      </c>
      <c r="E21" s="0" t="s">
        <v>3878</v>
      </c>
      <c r="F21" s="0" t="s">
        <v>3945</v>
      </c>
      <c r="G21" s="0" t="s">
        <v>3946</v>
      </c>
      <c r="H21" s="0" t="s">
        <v>427</v>
      </c>
      <c r="I21" s="0" t="s">
        <v>3911</v>
      </c>
      <c r="K21" s="44" t="str">
        <f aca="false">INDEX(libraries!$B:$B, MATCH(B21, libraries!$A:$A, 0), 1)</f>
        <v>sam0599</v>
      </c>
      <c r="L21" s="44" t="str">
        <f aca="false">INDEX(samples!$F:$F, MATCH(K21, samples!$A:$A, 0), 1)</f>
        <v>nf1_lib107</v>
      </c>
      <c r="M21" s="55" t="str">
        <f aca="false">INDEX(samples!$C:$C, MATCH(K21, samples!$A:$A, 0), 1)</f>
        <v>2024-10-29</v>
      </c>
      <c r="N21" s="44" t="str">
        <f aca="false">INDEX(samples!$B:$B, MATCH(K21, samples!$A:$A, 0), 1)</f>
        <v>ms007</v>
      </c>
      <c r="O21" s="44" t="s">
        <v>3947</v>
      </c>
      <c r="P21" s="8" t="s">
        <v>3880</v>
      </c>
      <c r="Q21" s="8" t="s">
        <v>3948</v>
      </c>
      <c r="R21" s="8" t="s">
        <v>3893</v>
      </c>
      <c r="T21" s="8"/>
    </row>
    <row r="22" customFormat="false" ht="13.8" hidden="false" customHeight="false" outlineLevel="0" collapsed="false">
      <c r="A22" s="25" t="s">
        <v>3949</v>
      </c>
      <c r="B22" s="41" t="s">
        <v>3773</v>
      </c>
      <c r="C22" s="8" t="s">
        <v>3125</v>
      </c>
      <c r="D22" s="8" t="s">
        <v>3877</v>
      </c>
      <c r="E22" s="0" t="s">
        <v>3878</v>
      </c>
      <c r="F22" s="0" t="s">
        <v>3950</v>
      </c>
      <c r="G22" s="0" t="s">
        <v>3951</v>
      </c>
      <c r="H22" s="0" t="s">
        <v>427</v>
      </c>
      <c r="I22" s="0" t="s">
        <v>3911</v>
      </c>
      <c r="K22" s="44" t="str">
        <f aca="false">INDEX(libraries!$B:$B, MATCH(B22, libraries!$A:$A, 0), 1)</f>
        <v>sam0600</v>
      </c>
      <c r="L22" s="44" t="str">
        <f aca="false">INDEX(samples!$F:$F, MATCH(K22, samples!$A:$A, 0), 1)</f>
        <v>nf1_lib108</v>
      </c>
      <c r="M22" s="55" t="str">
        <f aca="false">INDEX(samples!$C:$C, MATCH(K22, samples!$A:$A, 0), 1)</f>
        <v>2024-10-29</v>
      </c>
      <c r="N22" s="44" t="str">
        <f aca="false">INDEX(samples!$B:$B, MATCH(K22, samples!$A:$A, 0), 1)</f>
        <v>ms008</v>
      </c>
      <c r="O22" s="44" t="s">
        <v>3952</v>
      </c>
      <c r="P22" s="8" t="s">
        <v>3880</v>
      </c>
      <c r="Q22" s="8" t="s">
        <v>3953</v>
      </c>
      <c r="R22" s="8" t="s">
        <v>3893</v>
      </c>
      <c r="T22" s="8"/>
    </row>
    <row r="23" customFormat="false" ht="13.8" hidden="false" customHeight="false" outlineLevel="0" collapsed="false">
      <c r="A23" s="25" t="s">
        <v>3954</v>
      </c>
      <c r="B23" s="41" t="s">
        <v>3774</v>
      </c>
      <c r="C23" s="8" t="s">
        <v>3125</v>
      </c>
      <c r="D23" s="8" t="s">
        <v>3877</v>
      </c>
      <c r="E23" s="0" t="s">
        <v>3878</v>
      </c>
      <c r="F23" s="0" t="s">
        <v>3955</v>
      </c>
      <c r="G23" s="0" t="s">
        <v>3956</v>
      </c>
      <c r="H23" s="0" t="s">
        <v>427</v>
      </c>
      <c r="I23" s="0" t="s">
        <v>3911</v>
      </c>
      <c r="K23" s="44" t="str">
        <f aca="false">INDEX(libraries!$B:$B, MATCH(B23, libraries!$A:$A, 0), 1)</f>
        <v>sam0601</v>
      </c>
      <c r="L23" s="44" t="str">
        <f aca="false">INDEX(samples!$F:$F, MATCH(K23, samples!$A:$A, 0), 1)</f>
        <v>nf1_lib109</v>
      </c>
      <c r="M23" s="55" t="str">
        <f aca="false">INDEX(samples!$C:$C, MATCH(K23, samples!$A:$A, 0), 1)</f>
        <v>2024-10-29</v>
      </c>
      <c r="N23" s="44" t="str">
        <f aca="false">INDEX(samples!$B:$B, MATCH(K23, samples!$A:$A, 0), 1)</f>
        <v>ms009</v>
      </c>
      <c r="O23" s="44" t="s">
        <v>3957</v>
      </c>
      <c r="P23" s="8" t="s">
        <v>3880</v>
      </c>
      <c r="Q23" s="8" t="s">
        <v>3958</v>
      </c>
      <c r="R23" s="8" t="s">
        <v>3893</v>
      </c>
      <c r="T23" s="8"/>
    </row>
    <row r="24" customFormat="false" ht="13.8" hidden="false" customHeight="false" outlineLevel="0" collapsed="false">
      <c r="A24" s="25" t="s">
        <v>3959</v>
      </c>
      <c r="B24" s="41" t="s">
        <v>3216</v>
      </c>
      <c r="C24" s="8" t="s">
        <v>427</v>
      </c>
      <c r="D24" s="8" t="s">
        <v>3877</v>
      </c>
      <c r="E24" s="0" t="s">
        <v>3878</v>
      </c>
      <c r="F24" s="0" t="s">
        <v>427</v>
      </c>
      <c r="G24" s="0" t="s">
        <v>427</v>
      </c>
      <c r="H24" s="0" t="s">
        <v>427</v>
      </c>
      <c r="I24" s="0" t="s">
        <v>3879</v>
      </c>
      <c r="K24" s="44" t="str">
        <f aca="false">INDEX(libraries!$B:$B, MATCH(B24, libraries!$A:$A, 0), 1)</f>
        <v>sam0002</v>
      </c>
      <c r="L24" s="44" t="n">
        <f aca="false">INDEX(samples!$F:$F, MATCH(K24, samples!$A:$A, 0), 1)</f>
        <v>0</v>
      </c>
      <c r="M24" s="55" t="str">
        <f aca="false">INDEX(samples!$C:$C, MATCH(K24, samples!$A:$A, 0), 1)</f>
        <v>UNK</v>
      </c>
      <c r="N24" s="44" t="str">
        <f aca="false">INDEX(samples!$B:$B, MATCH(K24, samples!$A:$A, 0), 1)</f>
        <v>par0111</v>
      </c>
      <c r="O24" s="44" t="s">
        <v>832</v>
      </c>
      <c r="P24" s="8" t="s">
        <v>3880</v>
      </c>
      <c r="Q24" s="8" t="s">
        <v>36</v>
      </c>
      <c r="R24" s="33" t="s">
        <v>3881</v>
      </c>
      <c r="T24" s="8"/>
    </row>
    <row r="25" customFormat="false" ht="13.8" hidden="false" customHeight="false" outlineLevel="0" collapsed="false">
      <c r="A25" s="25" t="s">
        <v>3960</v>
      </c>
      <c r="B25" s="53" t="s">
        <v>3657</v>
      </c>
      <c r="C25" s="33" t="s">
        <v>3107</v>
      </c>
      <c r="D25" s="33" t="s">
        <v>3877</v>
      </c>
      <c r="E25" s="0" t="s">
        <v>3878</v>
      </c>
      <c r="F25" s="0" t="s">
        <v>3961</v>
      </c>
      <c r="G25" s="0" t="s">
        <v>3962</v>
      </c>
      <c r="H25" s="0" t="s">
        <v>427</v>
      </c>
      <c r="I25" s="0" t="s">
        <v>3963</v>
      </c>
      <c r="K25" s="44" t="str">
        <f aca="false">INDEX(libraries!$B:$B, MATCH(B25, libraries!$A:$A, 0), 1)</f>
        <v>sam0483</v>
      </c>
      <c r="L25" s="44" t="str">
        <f aca="false">INDEX(samples!$F:$F, MATCH(K25, samples!$A:$A, 0), 1)</f>
        <v>emseq_07</v>
      </c>
      <c r="M25" s="55" t="str">
        <f aca="false">INDEX(samples!$C:$C, MATCH(K25, samples!$A:$A, 0), 1)</f>
        <v>GET</v>
      </c>
      <c r="N25" s="44" t="str">
        <f aca="false">INDEX(samples!$B:$B, MATCH(K25, samples!$A:$A, 0), 1)</f>
        <v>par0292</v>
      </c>
      <c r="O25" s="44" t="s">
        <v>1425</v>
      </c>
      <c r="P25" s="8" t="s">
        <v>3880</v>
      </c>
      <c r="Q25" s="8" t="s">
        <v>36</v>
      </c>
      <c r="R25" s="8" t="s">
        <v>3893</v>
      </c>
      <c r="T25" s="8"/>
    </row>
    <row r="26" customFormat="false" ht="13.8" hidden="false" customHeight="false" outlineLevel="0" collapsed="false">
      <c r="A26" s="25" t="s">
        <v>3964</v>
      </c>
      <c r="B26" s="41" t="s">
        <v>3206</v>
      </c>
      <c r="C26" s="8" t="s">
        <v>427</v>
      </c>
      <c r="D26" s="8" t="s">
        <v>3877</v>
      </c>
      <c r="E26" s="0" t="s">
        <v>3878</v>
      </c>
      <c r="F26" s="0" t="s">
        <v>427</v>
      </c>
      <c r="G26" s="0" t="s">
        <v>427</v>
      </c>
      <c r="H26" s="0" t="s">
        <v>427</v>
      </c>
      <c r="I26" s="0" t="s">
        <v>3879</v>
      </c>
      <c r="K26" s="44" t="str">
        <f aca="false">INDEX(libraries!$B:$B, MATCH(B26, libraries!$A:$A, 0), 1)</f>
        <v>sam0038</v>
      </c>
      <c r="L26" s="44" t="n">
        <f aca="false">INDEX(samples!$F:$F, MATCH(K26, samples!$A:$A, 0), 1)</f>
        <v>0</v>
      </c>
      <c r="M26" s="55" t="str">
        <f aca="false">INDEX(samples!$C:$C, MATCH(K26, samples!$A:$A, 0), 1)</f>
        <v>2018-05-04</v>
      </c>
      <c r="N26" s="44" t="str">
        <f aca="false">INDEX(samples!$B:$B, MATCH(K26, samples!$A:$A, 0), 1)</f>
        <v>par0124</v>
      </c>
      <c r="O26" s="44" t="s">
        <v>871</v>
      </c>
      <c r="P26" s="8" t="s">
        <v>3880</v>
      </c>
      <c r="Q26" s="8" t="s">
        <v>36</v>
      </c>
      <c r="R26" s="33" t="s">
        <v>3881</v>
      </c>
      <c r="T26" s="8"/>
    </row>
    <row r="27" customFormat="false" ht="13.8" hidden="false" customHeight="false" outlineLevel="0" collapsed="false">
      <c r="A27" s="25" t="s">
        <v>3965</v>
      </c>
      <c r="B27" s="41" t="s">
        <v>3362</v>
      </c>
      <c r="C27" s="8" t="s">
        <v>427</v>
      </c>
      <c r="D27" s="8" t="s">
        <v>3877</v>
      </c>
      <c r="E27" s="0" t="s">
        <v>3878</v>
      </c>
      <c r="F27" s="0" t="s">
        <v>427</v>
      </c>
      <c r="G27" s="0" t="s">
        <v>427</v>
      </c>
      <c r="H27" s="0" t="s">
        <v>427</v>
      </c>
      <c r="I27" s="0" t="s">
        <v>3879</v>
      </c>
      <c r="K27" s="44" t="str">
        <f aca="false">INDEX(libraries!$B:$B, MATCH(B27, libraries!$A:$A, 0), 1)</f>
        <v>sam0218</v>
      </c>
      <c r="L27" s="44" t="n">
        <f aca="false">INDEX(samples!$F:$F, MATCH(K27, samples!$A:$A, 0), 1)</f>
        <v>0</v>
      </c>
      <c r="M27" s="55" t="str">
        <f aca="false">INDEX(samples!$C:$C, MATCH(K27, samples!$A:$A, 0), 1)</f>
        <v>2019-10-03</v>
      </c>
      <c r="N27" s="44" t="str">
        <f aca="false">INDEX(samples!$B:$B, MATCH(K27, samples!$A:$A, 0), 1)</f>
        <v>par0138</v>
      </c>
      <c r="O27" s="44" t="s">
        <v>915</v>
      </c>
      <c r="P27" s="8" t="s">
        <v>3880</v>
      </c>
      <c r="Q27" s="8" t="s">
        <v>36</v>
      </c>
      <c r="R27" s="33" t="s">
        <v>3966</v>
      </c>
      <c r="T27" s="8"/>
    </row>
    <row r="28" customFormat="false" ht="13.8" hidden="false" customHeight="false" outlineLevel="0" collapsed="false">
      <c r="A28" s="25" t="s">
        <v>3967</v>
      </c>
      <c r="B28" s="41" t="s">
        <v>3673</v>
      </c>
      <c r="C28" s="8" t="s">
        <v>3123</v>
      </c>
      <c r="D28" s="8" t="s">
        <v>3877</v>
      </c>
      <c r="E28" s="0" t="s">
        <v>3878</v>
      </c>
      <c r="F28" s="0" t="s">
        <v>3968</v>
      </c>
      <c r="G28" s="0" t="s">
        <v>3969</v>
      </c>
      <c r="H28" s="0" t="s">
        <v>427</v>
      </c>
      <c r="I28" s="0" t="s">
        <v>3891</v>
      </c>
      <c r="K28" s="44" t="str">
        <f aca="false">INDEX(libraries!$B:$B, MATCH(B28, libraries!$A:$A, 0), 1)</f>
        <v>sam0503</v>
      </c>
      <c r="L28" s="44" t="str">
        <f aca="false">INDEX(samples!$F:$F, MATCH(K28, samples!$A:$A, 0), 1)</f>
        <v>nf1_lib11</v>
      </c>
      <c r="M28" s="55" t="str">
        <f aca="false">INDEX(samples!$C:$C, MATCH(K28, samples!$A:$A, 0), 1)</f>
        <v>2024-09-17</v>
      </c>
      <c r="N28" s="44" t="str">
        <f aca="false">INDEX(samples!$B:$B, MATCH(K28, samples!$A:$A, 0), 1)</f>
        <v>par0296</v>
      </c>
      <c r="O28" s="44" t="s">
        <v>1437</v>
      </c>
      <c r="P28" s="8" t="s">
        <v>3880</v>
      </c>
      <c r="Q28" s="8" t="s">
        <v>3970</v>
      </c>
      <c r="R28" s="8" t="s">
        <v>3893</v>
      </c>
      <c r="T28" s="8"/>
    </row>
    <row r="29" customFormat="false" ht="13.8" hidden="false" customHeight="false" outlineLevel="0" collapsed="false">
      <c r="A29" s="25" t="s">
        <v>3971</v>
      </c>
      <c r="B29" s="41" t="s">
        <v>3775</v>
      </c>
      <c r="C29" s="8" t="s">
        <v>3125</v>
      </c>
      <c r="D29" s="8" t="s">
        <v>3877</v>
      </c>
      <c r="E29" s="0" t="s">
        <v>3878</v>
      </c>
      <c r="F29" s="0" t="s">
        <v>3972</v>
      </c>
      <c r="G29" s="0" t="s">
        <v>3973</v>
      </c>
      <c r="H29" s="0" t="s">
        <v>427</v>
      </c>
      <c r="I29" s="0" t="s">
        <v>3911</v>
      </c>
      <c r="K29" s="44" t="str">
        <f aca="false">INDEX(libraries!$B:$B, MATCH(B29, libraries!$A:$A, 0), 1)</f>
        <v>sam0602</v>
      </c>
      <c r="L29" s="44" t="str">
        <f aca="false">INDEX(samples!$F:$F, MATCH(K29, samples!$A:$A, 0), 1)</f>
        <v>nf1_lib110</v>
      </c>
      <c r="M29" s="55" t="str">
        <f aca="false">INDEX(samples!$C:$C, MATCH(K29, samples!$A:$A, 0), 1)</f>
        <v>2024-10-29</v>
      </c>
      <c r="N29" s="44" t="str">
        <f aca="false">INDEX(samples!$B:$B, MATCH(K29, samples!$A:$A, 0), 1)</f>
        <v>ms010</v>
      </c>
      <c r="O29" s="44" t="s">
        <v>3974</v>
      </c>
      <c r="P29" s="8" t="s">
        <v>3880</v>
      </c>
      <c r="Q29" s="8" t="s">
        <v>3975</v>
      </c>
      <c r="R29" s="8" t="s">
        <v>3893</v>
      </c>
      <c r="T29" s="8"/>
    </row>
    <row r="30" customFormat="false" ht="13.8" hidden="false" customHeight="false" outlineLevel="0" collapsed="false">
      <c r="A30" s="25" t="s">
        <v>3976</v>
      </c>
      <c r="B30" s="41" t="s">
        <v>3776</v>
      </c>
      <c r="C30" s="8" t="s">
        <v>3125</v>
      </c>
      <c r="D30" s="8" t="s">
        <v>3877</v>
      </c>
      <c r="E30" s="0" t="s">
        <v>3878</v>
      </c>
      <c r="F30" s="0" t="s">
        <v>3977</v>
      </c>
      <c r="G30" s="0" t="s">
        <v>3978</v>
      </c>
      <c r="H30" s="0" t="s">
        <v>427</v>
      </c>
      <c r="I30" s="0" t="s">
        <v>3911</v>
      </c>
      <c r="K30" s="44" t="str">
        <f aca="false">INDEX(libraries!$B:$B, MATCH(B30, libraries!$A:$A, 0), 1)</f>
        <v>sam0603</v>
      </c>
      <c r="L30" s="44" t="str">
        <f aca="false">INDEX(samples!$F:$F, MATCH(K30, samples!$A:$A, 0), 1)</f>
        <v>nf1_lib111</v>
      </c>
      <c r="M30" s="55" t="str">
        <f aca="false">INDEX(samples!$C:$C, MATCH(K30, samples!$A:$A, 0), 1)</f>
        <v>2024-10-29</v>
      </c>
      <c r="N30" s="44" t="str">
        <f aca="false">INDEX(samples!$B:$B, MATCH(K30, samples!$A:$A, 0), 1)</f>
        <v>ms011</v>
      </c>
      <c r="O30" s="44" t="s">
        <v>3979</v>
      </c>
      <c r="P30" s="8" t="s">
        <v>3880</v>
      </c>
      <c r="Q30" s="8" t="s">
        <v>3980</v>
      </c>
      <c r="R30" s="8" t="s">
        <v>3893</v>
      </c>
      <c r="T30" s="8"/>
    </row>
    <row r="31" customFormat="false" ht="13.8" hidden="false" customHeight="false" outlineLevel="0" collapsed="false">
      <c r="A31" s="25" t="s">
        <v>3981</v>
      </c>
      <c r="B31" s="41" t="s">
        <v>3777</v>
      </c>
      <c r="C31" s="8" t="s">
        <v>3125</v>
      </c>
      <c r="D31" s="8" t="s">
        <v>3877</v>
      </c>
      <c r="E31" s="0" t="s">
        <v>3878</v>
      </c>
      <c r="F31" s="0" t="s">
        <v>3982</v>
      </c>
      <c r="G31" s="0" t="s">
        <v>3983</v>
      </c>
      <c r="H31" s="0" t="s">
        <v>427</v>
      </c>
      <c r="I31" s="0" t="s">
        <v>3911</v>
      </c>
      <c r="K31" s="44" t="str">
        <f aca="false">INDEX(libraries!$B:$B, MATCH(B31, libraries!$A:$A, 0), 1)</f>
        <v>sam0604</v>
      </c>
      <c r="L31" s="44" t="str">
        <f aca="false">INDEX(samples!$F:$F, MATCH(K31, samples!$A:$A, 0), 1)</f>
        <v>nf1_lib112</v>
      </c>
      <c r="M31" s="55" t="str">
        <f aca="false">INDEX(samples!$C:$C, MATCH(K31, samples!$A:$A, 0), 1)</f>
        <v>2024-10-29</v>
      </c>
      <c r="N31" s="44" t="str">
        <f aca="false">INDEX(samples!$B:$B, MATCH(K31, samples!$A:$A, 0), 1)</f>
        <v>ms012</v>
      </c>
      <c r="O31" s="44" t="s">
        <v>3984</v>
      </c>
      <c r="P31" s="8" t="s">
        <v>3880</v>
      </c>
      <c r="Q31" s="8" t="s">
        <v>3985</v>
      </c>
      <c r="R31" s="8" t="s">
        <v>3893</v>
      </c>
      <c r="T31" s="8"/>
    </row>
    <row r="32" customFormat="false" ht="13.8" hidden="false" customHeight="false" outlineLevel="0" collapsed="false">
      <c r="A32" s="25" t="s">
        <v>3986</v>
      </c>
      <c r="B32" s="41" t="s">
        <v>3218</v>
      </c>
      <c r="C32" s="8" t="s">
        <v>427</v>
      </c>
      <c r="D32" s="8" t="s">
        <v>3877</v>
      </c>
      <c r="E32" s="0" t="s">
        <v>3878</v>
      </c>
      <c r="F32" s="0" t="s">
        <v>427</v>
      </c>
      <c r="G32" s="0" t="s">
        <v>427</v>
      </c>
      <c r="H32" s="0" t="s">
        <v>427</v>
      </c>
      <c r="I32" s="0" t="s">
        <v>3879</v>
      </c>
      <c r="K32" s="44" t="str">
        <f aca="false">INDEX(libraries!$B:$B, MATCH(B32, libraries!$A:$A, 0), 1)</f>
        <v>sam0003</v>
      </c>
      <c r="L32" s="44" t="n">
        <f aca="false">INDEX(samples!$F:$F, MATCH(K32, samples!$A:$A, 0), 1)</f>
        <v>0</v>
      </c>
      <c r="M32" s="55" t="str">
        <f aca="false">INDEX(samples!$C:$C, MATCH(K32, samples!$A:$A, 0), 1)</f>
        <v>UNK</v>
      </c>
      <c r="N32" s="44" t="str">
        <f aca="false">INDEX(samples!$B:$B, MATCH(K32, samples!$A:$A, 0), 1)</f>
        <v>par0112</v>
      </c>
      <c r="O32" s="44" t="s">
        <v>835</v>
      </c>
      <c r="P32" s="8" t="s">
        <v>3880</v>
      </c>
      <c r="Q32" s="8" t="s">
        <v>36</v>
      </c>
      <c r="R32" s="33" t="s">
        <v>3881</v>
      </c>
      <c r="T32" s="8"/>
    </row>
    <row r="33" customFormat="false" ht="13.8" hidden="false" customHeight="false" outlineLevel="0" collapsed="false">
      <c r="A33" s="25" t="s">
        <v>3987</v>
      </c>
      <c r="B33" s="53" t="s">
        <v>3658</v>
      </c>
      <c r="C33" s="33" t="s">
        <v>3107</v>
      </c>
      <c r="D33" s="33" t="s">
        <v>3877</v>
      </c>
      <c r="E33" s="0" t="s">
        <v>3878</v>
      </c>
      <c r="F33" s="0" t="s">
        <v>3988</v>
      </c>
      <c r="G33" s="0" t="s">
        <v>3989</v>
      </c>
      <c r="H33" s="0" t="s">
        <v>427</v>
      </c>
      <c r="I33" s="0" t="s">
        <v>3990</v>
      </c>
      <c r="K33" s="44" t="str">
        <f aca="false">INDEX(libraries!$B:$B, MATCH(B33, libraries!$A:$A, 0), 1)</f>
        <v>sam0483</v>
      </c>
      <c r="L33" s="44" t="str">
        <f aca="false">INDEX(samples!$F:$F, MATCH(K33, samples!$A:$A, 0), 1)</f>
        <v>emseq_07</v>
      </c>
      <c r="M33" s="55" t="str">
        <f aca="false">INDEX(samples!$C:$C, MATCH(K33, samples!$A:$A, 0), 1)</f>
        <v>GET</v>
      </c>
      <c r="N33" s="44" t="str">
        <f aca="false">INDEX(samples!$B:$B, MATCH(K33, samples!$A:$A, 0), 1)</f>
        <v>par0292</v>
      </c>
      <c r="O33" s="44" t="s">
        <v>1425</v>
      </c>
      <c r="P33" s="8" t="s">
        <v>3880</v>
      </c>
      <c r="Q33" s="8" t="s">
        <v>36</v>
      </c>
      <c r="R33" s="8" t="s">
        <v>3893</v>
      </c>
      <c r="T33" s="8"/>
    </row>
    <row r="34" customFormat="false" ht="13.8" hidden="false" customHeight="false" outlineLevel="0" collapsed="false">
      <c r="A34" s="25" t="s">
        <v>3991</v>
      </c>
      <c r="B34" s="41" t="s">
        <v>3207</v>
      </c>
      <c r="C34" s="8" t="s">
        <v>427</v>
      </c>
      <c r="D34" s="8" t="s">
        <v>3877</v>
      </c>
      <c r="E34" s="0" t="s">
        <v>3878</v>
      </c>
      <c r="F34" s="0" t="s">
        <v>427</v>
      </c>
      <c r="G34" s="0" t="s">
        <v>427</v>
      </c>
      <c r="H34" s="0" t="s">
        <v>427</v>
      </c>
      <c r="I34" s="0" t="s">
        <v>3879</v>
      </c>
      <c r="K34" s="44" t="str">
        <f aca="false">INDEX(libraries!$B:$B, MATCH(B34, libraries!$A:$A, 0), 1)</f>
        <v>sam0039</v>
      </c>
      <c r="L34" s="44" t="n">
        <f aca="false">INDEX(samples!$F:$F, MATCH(K34, samples!$A:$A, 0), 1)</f>
        <v>0</v>
      </c>
      <c r="M34" s="55" t="str">
        <f aca="false">INDEX(samples!$C:$C, MATCH(K34, samples!$A:$A, 0), 1)</f>
        <v>2018-07-30</v>
      </c>
      <c r="N34" s="44" t="str">
        <f aca="false">INDEX(samples!$B:$B, MATCH(K34, samples!$A:$A, 0), 1)</f>
        <v>par0124</v>
      </c>
      <c r="O34" s="44" t="s">
        <v>871</v>
      </c>
      <c r="P34" s="8" t="s">
        <v>3880</v>
      </c>
      <c r="Q34" s="8" t="s">
        <v>36</v>
      </c>
      <c r="R34" s="33" t="s">
        <v>3881</v>
      </c>
      <c r="T34" s="8"/>
    </row>
    <row r="35" customFormat="false" ht="13.8" hidden="false" customHeight="false" outlineLevel="0" collapsed="false">
      <c r="A35" s="25" t="s">
        <v>3992</v>
      </c>
      <c r="B35" s="41" t="s">
        <v>3363</v>
      </c>
      <c r="C35" s="8" t="s">
        <v>427</v>
      </c>
      <c r="D35" s="8" t="s">
        <v>3877</v>
      </c>
      <c r="E35" s="0" t="s">
        <v>3878</v>
      </c>
      <c r="F35" s="0" t="s">
        <v>427</v>
      </c>
      <c r="G35" s="0" t="s">
        <v>427</v>
      </c>
      <c r="H35" s="0" t="s">
        <v>427</v>
      </c>
      <c r="I35" s="0" t="s">
        <v>3879</v>
      </c>
      <c r="K35" s="44" t="str">
        <f aca="false">INDEX(libraries!$B:$B, MATCH(B35, libraries!$A:$A, 0), 1)</f>
        <v>sam0219</v>
      </c>
      <c r="L35" s="44" t="n">
        <f aca="false">INDEX(samples!$F:$F, MATCH(K35, samples!$A:$A, 0), 1)</f>
        <v>0</v>
      </c>
      <c r="M35" s="55" t="str">
        <f aca="false">INDEX(samples!$C:$C, MATCH(K35, samples!$A:$A, 0), 1)</f>
        <v>2019-11-25</v>
      </c>
      <c r="N35" s="44" t="str">
        <f aca="false">INDEX(samples!$B:$B, MATCH(K35, samples!$A:$A, 0), 1)</f>
        <v>par0138</v>
      </c>
      <c r="O35" s="44" t="s">
        <v>915</v>
      </c>
      <c r="P35" s="8" t="s">
        <v>3880</v>
      </c>
      <c r="Q35" s="8" t="s">
        <v>36</v>
      </c>
      <c r="R35" s="33" t="s">
        <v>3881</v>
      </c>
      <c r="T35" s="8"/>
    </row>
    <row r="36" customFormat="false" ht="13.8" hidden="false" customHeight="false" outlineLevel="0" collapsed="false">
      <c r="A36" s="25" t="s">
        <v>3993</v>
      </c>
      <c r="B36" s="41" t="s">
        <v>3674</v>
      </c>
      <c r="C36" s="8" t="s">
        <v>3123</v>
      </c>
      <c r="D36" s="8" t="s">
        <v>3877</v>
      </c>
      <c r="E36" s="0" t="s">
        <v>3878</v>
      </c>
      <c r="F36" s="0" t="s">
        <v>3994</v>
      </c>
      <c r="G36" s="0" t="s">
        <v>3995</v>
      </c>
      <c r="H36" s="0" t="s">
        <v>427</v>
      </c>
      <c r="I36" s="0" t="s">
        <v>3891</v>
      </c>
      <c r="K36" s="44" t="str">
        <f aca="false">INDEX(libraries!$B:$B, MATCH(B36, libraries!$A:$A, 0), 1)</f>
        <v>sam0504</v>
      </c>
      <c r="L36" s="44" t="str">
        <f aca="false">INDEX(samples!$F:$F, MATCH(K36, samples!$A:$A, 0), 1)</f>
        <v>nf1_lib12</v>
      </c>
      <c r="M36" s="55" t="str">
        <f aca="false">INDEX(samples!$C:$C, MATCH(K36, samples!$A:$A, 0), 1)</f>
        <v>2024-06-18</v>
      </c>
      <c r="N36" s="44" t="str">
        <f aca="false">INDEX(samples!$B:$B, MATCH(K36, samples!$A:$A, 0), 1)</f>
        <v>par0296</v>
      </c>
      <c r="O36" s="44" t="s">
        <v>1437</v>
      </c>
      <c r="P36" s="8" t="s">
        <v>3880</v>
      </c>
      <c r="Q36" s="8" t="s">
        <v>3996</v>
      </c>
      <c r="R36" s="8" t="s">
        <v>3893</v>
      </c>
      <c r="T36" s="8"/>
    </row>
    <row r="37" customFormat="false" ht="13.8" hidden="false" customHeight="false" outlineLevel="0" collapsed="false">
      <c r="A37" s="25" t="s">
        <v>3997</v>
      </c>
      <c r="B37" s="41" t="s">
        <v>3231</v>
      </c>
      <c r="C37" s="8" t="s">
        <v>427</v>
      </c>
      <c r="D37" s="8" t="s">
        <v>3877</v>
      </c>
      <c r="E37" s="0" t="s">
        <v>3878</v>
      </c>
      <c r="F37" s="0" t="s">
        <v>427</v>
      </c>
      <c r="G37" s="0" t="s">
        <v>427</v>
      </c>
      <c r="H37" s="0" t="s">
        <v>427</v>
      </c>
      <c r="I37" s="0" t="s">
        <v>3879</v>
      </c>
      <c r="K37" s="44" t="str">
        <f aca="false">INDEX(libraries!$B:$B, MATCH(B37, libraries!$A:$A, 0), 1)</f>
        <v>sam0004</v>
      </c>
      <c r="L37" s="44" t="n">
        <f aca="false">INDEX(samples!$F:$F, MATCH(K37, samples!$A:$A, 0), 1)</f>
        <v>0</v>
      </c>
      <c r="M37" s="55" t="str">
        <f aca="false">INDEX(samples!$C:$C, MATCH(K37, samples!$A:$A, 0), 1)</f>
        <v>UNK</v>
      </c>
      <c r="N37" s="44" t="str">
        <f aca="false">INDEX(samples!$B:$B, MATCH(K37, samples!$A:$A, 0), 1)</f>
        <v>par0113</v>
      </c>
      <c r="O37" s="44" t="s">
        <v>838</v>
      </c>
      <c r="P37" s="8" t="s">
        <v>3880</v>
      </c>
      <c r="Q37" s="8" t="s">
        <v>36</v>
      </c>
      <c r="R37" s="33" t="s">
        <v>3881</v>
      </c>
      <c r="T37" s="8"/>
    </row>
    <row r="38" customFormat="false" ht="13.8" hidden="false" customHeight="false" outlineLevel="0" collapsed="false">
      <c r="A38" s="25" t="s">
        <v>3998</v>
      </c>
      <c r="B38" s="41" t="s">
        <v>3200</v>
      </c>
      <c r="C38" s="8" t="s">
        <v>427</v>
      </c>
      <c r="D38" s="8" t="s">
        <v>3877</v>
      </c>
      <c r="E38" s="0" t="s">
        <v>3878</v>
      </c>
      <c r="F38" s="0" t="s">
        <v>427</v>
      </c>
      <c r="G38" s="0" t="s">
        <v>427</v>
      </c>
      <c r="H38" s="0" t="s">
        <v>427</v>
      </c>
      <c r="I38" s="0" t="s">
        <v>3879</v>
      </c>
      <c r="K38" s="44" t="str">
        <f aca="false">INDEX(libraries!$B:$B, MATCH(B38, libraries!$A:$A, 0), 1)</f>
        <v>sam0040</v>
      </c>
      <c r="L38" s="44" t="n">
        <f aca="false">INDEX(samples!$F:$F, MATCH(K38, samples!$A:$A, 0), 1)</f>
        <v>0</v>
      </c>
      <c r="M38" s="55" t="str">
        <f aca="false">INDEX(samples!$C:$C, MATCH(K38, samples!$A:$A, 0), 1)</f>
        <v>2018-11-19</v>
      </c>
      <c r="N38" s="44" t="str">
        <f aca="false">INDEX(samples!$B:$B, MATCH(K38, samples!$A:$A, 0), 1)</f>
        <v>par0016</v>
      </c>
      <c r="O38" s="44" t="s">
        <v>540</v>
      </c>
      <c r="P38" s="8" t="s">
        <v>3880</v>
      </c>
      <c r="Q38" s="8" t="s">
        <v>36</v>
      </c>
      <c r="R38" s="33" t="s">
        <v>3966</v>
      </c>
      <c r="T38" s="8"/>
    </row>
    <row r="39" customFormat="false" ht="13.8" hidden="false" customHeight="false" outlineLevel="0" collapsed="false">
      <c r="A39" s="25" t="s">
        <v>3999</v>
      </c>
      <c r="B39" s="41" t="s">
        <v>3364</v>
      </c>
      <c r="C39" s="8" t="s">
        <v>427</v>
      </c>
      <c r="D39" s="8" t="s">
        <v>3877</v>
      </c>
      <c r="E39" s="0" t="s">
        <v>3878</v>
      </c>
      <c r="F39" s="0" t="s">
        <v>427</v>
      </c>
      <c r="G39" s="0" t="s">
        <v>427</v>
      </c>
      <c r="H39" s="0" t="s">
        <v>427</v>
      </c>
      <c r="I39" s="0" t="s">
        <v>3879</v>
      </c>
      <c r="K39" s="44" t="str">
        <f aca="false">INDEX(libraries!$B:$B, MATCH(B39, libraries!$A:$A, 0), 1)</f>
        <v>sam0220</v>
      </c>
      <c r="L39" s="44" t="n">
        <f aca="false">INDEX(samples!$F:$F, MATCH(K39, samples!$A:$A, 0), 1)</f>
        <v>0</v>
      </c>
      <c r="M39" s="55" t="str">
        <f aca="false">INDEX(samples!$C:$C, MATCH(K39, samples!$A:$A, 0), 1)</f>
        <v>2019-08-05</v>
      </c>
      <c r="N39" s="44" t="str">
        <f aca="false">INDEX(samples!$B:$B, MATCH(K39, samples!$A:$A, 0), 1)</f>
        <v>par0011</v>
      </c>
      <c r="O39" s="44" t="s">
        <v>520</v>
      </c>
      <c r="P39" s="8" t="s">
        <v>3880</v>
      </c>
      <c r="Q39" s="8" t="s">
        <v>36</v>
      </c>
      <c r="R39" s="33" t="s">
        <v>3881</v>
      </c>
      <c r="T39" s="8"/>
    </row>
    <row r="40" customFormat="false" ht="13.8" hidden="false" customHeight="false" outlineLevel="0" collapsed="false">
      <c r="A40" s="25" t="s">
        <v>4000</v>
      </c>
      <c r="B40" s="41" t="s">
        <v>3675</v>
      </c>
      <c r="C40" s="8" t="s">
        <v>3123</v>
      </c>
      <c r="D40" s="8" t="s">
        <v>3877</v>
      </c>
      <c r="E40" s="0" t="s">
        <v>3878</v>
      </c>
      <c r="F40" s="0" t="s">
        <v>4001</v>
      </c>
      <c r="G40" s="0" t="s">
        <v>4002</v>
      </c>
      <c r="H40" s="0" t="s">
        <v>427</v>
      </c>
      <c r="I40" s="0" t="s">
        <v>3891</v>
      </c>
      <c r="K40" s="44" t="str">
        <f aca="false">INDEX(libraries!$B:$B, MATCH(B40, libraries!$A:$A, 0), 1)</f>
        <v>sam0505</v>
      </c>
      <c r="L40" s="44" t="str">
        <f aca="false">INDEX(samples!$F:$F, MATCH(K40, samples!$A:$A, 0), 1)</f>
        <v>nf1_lib13</v>
      </c>
      <c r="M40" s="55" t="str">
        <f aca="false">INDEX(samples!$C:$C, MATCH(K40, samples!$A:$A, 0), 1)</f>
        <v>2024-07-16</v>
      </c>
      <c r="N40" s="44" t="str">
        <f aca="false">INDEX(samples!$B:$B, MATCH(K40, samples!$A:$A, 0), 1)</f>
        <v>par0294</v>
      </c>
      <c r="O40" s="44" t="s">
        <v>1431</v>
      </c>
      <c r="P40" s="8" t="s">
        <v>3880</v>
      </c>
      <c r="Q40" s="8" t="s">
        <v>4003</v>
      </c>
      <c r="R40" s="8" t="s">
        <v>3893</v>
      </c>
      <c r="T40" s="8"/>
    </row>
    <row r="41" customFormat="false" ht="13.8" hidden="false" customHeight="false" outlineLevel="0" collapsed="false">
      <c r="A41" s="25" t="s">
        <v>4004</v>
      </c>
      <c r="B41" s="41" t="s">
        <v>3248</v>
      </c>
      <c r="C41" s="8" t="s">
        <v>427</v>
      </c>
      <c r="D41" s="8" t="s">
        <v>3877</v>
      </c>
      <c r="E41" s="0" t="s">
        <v>3878</v>
      </c>
      <c r="F41" s="0" t="s">
        <v>427</v>
      </c>
      <c r="G41" s="0" t="s">
        <v>427</v>
      </c>
      <c r="H41" s="0" t="s">
        <v>427</v>
      </c>
      <c r="I41" s="0" t="s">
        <v>3879</v>
      </c>
      <c r="K41" s="44" t="str">
        <f aca="false">INDEX(libraries!$B:$B, MATCH(B41, libraries!$A:$A, 0), 1)</f>
        <v>sam0005</v>
      </c>
      <c r="L41" s="44" t="n">
        <f aca="false">INDEX(samples!$F:$F, MATCH(K41, samples!$A:$A, 0), 1)</f>
        <v>0</v>
      </c>
      <c r="M41" s="55" t="str">
        <f aca="false">INDEX(samples!$C:$C, MATCH(K41, samples!$A:$A, 0), 1)</f>
        <v>UNK</v>
      </c>
      <c r="N41" s="44" t="str">
        <f aca="false">INDEX(samples!$B:$B, MATCH(K41, samples!$A:$A, 0), 1)</f>
        <v>par0114</v>
      </c>
      <c r="O41" s="44" t="s">
        <v>841</v>
      </c>
      <c r="P41" s="8" t="s">
        <v>3880</v>
      </c>
      <c r="Q41" s="8" t="s">
        <v>36</v>
      </c>
      <c r="R41" s="33" t="s">
        <v>3881</v>
      </c>
      <c r="T41" s="8"/>
    </row>
    <row r="42" customFormat="false" ht="13.8" hidden="false" customHeight="false" outlineLevel="0" collapsed="false">
      <c r="A42" s="25" t="s">
        <v>4005</v>
      </c>
      <c r="B42" s="41" t="s">
        <v>3260</v>
      </c>
      <c r="C42" s="8" t="s">
        <v>427</v>
      </c>
      <c r="D42" s="8" t="s">
        <v>3877</v>
      </c>
      <c r="E42" s="0" t="s">
        <v>3878</v>
      </c>
      <c r="F42" s="0" t="s">
        <v>427</v>
      </c>
      <c r="G42" s="0" t="s">
        <v>427</v>
      </c>
      <c r="H42" s="0" t="s">
        <v>427</v>
      </c>
      <c r="I42" s="0" t="s">
        <v>3879</v>
      </c>
      <c r="K42" s="44" t="str">
        <f aca="false">INDEX(libraries!$B:$B, MATCH(B42, libraries!$A:$A, 0), 1)</f>
        <v>sam0095</v>
      </c>
      <c r="L42" s="44" t="n">
        <f aca="false">INDEX(samples!$F:$F, MATCH(K42, samples!$A:$A, 0), 1)</f>
        <v>0</v>
      </c>
      <c r="M42" s="55" t="str">
        <f aca="false">INDEX(samples!$C:$C, MATCH(K42, samples!$A:$A, 0), 1)</f>
        <v>2019-04-01</v>
      </c>
      <c r="N42" s="44" t="str">
        <f aca="false">INDEX(samples!$B:$B, MATCH(K42, samples!$A:$A, 0), 1)</f>
        <v>par0130</v>
      </c>
      <c r="O42" s="44" t="s">
        <v>888</v>
      </c>
      <c r="P42" s="8" t="s">
        <v>3880</v>
      </c>
      <c r="Q42" s="8" t="s">
        <v>36</v>
      </c>
      <c r="R42" s="33" t="s">
        <v>3966</v>
      </c>
      <c r="T42" s="8"/>
    </row>
    <row r="43" customFormat="false" ht="13.8" hidden="false" customHeight="false" outlineLevel="0" collapsed="false">
      <c r="A43" s="25" t="s">
        <v>4006</v>
      </c>
      <c r="B43" s="41" t="s">
        <v>3676</v>
      </c>
      <c r="C43" s="8" t="s">
        <v>3123</v>
      </c>
      <c r="D43" s="8" t="s">
        <v>3877</v>
      </c>
      <c r="E43" s="0" t="s">
        <v>3878</v>
      </c>
      <c r="F43" s="0" t="s">
        <v>4007</v>
      </c>
      <c r="G43" s="0" t="s">
        <v>4008</v>
      </c>
      <c r="H43" s="0" t="s">
        <v>427</v>
      </c>
      <c r="I43" s="0" t="s">
        <v>3891</v>
      </c>
      <c r="K43" s="44" t="str">
        <f aca="false">INDEX(libraries!$B:$B, MATCH(B43, libraries!$A:$A, 0), 1)</f>
        <v>sam0506</v>
      </c>
      <c r="L43" s="44" t="str">
        <f aca="false">INDEX(samples!$F:$F, MATCH(K43, samples!$A:$A, 0), 1)</f>
        <v>nf1_lib14</v>
      </c>
      <c r="M43" s="55" t="n">
        <f aca="false">INDEX(samples!$C:$C, MATCH(K43, samples!$A:$A, 0), 1)</f>
        <v>45279</v>
      </c>
      <c r="N43" s="44" t="str">
        <f aca="false">INDEX(samples!$B:$B, MATCH(K43, samples!$A:$A, 0), 1)</f>
        <v>par0296</v>
      </c>
      <c r="O43" s="44" t="s">
        <v>1437</v>
      </c>
      <c r="P43" s="8" t="s">
        <v>3880</v>
      </c>
      <c r="Q43" s="8" t="s">
        <v>4009</v>
      </c>
      <c r="R43" s="8" t="s">
        <v>3893</v>
      </c>
      <c r="T43" s="8"/>
    </row>
    <row r="44" customFormat="false" ht="13.8" hidden="false" customHeight="false" outlineLevel="0" collapsed="false">
      <c r="A44" s="25" t="s">
        <v>4010</v>
      </c>
      <c r="B44" s="41" t="s">
        <v>3211</v>
      </c>
      <c r="C44" s="8" t="s">
        <v>427</v>
      </c>
      <c r="D44" s="8" t="s">
        <v>3877</v>
      </c>
      <c r="E44" s="0" t="s">
        <v>3878</v>
      </c>
      <c r="F44" s="0" t="s">
        <v>427</v>
      </c>
      <c r="G44" s="0" t="s">
        <v>427</v>
      </c>
      <c r="H44" s="0" t="s">
        <v>427</v>
      </c>
      <c r="I44" s="0" t="s">
        <v>3879</v>
      </c>
      <c r="K44" s="44" t="str">
        <f aca="false">INDEX(libraries!$B:$B, MATCH(B44, libraries!$A:$A, 0), 1)</f>
        <v>sam0006</v>
      </c>
      <c r="L44" s="44" t="n">
        <f aca="false">INDEX(samples!$F:$F, MATCH(K44, samples!$A:$A, 0), 1)</f>
        <v>0</v>
      </c>
      <c r="M44" s="55" t="str">
        <f aca="false">INDEX(samples!$C:$C, MATCH(K44, samples!$A:$A, 0), 1)</f>
        <v>UNK</v>
      </c>
      <c r="N44" s="44" t="str">
        <f aca="false">INDEX(samples!$B:$B, MATCH(K44, samples!$A:$A, 0), 1)</f>
        <v>par0115</v>
      </c>
      <c r="O44" s="44" t="s">
        <v>844</v>
      </c>
      <c r="P44" s="8" t="s">
        <v>3880</v>
      </c>
      <c r="Q44" s="8" t="s">
        <v>36</v>
      </c>
      <c r="R44" s="33" t="s">
        <v>3881</v>
      </c>
      <c r="T44" s="8"/>
    </row>
    <row r="45" customFormat="false" ht="13.8" hidden="false" customHeight="false" outlineLevel="0" collapsed="false">
      <c r="A45" s="25" t="s">
        <v>4011</v>
      </c>
      <c r="B45" s="41" t="s">
        <v>3365</v>
      </c>
      <c r="C45" s="8" t="s">
        <v>427</v>
      </c>
      <c r="D45" s="8" t="s">
        <v>3877</v>
      </c>
      <c r="E45" s="0" t="s">
        <v>3878</v>
      </c>
      <c r="F45" s="0" t="s">
        <v>427</v>
      </c>
      <c r="G45" s="0" t="s">
        <v>427</v>
      </c>
      <c r="H45" s="0" t="s">
        <v>427</v>
      </c>
      <c r="I45" s="0" t="s">
        <v>3879</v>
      </c>
      <c r="K45" s="44" t="str">
        <f aca="false">INDEX(libraries!$B:$B, MATCH(B45, libraries!$A:$A, 0), 1)</f>
        <v>sam0222</v>
      </c>
      <c r="L45" s="44" t="n">
        <f aca="false">INDEX(samples!$F:$F, MATCH(K45, samples!$A:$A, 0), 1)</f>
        <v>0</v>
      </c>
      <c r="M45" s="55" t="str">
        <f aca="false">INDEX(samples!$C:$C, MATCH(K45, samples!$A:$A, 0), 1)</f>
        <v>2019-08-22</v>
      </c>
      <c r="N45" s="44" t="str">
        <f aca="false">INDEX(samples!$B:$B, MATCH(K45, samples!$A:$A, 0), 1)</f>
        <v>par0139</v>
      </c>
      <c r="O45" s="44" t="s">
        <v>918</v>
      </c>
      <c r="P45" s="8" t="s">
        <v>3880</v>
      </c>
      <c r="Q45" s="8" t="s">
        <v>36</v>
      </c>
      <c r="R45" s="33" t="s">
        <v>3881</v>
      </c>
      <c r="T45" s="8"/>
    </row>
    <row r="46" customFormat="false" ht="13.8" hidden="false" customHeight="false" outlineLevel="0" collapsed="false">
      <c r="A46" s="25" t="s">
        <v>4012</v>
      </c>
      <c r="B46" s="41" t="s">
        <v>3165</v>
      </c>
      <c r="C46" s="8" t="s">
        <v>427</v>
      </c>
      <c r="D46" s="8" t="s">
        <v>3877</v>
      </c>
      <c r="E46" s="0" t="s">
        <v>3878</v>
      </c>
      <c r="F46" s="0" t="s">
        <v>427</v>
      </c>
      <c r="G46" s="0" t="s">
        <v>427</v>
      </c>
      <c r="H46" s="0" t="s">
        <v>427</v>
      </c>
      <c r="I46" s="0" t="s">
        <v>3879</v>
      </c>
      <c r="K46" s="44" t="str">
        <f aca="false">INDEX(libraries!$B:$B, MATCH(B46, libraries!$A:$A, 0), 1)</f>
        <v>sam0041</v>
      </c>
      <c r="L46" s="44" t="n">
        <f aca="false">INDEX(samples!$F:$F, MATCH(K46, samples!$A:$A, 0), 1)</f>
        <v>0</v>
      </c>
      <c r="M46" s="55" t="str">
        <f aca="false">INDEX(samples!$C:$C, MATCH(K46, samples!$A:$A, 0), 1)</f>
        <v>2018-08-29</v>
      </c>
      <c r="N46" s="44" t="str">
        <f aca="false">INDEX(samples!$B:$B, MATCH(K46, samples!$A:$A, 0), 1)</f>
        <v>par0017</v>
      </c>
      <c r="O46" s="44" t="s">
        <v>545</v>
      </c>
      <c r="P46" s="8" t="s">
        <v>3880</v>
      </c>
      <c r="Q46" s="8" t="s">
        <v>36</v>
      </c>
      <c r="R46" s="33" t="s">
        <v>3881</v>
      </c>
      <c r="T46" s="8"/>
    </row>
    <row r="47" customFormat="false" ht="13.8" hidden="false" customHeight="false" outlineLevel="0" collapsed="false">
      <c r="A47" s="25" t="s">
        <v>4013</v>
      </c>
      <c r="B47" s="41" t="s">
        <v>3677</v>
      </c>
      <c r="C47" s="8" t="s">
        <v>3123</v>
      </c>
      <c r="D47" s="8" t="s">
        <v>3877</v>
      </c>
      <c r="E47" s="0" t="s">
        <v>3878</v>
      </c>
      <c r="F47" s="0" t="s">
        <v>4014</v>
      </c>
      <c r="G47" s="0" t="s">
        <v>4015</v>
      </c>
      <c r="H47" s="0" t="s">
        <v>427</v>
      </c>
      <c r="I47" s="0" t="s">
        <v>3891</v>
      </c>
      <c r="K47" s="44" t="str">
        <f aca="false">INDEX(libraries!$B:$B, MATCH(B47, libraries!$A:$A, 0), 1)</f>
        <v>sam0507</v>
      </c>
      <c r="L47" s="44" t="str">
        <f aca="false">INDEX(samples!$F:$F, MATCH(K47, samples!$A:$A, 0), 1)</f>
        <v>nf1_lib15</v>
      </c>
      <c r="M47" s="55" t="str">
        <f aca="false">INDEX(samples!$C:$C, MATCH(K47, samples!$A:$A, 0), 1)</f>
        <v>2023-04-04</v>
      </c>
      <c r="N47" s="44" t="str">
        <f aca="false">INDEX(samples!$B:$B, MATCH(K47, samples!$A:$A, 0), 1)</f>
        <v>par0297</v>
      </c>
      <c r="O47" s="44" t="s">
        <v>1440</v>
      </c>
      <c r="P47" s="8" t="s">
        <v>3880</v>
      </c>
      <c r="Q47" s="8" t="s">
        <v>4016</v>
      </c>
      <c r="R47" s="8" t="s">
        <v>3893</v>
      </c>
      <c r="T47" s="8"/>
    </row>
    <row r="48" customFormat="false" ht="13.8" hidden="false" customHeight="false" outlineLevel="0" collapsed="false">
      <c r="A48" s="25" t="s">
        <v>4017</v>
      </c>
      <c r="B48" s="41" t="s">
        <v>3240</v>
      </c>
      <c r="C48" s="8" t="s">
        <v>427</v>
      </c>
      <c r="D48" s="8" t="s">
        <v>3877</v>
      </c>
      <c r="E48" s="0" t="s">
        <v>3878</v>
      </c>
      <c r="F48" s="0" t="s">
        <v>427</v>
      </c>
      <c r="G48" s="0" t="s">
        <v>427</v>
      </c>
      <c r="H48" s="0" t="s">
        <v>427</v>
      </c>
      <c r="I48" s="0" t="s">
        <v>3879</v>
      </c>
      <c r="K48" s="44" t="str">
        <f aca="false">INDEX(libraries!$B:$B, MATCH(B48, libraries!$A:$A, 0), 1)</f>
        <v>sam0168</v>
      </c>
      <c r="L48" s="44" t="n">
        <f aca="false">INDEX(samples!$F:$F, MATCH(K48, samples!$A:$A, 0), 1)</f>
        <v>0</v>
      </c>
      <c r="M48" s="55" t="str">
        <f aca="false">INDEX(samples!$C:$C, MATCH(K48, samples!$A:$A, 0), 1)</f>
        <v>UNK</v>
      </c>
      <c r="N48" s="44" t="str">
        <f aca="false">INDEX(samples!$B:$B, MATCH(K48, samples!$A:$A, 0), 1)</f>
        <v>par0008</v>
      </c>
      <c r="O48" s="44" t="s">
        <v>505</v>
      </c>
      <c r="P48" s="8" t="s">
        <v>3880</v>
      </c>
      <c r="Q48" s="8" t="s">
        <v>36</v>
      </c>
      <c r="R48" s="33" t="s">
        <v>3881</v>
      </c>
      <c r="T48" s="8"/>
    </row>
    <row r="49" customFormat="false" ht="13.8" hidden="false" customHeight="false" outlineLevel="0" collapsed="false">
      <c r="A49" s="25" t="s">
        <v>4018</v>
      </c>
      <c r="B49" s="41" t="s">
        <v>3162</v>
      </c>
      <c r="C49" s="8" t="s">
        <v>427</v>
      </c>
      <c r="D49" s="8" t="s">
        <v>3877</v>
      </c>
      <c r="E49" s="0" t="s">
        <v>3878</v>
      </c>
      <c r="F49" s="0" t="s">
        <v>427</v>
      </c>
      <c r="G49" s="0" t="s">
        <v>427</v>
      </c>
      <c r="H49" s="0" t="s">
        <v>427</v>
      </c>
      <c r="I49" s="0" t="s">
        <v>3879</v>
      </c>
      <c r="K49" s="44" t="str">
        <f aca="false">INDEX(libraries!$B:$B, MATCH(B49, libraries!$A:$A, 0), 1)</f>
        <v>sam0043</v>
      </c>
      <c r="L49" s="44" t="n">
        <f aca="false">INDEX(samples!$F:$F, MATCH(K49, samples!$A:$A, 0), 1)</f>
        <v>0</v>
      </c>
      <c r="M49" s="55" t="str">
        <f aca="false">INDEX(samples!$C:$C, MATCH(K49, samples!$A:$A, 0), 1)</f>
        <v>2018-08-06</v>
      </c>
      <c r="N49" s="44" t="str">
        <f aca="false">INDEX(samples!$B:$B, MATCH(K49, samples!$A:$A, 0), 1)</f>
        <v>par0018</v>
      </c>
      <c r="O49" s="44" t="s">
        <v>549</v>
      </c>
      <c r="P49" s="8" t="s">
        <v>3880</v>
      </c>
      <c r="Q49" s="8" t="s">
        <v>36</v>
      </c>
      <c r="R49" s="33" t="s">
        <v>3881</v>
      </c>
      <c r="T49" s="8"/>
    </row>
    <row r="50" customFormat="false" ht="13.8" hidden="false" customHeight="false" outlineLevel="0" collapsed="false">
      <c r="A50" s="25" t="s">
        <v>4019</v>
      </c>
      <c r="B50" s="41" t="s">
        <v>3266</v>
      </c>
      <c r="C50" s="8" t="s">
        <v>427</v>
      </c>
      <c r="D50" s="8" t="s">
        <v>3877</v>
      </c>
      <c r="E50" s="0" t="s">
        <v>3878</v>
      </c>
      <c r="F50" s="0" t="s">
        <v>427</v>
      </c>
      <c r="G50" s="0" t="s">
        <v>427</v>
      </c>
      <c r="H50" s="0" t="s">
        <v>427</v>
      </c>
      <c r="I50" s="0" t="s">
        <v>3879</v>
      </c>
      <c r="K50" s="44" t="str">
        <f aca="false">INDEX(libraries!$B:$B, MATCH(B50, libraries!$A:$A, 0), 1)</f>
        <v>sam0093</v>
      </c>
      <c r="L50" s="44" t="n">
        <f aca="false">INDEX(samples!$F:$F, MATCH(K50, samples!$A:$A, 0), 1)</f>
        <v>0</v>
      </c>
      <c r="M50" s="55" t="str">
        <f aca="false">INDEX(samples!$C:$C, MATCH(K50, samples!$A:$A, 0), 1)</f>
        <v>2019-02-27</v>
      </c>
      <c r="N50" s="44" t="str">
        <f aca="false">INDEX(samples!$B:$B, MATCH(K50, samples!$A:$A, 0), 1)</f>
        <v>par0129</v>
      </c>
      <c r="O50" s="44" t="s">
        <v>884</v>
      </c>
      <c r="P50" s="8" t="s">
        <v>3880</v>
      </c>
      <c r="Q50" s="8" t="s">
        <v>36</v>
      </c>
      <c r="R50" s="33" t="s">
        <v>3966</v>
      </c>
      <c r="T50" s="8"/>
    </row>
    <row r="51" customFormat="false" ht="13.8" hidden="false" customHeight="false" outlineLevel="0" collapsed="false">
      <c r="A51" s="25" t="s">
        <v>4020</v>
      </c>
      <c r="B51" s="41" t="s">
        <v>3678</v>
      </c>
      <c r="C51" s="8" t="s">
        <v>3123</v>
      </c>
      <c r="D51" s="8" t="s">
        <v>3877</v>
      </c>
      <c r="E51" s="0" t="s">
        <v>3878</v>
      </c>
      <c r="F51" s="0" t="s">
        <v>4021</v>
      </c>
      <c r="G51" s="0" t="s">
        <v>4022</v>
      </c>
      <c r="H51" s="0" t="s">
        <v>427</v>
      </c>
      <c r="I51" s="0" t="s">
        <v>3891</v>
      </c>
      <c r="K51" s="44" t="str">
        <f aca="false">INDEX(libraries!$B:$B, MATCH(B51, libraries!$A:$A, 0), 1)</f>
        <v>sam0508</v>
      </c>
      <c r="L51" s="44" t="str">
        <f aca="false">INDEX(samples!$F:$F, MATCH(K51, samples!$A:$A, 0), 1)</f>
        <v>nf1_lib16</v>
      </c>
      <c r="M51" s="55" t="str">
        <f aca="false">INDEX(samples!$C:$C, MATCH(K51, samples!$A:$A, 0), 1)</f>
        <v>2023-04-25</v>
      </c>
      <c r="N51" s="44" t="str">
        <f aca="false">INDEX(samples!$B:$B, MATCH(K51, samples!$A:$A, 0), 1)</f>
        <v>par0297</v>
      </c>
      <c r="O51" s="44" t="s">
        <v>1440</v>
      </c>
      <c r="P51" s="8" t="s">
        <v>3880</v>
      </c>
      <c r="Q51" s="8" t="s">
        <v>4023</v>
      </c>
      <c r="R51" s="8" t="s">
        <v>3893</v>
      </c>
      <c r="T51" s="8"/>
    </row>
    <row r="52" customFormat="false" ht="13.8" hidden="false" customHeight="false" outlineLevel="0" collapsed="false">
      <c r="A52" s="25" t="s">
        <v>4024</v>
      </c>
      <c r="B52" s="41" t="s">
        <v>3212</v>
      </c>
      <c r="C52" s="8" t="s">
        <v>427</v>
      </c>
      <c r="D52" s="8" t="s">
        <v>3877</v>
      </c>
      <c r="E52" s="0" t="s">
        <v>3878</v>
      </c>
      <c r="F52" s="0" t="s">
        <v>427</v>
      </c>
      <c r="G52" s="0" t="s">
        <v>427</v>
      </c>
      <c r="H52" s="0" t="s">
        <v>427</v>
      </c>
      <c r="I52" s="0" t="s">
        <v>3879</v>
      </c>
      <c r="K52" s="44" t="str">
        <f aca="false">INDEX(libraries!$B:$B, MATCH(B52, libraries!$A:$A, 0), 1)</f>
        <v>sam0169</v>
      </c>
      <c r="L52" s="44" t="n">
        <f aca="false">INDEX(samples!$F:$F, MATCH(K52, samples!$A:$A, 0), 1)</f>
        <v>0</v>
      </c>
      <c r="M52" s="55" t="str">
        <f aca="false">INDEX(samples!$C:$C, MATCH(K52, samples!$A:$A, 0), 1)</f>
        <v>UNK</v>
      </c>
      <c r="N52" s="44" t="str">
        <f aca="false">INDEX(samples!$B:$B, MATCH(K52, samples!$A:$A, 0), 1)</f>
        <v>par0002</v>
      </c>
      <c r="O52" s="44" t="s">
        <v>482</v>
      </c>
      <c r="P52" s="8" t="s">
        <v>3880</v>
      </c>
      <c r="Q52" s="8" t="s">
        <v>36</v>
      </c>
      <c r="R52" s="33" t="s">
        <v>3881</v>
      </c>
      <c r="T52" s="8"/>
    </row>
    <row r="53" customFormat="false" ht="13.8" hidden="false" customHeight="false" outlineLevel="0" collapsed="false">
      <c r="A53" s="25" t="s">
        <v>4025</v>
      </c>
      <c r="B53" s="41" t="s">
        <v>3197</v>
      </c>
      <c r="C53" s="8" t="s">
        <v>427</v>
      </c>
      <c r="D53" s="8" t="s">
        <v>3877</v>
      </c>
      <c r="E53" s="0" t="s">
        <v>3878</v>
      </c>
      <c r="F53" s="0" t="s">
        <v>427</v>
      </c>
      <c r="G53" s="0" t="s">
        <v>427</v>
      </c>
      <c r="H53" s="0" t="s">
        <v>427</v>
      </c>
      <c r="I53" s="0" t="s">
        <v>3879</v>
      </c>
      <c r="K53" s="44" t="str">
        <f aca="false">INDEX(libraries!$B:$B, MATCH(B53, libraries!$A:$A, 0), 1)</f>
        <v>sam0044</v>
      </c>
      <c r="L53" s="44" t="n">
        <f aca="false">INDEX(samples!$F:$F, MATCH(K53, samples!$A:$A, 0), 1)</f>
        <v>0</v>
      </c>
      <c r="M53" s="55" t="str">
        <f aca="false">INDEX(samples!$C:$C, MATCH(K53, samples!$A:$A, 0), 1)</f>
        <v>2018-08-06</v>
      </c>
      <c r="N53" s="44" t="str">
        <f aca="false">INDEX(samples!$B:$B, MATCH(K53, samples!$A:$A, 0), 1)</f>
        <v>par0019</v>
      </c>
      <c r="O53" s="44" t="s">
        <v>553</v>
      </c>
      <c r="P53" s="8" t="s">
        <v>3880</v>
      </c>
      <c r="Q53" s="8" t="s">
        <v>36</v>
      </c>
      <c r="R53" s="33" t="s">
        <v>3881</v>
      </c>
      <c r="T53" s="8"/>
    </row>
    <row r="54" customFormat="false" ht="13.8" hidden="false" customHeight="false" outlineLevel="0" collapsed="false">
      <c r="A54" s="25" t="s">
        <v>4026</v>
      </c>
      <c r="B54" s="41" t="s">
        <v>3366</v>
      </c>
      <c r="C54" s="8" t="s">
        <v>427</v>
      </c>
      <c r="D54" s="8" t="s">
        <v>3877</v>
      </c>
      <c r="E54" s="0" t="s">
        <v>3878</v>
      </c>
      <c r="F54" s="0" t="s">
        <v>427</v>
      </c>
      <c r="G54" s="0" t="s">
        <v>427</v>
      </c>
      <c r="H54" s="0" t="s">
        <v>427</v>
      </c>
      <c r="I54" s="0" t="s">
        <v>3879</v>
      </c>
      <c r="K54" s="44" t="str">
        <f aca="false">INDEX(libraries!$B:$B, MATCH(B54, libraries!$A:$A, 0), 1)</f>
        <v>sam0224</v>
      </c>
      <c r="L54" s="44" t="n">
        <f aca="false">INDEX(samples!$F:$F, MATCH(K54, samples!$A:$A, 0), 1)</f>
        <v>0</v>
      </c>
      <c r="M54" s="55" t="str">
        <f aca="false">INDEX(samples!$C:$C, MATCH(K54, samples!$A:$A, 0), 1)</f>
        <v>2019-09-23</v>
      </c>
      <c r="N54" s="44" t="str">
        <f aca="false">INDEX(samples!$B:$B, MATCH(K54, samples!$A:$A, 0), 1)</f>
        <v>par0140</v>
      </c>
      <c r="O54" s="44" t="s">
        <v>921</v>
      </c>
      <c r="P54" s="8" t="s">
        <v>3880</v>
      </c>
      <c r="Q54" s="8" t="s">
        <v>36</v>
      </c>
      <c r="R54" s="33" t="s">
        <v>3881</v>
      </c>
      <c r="T54" s="8"/>
    </row>
    <row r="55" customFormat="false" ht="13.8" hidden="false" customHeight="false" outlineLevel="0" collapsed="false">
      <c r="A55" s="25" t="s">
        <v>4027</v>
      </c>
      <c r="B55" s="41" t="s">
        <v>3679</v>
      </c>
      <c r="C55" s="8" t="s">
        <v>3123</v>
      </c>
      <c r="D55" s="8" t="s">
        <v>3877</v>
      </c>
      <c r="E55" s="0" t="s">
        <v>3878</v>
      </c>
      <c r="F55" s="0" t="s">
        <v>4028</v>
      </c>
      <c r="G55" s="0" t="s">
        <v>4029</v>
      </c>
      <c r="H55" s="0" t="s">
        <v>427</v>
      </c>
      <c r="I55" s="0" t="s">
        <v>3891</v>
      </c>
      <c r="K55" s="44" t="str">
        <f aca="false">INDEX(libraries!$B:$B, MATCH(B55, libraries!$A:$A, 0), 1)</f>
        <v>sam0509</v>
      </c>
      <c r="L55" s="44" t="str">
        <f aca="false">INDEX(samples!$F:$F, MATCH(K55, samples!$A:$A, 0), 1)</f>
        <v>nf1_lib17</v>
      </c>
      <c r="M55" s="55" t="str">
        <f aca="false">INDEX(samples!$C:$C, MATCH(K55, samples!$A:$A, 0), 1)</f>
        <v>2023-06-06</v>
      </c>
      <c r="N55" s="44" t="str">
        <f aca="false">INDEX(samples!$B:$B, MATCH(K55, samples!$A:$A, 0), 1)</f>
        <v>par0297</v>
      </c>
      <c r="O55" s="44" t="s">
        <v>1440</v>
      </c>
      <c r="P55" s="8" t="s">
        <v>3880</v>
      </c>
      <c r="Q55" s="8" t="s">
        <v>4030</v>
      </c>
      <c r="R55" s="8" t="s">
        <v>3893</v>
      </c>
      <c r="T55" s="8"/>
    </row>
    <row r="56" customFormat="false" ht="13.8" hidden="false" customHeight="false" outlineLevel="0" collapsed="false">
      <c r="A56" s="25" t="s">
        <v>4031</v>
      </c>
      <c r="B56" s="41" t="s">
        <v>3557</v>
      </c>
      <c r="C56" s="8" t="s">
        <v>427</v>
      </c>
      <c r="D56" s="8" t="s">
        <v>3877</v>
      </c>
      <c r="E56" s="0" t="s">
        <v>3878</v>
      </c>
      <c r="F56" s="0" t="s">
        <v>427</v>
      </c>
      <c r="G56" s="0" t="s">
        <v>427</v>
      </c>
      <c r="H56" s="0" t="s">
        <v>427</v>
      </c>
      <c r="I56" s="0" t="s">
        <v>3879</v>
      </c>
      <c r="K56" s="44" t="str">
        <f aca="false">INDEX(libraries!$B:$B, MATCH(B56, libraries!$A:$A, 0), 1)</f>
        <v>sam0355</v>
      </c>
      <c r="L56" s="44" t="n">
        <f aca="false">INDEX(samples!$F:$F, MATCH(K56, samples!$A:$A, 0), 1)</f>
        <v>0</v>
      </c>
      <c r="M56" s="55" t="str">
        <f aca="false">INDEX(samples!$C:$C, MATCH(K56, samples!$A:$A, 0), 1)</f>
        <v>2020-10-20</v>
      </c>
      <c r="N56" s="44" t="str">
        <f aca="false">INDEX(samples!$B:$B, MATCH(K56, samples!$A:$A, 0), 1)</f>
        <v>par0202</v>
      </c>
      <c r="O56" s="44" t="s">
        <v>1086</v>
      </c>
      <c r="P56" s="8" t="s">
        <v>3880</v>
      </c>
      <c r="Q56" s="8" t="s">
        <v>36</v>
      </c>
      <c r="R56" s="33" t="s">
        <v>3881</v>
      </c>
      <c r="T56" s="8"/>
    </row>
    <row r="57" customFormat="false" ht="13.8" hidden="false" customHeight="false" outlineLevel="0" collapsed="false">
      <c r="A57" s="25" t="s">
        <v>4032</v>
      </c>
      <c r="B57" s="41" t="s">
        <v>3213</v>
      </c>
      <c r="C57" s="8" t="s">
        <v>427</v>
      </c>
      <c r="D57" s="8" t="s">
        <v>3877</v>
      </c>
      <c r="E57" s="0" t="s">
        <v>3878</v>
      </c>
      <c r="F57" s="0" t="s">
        <v>427</v>
      </c>
      <c r="G57" s="0" t="s">
        <v>427</v>
      </c>
      <c r="H57" s="0" t="s">
        <v>427</v>
      </c>
      <c r="I57" s="0" t="s">
        <v>3879</v>
      </c>
      <c r="K57" s="44" t="str">
        <f aca="false">INDEX(libraries!$B:$B, MATCH(B57, libraries!$A:$A, 0), 1)</f>
        <v>sam0170</v>
      </c>
      <c r="L57" s="44" t="n">
        <f aca="false">INDEX(samples!$F:$F, MATCH(K57, samples!$A:$A, 0), 1)</f>
        <v>0</v>
      </c>
      <c r="M57" s="55" t="str">
        <f aca="false">INDEX(samples!$C:$C, MATCH(K57, samples!$A:$A, 0), 1)</f>
        <v>UNK</v>
      </c>
      <c r="N57" s="44" t="str">
        <f aca="false">INDEX(samples!$B:$B, MATCH(K57, samples!$A:$A, 0), 1)</f>
        <v>par0003</v>
      </c>
      <c r="O57" s="44" t="s">
        <v>490</v>
      </c>
      <c r="P57" s="8" t="s">
        <v>3880</v>
      </c>
      <c r="Q57" s="8" t="s">
        <v>36</v>
      </c>
      <c r="R57" s="33" t="s">
        <v>3881</v>
      </c>
      <c r="T57" s="8"/>
    </row>
    <row r="58" customFormat="false" ht="13.8" hidden="false" customHeight="false" outlineLevel="0" collapsed="false">
      <c r="A58" s="25" t="s">
        <v>4033</v>
      </c>
      <c r="B58" s="41" t="s">
        <v>3202</v>
      </c>
      <c r="C58" s="8" t="s">
        <v>427</v>
      </c>
      <c r="D58" s="8" t="s">
        <v>3877</v>
      </c>
      <c r="E58" s="0" t="s">
        <v>3878</v>
      </c>
      <c r="F58" s="0" t="s">
        <v>427</v>
      </c>
      <c r="G58" s="0" t="s">
        <v>427</v>
      </c>
      <c r="H58" s="0" t="s">
        <v>427</v>
      </c>
      <c r="I58" s="0" t="s">
        <v>3879</v>
      </c>
      <c r="K58" s="44" t="str">
        <f aca="false">INDEX(libraries!$B:$B, MATCH(B58, libraries!$A:$A, 0), 1)</f>
        <v>sam0045</v>
      </c>
      <c r="L58" s="44" t="n">
        <f aca="false">INDEX(samples!$F:$F, MATCH(K58, samples!$A:$A, 0), 1)</f>
        <v>0</v>
      </c>
      <c r="M58" s="55" t="str">
        <f aca="false">INDEX(samples!$C:$C, MATCH(K58, samples!$A:$A, 0), 1)</f>
        <v>2018-06-27</v>
      </c>
      <c r="N58" s="44" t="str">
        <f aca="false">INDEX(samples!$B:$B, MATCH(K58, samples!$A:$A, 0), 1)</f>
        <v>par0020</v>
      </c>
      <c r="O58" s="44" t="s">
        <v>557</v>
      </c>
      <c r="P58" s="8" t="s">
        <v>3880</v>
      </c>
      <c r="Q58" s="8" t="s">
        <v>36</v>
      </c>
      <c r="R58" s="33" t="s">
        <v>3881</v>
      </c>
      <c r="T58" s="8"/>
    </row>
    <row r="59" customFormat="false" ht="13.8" hidden="false" customHeight="false" outlineLevel="0" collapsed="false">
      <c r="A59" s="25" t="s">
        <v>4034</v>
      </c>
      <c r="B59" s="41" t="s">
        <v>3269</v>
      </c>
      <c r="C59" s="8" t="s">
        <v>427</v>
      </c>
      <c r="D59" s="8" t="s">
        <v>3877</v>
      </c>
      <c r="E59" s="0" t="s">
        <v>3878</v>
      </c>
      <c r="F59" s="0" t="s">
        <v>427</v>
      </c>
      <c r="G59" s="0" t="s">
        <v>427</v>
      </c>
      <c r="H59" s="0" t="s">
        <v>427</v>
      </c>
      <c r="I59" s="0" t="s">
        <v>3879</v>
      </c>
      <c r="K59" s="44" t="str">
        <f aca="false">INDEX(libraries!$B:$B, MATCH(B59, libraries!$A:$A, 0), 1)</f>
        <v>sam0093</v>
      </c>
      <c r="L59" s="44" t="n">
        <f aca="false">INDEX(samples!$F:$F, MATCH(K59, samples!$A:$A, 0), 1)</f>
        <v>0</v>
      </c>
      <c r="M59" s="55" t="str">
        <f aca="false">INDEX(samples!$C:$C, MATCH(K59, samples!$A:$A, 0), 1)</f>
        <v>2019-02-27</v>
      </c>
      <c r="N59" s="44" t="str">
        <f aca="false">INDEX(samples!$B:$B, MATCH(K59, samples!$A:$A, 0), 1)</f>
        <v>par0129</v>
      </c>
      <c r="O59" s="44" t="s">
        <v>884</v>
      </c>
      <c r="P59" s="8" t="s">
        <v>3880</v>
      </c>
      <c r="Q59" s="8" t="s">
        <v>36</v>
      </c>
      <c r="R59" s="33" t="s">
        <v>3881</v>
      </c>
      <c r="T59" s="8"/>
    </row>
    <row r="60" customFormat="false" ht="13.8" hidden="false" customHeight="false" outlineLevel="0" collapsed="false">
      <c r="A60" s="25" t="s">
        <v>4035</v>
      </c>
      <c r="B60" s="41" t="s">
        <v>3680</v>
      </c>
      <c r="C60" s="8" t="s">
        <v>3123</v>
      </c>
      <c r="D60" s="8" t="s">
        <v>3877</v>
      </c>
      <c r="E60" s="0" t="s">
        <v>3878</v>
      </c>
      <c r="F60" s="0" t="s">
        <v>4036</v>
      </c>
      <c r="G60" s="0" t="s">
        <v>4037</v>
      </c>
      <c r="H60" s="0" t="s">
        <v>427</v>
      </c>
      <c r="I60" s="0" t="s">
        <v>3891</v>
      </c>
      <c r="K60" s="44" t="str">
        <f aca="false">INDEX(libraries!$B:$B, MATCH(B60, libraries!$A:$A, 0), 1)</f>
        <v>sam0510</v>
      </c>
      <c r="L60" s="44" t="str">
        <f aca="false">INDEX(samples!$F:$F, MATCH(K60, samples!$A:$A, 0), 1)</f>
        <v>nf1_lib18</v>
      </c>
      <c r="M60" s="55" t="str">
        <f aca="false">INDEX(samples!$C:$C, MATCH(K60, samples!$A:$A, 0), 1)</f>
        <v>2024-03-19</v>
      </c>
      <c r="N60" s="44" t="str">
        <f aca="false">INDEX(samples!$B:$B, MATCH(K60, samples!$A:$A, 0), 1)</f>
        <v>par0297</v>
      </c>
      <c r="O60" s="44" t="s">
        <v>1440</v>
      </c>
      <c r="P60" s="8" t="s">
        <v>3880</v>
      </c>
      <c r="Q60" s="8" t="s">
        <v>4038</v>
      </c>
      <c r="R60" s="8" t="s">
        <v>3893</v>
      </c>
      <c r="T60" s="8"/>
    </row>
    <row r="61" customFormat="false" ht="13.8" hidden="false" customHeight="false" outlineLevel="0" collapsed="false">
      <c r="A61" s="25" t="s">
        <v>4039</v>
      </c>
      <c r="B61" s="41" t="s">
        <v>3261</v>
      </c>
      <c r="C61" s="8" t="s">
        <v>427</v>
      </c>
      <c r="D61" s="8" t="s">
        <v>3877</v>
      </c>
      <c r="E61" s="0" t="s">
        <v>3878</v>
      </c>
      <c r="F61" s="0" t="s">
        <v>427</v>
      </c>
      <c r="G61" s="0" t="s">
        <v>427</v>
      </c>
      <c r="H61" s="0" t="s">
        <v>427</v>
      </c>
      <c r="I61" s="0" t="s">
        <v>3879</v>
      </c>
      <c r="K61" s="44" t="str">
        <f aca="false">INDEX(libraries!$B:$B, MATCH(B61, libraries!$A:$A, 0), 1)</f>
        <v>sam0013</v>
      </c>
      <c r="L61" s="44" t="n">
        <f aca="false">INDEX(samples!$F:$F, MATCH(K61, samples!$A:$A, 0), 1)</f>
        <v>0</v>
      </c>
      <c r="M61" s="55" t="str">
        <f aca="false">INDEX(samples!$C:$C, MATCH(K61, samples!$A:$A, 0), 1)</f>
        <v>UNK</v>
      </c>
      <c r="N61" s="44" t="str">
        <f aca="false">INDEX(samples!$B:$B, MATCH(K61, samples!$A:$A, 0), 1)</f>
        <v>par0005</v>
      </c>
      <c r="O61" s="44" t="s">
        <v>496</v>
      </c>
      <c r="P61" s="8" t="s">
        <v>3880</v>
      </c>
      <c r="Q61" s="8" t="s">
        <v>36</v>
      </c>
      <c r="R61" s="33" t="s">
        <v>3966</v>
      </c>
      <c r="T61" s="8"/>
    </row>
    <row r="62" customFormat="false" ht="13.8" hidden="false" customHeight="false" outlineLevel="0" collapsed="false">
      <c r="A62" s="25" t="s">
        <v>4040</v>
      </c>
      <c r="B62" s="41" t="s">
        <v>3226</v>
      </c>
      <c r="C62" s="8" t="s">
        <v>427</v>
      </c>
      <c r="D62" s="8" t="s">
        <v>3877</v>
      </c>
      <c r="E62" s="0" t="s">
        <v>3878</v>
      </c>
      <c r="F62" s="0" t="s">
        <v>427</v>
      </c>
      <c r="G62" s="0" t="s">
        <v>427</v>
      </c>
      <c r="H62" s="0" t="s">
        <v>427</v>
      </c>
      <c r="I62" s="0" t="s">
        <v>3879</v>
      </c>
      <c r="K62" s="44" t="str">
        <f aca="false">INDEX(libraries!$B:$B, MATCH(B62, libraries!$A:$A, 0), 1)</f>
        <v>sam0195</v>
      </c>
      <c r="L62" s="44" t="n">
        <f aca="false">INDEX(samples!$F:$F, MATCH(K62, samples!$A:$A, 0), 1)</f>
        <v>0</v>
      </c>
      <c r="M62" s="55" t="str">
        <f aca="false">INDEX(samples!$C:$C, MATCH(K62, samples!$A:$A, 0), 1)</f>
        <v>UNK</v>
      </c>
      <c r="N62" s="44" t="str">
        <f aca="false">INDEX(samples!$B:$B, MATCH(K62, samples!$A:$A, 0), 1)</f>
        <v>par0004</v>
      </c>
      <c r="O62" s="44" t="s">
        <v>493</v>
      </c>
      <c r="P62" s="8" t="s">
        <v>3880</v>
      </c>
      <c r="Q62" s="8" t="s">
        <v>36</v>
      </c>
      <c r="R62" s="33" t="s">
        <v>3881</v>
      </c>
      <c r="T62" s="8"/>
    </row>
    <row r="63" customFormat="false" ht="13.8" hidden="false" customHeight="false" outlineLevel="0" collapsed="false">
      <c r="A63" s="25" t="s">
        <v>4041</v>
      </c>
      <c r="B63" s="41" t="s">
        <v>3159</v>
      </c>
      <c r="C63" s="8" t="s">
        <v>427</v>
      </c>
      <c r="D63" s="8" t="s">
        <v>3877</v>
      </c>
      <c r="E63" s="0" t="s">
        <v>3878</v>
      </c>
      <c r="F63" s="0" t="s">
        <v>427</v>
      </c>
      <c r="G63" s="0" t="s">
        <v>427</v>
      </c>
      <c r="H63" s="0" t="s">
        <v>427</v>
      </c>
      <c r="I63" s="0" t="s">
        <v>3879</v>
      </c>
      <c r="K63" s="44" t="str">
        <f aca="false">INDEX(libraries!$B:$B, MATCH(B63, libraries!$A:$A, 0), 1)</f>
        <v>sam0046</v>
      </c>
      <c r="L63" s="44" t="n">
        <f aca="false">INDEX(samples!$F:$F, MATCH(K63, samples!$A:$A, 0), 1)</f>
        <v>0</v>
      </c>
      <c r="M63" s="55" t="str">
        <f aca="false">INDEX(samples!$C:$C, MATCH(K63, samples!$A:$A, 0), 1)</f>
        <v>2018-06-25</v>
      </c>
      <c r="N63" s="44" t="str">
        <f aca="false">INDEX(samples!$B:$B, MATCH(K63, samples!$A:$A, 0), 1)</f>
        <v>par0021</v>
      </c>
      <c r="O63" s="44" t="s">
        <v>562</v>
      </c>
      <c r="P63" s="8" t="s">
        <v>3880</v>
      </c>
      <c r="Q63" s="8" t="s">
        <v>36</v>
      </c>
      <c r="R63" s="33" t="s">
        <v>3881</v>
      </c>
      <c r="T63" s="8"/>
    </row>
    <row r="64" customFormat="false" ht="13.8" hidden="false" customHeight="false" outlineLevel="0" collapsed="false">
      <c r="A64" s="25" t="s">
        <v>4042</v>
      </c>
      <c r="B64" s="41" t="s">
        <v>3681</v>
      </c>
      <c r="C64" s="8" t="s">
        <v>3123</v>
      </c>
      <c r="D64" s="8" t="s">
        <v>3877</v>
      </c>
      <c r="E64" s="0" t="s">
        <v>3878</v>
      </c>
      <c r="F64" s="0" t="s">
        <v>4043</v>
      </c>
      <c r="G64" s="0" t="s">
        <v>4044</v>
      </c>
      <c r="H64" s="0" t="s">
        <v>427</v>
      </c>
      <c r="I64" s="0" t="s">
        <v>3891</v>
      </c>
      <c r="K64" s="44" t="str">
        <f aca="false">INDEX(libraries!$B:$B, MATCH(B64, libraries!$A:$A, 0), 1)</f>
        <v>sam0511</v>
      </c>
      <c r="L64" s="44" t="str">
        <f aca="false">INDEX(samples!$F:$F, MATCH(K64, samples!$A:$A, 0), 1)</f>
        <v>nf1_lib19</v>
      </c>
      <c r="M64" s="55" t="str">
        <f aca="false">INDEX(samples!$C:$C, MATCH(K64, samples!$A:$A, 0), 1)</f>
        <v>2024-07-23</v>
      </c>
      <c r="N64" s="44" t="str">
        <f aca="false">INDEX(samples!$B:$B, MATCH(K64, samples!$A:$A, 0), 1)</f>
        <v>par0230</v>
      </c>
      <c r="O64" s="44" t="s">
        <v>1199</v>
      </c>
      <c r="P64" s="8" t="s">
        <v>3880</v>
      </c>
      <c r="Q64" s="8" t="s">
        <v>4045</v>
      </c>
      <c r="R64" s="8" t="s">
        <v>3893</v>
      </c>
      <c r="T64" s="8"/>
    </row>
    <row r="65" customFormat="false" ht="13.8" hidden="false" customHeight="false" outlineLevel="0" collapsed="false">
      <c r="A65" s="25" t="s">
        <v>4046</v>
      </c>
      <c r="B65" s="41" t="s">
        <v>3223</v>
      </c>
      <c r="C65" s="8" t="s">
        <v>427</v>
      </c>
      <c r="D65" s="8" t="s">
        <v>3877</v>
      </c>
      <c r="E65" s="0" t="s">
        <v>3878</v>
      </c>
      <c r="F65" s="0" t="s">
        <v>427</v>
      </c>
      <c r="G65" s="0" t="s">
        <v>427</v>
      </c>
      <c r="H65" s="0" t="s">
        <v>427</v>
      </c>
      <c r="I65" s="0" t="s">
        <v>3879</v>
      </c>
      <c r="K65" s="44" t="str">
        <f aca="false">INDEX(libraries!$B:$B, MATCH(B65, libraries!$A:$A, 0), 1)</f>
        <v>sam0015</v>
      </c>
      <c r="L65" s="44" t="n">
        <f aca="false">INDEX(samples!$F:$F, MATCH(K65, samples!$A:$A, 0), 1)</f>
        <v>0</v>
      </c>
      <c r="M65" s="55" t="str">
        <f aca="false">INDEX(samples!$C:$C, MATCH(K65, samples!$A:$A, 0), 1)</f>
        <v>UNK</v>
      </c>
      <c r="N65" s="44" t="str">
        <f aca="false">INDEX(samples!$B:$B, MATCH(K65, samples!$A:$A, 0), 1)</f>
        <v>par0117</v>
      </c>
      <c r="O65" s="44" t="s">
        <v>850</v>
      </c>
      <c r="P65" s="8" t="s">
        <v>3880</v>
      </c>
      <c r="Q65" s="8" t="s">
        <v>36</v>
      </c>
      <c r="R65" s="33" t="s">
        <v>3881</v>
      </c>
      <c r="T65" s="8"/>
    </row>
    <row r="66" customFormat="false" ht="13.8" hidden="false" customHeight="false" outlineLevel="0" collapsed="false">
      <c r="A66" s="25" t="s">
        <v>4047</v>
      </c>
      <c r="B66" s="41" t="s">
        <v>3168</v>
      </c>
      <c r="C66" s="8" t="s">
        <v>427</v>
      </c>
      <c r="D66" s="8" t="s">
        <v>3877</v>
      </c>
      <c r="E66" s="0" t="s">
        <v>3878</v>
      </c>
      <c r="F66" s="0" t="s">
        <v>427</v>
      </c>
      <c r="G66" s="0" t="s">
        <v>427</v>
      </c>
      <c r="H66" s="0" t="s">
        <v>427</v>
      </c>
      <c r="I66" s="0" t="s">
        <v>3879</v>
      </c>
      <c r="K66" s="44" t="str">
        <f aca="false">INDEX(libraries!$B:$B, MATCH(B66, libraries!$A:$A, 0), 1)</f>
        <v>sam0029</v>
      </c>
      <c r="L66" s="44" t="n">
        <f aca="false">INDEX(samples!$F:$F, MATCH(K66, samples!$A:$A, 0), 1)</f>
        <v>0</v>
      </c>
      <c r="M66" s="55" t="str">
        <f aca="false">INDEX(samples!$C:$C, MATCH(K66, samples!$A:$A, 0), 1)</f>
        <v>2017-07-24</v>
      </c>
      <c r="N66" s="44" t="str">
        <f aca="false">INDEX(samples!$B:$B, MATCH(K66, samples!$A:$A, 0), 1)</f>
        <v>par0012</v>
      </c>
      <c r="O66" s="44" t="s">
        <v>524</v>
      </c>
      <c r="P66" s="8" t="s">
        <v>3880</v>
      </c>
      <c r="Q66" s="8" t="s">
        <v>36</v>
      </c>
      <c r="R66" s="33" t="s">
        <v>3881</v>
      </c>
      <c r="T66" s="8"/>
    </row>
    <row r="67" customFormat="false" ht="13.8" hidden="false" customHeight="false" outlineLevel="0" collapsed="false">
      <c r="A67" s="25" t="s">
        <v>4048</v>
      </c>
      <c r="B67" s="41" t="s">
        <v>3369</v>
      </c>
      <c r="C67" s="8" t="s">
        <v>427</v>
      </c>
      <c r="D67" s="8" t="s">
        <v>3877</v>
      </c>
      <c r="E67" s="0" t="s">
        <v>3878</v>
      </c>
      <c r="F67" s="0" t="s">
        <v>427</v>
      </c>
      <c r="G67" s="0" t="s">
        <v>427</v>
      </c>
      <c r="H67" s="0" t="s">
        <v>427</v>
      </c>
      <c r="I67" s="0" t="s">
        <v>3879</v>
      </c>
      <c r="K67" s="44" t="str">
        <f aca="false">INDEX(libraries!$B:$B, MATCH(B67, libraries!$A:$A, 0), 1)</f>
        <v>sam0228</v>
      </c>
      <c r="L67" s="44" t="n">
        <f aca="false">INDEX(samples!$F:$F, MATCH(K67, samples!$A:$A, 0), 1)</f>
        <v>0</v>
      </c>
      <c r="M67" s="55" t="str">
        <f aca="false">INDEX(samples!$C:$C, MATCH(K67, samples!$A:$A, 0), 1)</f>
        <v>2019-10-11</v>
      </c>
      <c r="N67" s="44" t="str">
        <f aca="false">INDEX(samples!$B:$B, MATCH(K67, samples!$A:$A, 0), 1)</f>
        <v>par0141</v>
      </c>
      <c r="O67" s="44" t="s">
        <v>924</v>
      </c>
      <c r="P67" s="8" t="s">
        <v>3880</v>
      </c>
      <c r="Q67" s="8" t="s">
        <v>36</v>
      </c>
      <c r="R67" s="33" t="s">
        <v>3881</v>
      </c>
      <c r="T67" s="8"/>
    </row>
    <row r="68" customFormat="false" ht="13.8" hidden="false" customHeight="false" outlineLevel="0" collapsed="false">
      <c r="A68" s="25" t="s">
        <v>4049</v>
      </c>
      <c r="B68" s="53" t="s">
        <v>3660</v>
      </c>
      <c r="C68" s="33" t="s">
        <v>3107</v>
      </c>
      <c r="D68" s="33" t="s">
        <v>3877</v>
      </c>
      <c r="E68" s="0" t="s">
        <v>3878</v>
      </c>
      <c r="F68" s="0" t="s">
        <v>4050</v>
      </c>
      <c r="G68" s="0" t="s">
        <v>4051</v>
      </c>
      <c r="H68" s="0" t="s">
        <v>427</v>
      </c>
      <c r="I68" s="0" t="s">
        <v>4052</v>
      </c>
      <c r="K68" s="44" t="str">
        <f aca="false">INDEX(libraries!$B:$B, MATCH(B68, libraries!$A:$A, 0), 1)</f>
        <v>sam0482</v>
      </c>
      <c r="L68" s="44" t="str">
        <f aca="false">INDEX(samples!$F:$F, MATCH(K68, samples!$A:$A, 0), 1)</f>
        <v>emseq_06</v>
      </c>
      <c r="M68" s="55" t="str">
        <f aca="false">INDEX(samples!$C:$C, MATCH(K68, samples!$A:$A, 0), 1)</f>
        <v>GET</v>
      </c>
      <c r="N68" s="44" t="str">
        <f aca="false">INDEX(samples!$B:$B, MATCH(K68, samples!$A:$A, 0), 1)</f>
        <v>par0292</v>
      </c>
      <c r="O68" s="44" t="s">
        <v>1425</v>
      </c>
      <c r="P68" s="8" t="s">
        <v>3880</v>
      </c>
      <c r="Q68" s="8" t="s">
        <v>36</v>
      </c>
      <c r="R68" s="8" t="s">
        <v>3881</v>
      </c>
      <c r="T68" s="8"/>
    </row>
    <row r="69" customFormat="false" ht="13.8" hidden="false" customHeight="false" outlineLevel="0" collapsed="false">
      <c r="A69" s="25" t="s">
        <v>4053</v>
      </c>
      <c r="B69" s="41" t="s">
        <v>3664</v>
      </c>
      <c r="C69" s="8" t="s">
        <v>3123</v>
      </c>
      <c r="D69" s="8" t="s">
        <v>3877</v>
      </c>
      <c r="E69" s="0" t="s">
        <v>3878</v>
      </c>
      <c r="F69" s="0" t="s">
        <v>4054</v>
      </c>
      <c r="G69" s="0" t="s">
        <v>4055</v>
      </c>
      <c r="H69" s="0" t="s">
        <v>427</v>
      </c>
      <c r="I69" s="0" t="s">
        <v>3891</v>
      </c>
      <c r="K69" s="44" t="str">
        <f aca="false">INDEX(libraries!$B:$B, MATCH(B69, libraries!$A:$A, 0), 1)</f>
        <v>sam0494</v>
      </c>
      <c r="L69" s="44" t="str">
        <f aca="false">INDEX(samples!$F:$F, MATCH(K69, samples!$A:$A, 0), 1)</f>
        <v>nf1_lib2</v>
      </c>
      <c r="M69" s="55" t="str">
        <f aca="false">INDEX(samples!$C:$C, MATCH(K69, samples!$A:$A, 0), 1)</f>
        <v>2023-08-29</v>
      </c>
      <c r="N69" s="44" t="str">
        <f aca="false">INDEX(samples!$B:$B, MATCH(K69, samples!$A:$A, 0), 1)</f>
        <v>par0249</v>
      </c>
      <c r="O69" s="44" t="s">
        <v>1276</v>
      </c>
      <c r="P69" s="8" t="s">
        <v>3880</v>
      </c>
      <c r="Q69" s="8" t="s">
        <v>4056</v>
      </c>
      <c r="R69" s="8" t="s">
        <v>3893</v>
      </c>
      <c r="T69" s="8"/>
    </row>
    <row r="70" customFormat="false" ht="13.8" hidden="false" customHeight="false" outlineLevel="0" collapsed="false">
      <c r="A70" s="25" t="s">
        <v>4057</v>
      </c>
      <c r="B70" s="41" t="s">
        <v>3541</v>
      </c>
      <c r="C70" s="8" t="s">
        <v>3118</v>
      </c>
      <c r="D70" s="8" t="s">
        <v>427</v>
      </c>
      <c r="E70" s="0" t="s">
        <v>427</v>
      </c>
      <c r="F70" s="0" t="s">
        <v>427</v>
      </c>
      <c r="G70" s="0" t="s">
        <v>427</v>
      </c>
      <c r="H70" s="0" t="s">
        <v>427</v>
      </c>
      <c r="I70" s="0" t="s">
        <v>3895</v>
      </c>
      <c r="K70" s="44" t="str">
        <f aca="false">INDEX(libraries!$B:$B, MATCH(B70, libraries!$A:$A, 0), 1)</f>
        <v>sam0145</v>
      </c>
      <c r="L70" s="44" t="n">
        <f aca="false">INDEX(samples!$F:$F, MATCH(K70, samples!$A:$A, 0), 1)</f>
        <v>0</v>
      </c>
      <c r="M70" s="55" t="str">
        <f aca="false">INDEX(samples!$C:$C, MATCH(K70, samples!$A:$A, 0), 1)</f>
        <v>2019-11-25</v>
      </c>
      <c r="N70" s="44" t="str">
        <f aca="false">INDEX(samples!$B:$B, MATCH(K70, samples!$A:$A, 0), 1)</f>
        <v>par0107</v>
      </c>
      <c r="O70" s="44" t="s">
        <v>815</v>
      </c>
      <c r="P70" s="8" t="s">
        <v>427</v>
      </c>
      <c r="Q70" s="8" t="s">
        <v>36</v>
      </c>
      <c r="R70" s="33" t="s">
        <v>3881</v>
      </c>
      <c r="T70" s="8"/>
    </row>
    <row r="71" customFormat="false" ht="13.8" hidden="false" customHeight="false" outlineLevel="0" collapsed="false">
      <c r="A71" s="25" t="s">
        <v>4058</v>
      </c>
      <c r="B71" s="41" t="s">
        <v>3259</v>
      </c>
      <c r="C71" s="8" t="s">
        <v>427</v>
      </c>
      <c r="D71" s="8" t="s">
        <v>3877</v>
      </c>
      <c r="E71" s="0" t="s">
        <v>3878</v>
      </c>
      <c r="F71" s="0" t="s">
        <v>427</v>
      </c>
      <c r="G71" s="0" t="s">
        <v>427</v>
      </c>
      <c r="H71" s="0" t="s">
        <v>427</v>
      </c>
      <c r="I71" s="0" t="s">
        <v>3879</v>
      </c>
      <c r="K71" s="44" t="str">
        <f aca="false">INDEX(libraries!$B:$B, MATCH(B71, libraries!$A:$A, 0), 1)</f>
        <v>sam0009</v>
      </c>
      <c r="L71" s="44" t="n">
        <f aca="false">INDEX(samples!$F:$F, MATCH(K71, samples!$A:$A, 0), 1)</f>
        <v>0</v>
      </c>
      <c r="M71" s="55" t="str">
        <f aca="false">INDEX(samples!$C:$C, MATCH(K71, samples!$A:$A, 0), 1)</f>
        <v>UNK</v>
      </c>
      <c r="N71" s="44" t="str">
        <f aca="false">INDEX(samples!$B:$B, MATCH(K71, samples!$A:$A, 0), 1)</f>
        <v>par0008</v>
      </c>
      <c r="O71" s="44" t="s">
        <v>505</v>
      </c>
      <c r="P71" s="8" t="s">
        <v>3880</v>
      </c>
      <c r="Q71" s="8" t="s">
        <v>36</v>
      </c>
      <c r="R71" s="33" t="s">
        <v>3881</v>
      </c>
      <c r="T71" s="8"/>
    </row>
    <row r="72" customFormat="false" ht="13.8" hidden="false" customHeight="false" outlineLevel="0" collapsed="false">
      <c r="A72" s="25" t="s">
        <v>4059</v>
      </c>
      <c r="B72" s="41" t="s">
        <v>3251</v>
      </c>
      <c r="C72" s="8" t="s">
        <v>427</v>
      </c>
      <c r="D72" s="8" t="s">
        <v>3877</v>
      </c>
      <c r="E72" s="0" t="s">
        <v>3878</v>
      </c>
      <c r="F72" s="0" t="s">
        <v>427</v>
      </c>
      <c r="G72" s="0" t="s">
        <v>427</v>
      </c>
      <c r="H72" s="0" t="s">
        <v>427</v>
      </c>
      <c r="I72" s="0" t="s">
        <v>3879</v>
      </c>
      <c r="K72" s="44" t="str">
        <f aca="false">INDEX(libraries!$B:$B, MATCH(B72, libraries!$A:$A, 0), 1)</f>
        <v>sam0172</v>
      </c>
      <c r="L72" s="44" t="n">
        <f aca="false">INDEX(samples!$F:$F, MATCH(K72, samples!$A:$A, 0), 1)</f>
        <v>0</v>
      </c>
      <c r="M72" s="55" t="str">
        <f aca="false">INDEX(samples!$C:$C, MATCH(K72, samples!$A:$A, 0), 1)</f>
        <v>UNK</v>
      </c>
      <c r="N72" s="44" t="str">
        <f aca="false">INDEX(samples!$B:$B, MATCH(K72, samples!$A:$A, 0), 1)</f>
        <v>par0005</v>
      </c>
      <c r="O72" s="44" t="s">
        <v>496</v>
      </c>
      <c r="P72" s="8" t="s">
        <v>3880</v>
      </c>
      <c r="Q72" s="8" t="s">
        <v>36</v>
      </c>
      <c r="R72" s="33" t="s">
        <v>3881</v>
      </c>
      <c r="T72" s="8"/>
    </row>
    <row r="73" customFormat="false" ht="13.8" hidden="false" customHeight="false" outlineLevel="0" collapsed="false">
      <c r="A73" s="25" t="s">
        <v>4060</v>
      </c>
      <c r="B73" s="41" t="s">
        <v>3152</v>
      </c>
      <c r="C73" s="8" t="s">
        <v>427</v>
      </c>
      <c r="D73" s="8" t="s">
        <v>3877</v>
      </c>
      <c r="E73" s="0" t="s">
        <v>3878</v>
      </c>
      <c r="F73" s="0" t="s">
        <v>427</v>
      </c>
      <c r="G73" s="0" t="s">
        <v>427</v>
      </c>
      <c r="H73" s="0" t="s">
        <v>427</v>
      </c>
      <c r="I73" s="0" t="s">
        <v>3879</v>
      </c>
      <c r="K73" s="44" t="str">
        <f aca="false">INDEX(libraries!$B:$B, MATCH(B73, libraries!$A:$A, 0), 1)</f>
        <v>sam0047</v>
      </c>
      <c r="L73" s="44" t="n">
        <f aca="false">INDEX(samples!$F:$F, MATCH(K73, samples!$A:$A, 0), 1)</f>
        <v>0</v>
      </c>
      <c r="M73" s="55" t="str">
        <f aca="false">INDEX(samples!$C:$C, MATCH(K73, samples!$A:$A, 0), 1)</f>
        <v>2018-02-28</v>
      </c>
      <c r="N73" s="44" t="str">
        <f aca="false">INDEX(samples!$B:$B, MATCH(K73, samples!$A:$A, 0), 1)</f>
        <v>par0022</v>
      </c>
      <c r="O73" s="44" t="s">
        <v>565</v>
      </c>
      <c r="P73" s="8" t="s">
        <v>3880</v>
      </c>
      <c r="Q73" s="8" t="s">
        <v>36</v>
      </c>
      <c r="R73" s="33" t="s">
        <v>3881</v>
      </c>
      <c r="T73" s="8"/>
    </row>
    <row r="74" customFormat="false" ht="13.8" hidden="false" customHeight="false" outlineLevel="0" collapsed="false">
      <c r="A74" s="25" t="s">
        <v>4061</v>
      </c>
      <c r="B74" s="41" t="s">
        <v>3682</v>
      </c>
      <c r="C74" s="8" t="s">
        <v>3123</v>
      </c>
      <c r="D74" s="8" t="s">
        <v>3877</v>
      </c>
      <c r="E74" s="0" t="s">
        <v>3878</v>
      </c>
      <c r="F74" s="0" t="s">
        <v>4062</v>
      </c>
      <c r="G74" s="0" t="s">
        <v>4063</v>
      </c>
      <c r="H74" s="0" t="s">
        <v>427</v>
      </c>
      <c r="I74" s="0" t="s">
        <v>3891</v>
      </c>
      <c r="K74" s="44" t="str">
        <f aca="false">INDEX(libraries!$B:$B, MATCH(B74, libraries!$A:$A, 0), 1)</f>
        <v>sam0512</v>
      </c>
      <c r="L74" s="44" t="str">
        <f aca="false">INDEX(samples!$F:$F, MATCH(K74, samples!$A:$A, 0), 1)</f>
        <v>nf1_lib20</v>
      </c>
      <c r="M74" s="55" t="str">
        <f aca="false">INDEX(samples!$C:$C, MATCH(K74, samples!$A:$A, 0), 1)</f>
        <v>2023-08-01</v>
      </c>
      <c r="N74" s="44" t="str">
        <f aca="false">INDEX(samples!$B:$B, MATCH(K74, samples!$A:$A, 0), 1)</f>
        <v>par0241</v>
      </c>
      <c r="O74" s="44" t="s">
        <v>1240</v>
      </c>
      <c r="P74" s="8" t="s">
        <v>3880</v>
      </c>
      <c r="Q74" s="8" t="s">
        <v>4064</v>
      </c>
      <c r="R74" s="8" t="s">
        <v>3893</v>
      </c>
      <c r="T74" s="8"/>
    </row>
    <row r="75" customFormat="false" ht="13.8" hidden="false" customHeight="false" outlineLevel="0" collapsed="false">
      <c r="A75" s="25" t="s">
        <v>4065</v>
      </c>
      <c r="B75" s="41" t="s">
        <v>3268</v>
      </c>
      <c r="C75" s="8" t="s">
        <v>427</v>
      </c>
      <c r="D75" s="8" t="s">
        <v>3877</v>
      </c>
      <c r="E75" s="0" t="s">
        <v>3878</v>
      </c>
      <c r="F75" s="0" t="s">
        <v>427</v>
      </c>
      <c r="G75" s="0" t="s">
        <v>427</v>
      </c>
      <c r="H75" s="0" t="s">
        <v>427</v>
      </c>
      <c r="I75" s="0" t="s">
        <v>3879</v>
      </c>
      <c r="K75" s="44" t="str">
        <f aca="false">INDEX(libraries!$B:$B, MATCH(B75, libraries!$A:$A, 0), 1)</f>
        <v>sam0010</v>
      </c>
      <c r="L75" s="44" t="n">
        <f aca="false">INDEX(samples!$F:$F, MATCH(K75, samples!$A:$A, 0), 1)</f>
        <v>0</v>
      </c>
      <c r="M75" s="55" t="str">
        <f aca="false">INDEX(samples!$C:$C, MATCH(K75, samples!$A:$A, 0), 1)</f>
        <v>UNK</v>
      </c>
      <c r="N75" s="44" t="str">
        <f aca="false">INDEX(samples!$B:$B, MATCH(K75, samples!$A:$A, 0), 1)</f>
        <v>par0002</v>
      </c>
      <c r="O75" s="44" t="s">
        <v>482</v>
      </c>
      <c r="P75" s="8" t="s">
        <v>3880</v>
      </c>
      <c r="Q75" s="8" t="s">
        <v>36</v>
      </c>
      <c r="R75" s="33" t="s">
        <v>3966</v>
      </c>
      <c r="T75" s="8"/>
    </row>
    <row r="76" customFormat="false" ht="13.8" hidden="false" customHeight="false" outlineLevel="0" collapsed="false">
      <c r="A76" s="25" t="s">
        <v>4066</v>
      </c>
      <c r="B76" s="41" t="s">
        <v>3244</v>
      </c>
      <c r="C76" s="8" t="s">
        <v>427</v>
      </c>
      <c r="D76" s="8" t="s">
        <v>3877</v>
      </c>
      <c r="E76" s="0" t="s">
        <v>3878</v>
      </c>
      <c r="F76" s="0" t="s">
        <v>427</v>
      </c>
      <c r="G76" s="0" t="s">
        <v>427</v>
      </c>
      <c r="H76" s="0" t="s">
        <v>427</v>
      </c>
      <c r="I76" s="0" t="s">
        <v>3879</v>
      </c>
      <c r="K76" s="44" t="str">
        <f aca="false">INDEX(libraries!$B:$B, MATCH(B76, libraries!$A:$A, 0), 1)</f>
        <v>sam0204</v>
      </c>
      <c r="L76" s="44" t="n">
        <f aca="false">INDEX(samples!$F:$F, MATCH(K76, samples!$A:$A, 0), 1)</f>
        <v>0</v>
      </c>
      <c r="M76" s="55" t="str">
        <f aca="false">INDEX(samples!$C:$C, MATCH(K76, samples!$A:$A, 0), 1)</f>
        <v>UNK</v>
      </c>
      <c r="N76" s="44" t="str">
        <f aca="false">INDEX(samples!$B:$B, MATCH(K76, samples!$A:$A, 0), 1)</f>
        <v>par0006</v>
      </c>
      <c r="O76" s="44" t="s">
        <v>499</v>
      </c>
      <c r="P76" s="8" t="s">
        <v>3880</v>
      </c>
      <c r="Q76" s="8" t="s">
        <v>36</v>
      </c>
      <c r="R76" s="33" t="s">
        <v>3881</v>
      </c>
      <c r="T76" s="8"/>
    </row>
    <row r="77" customFormat="false" ht="13.8" hidden="false" customHeight="false" outlineLevel="0" collapsed="false">
      <c r="A77" s="25" t="s">
        <v>4067</v>
      </c>
      <c r="B77" s="41" t="s">
        <v>3194</v>
      </c>
      <c r="C77" s="8" t="s">
        <v>427</v>
      </c>
      <c r="D77" s="8" t="s">
        <v>3877</v>
      </c>
      <c r="E77" s="0" t="s">
        <v>3878</v>
      </c>
      <c r="F77" s="0" t="s">
        <v>427</v>
      </c>
      <c r="G77" s="0" t="s">
        <v>427</v>
      </c>
      <c r="H77" s="0" t="s">
        <v>427</v>
      </c>
      <c r="I77" s="0" t="s">
        <v>3879</v>
      </c>
      <c r="K77" s="44" t="str">
        <f aca="false">INDEX(libraries!$B:$B, MATCH(B77, libraries!$A:$A, 0), 1)</f>
        <v>sam0048</v>
      </c>
      <c r="L77" s="44" t="n">
        <f aca="false">INDEX(samples!$F:$F, MATCH(K77, samples!$A:$A, 0), 1)</f>
        <v>0</v>
      </c>
      <c r="M77" s="55" t="str">
        <f aca="false">INDEX(samples!$C:$C, MATCH(K77, samples!$A:$A, 0), 1)</f>
        <v>2018-06-26</v>
      </c>
      <c r="N77" s="44" t="str">
        <f aca="false">INDEX(samples!$B:$B, MATCH(K77, samples!$A:$A, 0), 1)</f>
        <v>par0022</v>
      </c>
      <c r="O77" s="44" t="s">
        <v>565</v>
      </c>
      <c r="P77" s="8" t="s">
        <v>3880</v>
      </c>
      <c r="Q77" s="8" t="s">
        <v>36</v>
      </c>
      <c r="R77" s="33" t="s">
        <v>3881</v>
      </c>
      <c r="T77" s="8"/>
    </row>
    <row r="78" customFormat="false" ht="13.8" hidden="false" customHeight="false" outlineLevel="0" collapsed="false">
      <c r="A78" s="25" t="s">
        <v>4068</v>
      </c>
      <c r="B78" s="41" t="s">
        <v>3683</v>
      </c>
      <c r="C78" s="8" t="s">
        <v>3123</v>
      </c>
      <c r="D78" s="8" t="s">
        <v>3877</v>
      </c>
      <c r="E78" s="0" t="s">
        <v>3878</v>
      </c>
      <c r="F78" s="0" t="s">
        <v>4069</v>
      </c>
      <c r="G78" s="0" t="s">
        <v>4070</v>
      </c>
      <c r="H78" s="0" t="s">
        <v>427</v>
      </c>
      <c r="I78" s="0" t="s">
        <v>3891</v>
      </c>
      <c r="K78" s="44" t="str">
        <f aca="false">INDEX(libraries!$B:$B, MATCH(B78, libraries!$A:$A, 0), 1)</f>
        <v>sam0513</v>
      </c>
      <c r="L78" s="44" t="str">
        <f aca="false">INDEX(samples!$F:$F, MATCH(K78, samples!$A:$A, 0), 1)</f>
        <v>nf1_lib21</v>
      </c>
      <c r="M78" s="55" t="str">
        <f aca="false">INDEX(samples!$C:$C, MATCH(K78, samples!$A:$A, 0), 1)</f>
        <v>2024-10-22</v>
      </c>
      <c r="N78" s="44" t="str">
        <f aca="false">INDEX(samples!$B:$B, MATCH(K78, samples!$A:$A, 0), 1)</f>
        <v>par0245</v>
      </c>
      <c r="O78" s="44" t="s">
        <v>1259</v>
      </c>
      <c r="P78" s="8" t="s">
        <v>3880</v>
      </c>
      <c r="Q78" s="8" t="s">
        <v>4071</v>
      </c>
      <c r="R78" s="8" t="s">
        <v>3893</v>
      </c>
      <c r="T78" s="8"/>
    </row>
    <row r="79" customFormat="false" ht="13.8" hidden="false" customHeight="false" outlineLevel="0" collapsed="false">
      <c r="A79" s="25" t="s">
        <v>4072</v>
      </c>
      <c r="B79" s="41" t="s">
        <v>3558</v>
      </c>
      <c r="C79" s="8" t="s">
        <v>427</v>
      </c>
      <c r="D79" s="8" t="s">
        <v>3877</v>
      </c>
      <c r="E79" s="0" t="s">
        <v>3878</v>
      </c>
      <c r="F79" s="0" t="s">
        <v>427</v>
      </c>
      <c r="G79" s="0" t="s">
        <v>427</v>
      </c>
      <c r="H79" s="0" t="s">
        <v>427</v>
      </c>
      <c r="I79" s="0" t="s">
        <v>3879</v>
      </c>
      <c r="K79" s="44" t="str">
        <f aca="false">INDEX(libraries!$B:$B, MATCH(B79, libraries!$A:$A, 0), 1)</f>
        <v>sam0451</v>
      </c>
      <c r="L79" s="44" t="n">
        <f aca="false">INDEX(samples!$F:$F, MATCH(K79, samples!$A:$A, 0), 1)</f>
        <v>0</v>
      </c>
      <c r="M79" s="55" t="str">
        <f aca="false">INDEX(samples!$C:$C, MATCH(K79, samples!$A:$A, 0), 1)</f>
        <v>2022-08-16</v>
      </c>
      <c r="N79" s="44" t="str">
        <f aca="false">INDEX(samples!$B:$B, MATCH(K79, samples!$A:$A, 0), 1)</f>
        <v>par0243</v>
      </c>
      <c r="O79" s="44" t="s">
        <v>1250</v>
      </c>
      <c r="P79" s="8" t="s">
        <v>3880</v>
      </c>
      <c r="Q79" s="8" t="s">
        <v>36</v>
      </c>
      <c r="R79" s="33" t="s">
        <v>3881</v>
      </c>
      <c r="T79" s="8"/>
    </row>
    <row r="80" customFormat="false" ht="13.8" hidden="false" customHeight="false" outlineLevel="0" collapsed="false">
      <c r="A80" s="25" t="s">
        <v>4073</v>
      </c>
      <c r="B80" s="41" t="s">
        <v>3258</v>
      </c>
      <c r="C80" s="8" t="s">
        <v>427</v>
      </c>
      <c r="D80" s="8" t="s">
        <v>3877</v>
      </c>
      <c r="E80" s="0" t="s">
        <v>3878</v>
      </c>
      <c r="F80" s="0" t="s">
        <v>427</v>
      </c>
      <c r="G80" s="0" t="s">
        <v>427</v>
      </c>
      <c r="H80" s="0" t="s">
        <v>427</v>
      </c>
      <c r="I80" s="0" t="s">
        <v>3879</v>
      </c>
      <c r="K80" s="44" t="str">
        <f aca="false">INDEX(libraries!$B:$B, MATCH(B80, libraries!$A:$A, 0), 1)</f>
        <v>sam0011</v>
      </c>
      <c r="L80" s="44" t="n">
        <f aca="false">INDEX(samples!$F:$F, MATCH(K80, samples!$A:$A, 0), 1)</f>
        <v>0</v>
      </c>
      <c r="M80" s="55" t="str">
        <f aca="false">INDEX(samples!$C:$C, MATCH(K80, samples!$A:$A, 0), 1)</f>
        <v>UNK</v>
      </c>
      <c r="N80" s="44" t="str">
        <f aca="false">INDEX(samples!$B:$B, MATCH(K80, samples!$A:$A, 0), 1)</f>
        <v>par0003</v>
      </c>
      <c r="O80" s="44" t="s">
        <v>490</v>
      </c>
      <c r="P80" s="8" t="s">
        <v>3880</v>
      </c>
      <c r="Q80" s="8" t="s">
        <v>36</v>
      </c>
      <c r="R80" s="33" t="s">
        <v>3966</v>
      </c>
      <c r="T80" s="8"/>
    </row>
    <row r="81" customFormat="false" ht="13.8" hidden="false" customHeight="false" outlineLevel="0" collapsed="false">
      <c r="A81" s="25" t="s">
        <v>4074</v>
      </c>
      <c r="B81" s="41" t="s">
        <v>3236</v>
      </c>
      <c r="C81" s="8" t="s">
        <v>427</v>
      </c>
      <c r="D81" s="8" t="s">
        <v>3877</v>
      </c>
      <c r="E81" s="0" t="s">
        <v>3878</v>
      </c>
      <c r="F81" s="0" t="s">
        <v>427</v>
      </c>
      <c r="G81" s="0" t="s">
        <v>427</v>
      </c>
      <c r="H81" s="0" t="s">
        <v>427</v>
      </c>
      <c r="I81" s="0" t="s">
        <v>3879</v>
      </c>
      <c r="K81" s="44" t="str">
        <f aca="false">INDEX(libraries!$B:$B, MATCH(B81, libraries!$A:$A, 0), 1)</f>
        <v>sam0074</v>
      </c>
      <c r="L81" s="44" t="n">
        <f aca="false">INDEX(samples!$F:$F, MATCH(K81, samples!$A:$A, 0), 1)</f>
        <v>0</v>
      </c>
      <c r="M81" s="55" t="str">
        <f aca="false">INDEX(samples!$C:$C, MATCH(K81, samples!$A:$A, 0), 1)</f>
        <v>2015-09-17</v>
      </c>
      <c r="N81" s="44" t="str">
        <f aca="false">INDEX(samples!$B:$B, MATCH(K81, samples!$A:$A, 0), 1)</f>
        <v>par0035</v>
      </c>
      <c r="O81" s="44" t="s">
        <v>612</v>
      </c>
      <c r="P81" s="8" t="s">
        <v>3880</v>
      </c>
      <c r="Q81" s="8" t="s">
        <v>36</v>
      </c>
      <c r="R81" s="33" t="s">
        <v>3881</v>
      </c>
      <c r="T81" s="8"/>
    </row>
    <row r="82" customFormat="false" ht="13.8" hidden="false" customHeight="false" outlineLevel="0" collapsed="false">
      <c r="A82" s="25" t="s">
        <v>4075</v>
      </c>
      <c r="B82" s="41" t="s">
        <v>3171</v>
      </c>
      <c r="C82" s="8" t="s">
        <v>427</v>
      </c>
      <c r="D82" s="8" t="s">
        <v>3877</v>
      </c>
      <c r="E82" s="0" t="s">
        <v>3878</v>
      </c>
      <c r="F82" s="0" t="s">
        <v>427</v>
      </c>
      <c r="G82" s="0" t="s">
        <v>427</v>
      </c>
      <c r="H82" s="0" t="s">
        <v>427</v>
      </c>
      <c r="I82" s="0" t="s">
        <v>3879</v>
      </c>
      <c r="K82" s="44" t="str">
        <f aca="false">INDEX(libraries!$B:$B, MATCH(B82, libraries!$A:$A, 0), 1)</f>
        <v>sam0048</v>
      </c>
      <c r="L82" s="44" t="n">
        <f aca="false">INDEX(samples!$F:$F, MATCH(K82, samples!$A:$A, 0), 1)</f>
        <v>0</v>
      </c>
      <c r="M82" s="55" t="str">
        <f aca="false">INDEX(samples!$C:$C, MATCH(K82, samples!$A:$A, 0), 1)</f>
        <v>2018-06-26</v>
      </c>
      <c r="N82" s="44" t="str">
        <f aca="false">INDEX(samples!$B:$B, MATCH(K82, samples!$A:$A, 0), 1)</f>
        <v>par0022</v>
      </c>
      <c r="O82" s="44" t="s">
        <v>565</v>
      </c>
      <c r="P82" s="8" t="s">
        <v>3880</v>
      </c>
      <c r="Q82" s="8" t="s">
        <v>36</v>
      </c>
      <c r="R82" s="33" t="s">
        <v>3881</v>
      </c>
      <c r="T82" s="8"/>
    </row>
    <row r="83" customFormat="false" ht="13.8" hidden="false" customHeight="false" outlineLevel="0" collapsed="false">
      <c r="A83" s="25" t="s">
        <v>4076</v>
      </c>
      <c r="B83" s="41" t="s">
        <v>3684</v>
      </c>
      <c r="C83" s="8" t="s">
        <v>3123</v>
      </c>
      <c r="D83" s="8" t="s">
        <v>3877</v>
      </c>
      <c r="E83" s="0" t="s">
        <v>3878</v>
      </c>
      <c r="F83" s="0" t="s">
        <v>4077</v>
      </c>
      <c r="G83" s="0" t="s">
        <v>4078</v>
      </c>
      <c r="H83" s="0" t="s">
        <v>427</v>
      </c>
      <c r="I83" s="0" t="s">
        <v>3891</v>
      </c>
      <c r="K83" s="44" t="str">
        <f aca="false">INDEX(libraries!$B:$B, MATCH(B83, libraries!$A:$A, 0), 1)</f>
        <v>sam0382</v>
      </c>
      <c r="L83" s="44" t="str">
        <f aca="false">INDEX(samples!$F:$F, MATCH(K83, samples!$A:$A, 0), 1)</f>
        <v>nf1_lib57</v>
      </c>
      <c r="M83" s="55" t="str">
        <f aca="false">INDEX(samples!$C:$C, MATCH(K83, samples!$A:$A, 0), 1)</f>
        <v>2021-12-28</v>
      </c>
      <c r="N83" s="44" t="str">
        <f aca="false">INDEX(samples!$B:$B, MATCH(K83, samples!$A:$A, 0), 1)</f>
        <v>par0233</v>
      </c>
      <c r="O83" s="44" t="s">
        <v>1214</v>
      </c>
      <c r="P83" s="8" t="s">
        <v>3880</v>
      </c>
      <c r="Q83" s="8" t="s">
        <v>4079</v>
      </c>
      <c r="R83" s="8" t="s">
        <v>3893</v>
      </c>
      <c r="T83" s="8"/>
    </row>
    <row r="84" customFormat="false" ht="13.8" hidden="false" customHeight="false" outlineLevel="0" collapsed="false">
      <c r="A84" s="25" t="s">
        <v>4080</v>
      </c>
      <c r="B84" s="41" t="s">
        <v>3267</v>
      </c>
      <c r="C84" s="8" t="s">
        <v>427</v>
      </c>
      <c r="D84" s="8" t="s">
        <v>3877</v>
      </c>
      <c r="E84" s="0" t="s">
        <v>3878</v>
      </c>
      <c r="F84" s="0" t="s">
        <v>427</v>
      </c>
      <c r="G84" s="0" t="s">
        <v>427</v>
      </c>
      <c r="H84" s="0" t="s">
        <v>427</v>
      </c>
      <c r="I84" s="0" t="s">
        <v>3879</v>
      </c>
      <c r="K84" s="44" t="str">
        <f aca="false">INDEX(libraries!$B:$B, MATCH(B84, libraries!$A:$A, 0), 1)</f>
        <v>sam0014</v>
      </c>
      <c r="L84" s="44" t="n">
        <f aca="false">INDEX(samples!$F:$F, MATCH(K84, samples!$A:$A, 0), 1)</f>
        <v>0</v>
      </c>
      <c r="M84" s="55" t="str">
        <f aca="false">INDEX(samples!$C:$C, MATCH(K84, samples!$A:$A, 0), 1)</f>
        <v>UNK</v>
      </c>
      <c r="N84" s="44" t="str">
        <f aca="false">INDEX(samples!$B:$B, MATCH(K84, samples!$A:$A, 0), 1)</f>
        <v>par0004</v>
      </c>
      <c r="O84" s="44" t="s">
        <v>493</v>
      </c>
      <c r="P84" s="8" t="s">
        <v>3880</v>
      </c>
      <c r="Q84" s="8" t="s">
        <v>36</v>
      </c>
      <c r="R84" s="33" t="s">
        <v>3881</v>
      </c>
      <c r="T84" s="8"/>
    </row>
    <row r="85" customFormat="false" ht="13.8" hidden="false" customHeight="false" outlineLevel="0" collapsed="false">
      <c r="A85" s="25" t="s">
        <v>4081</v>
      </c>
      <c r="B85" s="41" t="s">
        <v>3217</v>
      </c>
      <c r="C85" s="8" t="s">
        <v>427</v>
      </c>
      <c r="D85" s="8" t="s">
        <v>3877</v>
      </c>
      <c r="E85" s="0" t="s">
        <v>3878</v>
      </c>
      <c r="F85" s="0" t="s">
        <v>427</v>
      </c>
      <c r="G85" s="0" t="s">
        <v>427</v>
      </c>
      <c r="H85" s="0" t="s">
        <v>427</v>
      </c>
      <c r="I85" s="0" t="s">
        <v>3879</v>
      </c>
      <c r="K85" s="44" t="str">
        <f aca="false">INDEX(libraries!$B:$B, MATCH(B85, libraries!$A:$A, 0), 1)</f>
        <v>sam0208</v>
      </c>
      <c r="L85" s="44" t="n">
        <f aca="false">INDEX(samples!$F:$F, MATCH(K85, samples!$A:$A, 0), 1)</f>
        <v>0</v>
      </c>
      <c r="M85" s="55" t="str">
        <f aca="false">INDEX(samples!$C:$C, MATCH(K85, samples!$A:$A, 0), 1)</f>
        <v>UNK</v>
      </c>
      <c r="N85" s="44" t="str">
        <f aca="false">INDEX(samples!$B:$B, MATCH(K85, samples!$A:$A, 0), 1)</f>
        <v>par0119</v>
      </c>
      <c r="O85" s="44" t="s">
        <v>856</v>
      </c>
      <c r="P85" s="8" t="s">
        <v>3880</v>
      </c>
      <c r="Q85" s="8" t="s">
        <v>36</v>
      </c>
      <c r="R85" s="33" t="s">
        <v>3881</v>
      </c>
      <c r="T85" s="8"/>
    </row>
    <row r="86" customFormat="false" ht="13.8" hidden="false" customHeight="false" outlineLevel="0" collapsed="false">
      <c r="A86" s="25" t="s">
        <v>4082</v>
      </c>
      <c r="B86" s="41" t="s">
        <v>3164</v>
      </c>
      <c r="C86" s="8" t="s">
        <v>427</v>
      </c>
      <c r="D86" s="8" t="s">
        <v>3877</v>
      </c>
      <c r="E86" s="0" t="s">
        <v>3878</v>
      </c>
      <c r="F86" s="0" t="s">
        <v>427</v>
      </c>
      <c r="G86" s="0" t="s">
        <v>427</v>
      </c>
      <c r="H86" s="0" t="s">
        <v>427</v>
      </c>
      <c r="I86" s="0" t="s">
        <v>3879</v>
      </c>
      <c r="K86" s="44" t="str">
        <f aca="false">INDEX(libraries!$B:$B, MATCH(B86, libraries!$A:$A, 0), 1)</f>
        <v>sam0049</v>
      </c>
      <c r="L86" s="44" t="n">
        <f aca="false">INDEX(samples!$F:$F, MATCH(K86, samples!$A:$A, 0), 1)</f>
        <v>0</v>
      </c>
      <c r="M86" s="55" t="str">
        <f aca="false">INDEX(samples!$C:$C, MATCH(K86, samples!$A:$A, 0), 1)</f>
        <v>2018-10-16</v>
      </c>
      <c r="N86" s="44" t="str">
        <f aca="false">INDEX(samples!$B:$B, MATCH(K86, samples!$A:$A, 0), 1)</f>
        <v>par0022</v>
      </c>
      <c r="O86" s="44" t="s">
        <v>565</v>
      </c>
      <c r="P86" s="8" t="s">
        <v>3880</v>
      </c>
      <c r="Q86" s="8" t="s">
        <v>36</v>
      </c>
      <c r="R86" s="33" t="s">
        <v>3881</v>
      </c>
      <c r="T86" s="8"/>
    </row>
    <row r="87" customFormat="false" ht="13.8" hidden="false" customHeight="false" outlineLevel="0" collapsed="false">
      <c r="A87" s="25" t="s">
        <v>4083</v>
      </c>
      <c r="B87" s="41" t="s">
        <v>3685</v>
      </c>
      <c r="C87" s="8" t="s">
        <v>3123</v>
      </c>
      <c r="D87" s="8" t="s">
        <v>3877</v>
      </c>
      <c r="E87" s="0" t="s">
        <v>3878</v>
      </c>
      <c r="F87" s="0" t="s">
        <v>4084</v>
      </c>
      <c r="G87" s="0" t="s">
        <v>4085</v>
      </c>
      <c r="H87" s="0" t="s">
        <v>427</v>
      </c>
      <c r="I87" s="0" t="s">
        <v>3891</v>
      </c>
      <c r="K87" s="44" t="str">
        <f aca="false">INDEX(libraries!$B:$B, MATCH(B87, libraries!$A:$A, 0), 1)</f>
        <v>sam0515</v>
      </c>
      <c r="L87" s="44" t="str">
        <f aca="false">INDEX(samples!$F:$F, MATCH(K87, samples!$A:$A, 0), 1)</f>
        <v>nf1_lib23</v>
      </c>
      <c r="M87" s="55" t="str">
        <f aca="false">INDEX(samples!$C:$C, MATCH(K87, samples!$A:$A, 0), 1)</f>
        <v>2023-09-19</v>
      </c>
      <c r="N87" s="44" t="str">
        <f aca="false">INDEX(samples!$B:$B, MATCH(K87, samples!$A:$A, 0), 1)</f>
        <v>par0233</v>
      </c>
      <c r="O87" s="44" t="s">
        <v>1214</v>
      </c>
      <c r="P87" s="8" t="s">
        <v>3880</v>
      </c>
      <c r="Q87" s="8" t="s">
        <v>4086</v>
      </c>
      <c r="R87" s="8" t="s">
        <v>3893</v>
      </c>
      <c r="T87" s="8"/>
    </row>
    <row r="88" customFormat="false" ht="13.8" hidden="false" customHeight="false" outlineLevel="0" collapsed="false">
      <c r="A88" s="25" t="s">
        <v>4087</v>
      </c>
      <c r="B88" s="41" t="s">
        <v>3778</v>
      </c>
      <c r="C88" s="33" t="s">
        <v>3110</v>
      </c>
      <c r="D88" s="33" t="s">
        <v>3877</v>
      </c>
      <c r="E88" s="0" t="s">
        <v>4088</v>
      </c>
      <c r="F88" s="0" t="s">
        <v>427</v>
      </c>
      <c r="G88" s="0" t="s">
        <v>427</v>
      </c>
      <c r="H88" s="0" t="s">
        <v>4089</v>
      </c>
      <c r="I88" s="0" t="s">
        <v>4090</v>
      </c>
      <c r="K88" s="44" t="str">
        <f aca="false">INDEX(libraries!$B:$B, MATCH(B88, libraries!$A:$A, 0), 1)</f>
        <v>sam0605</v>
      </c>
      <c r="L88" s="44" t="n">
        <f aca="false">INDEX(samples!$F:$F, MATCH(K88, samples!$A:$A, 0), 1)</f>
        <v>0</v>
      </c>
      <c r="M88" s="55" t="n">
        <f aca="false">INDEX(samples!$C:$C, MATCH(K88, samples!$A:$A, 0), 1)</f>
        <v>0</v>
      </c>
      <c r="N88" s="44" t="str">
        <f aca="false">INDEX(samples!$B:$B, MATCH(K88, samples!$A:$A, 0), 1)</f>
        <v>par0299</v>
      </c>
      <c r="P88" s="0" t="s">
        <v>3880</v>
      </c>
      <c r="T88" s="8"/>
    </row>
    <row r="89" customFormat="false" ht="13.8" hidden="false" customHeight="false" outlineLevel="0" collapsed="false">
      <c r="A89" s="25" t="s">
        <v>4091</v>
      </c>
      <c r="B89" s="41" t="s">
        <v>3778</v>
      </c>
      <c r="C89" s="33" t="s">
        <v>3110</v>
      </c>
      <c r="D89" s="33" t="s">
        <v>3877</v>
      </c>
      <c r="E89" s="0" t="s">
        <v>4088</v>
      </c>
      <c r="F89" s="0" t="s">
        <v>427</v>
      </c>
      <c r="G89" s="0" t="s">
        <v>427</v>
      </c>
      <c r="H89" s="0" t="s">
        <v>4089</v>
      </c>
      <c r="I89" s="0" t="s">
        <v>4090</v>
      </c>
      <c r="K89" s="44" t="str">
        <f aca="false">INDEX(libraries!$B:$B, MATCH(B89, libraries!$A:$A, 0), 1)</f>
        <v>sam0605</v>
      </c>
      <c r="L89" s="44" t="n">
        <f aca="false">INDEX(samples!$F:$F, MATCH(K89, samples!$A:$A, 0), 1)</f>
        <v>0</v>
      </c>
      <c r="M89" s="55" t="n">
        <f aca="false">INDEX(samples!$C:$C, MATCH(K89, samples!$A:$A, 0), 1)</f>
        <v>0</v>
      </c>
      <c r="N89" s="44" t="str">
        <f aca="false">INDEX(samples!$B:$B, MATCH(K89, samples!$A:$A, 0), 1)</f>
        <v>par0299</v>
      </c>
      <c r="P89" s="0" t="s">
        <v>3880</v>
      </c>
      <c r="T89" s="8"/>
    </row>
    <row r="90" customFormat="false" ht="13.8" hidden="false" customHeight="false" outlineLevel="0" collapsed="false">
      <c r="A90" s="25" t="s">
        <v>4092</v>
      </c>
      <c r="B90" s="41" t="s">
        <v>3778</v>
      </c>
      <c r="C90" s="33" t="s">
        <v>3110</v>
      </c>
      <c r="D90" s="33" t="s">
        <v>3877</v>
      </c>
      <c r="E90" s="0" t="s">
        <v>4088</v>
      </c>
      <c r="F90" s="0" t="s">
        <v>427</v>
      </c>
      <c r="G90" s="0" t="s">
        <v>427</v>
      </c>
      <c r="H90" s="0" t="s">
        <v>4089</v>
      </c>
      <c r="I90" s="0" t="s">
        <v>4090</v>
      </c>
      <c r="K90" s="44" t="str">
        <f aca="false">INDEX(libraries!$B:$B, MATCH(B90, libraries!$A:$A, 0), 1)</f>
        <v>sam0605</v>
      </c>
      <c r="L90" s="44" t="n">
        <f aca="false">INDEX(samples!$F:$F, MATCH(K90, samples!$A:$A, 0), 1)</f>
        <v>0</v>
      </c>
      <c r="M90" s="55" t="n">
        <f aca="false">INDEX(samples!$C:$C, MATCH(K90, samples!$A:$A, 0), 1)</f>
        <v>0</v>
      </c>
      <c r="N90" s="44" t="str">
        <f aca="false">INDEX(samples!$B:$B, MATCH(K90, samples!$A:$A, 0), 1)</f>
        <v>par0299</v>
      </c>
      <c r="P90" s="0" t="s">
        <v>3880</v>
      </c>
      <c r="T90" s="8"/>
    </row>
    <row r="91" customFormat="false" ht="13.8" hidden="false" customHeight="false" outlineLevel="0" collapsed="false">
      <c r="A91" s="25" t="s">
        <v>4093</v>
      </c>
      <c r="B91" s="41" t="s">
        <v>3778</v>
      </c>
      <c r="C91" s="33" t="s">
        <v>3110</v>
      </c>
      <c r="D91" s="33" t="s">
        <v>3877</v>
      </c>
      <c r="E91" s="0" t="s">
        <v>4088</v>
      </c>
      <c r="F91" s="0" t="s">
        <v>427</v>
      </c>
      <c r="G91" s="0" t="s">
        <v>427</v>
      </c>
      <c r="H91" s="0" t="s">
        <v>4089</v>
      </c>
      <c r="I91" s="0" t="s">
        <v>4090</v>
      </c>
      <c r="K91" s="44" t="str">
        <f aca="false">INDEX(libraries!$B:$B, MATCH(B91, libraries!$A:$A, 0), 1)</f>
        <v>sam0605</v>
      </c>
      <c r="L91" s="44" t="n">
        <f aca="false">INDEX(samples!$F:$F, MATCH(K91, samples!$A:$A, 0), 1)</f>
        <v>0</v>
      </c>
      <c r="M91" s="55" t="n">
        <f aca="false">INDEX(samples!$C:$C, MATCH(K91, samples!$A:$A, 0), 1)</f>
        <v>0</v>
      </c>
      <c r="N91" s="44" t="str">
        <f aca="false">INDEX(samples!$B:$B, MATCH(K91, samples!$A:$A, 0), 1)</f>
        <v>par0299</v>
      </c>
      <c r="P91" s="0" t="s">
        <v>3880</v>
      </c>
      <c r="T91" s="8"/>
    </row>
    <row r="92" customFormat="false" ht="13.8" hidden="false" customHeight="false" outlineLevel="0" collapsed="false">
      <c r="A92" s="25" t="s">
        <v>4094</v>
      </c>
      <c r="B92" s="41" t="s">
        <v>3265</v>
      </c>
      <c r="C92" s="8" t="s">
        <v>427</v>
      </c>
      <c r="D92" s="8" t="s">
        <v>3877</v>
      </c>
      <c r="E92" s="0" t="s">
        <v>3878</v>
      </c>
      <c r="F92" s="0" t="s">
        <v>427</v>
      </c>
      <c r="G92" s="0" t="s">
        <v>427</v>
      </c>
      <c r="H92" s="0" t="s">
        <v>427</v>
      </c>
      <c r="I92" s="0" t="s">
        <v>3879</v>
      </c>
      <c r="K92" s="44" t="str">
        <f aca="false">INDEX(libraries!$B:$B, MATCH(B92, libraries!$A:$A, 0), 1)</f>
        <v>sam0008</v>
      </c>
      <c r="L92" s="44" t="n">
        <f aca="false">INDEX(samples!$F:$F, MATCH(K92, samples!$A:$A, 0), 1)</f>
        <v>0</v>
      </c>
      <c r="M92" s="55" t="str">
        <f aca="false">INDEX(samples!$C:$C, MATCH(K92, samples!$A:$A, 0), 1)</f>
        <v>UNK</v>
      </c>
      <c r="N92" s="44" t="str">
        <f aca="false">INDEX(samples!$B:$B, MATCH(K92, samples!$A:$A, 0), 1)</f>
        <v>par0006</v>
      </c>
      <c r="O92" s="44" t="s">
        <v>499</v>
      </c>
      <c r="P92" s="8" t="s">
        <v>3880</v>
      </c>
      <c r="Q92" s="8" t="s">
        <v>36</v>
      </c>
      <c r="R92" s="33" t="s">
        <v>3881</v>
      </c>
      <c r="T92" s="8"/>
    </row>
    <row r="93" customFormat="false" ht="13.8" hidden="false" customHeight="false" outlineLevel="0" collapsed="false">
      <c r="A93" s="25" t="s">
        <v>4095</v>
      </c>
      <c r="B93" s="41" t="s">
        <v>3247</v>
      </c>
      <c r="C93" s="8" t="s">
        <v>427</v>
      </c>
      <c r="D93" s="8" t="s">
        <v>3877</v>
      </c>
      <c r="E93" s="0" t="s">
        <v>3878</v>
      </c>
      <c r="F93" s="0" t="s">
        <v>427</v>
      </c>
      <c r="G93" s="0" t="s">
        <v>427</v>
      </c>
      <c r="H93" s="0" t="s">
        <v>427</v>
      </c>
      <c r="I93" s="0" t="s">
        <v>3879</v>
      </c>
      <c r="K93" s="44" t="str">
        <f aca="false">INDEX(libraries!$B:$B, MATCH(B93, libraries!$A:$A, 0), 1)</f>
        <v>sam0214</v>
      </c>
      <c r="L93" s="44" t="n">
        <f aca="false">INDEX(samples!$F:$F, MATCH(K93, samples!$A:$A, 0), 1)</f>
        <v>0</v>
      </c>
      <c r="M93" s="55" t="str">
        <f aca="false">INDEX(samples!$C:$C, MATCH(K93, samples!$A:$A, 0), 1)</f>
        <v>UNK</v>
      </c>
      <c r="N93" s="44" t="str">
        <f aca="false">INDEX(samples!$B:$B, MATCH(K93, samples!$A:$A, 0), 1)</f>
        <v>par0120</v>
      </c>
      <c r="O93" s="44" t="s">
        <v>859</v>
      </c>
      <c r="P93" s="8" t="s">
        <v>3880</v>
      </c>
      <c r="Q93" s="8" t="s">
        <v>36</v>
      </c>
      <c r="R93" s="33" t="s">
        <v>3881</v>
      </c>
      <c r="T93" s="8"/>
    </row>
    <row r="94" customFormat="false" ht="13.8" hidden="false" customHeight="false" outlineLevel="0" collapsed="false">
      <c r="A94" s="25" t="s">
        <v>4096</v>
      </c>
      <c r="B94" s="41" t="s">
        <v>3157</v>
      </c>
      <c r="C94" s="8" t="s">
        <v>427</v>
      </c>
      <c r="D94" s="8" t="s">
        <v>3877</v>
      </c>
      <c r="E94" s="0" t="s">
        <v>3878</v>
      </c>
      <c r="F94" s="0" t="s">
        <v>427</v>
      </c>
      <c r="G94" s="0" t="s">
        <v>427</v>
      </c>
      <c r="H94" s="0" t="s">
        <v>427</v>
      </c>
      <c r="I94" s="0" t="s">
        <v>3879</v>
      </c>
      <c r="K94" s="44" t="str">
        <f aca="false">INDEX(libraries!$B:$B, MATCH(B94, libraries!$A:$A, 0), 1)</f>
        <v>sam0050</v>
      </c>
      <c r="L94" s="44" t="n">
        <f aca="false">INDEX(samples!$F:$F, MATCH(K94, samples!$A:$A, 0), 1)</f>
        <v>0</v>
      </c>
      <c r="M94" s="55" t="str">
        <f aca="false">INDEX(samples!$C:$C, MATCH(K94, samples!$A:$A, 0), 1)</f>
        <v>2018-07-02</v>
      </c>
      <c r="N94" s="44" t="str">
        <f aca="false">INDEX(samples!$B:$B, MATCH(K94, samples!$A:$A, 0), 1)</f>
        <v>par0023</v>
      </c>
      <c r="O94" s="44" t="s">
        <v>569</v>
      </c>
      <c r="P94" s="8" t="s">
        <v>3880</v>
      </c>
      <c r="Q94" s="8" t="s">
        <v>36</v>
      </c>
      <c r="R94" s="33" t="s">
        <v>3881</v>
      </c>
      <c r="T94" s="8"/>
    </row>
    <row r="95" customFormat="false" ht="13.8" hidden="false" customHeight="false" outlineLevel="0" collapsed="false">
      <c r="A95" s="25" t="s">
        <v>4097</v>
      </c>
      <c r="B95" s="41" t="s">
        <v>3686</v>
      </c>
      <c r="C95" s="8" t="s">
        <v>3123</v>
      </c>
      <c r="D95" s="8" t="s">
        <v>3877</v>
      </c>
      <c r="E95" s="0" t="s">
        <v>3878</v>
      </c>
      <c r="F95" s="0" t="s">
        <v>4098</v>
      </c>
      <c r="G95" s="0" t="s">
        <v>4099</v>
      </c>
      <c r="H95" s="0" t="s">
        <v>427</v>
      </c>
      <c r="I95" s="0" t="s">
        <v>3891</v>
      </c>
      <c r="K95" s="44" t="str">
        <f aca="false">INDEX(libraries!$B:$B, MATCH(B95, libraries!$A:$A, 0), 1)</f>
        <v>sam0516</v>
      </c>
      <c r="L95" s="44" t="str">
        <f aca="false">INDEX(samples!$F:$F, MATCH(K95, samples!$A:$A, 0), 1)</f>
        <v>nf1_lib24</v>
      </c>
      <c r="M95" s="55" t="str">
        <f aca="false">INDEX(samples!$C:$C, MATCH(K95, samples!$A:$A, 0), 1)</f>
        <v>2024-03-19</v>
      </c>
      <c r="N95" s="44" t="str">
        <f aca="false">INDEX(samples!$B:$B, MATCH(K95, samples!$A:$A, 0), 1)</f>
        <v>par0233</v>
      </c>
      <c r="O95" s="44" t="s">
        <v>1214</v>
      </c>
      <c r="P95" s="8" t="s">
        <v>3880</v>
      </c>
      <c r="Q95" s="8" t="s">
        <v>4100</v>
      </c>
      <c r="R95" s="8" t="s">
        <v>3893</v>
      </c>
      <c r="T95" s="8"/>
    </row>
    <row r="96" customFormat="false" ht="13.8" hidden="false" customHeight="false" outlineLevel="0" collapsed="false">
      <c r="A96" s="25" t="s">
        <v>4101</v>
      </c>
      <c r="B96" s="41" t="s">
        <v>3779</v>
      </c>
      <c r="C96" s="33" t="s">
        <v>3110</v>
      </c>
      <c r="D96" s="33" t="s">
        <v>3877</v>
      </c>
      <c r="E96" s="0" t="s">
        <v>4088</v>
      </c>
      <c r="F96" s="0" t="s">
        <v>427</v>
      </c>
      <c r="G96" s="0" t="s">
        <v>427</v>
      </c>
      <c r="H96" s="0" t="s">
        <v>4089</v>
      </c>
      <c r="I96" s="0" t="s">
        <v>4090</v>
      </c>
      <c r="K96" s="44" t="str">
        <f aca="false">INDEX(libraries!$B:$B, MATCH(B96, libraries!$A:$A, 0), 1)</f>
        <v>sam0606</v>
      </c>
      <c r="L96" s="44" t="n">
        <f aca="false">INDEX(samples!$F:$F, MATCH(K96, samples!$A:$A, 0), 1)</f>
        <v>0</v>
      </c>
      <c r="M96" s="55" t="str">
        <f aca="false">INDEX(samples!$C:$C, MATCH(K96, samples!$A:$A, 0), 1)</f>
        <v>1899-12-30</v>
      </c>
      <c r="N96" s="44" t="str">
        <f aca="false">INDEX(samples!$B:$B, MATCH(K96, samples!$A:$A, 0), 1)</f>
        <v>par0300</v>
      </c>
      <c r="P96" s="0" t="s">
        <v>3880</v>
      </c>
      <c r="T96" s="8"/>
    </row>
    <row r="97" customFormat="false" ht="13.8" hidden="false" customHeight="false" outlineLevel="0" collapsed="false">
      <c r="A97" s="25" t="s">
        <v>4102</v>
      </c>
      <c r="B97" s="41" t="s">
        <v>3779</v>
      </c>
      <c r="C97" s="33" t="s">
        <v>3110</v>
      </c>
      <c r="D97" s="33" t="s">
        <v>3877</v>
      </c>
      <c r="E97" s="0" t="s">
        <v>4088</v>
      </c>
      <c r="F97" s="0" t="s">
        <v>427</v>
      </c>
      <c r="G97" s="0" t="s">
        <v>427</v>
      </c>
      <c r="H97" s="0" t="s">
        <v>4089</v>
      </c>
      <c r="I97" s="0" t="s">
        <v>4090</v>
      </c>
      <c r="K97" s="44" t="str">
        <f aca="false">INDEX(libraries!$B:$B, MATCH(B97, libraries!$A:$A, 0), 1)</f>
        <v>sam0606</v>
      </c>
      <c r="L97" s="44" t="n">
        <f aca="false">INDEX(samples!$F:$F, MATCH(K97, samples!$A:$A, 0), 1)</f>
        <v>0</v>
      </c>
      <c r="M97" s="55" t="str">
        <f aca="false">INDEX(samples!$C:$C, MATCH(K97, samples!$A:$A, 0), 1)</f>
        <v>1899-12-30</v>
      </c>
      <c r="N97" s="44" t="str">
        <f aca="false">INDEX(samples!$B:$B, MATCH(K97, samples!$A:$A, 0), 1)</f>
        <v>par0300</v>
      </c>
      <c r="P97" s="0" t="s">
        <v>3880</v>
      </c>
      <c r="T97" s="8"/>
    </row>
    <row r="98" customFormat="false" ht="13.8" hidden="false" customHeight="false" outlineLevel="0" collapsed="false">
      <c r="A98" s="25" t="s">
        <v>4103</v>
      </c>
      <c r="B98" s="41" t="s">
        <v>3779</v>
      </c>
      <c r="C98" s="33" t="s">
        <v>3110</v>
      </c>
      <c r="D98" s="33" t="s">
        <v>3877</v>
      </c>
      <c r="E98" s="0" t="s">
        <v>4088</v>
      </c>
      <c r="F98" s="0" t="s">
        <v>427</v>
      </c>
      <c r="G98" s="0" t="s">
        <v>427</v>
      </c>
      <c r="H98" s="0" t="s">
        <v>4089</v>
      </c>
      <c r="I98" s="0" t="s">
        <v>4090</v>
      </c>
      <c r="K98" s="44" t="str">
        <f aca="false">INDEX(libraries!$B:$B, MATCH(B98, libraries!$A:$A, 0), 1)</f>
        <v>sam0606</v>
      </c>
      <c r="L98" s="44" t="n">
        <f aca="false">INDEX(samples!$F:$F, MATCH(K98, samples!$A:$A, 0), 1)</f>
        <v>0</v>
      </c>
      <c r="M98" s="55" t="str">
        <f aca="false">INDEX(samples!$C:$C, MATCH(K98, samples!$A:$A, 0), 1)</f>
        <v>1899-12-30</v>
      </c>
      <c r="N98" s="44" t="str">
        <f aca="false">INDEX(samples!$B:$B, MATCH(K98, samples!$A:$A, 0), 1)</f>
        <v>par0300</v>
      </c>
      <c r="P98" s="0" t="s">
        <v>3880</v>
      </c>
      <c r="T98" s="8"/>
    </row>
    <row r="99" customFormat="false" ht="13.8" hidden="false" customHeight="false" outlineLevel="0" collapsed="false">
      <c r="A99" s="25" t="s">
        <v>4104</v>
      </c>
      <c r="B99" s="41" t="s">
        <v>3779</v>
      </c>
      <c r="C99" s="33" t="s">
        <v>3110</v>
      </c>
      <c r="D99" s="33" t="s">
        <v>3877</v>
      </c>
      <c r="E99" s="0" t="s">
        <v>4088</v>
      </c>
      <c r="F99" s="0" t="s">
        <v>427</v>
      </c>
      <c r="G99" s="0" t="s">
        <v>427</v>
      </c>
      <c r="H99" s="0" t="s">
        <v>4089</v>
      </c>
      <c r="I99" s="0" t="s">
        <v>4090</v>
      </c>
      <c r="K99" s="44" t="str">
        <f aca="false">INDEX(libraries!$B:$B, MATCH(B99, libraries!$A:$A, 0), 1)</f>
        <v>sam0606</v>
      </c>
      <c r="L99" s="44" t="n">
        <f aca="false">INDEX(samples!$F:$F, MATCH(K99, samples!$A:$A, 0), 1)</f>
        <v>0</v>
      </c>
      <c r="M99" s="55" t="str">
        <f aca="false">INDEX(samples!$C:$C, MATCH(K99, samples!$A:$A, 0), 1)</f>
        <v>1899-12-30</v>
      </c>
      <c r="N99" s="44" t="str">
        <f aca="false">INDEX(samples!$B:$B, MATCH(K99, samples!$A:$A, 0), 1)</f>
        <v>par0300</v>
      </c>
      <c r="P99" s="0" t="s">
        <v>3880</v>
      </c>
      <c r="T99" s="8"/>
    </row>
    <row r="100" customFormat="false" ht="13.8" hidden="false" customHeight="false" outlineLevel="0" collapsed="false">
      <c r="A100" s="25" t="s">
        <v>4105</v>
      </c>
      <c r="B100" s="41" t="s">
        <v>3556</v>
      </c>
      <c r="C100" s="8" t="s">
        <v>427</v>
      </c>
      <c r="D100" s="8" t="s">
        <v>3877</v>
      </c>
      <c r="E100" s="0" t="s">
        <v>3878</v>
      </c>
      <c r="F100" s="0" t="s">
        <v>427</v>
      </c>
      <c r="G100" s="0" t="s">
        <v>427</v>
      </c>
      <c r="H100" s="0" t="s">
        <v>427</v>
      </c>
      <c r="I100" s="0" t="s">
        <v>3879</v>
      </c>
      <c r="K100" s="44" t="str">
        <f aca="false">INDEX(libraries!$B:$B, MATCH(B100, libraries!$A:$A, 0), 1)</f>
        <v>sam0450</v>
      </c>
      <c r="L100" s="44" t="n">
        <f aca="false">INDEX(samples!$F:$F, MATCH(K100, samples!$A:$A, 0), 1)</f>
        <v>0</v>
      </c>
      <c r="M100" s="55" t="str">
        <f aca="false">INDEX(samples!$C:$C, MATCH(K100, samples!$A:$A, 0), 1)</f>
        <v>2022-07-05</v>
      </c>
      <c r="N100" s="44" t="str">
        <f aca="false">INDEX(samples!$B:$B, MATCH(K100, samples!$A:$A, 0), 1)</f>
        <v>par0242</v>
      </c>
      <c r="O100" s="44" t="s">
        <v>1244</v>
      </c>
      <c r="P100" s="8" t="s">
        <v>3880</v>
      </c>
      <c r="Q100" s="8" t="s">
        <v>36</v>
      </c>
      <c r="R100" s="33" t="s">
        <v>3881</v>
      </c>
      <c r="T100" s="8"/>
    </row>
    <row r="101" customFormat="false" ht="13.8" hidden="false" customHeight="false" outlineLevel="0" collapsed="false">
      <c r="A101" s="25" t="s">
        <v>4106</v>
      </c>
      <c r="B101" s="41" t="s">
        <v>3264</v>
      </c>
      <c r="C101" s="8" t="s">
        <v>427</v>
      </c>
      <c r="D101" s="8" t="s">
        <v>3877</v>
      </c>
      <c r="E101" s="0" t="s">
        <v>3878</v>
      </c>
      <c r="F101" s="0" t="s">
        <v>427</v>
      </c>
      <c r="G101" s="0" t="s">
        <v>427</v>
      </c>
      <c r="H101" s="0" t="s">
        <v>427</v>
      </c>
      <c r="I101" s="0" t="s">
        <v>3879</v>
      </c>
      <c r="K101" s="44" t="str">
        <f aca="false">INDEX(libraries!$B:$B, MATCH(B101, libraries!$A:$A, 0), 1)</f>
        <v>sam0012</v>
      </c>
      <c r="L101" s="44" t="n">
        <f aca="false">INDEX(samples!$F:$F, MATCH(K101, samples!$A:$A, 0), 1)</f>
        <v>0</v>
      </c>
      <c r="M101" s="55" t="str">
        <f aca="false">INDEX(samples!$C:$C, MATCH(K101, samples!$A:$A, 0), 1)</f>
        <v>UNK</v>
      </c>
      <c r="N101" s="44" t="str">
        <f aca="false">INDEX(samples!$B:$B, MATCH(K101, samples!$A:$A, 0), 1)</f>
        <v>par0007</v>
      </c>
      <c r="O101" s="44" t="s">
        <v>502</v>
      </c>
      <c r="P101" s="8" t="s">
        <v>3880</v>
      </c>
      <c r="Q101" s="8" t="s">
        <v>36</v>
      </c>
      <c r="R101" s="33" t="s">
        <v>3966</v>
      </c>
      <c r="T101" s="8"/>
    </row>
    <row r="102" customFormat="false" ht="13.8" hidden="false" customHeight="false" outlineLevel="0" collapsed="false">
      <c r="A102" s="25" t="s">
        <v>4107</v>
      </c>
      <c r="B102" s="41" t="s">
        <v>3222</v>
      </c>
      <c r="C102" s="8" t="s">
        <v>427</v>
      </c>
      <c r="D102" s="8" t="s">
        <v>3877</v>
      </c>
      <c r="E102" s="0" t="s">
        <v>3878</v>
      </c>
      <c r="F102" s="0" t="s">
        <v>427</v>
      </c>
      <c r="G102" s="0" t="s">
        <v>427</v>
      </c>
      <c r="H102" s="0" t="s">
        <v>427</v>
      </c>
      <c r="I102" s="0" t="s">
        <v>3879</v>
      </c>
      <c r="K102" s="44" t="str">
        <f aca="false">INDEX(libraries!$B:$B, MATCH(B102, libraries!$A:$A, 0), 1)</f>
        <v>sam0210</v>
      </c>
      <c r="L102" s="44" t="n">
        <f aca="false">INDEX(samples!$F:$F, MATCH(K102, samples!$A:$A, 0), 1)</f>
        <v>0</v>
      </c>
      <c r="M102" s="55" t="str">
        <f aca="false">INDEX(samples!$C:$C, MATCH(K102, samples!$A:$A, 0), 1)</f>
        <v>UNK</v>
      </c>
      <c r="N102" s="44" t="str">
        <f aca="false">INDEX(samples!$B:$B, MATCH(K102, samples!$A:$A, 0), 1)</f>
        <v>par0121</v>
      </c>
      <c r="O102" s="44" t="s">
        <v>862</v>
      </c>
      <c r="P102" s="8" t="s">
        <v>3880</v>
      </c>
      <c r="Q102" s="8" t="s">
        <v>36</v>
      </c>
      <c r="R102" s="33" t="s">
        <v>3881</v>
      </c>
      <c r="T102" s="8"/>
    </row>
    <row r="103" customFormat="false" ht="13.8" hidden="false" customHeight="false" outlineLevel="0" collapsed="false">
      <c r="A103" s="25" t="s">
        <v>4108</v>
      </c>
      <c r="B103" s="41" t="s">
        <v>3192</v>
      </c>
      <c r="C103" s="8" t="s">
        <v>427</v>
      </c>
      <c r="D103" s="8" t="s">
        <v>3877</v>
      </c>
      <c r="E103" s="0" t="s">
        <v>3878</v>
      </c>
      <c r="F103" s="0" t="s">
        <v>427</v>
      </c>
      <c r="G103" s="0" t="s">
        <v>427</v>
      </c>
      <c r="H103" s="0" t="s">
        <v>427</v>
      </c>
      <c r="I103" s="0" t="s">
        <v>3879</v>
      </c>
      <c r="K103" s="44" t="str">
        <f aca="false">INDEX(libraries!$B:$B, MATCH(B103, libraries!$A:$A, 0), 1)</f>
        <v>sam0051</v>
      </c>
      <c r="L103" s="44" t="n">
        <f aca="false">INDEX(samples!$F:$F, MATCH(K103, samples!$A:$A, 0), 1)</f>
        <v>0</v>
      </c>
      <c r="M103" s="55" t="str">
        <f aca="false">INDEX(samples!$C:$C, MATCH(K103, samples!$A:$A, 0), 1)</f>
        <v>2018-06-25</v>
      </c>
      <c r="N103" s="44" t="str">
        <f aca="false">INDEX(samples!$B:$B, MATCH(K103, samples!$A:$A, 0), 1)</f>
        <v>par0024</v>
      </c>
      <c r="O103" s="44" t="s">
        <v>572</v>
      </c>
      <c r="P103" s="8" t="s">
        <v>3880</v>
      </c>
      <c r="Q103" s="8" t="s">
        <v>36</v>
      </c>
      <c r="R103" s="33" t="s">
        <v>3881</v>
      </c>
      <c r="T103" s="8"/>
    </row>
    <row r="104" customFormat="false" ht="13.8" hidden="false" customHeight="false" outlineLevel="0" collapsed="false">
      <c r="A104" s="25" t="s">
        <v>4109</v>
      </c>
      <c r="B104" s="41" t="s">
        <v>3687</v>
      </c>
      <c r="C104" s="8" t="s">
        <v>3123</v>
      </c>
      <c r="D104" s="8" t="s">
        <v>3877</v>
      </c>
      <c r="E104" s="0" t="s">
        <v>3878</v>
      </c>
      <c r="F104" s="0" t="s">
        <v>4110</v>
      </c>
      <c r="G104" s="0" t="s">
        <v>4111</v>
      </c>
      <c r="H104" s="0" t="s">
        <v>427</v>
      </c>
      <c r="I104" s="0" t="s">
        <v>3891</v>
      </c>
      <c r="K104" s="44" t="str">
        <f aca="false">INDEX(libraries!$B:$B, MATCH(B104, libraries!$A:$A, 0), 1)</f>
        <v>sam0517</v>
      </c>
      <c r="L104" s="44" t="str">
        <f aca="false">INDEX(samples!$F:$F, MATCH(K104, samples!$A:$A, 0), 1)</f>
        <v>nf1_lib25</v>
      </c>
      <c r="M104" s="55" t="str">
        <f aca="false">INDEX(samples!$C:$C, MATCH(K104, samples!$A:$A, 0), 1)</f>
        <v>2024-06-18</v>
      </c>
      <c r="N104" s="44" t="str">
        <f aca="false">INDEX(samples!$B:$B, MATCH(K104, samples!$A:$A, 0), 1)</f>
        <v>par0233</v>
      </c>
      <c r="O104" s="44" t="s">
        <v>1214</v>
      </c>
      <c r="P104" s="8" t="s">
        <v>3880</v>
      </c>
      <c r="Q104" s="8" t="s">
        <v>4112</v>
      </c>
      <c r="R104" s="8" t="s">
        <v>3893</v>
      </c>
      <c r="T104" s="8"/>
    </row>
    <row r="105" customFormat="false" ht="13.8" hidden="false" customHeight="false" outlineLevel="0" collapsed="false">
      <c r="A105" s="25" t="s">
        <v>4113</v>
      </c>
      <c r="B105" s="41" t="s">
        <v>3252</v>
      </c>
      <c r="C105" s="8" t="s">
        <v>427</v>
      </c>
      <c r="D105" s="8" t="s">
        <v>3877</v>
      </c>
      <c r="E105" s="0" t="s">
        <v>3878</v>
      </c>
      <c r="F105" s="0" t="s">
        <v>427</v>
      </c>
      <c r="G105" s="0" t="s">
        <v>427</v>
      </c>
      <c r="H105" s="0" t="s">
        <v>427</v>
      </c>
      <c r="I105" s="0" t="s">
        <v>3879</v>
      </c>
      <c r="K105" s="44" t="str">
        <f aca="false">INDEX(libraries!$B:$B, MATCH(B105, libraries!$A:$A, 0), 1)</f>
        <v>sam0211</v>
      </c>
      <c r="L105" s="44" t="n">
        <f aca="false">INDEX(samples!$F:$F, MATCH(K105, samples!$A:$A, 0), 1)</f>
        <v>0</v>
      </c>
      <c r="M105" s="55" t="str">
        <f aca="false">INDEX(samples!$C:$C, MATCH(K105, samples!$A:$A, 0), 1)</f>
        <v>UNK</v>
      </c>
      <c r="N105" s="44" t="str">
        <f aca="false">INDEX(samples!$B:$B, MATCH(K105, samples!$A:$A, 0), 1)</f>
        <v>par0122</v>
      </c>
      <c r="O105" s="44" t="s">
        <v>865</v>
      </c>
      <c r="P105" s="8" t="s">
        <v>3880</v>
      </c>
      <c r="Q105" s="8" t="s">
        <v>36</v>
      </c>
      <c r="R105" s="33" t="s">
        <v>3881</v>
      </c>
      <c r="T105" s="8"/>
    </row>
    <row r="106" customFormat="false" ht="13.8" hidden="false" customHeight="false" outlineLevel="0" collapsed="false">
      <c r="A106" s="25" t="s">
        <v>4114</v>
      </c>
      <c r="B106" s="41" t="s">
        <v>3163</v>
      </c>
      <c r="C106" s="8" t="s">
        <v>427</v>
      </c>
      <c r="D106" s="8" t="s">
        <v>3877</v>
      </c>
      <c r="E106" s="0" t="s">
        <v>3878</v>
      </c>
      <c r="F106" s="0" t="s">
        <v>427</v>
      </c>
      <c r="G106" s="0" t="s">
        <v>427</v>
      </c>
      <c r="H106" s="0" t="s">
        <v>427</v>
      </c>
      <c r="I106" s="0" t="s">
        <v>3879</v>
      </c>
      <c r="K106" s="44" t="str">
        <f aca="false">INDEX(libraries!$B:$B, MATCH(B106, libraries!$A:$A, 0), 1)</f>
        <v>sam0052</v>
      </c>
      <c r="L106" s="44" t="n">
        <f aca="false">INDEX(samples!$F:$F, MATCH(K106, samples!$A:$A, 0), 1)</f>
        <v>0</v>
      </c>
      <c r="M106" s="55" t="str">
        <f aca="false">INDEX(samples!$C:$C, MATCH(K106, samples!$A:$A, 0), 1)</f>
        <v>2017-12-07</v>
      </c>
      <c r="N106" s="44" t="str">
        <f aca="false">INDEX(samples!$B:$B, MATCH(K106, samples!$A:$A, 0), 1)</f>
        <v>par0025</v>
      </c>
      <c r="O106" s="44" t="s">
        <v>576</v>
      </c>
      <c r="P106" s="8" t="s">
        <v>3880</v>
      </c>
      <c r="Q106" s="8" t="s">
        <v>36</v>
      </c>
      <c r="R106" s="33" t="s">
        <v>3881</v>
      </c>
      <c r="T106" s="8"/>
    </row>
    <row r="107" customFormat="false" ht="13.8" hidden="false" customHeight="false" outlineLevel="0" collapsed="false">
      <c r="A107" s="25" t="s">
        <v>4115</v>
      </c>
      <c r="B107" s="41" t="s">
        <v>3263</v>
      </c>
      <c r="C107" s="8" t="s">
        <v>427</v>
      </c>
      <c r="D107" s="8" t="s">
        <v>3877</v>
      </c>
      <c r="E107" s="0" t="s">
        <v>3878</v>
      </c>
      <c r="F107" s="0" t="s">
        <v>427</v>
      </c>
      <c r="G107" s="0" t="s">
        <v>427</v>
      </c>
      <c r="H107" s="0" t="s">
        <v>427</v>
      </c>
      <c r="I107" s="0" t="s">
        <v>3879</v>
      </c>
      <c r="K107" s="44" t="str">
        <f aca="false">INDEX(libraries!$B:$B, MATCH(B107, libraries!$A:$A, 0), 1)</f>
        <v>sam0092</v>
      </c>
      <c r="L107" s="44" t="n">
        <f aca="false">INDEX(samples!$F:$F, MATCH(K107, samples!$A:$A, 0), 1)</f>
        <v>0</v>
      </c>
      <c r="M107" s="55" t="str">
        <f aca="false">INDEX(samples!$C:$C, MATCH(K107, samples!$A:$A, 0), 1)</f>
        <v>2019-02-06</v>
      </c>
      <c r="N107" s="44" t="str">
        <f aca="false">INDEX(samples!$B:$B, MATCH(K107, samples!$A:$A, 0), 1)</f>
        <v>par0129</v>
      </c>
      <c r="O107" s="44" t="s">
        <v>884</v>
      </c>
      <c r="P107" s="8" t="s">
        <v>3880</v>
      </c>
      <c r="Q107" s="8" t="s">
        <v>36</v>
      </c>
      <c r="R107" s="33" t="s">
        <v>3881</v>
      </c>
      <c r="T107" s="8"/>
    </row>
    <row r="108" customFormat="false" ht="13.8" hidden="false" customHeight="false" outlineLevel="0" collapsed="false">
      <c r="A108" s="25" t="s">
        <v>4116</v>
      </c>
      <c r="B108" s="41" t="s">
        <v>3688</v>
      </c>
      <c r="C108" s="8" t="s">
        <v>3123</v>
      </c>
      <c r="D108" s="8" t="s">
        <v>3877</v>
      </c>
      <c r="E108" s="0" t="s">
        <v>3878</v>
      </c>
      <c r="F108" s="0" t="s">
        <v>4117</v>
      </c>
      <c r="G108" s="0" t="s">
        <v>4118</v>
      </c>
      <c r="H108" s="0" t="s">
        <v>427</v>
      </c>
      <c r="I108" s="0" t="s">
        <v>3891</v>
      </c>
      <c r="K108" s="44" t="str">
        <f aca="false">INDEX(libraries!$B:$B, MATCH(B108, libraries!$A:$A, 0), 1)</f>
        <v>sam0518</v>
      </c>
      <c r="L108" s="44" t="str">
        <f aca="false">INDEX(samples!$F:$F, MATCH(K108, samples!$A:$A, 0), 1)</f>
        <v>nf1_lib26</v>
      </c>
      <c r="M108" s="55" t="n">
        <f aca="false">INDEX(samples!$C:$C, MATCH(K108, samples!$A:$A, 0), 1)</f>
        <v>45279</v>
      </c>
      <c r="N108" s="44" t="str">
        <f aca="false">INDEX(samples!$B:$B, MATCH(K108, samples!$A:$A, 0), 1)</f>
        <v>par0233</v>
      </c>
      <c r="O108" s="44" t="s">
        <v>1214</v>
      </c>
      <c r="P108" s="8" t="s">
        <v>3880</v>
      </c>
      <c r="Q108" s="8" t="s">
        <v>4119</v>
      </c>
      <c r="R108" s="8" t="s">
        <v>3893</v>
      </c>
      <c r="T108" s="8"/>
    </row>
    <row r="109" customFormat="false" ht="13.8" hidden="false" customHeight="false" outlineLevel="0" collapsed="false">
      <c r="A109" s="25" t="s">
        <v>4120</v>
      </c>
      <c r="B109" s="41" t="s">
        <v>3228</v>
      </c>
      <c r="C109" s="8" t="s">
        <v>427</v>
      </c>
      <c r="D109" s="8" t="s">
        <v>3877</v>
      </c>
      <c r="E109" s="0" t="s">
        <v>3878</v>
      </c>
      <c r="F109" s="0" t="s">
        <v>427</v>
      </c>
      <c r="G109" s="0" t="s">
        <v>427</v>
      </c>
      <c r="H109" s="0" t="s">
        <v>427</v>
      </c>
      <c r="I109" s="0" t="s">
        <v>3879</v>
      </c>
      <c r="K109" s="44" t="str">
        <f aca="false">INDEX(libraries!$B:$B, MATCH(B109, libraries!$A:$A, 0), 1)</f>
        <v>sam0212</v>
      </c>
      <c r="L109" s="44" t="n">
        <f aca="false">INDEX(samples!$F:$F, MATCH(K109, samples!$A:$A, 0), 1)</f>
        <v>0</v>
      </c>
      <c r="M109" s="55" t="str">
        <f aca="false">INDEX(samples!$C:$C, MATCH(K109, samples!$A:$A, 0), 1)</f>
        <v>UNK</v>
      </c>
      <c r="N109" s="44" t="str">
        <f aca="false">INDEX(samples!$B:$B, MATCH(K109, samples!$A:$A, 0), 1)</f>
        <v>par0123</v>
      </c>
      <c r="O109" s="44" t="s">
        <v>868</v>
      </c>
      <c r="P109" s="8" t="s">
        <v>3880</v>
      </c>
      <c r="Q109" s="8" t="s">
        <v>36</v>
      </c>
      <c r="R109" s="33" t="s">
        <v>3881</v>
      </c>
      <c r="T109" s="8"/>
    </row>
    <row r="110" customFormat="false" ht="13.8" hidden="false" customHeight="false" outlineLevel="0" collapsed="false">
      <c r="A110" s="25" t="s">
        <v>4121</v>
      </c>
      <c r="B110" s="41" t="s">
        <v>3178</v>
      </c>
      <c r="C110" s="8" t="s">
        <v>427</v>
      </c>
      <c r="D110" s="8" t="s">
        <v>3877</v>
      </c>
      <c r="E110" s="0" t="s">
        <v>3878</v>
      </c>
      <c r="F110" s="0" t="s">
        <v>427</v>
      </c>
      <c r="G110" s="0" t="s">
        <v>427</v>
      </c>
      <c r="H110" s="0" t="s">
        <v>427</v>
      </c>
      <c r="I110" s="0" t="s">
        <v>3879</v>
      </c>
      <c r="K110" s="44" t="str">
        <f aca="false">INDEX(libraries!$B:$B, MATCH(B110, libraries!$A:$A, 0), 1)</f>
        <v>sam0053</v>
      </c>
      <c r="L110" s="44" t="n">
        <f aca="false">INDEX(samples!$F:$F, MATCH(K110, samples!$A:$A, 0), 1)</f>
        <v>0</v>
      </c>
      <c r="M110" s="55" t="str">
        <f aca="false">INDEX(samples!$C:$C, MATCH(K110, samples!$A:$A, 0), 1)</f>
        <v>2018-05-30</v>
      </c>
      <c r="N110" s="44" t="str">
        <f aca="false">INDEX(samples!$B:$B, MATCH(K110, samples!$A:$A, 0), 1)</f>
        <v>par0025</v>
      </c>
      <c r="O110" s="44" t="s">
        <v>576</v>
      </c>
      <c r="P110" s="8" t="s">
        <v>3880</v>
      </c>
      <c r="Q110" s="8" t="s">
        <v>36</v>
      </c>
      <c r="R110" s="33" t="s">
        <v>3881</v>
      </c>
      <c r="T110" s="8"/>
    </row>
    <row r="111" customFormat="false" ht="13.8" hidden="false" customHeight="false" outlineLevel="0" collapsed="false">
      <c r="A111" s="25" t="s">
        <v>4122</v>
      </c>
      <c r="B111" s="41" t="s">
        <v>3262</v>
      </c>
      <c r="C111" s="8" t="s">
        <v>427</v>
      </c>
      <c r="D111" s="8" t="s">
        <v>3877</v>
      </c>
      <c r="E111" s="0" t="s">
        <v>3878</v>
      </c>
      <c r="F111" s="0" t="s">
        <v>427</v>
      </c>
      <c r="G111" s="0" t="s">
        <v>427</v>
      </c>
      <c r="H111" s="0" t="s">
        <v>427</v>
      </c>
      <c r="I111" s="0" t="s">
        <v>3879</v>
      </c>
      <c r="K111" s="44" t="str">
        <f aca="false">INDEX(libraries!$B:$B, MATCH(B111, libraries!$A:$A, 0), 1)</f>
        <v>sam0069</v>
      </c>
      <c r="L111" s="44" t="n">
        <f aca="false">INDEX(samples!$F:$F, MATCH(K111, samples!$A:$A, 0), 1)</f>
        <v>0</v>
      </c>
      <c r="M111" s="55" t="str">
        <f aca="false">INDEX(samples!$C:$C, MATCH(K111, samples!$A:$A, 0), 1)</f>
        <v>2017-11-27</v>
      </c>
      <c r="N111" s="44" t="str">
        <f aca="false">INDEX(samples!$B:$B, MATCH(K111, samples!$A:$A, 0), 1)</f>
        <v>par0010</v>
      </c>
      <c r="O111" s="44" t="s">
        <v>515</v>
      </c>
      <c r="P111" s="8" t="s">
        <v>3880</v>
      </c>
      <c r="Q111" s="8" t="s">
        <v>36</v>
      </c>
      <c r="R111" s="33" t="s">
        <v>3881</v>
      </c>
      <c r="T111" s="8"/>
    </row>
    <row r="112" customFormat="false" ht="13.8" hidden="false" customHeight="false" outlineLevel="0" collapsed="false">
      <c r="A112" s="25" t="s">
        <v>4123</v>
      </c>
      <c r="B112" s="41" t="s">
        <v>3689</v>
      </c>
      <c r="C112" s="8" t="s">
        <v>3123</v>
      </c>
      <c r="D112" s="8" t="s">
        <v>3877</v>
      </c>
      <c r="E112" s="0" t="s">
        <v>3878</v>
      </c>
      <c r="F112" s="0" t="s">
        <v>4124</v>
      </c>
      <c r="G112" s="0" t="s">
        <v>4125</v>
      </c>
      <c r="H112" s="0" t="s">
        <v>427</v>
      </c>
      <c r="I112" s="0" t="s">
        <v>3891</v>
      </c>
      <c r="K112" s="44" t="str">
        <f aca="false">INDEX(libraries!$B:$B, MATCH(B112, libraries!$A:$A, 0), 1)</f>
        <v>sam0519</v>
      </c>
      <c r="L112" s="44" t="str">
        <f aca="false">INDEX(samples!$F:$F, MATCH(K112, samples!$A:$A, 0), 1)</f>
        <v>nf1_lib27</v>
      </c>
      <c r="M112" s="55" t="str">
        <f aca="false">INDEX(samples!$C:$C, MATCH(K112, samples!$A:$A, 0), 1)</f>
        <v>2023-11-14</v>
      </c>
      <c r="N112" s="44" t="n">
        <f aca="false">INDEX(samples!$B:$B, MATCH(K112, samples!$A:$A, 0), 1)</f>
        <v>0</v>
      </c>
      <c r="O112" s="44" t="s">
        <v>1146</v>
      </c>
      <c r="P112" s="8" t="s">
        <v>3880</v>
      </c>
      <c r="Q112" s="8" t="s">
        <v>4126</v>
      </c>
      <c r="R112" s="8" t="s">
        <v>3893</v>
      </c>
      <c r="T112" s="8"/>
    </row>
    <row r="113" customFormat="false" ht="13.8" hidden="false" customHeight="false" outlineLevel="0" collapsed="false">
      <c r="A113" s="25" t="s">
        <v>4127</v>
      </c>
      <c r="B113" s="41" t="s">
        <v>3230</v>
      </c>
      <c r="C113" s="8" t="s">
        <v>427</v>
      </c>
      <c r="D113" s="8" t="s">
        <v>3877</v>
      </c>
      <c r="E113" s="0" t="s">
        <v>3878</v>
      </c>
      <c r="F113" s="0" t="s">
        <v>427</v>
      </c>
      <c r="G113" s="0" t="s">
        <v>427</v>
      </c>
      <c r="H113" s="0" t="s">
        <v>427</v>
      </c>
      <c r="I113" s="0" t="s">
        <v>3879</v>
      </c>
      <c r="K113" s="44" t="str">
        <f aca="false">INDEX(libraries!$B:$B, MATCH(B113, libraries!$A:$A, 0), 1)</f>
        <v>sam0199</v>
      </c>
      <c r="L113" s="44" t="n">
        <f aca="false">INDEX(samples!$F:$F, MATCH(K113, samples!$A:$A, 0), 1)</f>
        <v>0</v>
      </c>
      <c r="M113" s="55" t="str">
        <f aca="false">INDEX(samples!$C:$C, MATCH(K113, samples!$A:$A, 0), 1)</f>
        <v>UNK</v>
      </c>
      <c r="N113" s="44" t="str">
        <f aca="false">INDEX(samples!$B:$B, MATCH(K113, samples!$A:$A, 0), 1)</f>
        <v>par0110</v>
      </c>
      <c r="O113" s="44" t="s">
        <v>828</v>
      </c>
      <c r="P113" s="8" t="s">
        <v>3880</v>
      </c>
      <c r="Q113" s="8" t="s">
        <v>36</v>
      </c>
      <c r="R113" s="33" t="s">
        <v>3881</v>
      </c>
      <c r="T113" s="8"/>
    </row>
    <row r="114" customFormat="false" ht="13.8" hidden="false" customHeight="false" outlineLevel="0" collapsed="false">
      <c r="A114" s="25" t="s">
        <v>4128</v>
      </c>
      <c r="B114" s="41" t="s">
        <v>3183</v>
      </c>
      <c r="C114" s="8" t="s">
        <v>427</v>
      </c>
      <c r="D114" s="8" t="s">
        <v>3877</v>
      </c>
      <c r="E114" s="0" t="s">
        <v>3878</v>
      </c>
      <c r="F114" s="0" t="s">
        <v>427</v>
      </c>
      <c r="G114" s="0" t="s">
        <v>427</v>
      </c>
      <c r="H114" s="0" t="s">
        <v>427</v>
      </c>
      <c r="I114" s="0" t="s">
        <v>3879</v>
      </c>
      <c r="K114" s="44" t="str">
        <f aca="false">INDEX(libraries!$B:$B, MATCH(B114, libraries!$A:$A, 0), 1)</f>
        <v>sam0054</v>
      </c>
      <c r="L114" s="44" t="n">
        <f aca="false">INDEX(samples!$F:$F, MATCH(K114, samples!$A:$A, 0), 1)</f>
        <v>0</v>
      </c>
      <c r="M114" s="55" t="str">
        <f aca="false">INDEX(samples!$C:$C, MATCH(K114, samples!$A:$A, 0), 1)</f>
        <v>2018-05-24</v>
      </c>
      <c r="N114" s="44" t="str">
        <f aca="false">INDEX(samples!$B:$B, MATCH(K114, samples!$A:$A, 0), 1)</f>
        <v>par0026</v>
      </c>
      <c r="O114" s="44" t="s">
        <v>579</v>
      </c>
      <c r="P114" s="8" t="s">
        <v>3880</v>
      </c>
      <c r="Q114" s="8" t="s">
        <v>36</v>
      </c>
      <c r="R114" s="33" t="s">
        <v>3881</v>
      </c>
      <c r="T114" s="8"/>
    </row>
    <row r="115" customFormat="false" ht="13.8" hidden="false" customHeight="false" outlineLevel="0" collapsed="false">
      <c r="A115" s="25" t="s">
        <v>4129</v>
      </c>
      <c r="B115" s="41" t="s">
        <v>3690</v>
      </c>
      <c r="C115" s="8" t="s">
        <v>3123</v>
      </c>
      <c r="D115" s="8" t="s">
        <v>3877</v>
      </c>
      <c r="E115" s="0" t="s">
        <v>3878</v>
      </c>
      <c r="F115" s="0" t="s">
        <v>4130</v>
      </c>
      <c r="G115" s="0" t="s">
        <v>4131</v>
      </c>
      <c r="H115" s="0" t="s">
        <v>427</v>
      </c>
      <c r="I115" s="0" t="s">
        <v>3891</v>
      </c>
      <c r="K115" s="44" t="str">
        <f aca="false">INDEX(libraries!$B:$B, MATCH(B115, libraries!$A:$A, 0), 1)</f>
        <v>sam0520</v>
      </c>
      <c r="L115" s="44" t="str">
        <f aca="false">INDEX(samples!$F:$F, MATCH(K115, samples!$A:$A, 0), 1)</f>
        <v>nf1_lib28</v>
      </c>
      <c r="M115" s="55" t="str">
        <f aca="false">INDEX(samples!$C:$C, MATCH(K115, samples!$A:$A, 0), 1)</f>
        <v>2022-12-27</v>
      </c>
      <c r="N115" s="44" t="str">
        <f aca="false">INDEX(samples!$B:$B, MATCH(K115, samples!$A:$A, 0), 1)</f>
        <v>par0258</v>
      </c>
      <c r="O115" s="44" t="s">
        <v>1311</v>
      </c>
      <c r="P115" s="8" t="s">
        <v>3880</v>
      </c>
      <c r="Q115" s="8" t="s">
        <v>4132</v>
      </c>
      <c r="R115" s="8" t="s">
        <v>3893</v>
      </c>
      <c r="T115" s="8"/>
    </row>
    <row r="116" customFormat="false" ht="13.8" hidden="false" customHeight="false" outlineLevel="0" collapsed="false">
      <c r="A116" s="25" t="s">
        <v>4133</v>
      </c>
      <c r="B116" s="41" t="s">
        <v>3235</v>
      </c>
      <c r="C116" s="8" t="s">
        <v>427</v>
      </c>
      <c r="D116" s="8" t="s">
        <v>3877</v>
      </c>
      <c r="E116" s="0" t="s">
        <v>3878</v>
      </c>
      <c r="F116" s="0" t="s">
        <v>427</v>
      </c>
      <c r="G116" s="0" t="s">
        <v>427</v>
      </c>
      <c r="H116" s="0" t="s">
        <v>427</v>
      </c>
      <c r="I116" s="0" t="s">
        <v>3879</v>
      </c>
      <c r="K116" s="44" t="str">
        <f aca="false">INDEX(libraries!$B:$B, MATCH(B116, libraries!$A:$A, 0), 1)</f>
        <v>sam0198</v>
      </c>
      <c r="L116" s="44" t="n">
        <f aca="false">INDEX(samples!$F:$F, MATCH(K116, samples!$A:$A, 0), 1)</f>
        <v>0</v>
      </c>
      <c r="M116" s="55" t="str">
        <f aca="false">INDEX(samples!$C:$C, MATCH(K116, samples!$A:$A, 0), 1)</f>
        <v>UNK</v>
      </c>
      <c r="N116" s="44" t="str">
        <f aca="false">INDEX(samples!$B:$B, MATCH(K116, samples!$A:$A, 0), 1)</f>
        <v>par0111</v>
      </c>
      <c r="O116" s="44" t="s">
        <v>832</v>
      </c>
      <c r="P116" s="8" t="s">
        <v>3880</v>
      </c>
      <c r="Q116" s="8" t="s">
        <v>36</v>
      </c>
      <c r="R116" s="33" t="s">
        <v>3881</v>
      </c>
      <c r="T116" s="8"/>
    </row>
    <row r="117" customFormat="false" ht="13.8" hidden="false" customHeight="false" outlineLevel="0" collapsed="false">
      <c r="A117" s="25" t="s">
        <v>4134</v>
      </c>
      <c r="B117" s="41" t="s">
        <v>3198</v>
      </c>
      <c r="C117" s="8" t="s">
        <v>427</v>
      </c>
      <c r="D117" s="8" t="s">
        <v>3877</v>
      </c>
      <c r="E117" s="0" t="s">
        <v>3878</v>
      </c>
      <c r="F117" s="0" t="s">
        <v>427</v>
      </c>
      <c r="G117" s="0" t="s">
        <v>427</v>
      </c>
      <c r="H117" s="0" t="s">
        <v>427</v>
      </c>
      <c r="I117" s="0" t="s">
        <v>3879</v>
      </c>
      <c r="K117" s="44" t="str">
        <f aca="false">INDEX(libraries!$B:$B, MATCH(B117, libraries!$A:$A, 0), 1)</f>
        <v>sam0055</v>
      </c>
      <c r="L117" s="44" t="n">
        <f aca="false">INDEX(samples!$F:$F, MATCH(K117, samples!$A:$A, 0), 1)</f>
        <v>0</v>
      </c>
      <c r="M117" s="55" t="str">
        <f aca="false">INDEX(samples!$C:$C, MATCH(K117, samples!$A:$A, 0), 1)</f>
        <v>2018-11-26</v>
      </c>
      <c r="N117" s="44" t="str">
        <f aca="false">INDEX(samples!$B:$B, MATCH(K117, samples!$A:$A, 0), 1)</f>
        <v>par0027</v>
      </c>
      <c r="O117" s="44" t="s">
        <v>583</v>
      </c>
      <c r="P117" s="8" t="s">
        <v>3880</v>
      </c>
      <c r="Q117" s="8" t="s">
        <v>36</v>
      </c>
      <c r="R117" s="33" t="s">
        <v>3881</v>
      </c>
      <c r="T117" s="8"/>
    </row>
    <row r="118" customFormat="false" ht="13.8" hidden="false" customHeight="false" outlineLevel="0" collapsed="false">
      <c r="A118" s="25" t="s">
        <v>4135</v>
      </c>
      <c r="B118" s="41" t="s">
        <v>3368</v>
      </c>
      <c r="C118" s="8" t="s">
        <v>427</v>
      </c>
      <c r="D118" s="8" t="s">
        <v>3877</v>
      </c>
      <c r="E118" s="0" t="s">
        <v>3878</v>
      </c>
      <c r="F118" s="0" t="s">
        <v>427</v>
      </c>
      <c r="G118" s="0" t="s">
        <v>427</v>
      </c>
      <c r="H118" s="0" t="s">
        <v>427</v>
      </c>
      <c r="I118" s="0" t="s">
        <v>3879</v>
      </c>
      <c r="K118" s="44" t="str">
        <f aca="false">INDEX(libraries!$B:$B, MATCH(B118, libraries!$A:$A, 0), 1)</f>
        <v>sam0227</v>
      </c>
      <c r="L118" s="44" t="n">
        <f aca="false">INDEX(samples!$F:$F, MATCH(K118, samples!$A:$A, 0), 1)</f>
        <v>0</v>
      </c>
      <c r="M118" s="55" t="str">
        <f aca="false">INDEX(samples!$C:$C, MATCH(K118, samples!$A:$A, 0), 1)</f>
        <v>2018-03-08</v>
      </c>
      <c r="N118" s="44" t="str">
        <f aca="false">INDEX(samples!$B:$B, MATCH(K118, samples!$A:$A, 0), 1)</f>
        <v>par0009</v>
      </c>
      <c r="O118" s="44" t="s">
        <v>508</v>
      </c>
      <c r="P118" s="8" t="s">
        <v>3880</v>
      </c>
      <c r="Q118" s="8" t="s">
        <v>36</v>
      </c>
      <c r="R118" s="33" t="s">
        <v>3881</v>
      </c>
      <c r="T118" s="8"/>
    </row>
    <row r="119" customFormat="false" ht="13.8" hidden="false" customHeight="false" outlineLevel="0" collapsed="false">
      <c r="A119" s="25" t="s">
        <v>4136</v>
      </c>
      <c r="B119" s="41" t="s">
        <v>3691</v>
      </c>
      <c r="C119" s="8" t="s">
        <v>3123</v>
      </c>
      <c r="D119" s="8" t="s">
        <v>3877</v>
      </c>
      <c r="E119" s="0" t="s">
        <v>3878</v>
      </c>
      <c r="F119" s="0" t="s">
        <v>4137</v>
      </c>
      <c r="G119" s="0" t="s">
        <v>4138</v>
      </c>
      <c r="H119" s="0" t="s">
        <v>427</v>
      </c>
      <c r="I119" s="0" t="s">
        <v>3891</v>
      </c>
      <c r="K119" s="44" t="str">
        <f aca="false">INDEX(libraries!$B:$B, MATCH(B119, libraries!$A:$A, 0), 1)</f>
        <v>sam0521</v>
      </c>
      <c r="L119" s="44" t="str">
        <f aca="false">INDEX(samples!$F:$F, MATCH(K119, samples!$A:$A, 0), 1)</f>
        <v>nf1_lib29</v>
      </c>
      <c r="M119" s="55" t="str">
        <f aca="false">INDEX(samples!$C:$C, MATCH(K119, samples!$A:$A, 0), 1)</f>
        <v>2022-05-14</v>
      </c>
      <c r="N119" s="44" t="str">
        <f aca="false">INDEX(samples!$B:$B, MATCH(K119, samples!$A:$A, 0), 1)</f>
        <v>par0227</v>
      </c>
      <c r="O119" s="44" t="s">
        <v>1186</v>
      </c>
      <c r="P119" s="8" t="s">
        <v>3880</v>
      </c>
      <c r="Q119" s="8" t="s">
        <v>4139</v>
      </c>
      <c r="R119" s="8" t="s">
        <v>3893</v>
      </c>
      <c r="T119" s="8"/>
    </row>
    <row r="120" customFormat="false" ht="13.8" hidden="false" customHeight="false" outlineLevel="0" collapsed="false">
      <c r="A120" s="25" t="s">
        <v>4140</v>
      </c>
      <c r="B120" s="41" t="s">
        <v>3210</v>
      </c>
      <c r="C120" s="8" t="s">
        <v>427</v>
      </c>
      <c r="D120" s="8" t="s">
        <v>3877</v>
      </c>
      <c r="E120" s="0" t="s">
        <v>3878</v>
      </c>
      <c r="F120" s="0" t="s">
        <v>427</v>
      </c>
      <c r="G120" s="0" t="s">
        <v>427</v>
      </c>
      <c r="H120" s="0" t="s">
        <v>427</v>
      </c>
      <c r="I120" s="0" t="s">
        <v>3879</v>
      </c>
      <c r="K120" s="44" t="str">
        <f aca="false">INDEX(libraries!$B:$B, MATCH(B120, libraries!$A:$A, 0), 1)</f>
        <v>sam0196</v>
      </c>
      <c r="L120" s="44" t="n">
        <f aca="false">INDEX(samples!$F:$F, MATCH(K120, samples!$A:$A, 0), 1)</f>
        <v>0</v>
      </c>
      <c r="M120" s="55" t="str">
        <f aca="false">INDEX(samples!$C:$C, MATCH(K120, samples!$A:$A, 0), 1)</f>
        <v>UNK</v>
      </c>
      <c r="N120" s="44" t="str">
        <f aca="false">INDEX(samples!$B:$B, MATCH(K120, samples!$A:$A, 0), 1)</f>
        <v>par0137</v>
      </c>
      <c r="O120" s="44" t="s">
        <v>912</v>
      </c>
      <c r="P120" s="8" t="s">
        <v>3880</v>
      </c>
      <c r="Q120" s="8" t="s">
        <v>36</v>
      </c>
      <c r="R120" s="33" t="s">
        <v>3881</v>
      </c>
      <c r="T120" s="8"/>
    </row>
    <row r="121" customFormat="false" ht="13.8" hidden="false" customHeight="false" outlineLevel="0" collapsed="false">
      <c r="A121" s="25" t="s">
        <v>4141</v>
      </c>
      <c r="B121" s="41" t="s">
        <v>3185</v>
      </c>
      <c r="C121" s="8" t="s">
        <v>427</v>
      </c>
      <c r="D121" s="8" t="s">
        <v>3877</v>
      </c>
      <c r="E121" s="0" t="s">
        <v>3878</v>
      </c>
      <c r="F121" s="0" t="s">
        <v>427</v>
      </c>
      <c r="G121" s="0" t="s">
        <v>427</v>
      </c>
      <c r="H121" s="0" t="s">
        <v>427</v>
      </c>
      <c r="I121" s="0" t="s">
        <v>3879</v>
      </c>
      <c r="K121" s="44" t="str">
        <f aca="false">INDEX(libraries!$B:$B, MATCH(B121, libraries!$A:$A, 0), 1)</f>
        <v>sam0030</v>
      </c>
      <c r="L121" s="44" t="n">
        <f aca="false">INDEX(samples!$F:$F, MATCH(K121, samples!$A:$A, 0), 1)</f>
        <v>0</v>
      </c>
      <c r="M121" s="55" t="str">
        <f aca="false">INDEX(samples!$C:$C, MATCH(K121, samples!$A:$A, 0), 1)</f>
        <v>2018-07-02</v>
      </c>
      <c r="N121" s="44" t="str">
        <f aca="false">INDEX(samples!$B:$B, MATCH(K121, samples!$A:$A, 0), 1)</f>
        <v>par0012</v>
      </c>
      <c r="O121" s="44" t="s">
        <v>524</v>
      </c>
      <c r="P121" s="8" t="s">
        <v>3880</v>
      </c>
      <c r="Q121" s="8" t="s">
        <v>36</v>
      </c>
      <c r="R121" s="33" t="s">
        <v>3881</v>
      </c>
      <c r="T121" s="8"/>
    </row>
    <row r="122" customFormat="false" ht="13.8" hidden="false" customHeight="false" outlineLevel="0" collapsed="false">
      <c r="A122" s="25" t="s">
        <v>4142</v>
      </c>
      <c r="B122" s="41" t="s">
        <v>3372</v>
      </c>
      <c r="C122" s="8" t="s">
        <v>427</v>
      </c>
      <c r="D122" s="8" t="s">
        <v>3877</v>
      </c>
      <c r="E122" s="0" t="s">
        <v>3878</v>
      </c>
      <c r="F122" s="0" t="s">
        <v>427</v>
      </c>
      <c r="G122" s="0" t="s">
        <v>427</v>
      </c>
      <c r="H122" s="0" t="s">
        <v>427</v>
      </c>
      <c r="I122" s="0" t="s">
        <v>3879</v>
      </c>
      <c r="K122" s="44" t="str">
        <f aca="false">INDEX(libraries!$B:$B, MATCH(B122, libraries!$A:$A, 0), 1)</f>
        <v>sam0231</v>
      </c>
      <c r="L122" s="44" t="n">
        <f aca="false">INDEX(samples!$F:$F, MATCH(K122, samples!$A:$A, 0), 1)</f>
        <v>0</v>
      </c>
      <c r="M122" s="55" t="str">
        <f aca="false">INDEX(samples!$C:$C, MATCH(K122, samples!$A:$A, 0), 1)</f>
        <v>2019-10-12</v>
      </c>
      <c r="N122" s="44" t="str">
        <f aca="false">INDEX(samples!$B:$B, MATCH(K122, samples!$A:$A, 0), 1)</f>
        <v>par0141</v>
      </c>
      <c r="O122" s="44" t="s">
        <v>924</v>
      </c>
      <c r="P122" s="8" t="s">
        <v>3880</v>
      </c>
      <c r="Q122" s="8" t="s">
        <v>36</v>
      </c>
      <c r="R122" s="33" t="s">
        <v>3881</v>
      </c>
      <c r="T122" s="8"/>
    </row>
    <row r="123" customFormat="false" ht="13.8" hidden="false" customHeight="false" outlineLevel="0" collapsed="false">
      <c r="A123" s="25" t="s">
        <v>4143</v>
      </c>
      <c r="B123" s="53" t="s">
        <v>3661</v>
      </c>
      <c r="C123" s="33" t="s">
        <v>3107</v>
      </c>
      <c r="D123" s="33" t="s">
        <v>3877</v>
      </c>
      <c r="E123" s="0" t="s">
        <v>3878</v>
      </c>
      <c r="F123" s="0" t="s">
        <v>4144</v>
      </c>
      <c r="G123" s="0" t="s">
        <v>4145</v>
      </c>
      <c r="H123" s="0" t="s">
        <v>427</v>
      </c>
      <c r="I123" s="0" t="s">
        <v>4146</v>
      </c>
      <c r="K123" s="44" t="str">
        <f aca="false">INDEX(libraries!$B:$B, MATCH(B123, libraries!$A:$A, 0), 1)</f>
        <v>sam0483</v>
      </c>
      <c r="L123" s="44" t="str">
        <f aca="false">INDEX(samples!$F:$F, MATCH(K123, samples!$A:$A, 0), 1)</f>
        <v>emseq_07</v>
      </c>
      <c r="M123" s="55" t="str">
        <f aca="false">INDEX(samples!$C:$C, MATCH(K123, samples!$A:$A, 0), 1)</f>
        <v>GET</v>
      </c>
      <c r="N123" s="44" t="str">
        <f aca="false">INDEX(samples!$B:$B, MATCH(K123, samples!$A:$A, 0), 1)</f>
        <v>par0292</v>
      </c>
      <c r="O123" s="44" t="s">
        <v>1425</v>
      </c>
      <c r="P123" s="8" t="s">
        <v>3880</v>
      </c>
      <c r="Q123" s="8" t="s">
        <v>36</v>
      </c>
      <c r="R123" s="8" t="s">
        <v>3881</v>
      </c>
      <c r="T123" s="8"/>
    </row>
    <row r="124" customFormat="false" ht="13.8" hidden="false" customHeight="false" outlineLevel="0" collapsed="false">
      <c r="A124" s="25" t="s">
        <v>4147</v>
      </c>
      <c r="B124" s="41" t="s">
        <v>3665</v>
      </c>
      <c r="C124" s="8" t="s">
        <v>3123</v>
      </c>
      <c r="D124" s="8" t="s">
        <v>3877</v>
      </c>
      <c r="E124" s="0" t="s">
        <v>3878</v>
      </c>
      <c r="F124" s="0" t="s">
        <v>4148</v>
      </c>
      <c r="G124" s="0" t="s">
        <v>4149</v>
      </c>
      <c r="H124" s="0" t="s">
        <v>427</v>
      </c>
      <c r="I124" s="0" t="s">
        <v>3891</v>
      </c>
      <c r="K124" s="44" t="str">
        <f aca="false">INDEX(libraries!$B:$B, MATCH(B124, libraries!$A:$A, 0), 1)</f>
        <v>sam0495</v>
      </c>
      <c r="L124" s="44" t="str">
        <f aca="false">INDEX(samples!$F:$F, MATCH(K124, samples!$A:$A, 0), 1)</f>
        <v>nf1_lib3</v>
      </c>
      <c r="M124" s="55" t="str">
        <f aca="false">INDEX(samples!$C:$C, MATCH(K124, samples!$A:$A, 0), 1)</f>
        <v>2024-09-03</v>
      </c>
      <c r="N124" s="44" t="str">
        <f aca="false">INDEX(samples!$B:$B, MATCH(K124, samples!$A:$A, 0), 1)</f>
        <v>par0237</v>
      </c>
      <c r="O124" s="44" t="s">
        <v>1232</v>
      </c>
      <c r="P124" s="8" t="s">
        <v>3880</v>
      </c>
      <c r="Q124" s="8" t="s">
        <v>4150</v>
      </c>
      <c r="R124" s="8" t="s">
        <v>3893</v>
      </c>
      <c r="T124" s="8"/>
    </row>
    <row r="125" customFormat="false" ht="13.8" hidden="false" customHeight="false" outlineLevel="0" collapsed="false">
      <c r="A125" s="25" t="s">
        <v>4151</v>
      </c>
      <c r="B125" s="41" t="s">
        <v>3542</v>
      </c>
      <c r="C125" s="8" t="s">
        <v>3118</v>
      </c>
      <c r="D125" s="8" t="s">
        <v>427</v>
      </c>
      <c r="E125" s="0" t="s">
        <v>427</v>
      </c>
      <c r="F125" s="0" t="s">
        <v>427</v>
      </c>
      <c r="G125" s="0" t="s">
        <v>427</v>
      </c>
      <c r="H125" s="0" t="s">
        <v>427</v>
      </c>
      <c r="I125" s="0" t="s">
        <v>3895</v>
      </c>
      <c r="K125" s="44" t="str">
        <f aca="false">INDEX(libraries!$B:$B, MATCH(B125, libraries!$A:$A, 0), 1)</f>
        <v>sam0131</v>
      </c>
      <c r="L125" s="44" t="n">
        <f aca="false">INDEX(samples!$F:$F, MATCH(K125, samples!$A:$A, 0), 1)</f>
        <v>0</v>
      </c>
      <c r="M125" s="55" t="str">
        <f aca="false">INDEX(samples!$C:$C, MATCH(K125, samples!$A:$A, 0), 1)</f>
        <v>2019-09-12</v>
      </c>
      <c r="N125" s="44" t="str">
        <f aca="false">INDEX(samples!$B:$B, MATCH(K125, samples!$A:$A, 0), 1)</f>
        <v>par0102</v>
      </c>
      <c r="O125" s="44" t="s">
        <v>793</v>
      </c>
      <c r="P125" s="8" t="s">
        <v>427</v>
      </c>
      <c r="Q125" s="8" t="s">
        <v>36</v>
      </c>
      <c r="R125" s="33" t="s">
        <v>3881</v>
      </c>
      <c r="T125" s="8"/>
    </row>
    <row r="126" customFormat="false" ht="13.8" hidden="false" customHeight="false" outlineLevel="0" collapsed="false">
      <c r="A126" s="25" t="s">
        <v>4152</v>
      </c>
      <c r="B126" s="41" t="s">
        <v>3246</v>
      </c>
      <c r="C126" s="8" t="s">
        <v>427</v>
      </c>
      <c r="D126" s="8" t="s">
        <v>3877</v>
      </c>
      <c r="E126" s="0" t="s">
        <v>3878</v>
      </c>
      <c r="F126" s="0" t="s">
        <v>427</v>
      </c>
      <c r="G126" s="0" t="s">
        <v>427</v>
      </c>
      <c r="H126" s="0" t="s">
        <v>427</v>
      </c>
      <c r="I126" s="0" t="s">
        <v>3879</v>
      </c>
      <c r="K126" s="44" t="str">
        <f aca="false">INDEX(libraries!$B:$B, MATCH(B126, libraries!$A:$A, 0), 1)</f>
        <v>sam0200</v>
      </c>
      <c r="L126" s="44" t="n">
        <f aca="false">INDEX(samples!$F:$F, MATCH(K126, samples!$A:$A, 0), 1)</f>
        <v>0</v>
      </c>
      <c r="M126" s="55" t="str">
        <f aca="false">INDEX(samples!$C:$C, MATCH(K126, samples!$A:$A, 0), 1)</f>
        <v>UNK</v>
      </c>
      <c r="N126" s="44" t="str">
        <f aca="false">INDEX(samples!$B:$B, MATCH(K126, samples!$A:$A, 0), 1)</f>
        <v>par0112</v>
      </c>
      <c r="O126" s="44" t="s">
        <v>835</v>
      </c>
      <c r="P126" s="8" t="s">
        <v>3880</v>
      </c>
      <c r="Q126" s="8" t="s">
        <v>36</v>
      </c>
      <c r="R126" s="33" t="s">
        <v>3881</v>
      </c>
      <c r="T126" s="8"/>
    </row>
    <row r="127" customFormat="false" ht="13.8" hidden="false" customHeight="false" outlineLevel="0" collapsed="false">
      <c r="A127" s="25" t="s">
        <v>4153</v>
      </c>
      <c r="B127" s="41" t="s">
        <v>3196</v>
      </c>
      <c r="C127" s="8" t="s">
        <v>427</v>
      </c>
      <c r="D127" s="8" t="s">
        <v>3877</v>
      </c>
      <c r="E127" s="0" t="s">
        <v>3878</v>
      </c>
      <c r="F127" s="0" t="s">
        <v>427</v>
      </c>
      <c r="G127" s="0" t="s">
        <v>427</v>
      </c>
      <c r="H127" s="0" t="s">
        <v>427</v>
      </c>
      <c r="I127" s="0" t="s">
        <v>3879</v>
      </c>
      <c r="K127" s="44" t="str">
        <f aca="false">INDEX(libraries!$B:$B, MATCH(B127, libraries!$A:$A, 0), 1)</f>
        <v>sam0056</v>
      </c>
      <c r="L127" s="44" t="n">
        <f aca="false">INDEX(samples!$F:$F, MATCH(K127, samples!$A:$A, 0), 1)</f>
        <v>0</v>
      </c>
      <c r="M127" s="55" t="str">
        <f aca="false">INDEX(samples!$C:$C, MATCH(K127, samples!$A:$A, 0), 1)</f>
        <v>2018-11-28</v>
      </c>
      <c r="N127" s="44" t="str">
        <f aca="false">INDEX(samples!$B:$B, MATCH(K127, samples!$A:$A, 0), 1)</f>
        <v>par0027</v>
      </c>
      <c r="O127" s="44" t="s">
        <v>583</v>
      </c>
      <c r="P127" s="8" t="s">
        <v>3880</v>
      </c>
      <c r="Q127" s="8" t="s">
        <v>36</v>
      </c>
      <c r="R127" s="33" t="s">
        <v>3881</v>
      </c>
      <c r="T127" s="8"/>
    </row>
    <row r="128" customFormat="false" ht="13.8" hidden="false" customHeight="false" outlineLevel="0" collapsed="false">
      <c r="A128" s="25" t="s">
        <v>4154</v>
      </c>
      <c r="B128" s="41" t="s">
        <v>3370</v>
      </c>
      <c r="C128" s="8" t="s">
        <v>427</v>
      </c>
      <c r="D128" s="8" t="s">
        <v>3877</v>
      </c>
      <c r="E128" s="0" t="s">
        <v>3878</v>
      </c>
      <c r="F128" s="0" t="s">
        <v>427</v>
      </c>
      <c r="G128" s="0" t="s">
        <v>427</v>
      </c>
      <c r="H128" s="0" t="s">
        <v>427</v>
      </c>
      <c r="I128" s="0" t="s">
        <v>3879</v>
      </c>
      <c r="K128" s="44" t="str">
        <f aca="false">INDEX(libraries!$B:$B, MATCH(B128, libraries!$A:$A, 0), 1)</f>
        <v>sam0229</v>
      </c>
      <c r="L128" s="44" t="n">
        <f aca="false">INDEX(samples!$F:$F, MATCH(K128, samples!$A:$A, 0), 1)</f>
        <v>0</v>
      </c>
      <c r="M128" s="55" t="str">
        <f aca="false">INDEX(samples!$C:$C, MATCH(K128, samples!$A:$A, 0), 1)</f>
        <v>2018-09-06</v>
      </c>
      <c r="N128" s="44" t="str">
        <f aca="false">INDEX(samples!$B:$B, MATCH(K128, samples!$A:$A, 0), 1)</f>
        <v>par0009</v>
      </c>
      <c r="O128" s="44" t="s">
        <v>508</v>
      </c>
      <c r="P128" s="8" t="s">
        <v>3880</v>
      </c>
      <c r="Q128" s="8" t="s">
        <v>36</v>
      </c>
      <c r="R128" s="33" t="s">
        <v>3881</v>
      </c>
      <c r="T128" s="8"/>
    </row>
    <row r="129" customFormat="false" ht="13.8" hidden="false" customHeight="false" outlineLevel="0" collapsed="false">
      <c r="A129" s="25" t="s">
        <v>4155</v>
      </c>
      <c r="B129" s="41" t="s">
        <v>3692</v>
      </c>
      <c r="C129" s="8" t="s">
        <v>3123</v>
      </c>
      <c r="D129" s="8" t="s">
        <v>3877</v>
      </c>
      <c r="E129" s="0" t="s">
        <v>3878</v>
      </c>
      <c r="F129" s="0" t="s">
        <v>4156</v>
      </c>
      <c r="G129" s="0" t="s">
        <v>4157</v>
      </c>
      <c r="H129" s="0" t="s">
        <v>427</v>
      </c>
      <c r="I129" s="0" t="s">
        <v>3891</v>
      </c>
      <c r="K129" s="44" t="str">
        <f aca="false">INDEX(libraries!$B:$B, MATCH(B129, libraries!$A:$A, 0), 1)</f>
        <v>sam0522</v>
      </c>
      <c r="L129" s="44" t="str">
        <f aca="false">INDEX(samples!$F:$F, MATCH(K129, samples!$A:$A, 0), 1)</f>
        <v>nf1_lib30</v>
      </c>
      <c r="M129" s="55" t="str">
        <f aca="false">INDEX(samples!$C:$C, MATCH(K129, samples!$A:$A, 0), 1)</f>
        <v>2024-07-11</v>
      </c>
      <c r="N129" s="44" t="str">
        <f aca="false">INDEX(samples!$B:$B, MATCH(K129, samples!$A:$A, 0), 1)</f>
        <v>par0298</v>
      </c>
      <c r="O129" s="44" t="s">
        <v>1443</v>
      </c>
      <c r="P129" s="8" t="s">
        <v>3880</v>
      </c>
      <c r="Q129" s="8" t="s">
        <v>4158</v>
      </c>
      <c r="R129" s="8" t="s">
        <v>3893</v>
      </c>
      <c r="T129" s="8"/>
    </row>
    <row r="130" customFormat="false" ht="13.8" hidden="false" customHeight="false" outlineLevel="0" collapsed="false">
      <c r="A130" s="25" t="s">
        <v>4159</v>
      </c>
      <c r="B130" s="41" t="s">
        <v>3253</v>
      </c>
      <c r="C130" s="8" t="s">
        <v>427</v>
      </c>
      <c r="D130" s="8" t="s">
        <v>3877</v>
      </c>
      <c r="E130" s="0" t="s">
        <v>3878</v>
      </c>
      <c r="F130" s="0" t="s">
        <v>427</v>
      </c>
      <c r="G130" s="0" t="s">
        <v>427</v>
      </c>
      <c r="H130" s="0" t="s">
        <v>427</v>
      </c>
      <c r="I130" s="0" t="s">
        <v>3879</v>
      </c>
      <c r="K130" s="44" t="str">
        <f aca="false">INDEX(libraries!$B:$B, MATCH(B130, libraries!$A:$A, 0), 1)</f>
        <v>sam0201</v>
      </c>
      <c r="L130" s="44" t="n">
        <f aca="false">INDEX(samples!$F:$F, MATCH(K130, samples!$A:$A, 0), 1)</f>
        <v>0</v>
      </c>
      <c r="M130" s="55" t="str">
        <f aca="false">INDEX(samples!$C:$C, MATCH(K130, samples!$A:$A, 0), 1)</f>
        <v>UNK</v>
      </c>
      <c r="N130" s="44" t="str">
        <f aca="false">INDEX(samples!$B:$B, MATCH(K130, samples!$A:$A, 0), 1)</f>
        <v>par0114</v>
      </c>
      <c r="O130" s="44" t="s">
        <v>841</v>
      </c>
      <c r="P130" s="8" t="s">
        <v>3880</v>
      </c>
      <c r="Q130" s="8" t="s">
        <v>36</v>
      </c>
      <c r="R130" s="33" t="s">
        <v>3881</v>
      </c>
      <c r="T130" s="8"/>
    </row>
    <row r="131" customFormat="false" ht="13.8" hidden="false" customHeight="false" outlineLevel="0" collapsed="false">
      <c r="A131" s="25" t="s">
        <v>4160</v>
      </c>
      <c r="B131" s="41" t="s">
        <v>3371</v>
      </c>
      <c r="C131" s="8" t="s">
        <v>427</v>
      </c>
      <c r="D131" s="8" t="s">
        <v>3877</v>
      </c>
      <c r="E131" s="0" t="s">
        <v>3878</v>
      </c>
      <c r="F131" s="0" t="s">
        <v>427</v>
      </c>
      <c r="G131" s="0" t="s">
        <v>427</v>
      </c>
      <c r="H131" s="0" t="s">
        <v>427</v>
      </c>
      <c r="I131" s="0" t="s">
        <v>3879</v>
      </c>
      <c r="K131" s="44" t="str">
        <f aca="false">INDEX(libraries!$B:$B, MATCH(B131, libraries!$A:$A, 0), 1)</f>
        <v>sam0230</v>
      </c>
      <c r="L131" s="44" t="n">
        <f aca="false">INDEX(samples!$F:$F, MATCH(K131, samples!$A:$A, 0), 1)</f>
        <v>0</v>
      </c>
      <c r="M131" s="55" t="str">
        <f aca="false">INDEX(samples!$C:$C, MATCH(K131, samples!$A:$A, 0), 1)</f>
        <v>2016-11-02</v>
      </c>
      <c r="N131" s="44" t="str">
        <f aca="false">INDEX(samples!$B:$B, MATCH(K131, samples!$A:$A, 0), 1)</f>
        <v>par0009</v>
      </c>
      <c r="O131" s="44" t="s">
        <v>508</v>
      </c>
      <c r="P131" s="8" t="s">
        <v>3880</v>
      </c>
      <c r="Q131" s="8" t="s">
        <v>36</v>
      </c>
      <c r="R131" s="33" t="s">
        <v>3881</v>
      </c>
      <c r="T131" s="8"/>
    </row>
    <row r="132" customFormat="false" ht="13.8" hidden="false" customHeight="false" outlineLevel="0" collapsed="false">
      <c r="A132" s="25" t="s">
        <v>4161</v>
      </c>
      <c r="B132" s="41" t="s">
        <v>3160</v>
      </c>
      <c r="C132" s="8" t="s">
        <v>427</v>
      </c>
      <c r="D132" s="8" t="s">
        <v>3877</v>
      </c>
      <c r="E132" s="0" t="s">
        <v>3878</v>
      </c>
      <c r="F132" s="0" t="s">
        <v>427</v>
      </c>
      <c r="G132" s="0" t="s">
        <v>427</v>
      </c>
      <c r="H132" s="0" t="s">
        <v>427</v>
      </c>
      <c r="I132" s="0" t="s">
        <v>3879</v>
      </c>
      <c r="K132" s="44" t="str">
        <f aca="false">INDEX(libraries!$B:$B, MATCH(B132, libraries!$A:$A, 0), 1)</f>
        <v>sam0057</v>
      </c>
      <c r="L132" s="44" t="n">
        <f aca="false">INDEX(samples!$F:$F, MATCH(K132, samples!$A:$A, 0), 1)</f>
        <v>0</v>
      </c>
      <c r="M132" s="55" t="str">
        <f aca="false">INDEX(samples!$C:$C, MATCH(K132, samples!$A:$A, 0), 1)</f>
        <v>2018-09-06</v>
      </c>
      <c r="N132" s="44" t="str">
        <f aca="false">INDEX(samples!$B:$B, MATCH(K132, samples!$A:$A, 0), 1)</f>
        <v>par0028</v>
      </c>
      <c r="O132" s="44" t="s">
        <v>588</v>
      </c>
      <c r="P132" s="8" t="s">
        <v>3880</v>
      </c>
      <c r="Q132" s="8" t="s">
        <v>36</v>
      </c>
      <c r="R132" s="33" t="s">
        <v>3881</v>
      </c>
      <c r="T132" s="8"/>
    </row>
    <row r="133" customFormat="false" ht="13.8" hidden="false" customHeight="false" outlineLevel="0" collapsed="false">
      <c r="A133" s="25" t="s">
        <v>4162</v>
      </c>
      <c r="B133" s="41" t="s">
        <v>3693</v>
      </c>
      <c r="C133" s="8" t="s">
        <v>3123</v>
      </c>
      <c r="D133" s="8" t="s">
        <v>3877</v>
      </c>
      <c r="E133" s="0" t="s">
        <v>3878</v>
      </c>
      <c r="F133" s="0" t="s">
        <v>4163</v>
      </c>
      <c r="G133" s="0" t="s">
        <v>4164</v>
      </c>
      <c r="H133" s="0" t="s">
        <v>427</v>
      </c>
      <c r="I133" s="0" t="s">
        <v>3891</v>
      </c>
      <c r="K133" s="44" t="str">
        <f aca="false">INDEX(libraries!$B:$B, MATCH(B133, libraries!$A:$A, 0), 1)</f>
        <v>sam0523</v>
      </c>
      <c r="L133" s="44" t="str">
        <f aca="false">INDEX(samples!$F:$F, MATCH(K133, samples!$A:$A, 0), 1)</f>
        <v>nf1_lib31</v>
      </c>
      <c r="M133" s="55" t="str">
        <f aca="false">INDEX(samples!$C:$C, MATCH(K133, samples!$A:$A, 0), 1)</f>
        <v>2024-12-17</v>
      </c>
      <c r="N133" s="44" t="str">
        <f aca="false">INDEX(samples!$B:$B, MATCH(K133, samples!$A:$A, 0), 1)</f>
        <v>par0296</v>
      </c>
      <c r="O133" s="44" t="s">
        <v>1437</v>
      </c>
      <c r="P133" s="8" t="s">
        <v>3880</v>
      </c>
      <c r="Q133" s="8" t="s">
        <v>4165</v>
      </c>
      <c r="R133" s="8" t="s">
        <v>3893</v>
      </c>
      <c r="T133" s="8"/>
    </row>
    <row r="134" customFormat="false" ht="13.8" hidden="false" customHeight="false" outlineLevel="0" collapsed="false">
      <c r="A134" s="25" t="s">
        <v>4166</v>
      </c>
      <c r="B134" s="41" t="s">
        <v>3214</v>
      </c>
      <c r="C134" s="8" t="s">
        <v>427</v>
      </c>
      <c r="D134" s="8" t="s">
        <v>3877</v>
      </c>
      <c r="E134" s="0" t="s">
        <v>3878</v>
      </c>
      <c r="F134" s="0" t="s">
        <v>427</v>
      </c>
      <c r="G134" s="0" t="s">
        <v>427</v>
      </c>
      <c r="H134" s="0" t="s">
        <v>427</v>
      </c>
      <c r="I134" s="0" t="s">
        <v>3879</v>
      </c>
      <c r="K134" s="44" t="str">
        <f aca="false">INDEX(libraries!$B:$B, MATCH(B134, libraries!$A:$A, 0), 1)</f>
        <v>sam0203</v>
      </c>
      <c r="L134" s="44" t="n">
        <f aca="false">INDEX(samples!$F:$F, MATCH(K134, samples!$A:$A, 0), 1)</f>
        <v>0</v>
      </c>
      <c r="M134" s="55" t="str">
        <f aca="false">INDEX(samples!$C:$C, MATCH(K134, samples!$A:$A, 0), 1)</f>
        <v>UNK</v>
      </c>
      <c r="N134" s="44" t="str">
        <f aca="false">INDEX(samples!$B:$B, MATCH(K134, samples!$A:$A, 0), 1)</f>
        <v>par0006</v>
      </c>
      <c r="O134" s="44" t="s">
        <v>499</v>
      </c>
      <c r="P134" s="8" t="s">
        <v>3880</v>
      </c>
      <c r="Q134" s="8" t="s">
        <v>36</v>
      </c>
      <c r="R134" s="33" t="s">
        <v>3881</v>
      </c>
      <c r="T134" s="8"/>
    </row>
    <row r="135" customFormat="false" ht="13.8" hidden="false" customHeight="false" outlineLevel="0" collapsed="false">
      <c r="A135" s="25" t="s">
        <v>4167</v>
      </c>
      <c r="B135" s="41" t="s">
        <v>3146</v>
      </c>
      <c r="C135" s="8" t="s">
        <v>427</v>
      </c>
      <c r="D135" s="8" t="s">
        <v>3877</v>
      </c>
      <c r="E135" s="0" t="s">
        <v>3878</v>
      </c>
      <c r="F135" s="0" t="s">
        <v>427</v>
      </c>
      <c r="G135" s="0" t="s">
        <v>427</v>
      </c>
      <c r="H135" s="0" t="s">
        <v>427</v>
      </c>
      <c r="I135" s="0" t="s">
        <v>3879</v>
      </c>
      <c r="K135" s="44" t="str">
        <f aca="false">INDEX(libraries!$B:$B, MATCH(B135, libraries!$A:$A, 0), 1)</f>
        <v>sam0058</v>
      </c>
      <c r="L135" s="44" t="n">
        <f aca="false">INDEX(samples!$F:$F, MATCH(K135, samples!$A:$A, 0), 1)</f>
        <v>0</v>
      </c>
      <c r="M135" s="55" t="str">
        <f aca="false">INDEX(samples!$C:$C, MATCH(K135, samples!$A:$A, 0), 1)</f>
        <v>2018-11-20</v>
      </c>
      <c r="N135" s="44" t="str">
        <f aca="false">INDEX(samples!$B:$B, MATCH(K135, samples!$A:$A, 0), 1)</f>
        <v>par0029</v>
      </c>
      <c r="O135" s="44" t="s">
        <v>591</v>
      </c>
      <c r="P135" s="8" t="s">
        <v>3880</v>
      </c>
      <c r="Q135" s="8" t="s">
        <v>36</v>
      </c>
      <c r="R135" s="33" t="s">
        <v>3881</v>
      </c>
      <c r="T135" s="8"/>
    </row>
    <row r="136" customFormat="false" ht="13.8" hidden="false" customHeight="false" outlineLevel="0" collapsed="false">
      <c r="A136" s="25" t="s">
        <v>4168</v>
      </c>
      <c r="B136" s="41" t="s">
        <v>3694</v>
      </c>
      <c r="C136" s="8" t="s">
        <v>3123</v>
      </c>
      <c r="D136" s="8" t="s">
        <v>3877</v>
      </c>
      <c r="E136" s="0" t="s">
        <v>3878</v>
      </c>
      <c r="F136" s="0" t="s">
        <v>4169</v>
      </c>
      <c r="G136" s="0" t="s">
        <v>4170</v>
      </c>
      <c r="H136" s="0" t="s">
        <v>427</v>
      </c>
      <c r="I136" s="0" t="s">
        <v>3891</v>
      </c>
      <c r="K136" s="44" t="str">
        <f aca="false">INDEX(libraries!$B:$B, MATCH(B136, libraries!$A:$A, 0), 1)</f>
        <v>sam0524</v>
      </c>
      <c r="L136" s="44" t="str">
        <f aca="false">INDEX(samples!$F:$F, MATCH(K136, samples!$A:$A, 0), 1)</f>
        <v>nf1_lib32</v>
      </c>
      <c r="M136" s="55" t="str">
        <f aca="false">INDEX(samples!$C:$C, MATCH(K136, samples!$A:$A, 0), 1)</f>
        <v>2024-12-17</v>
      </c>
      <c r="N136" s="44" t="str">
        <f aca="false">INDEX(samples!$B:$B, MATCH(K136, samples!$A:$A, 0), 1)</f>
        <v>par0297</v>
      </c>
      <c r="O136" s="44" t="s">
        <v>1440</v>
      </c>
      <c r="P136" s="8" t="s">
        <v>3880</v>
      </c>
      <c r="Q136" s="8" t="s">
        <v>4171</v>
      </c>
      <c r="R136" s="8" t="s">
        <v>3893</v>
      </c>
      <c r="T136" s="8"/>
    </row>
    <row r="137" customFormat="false" ht="13.8" hidden="false" customHeight="false" outlineLevel="0" collapsed="false">
      <c r="A137" s="25" t="s">
        <v>4172</v>
      </c>
      <c r="B137" s="41" t="s">
        <v>3250</v>
      </c>
      <c r="C137" s="8" t="s">
        <v>427</v>
      </c>
      <c r="D137" s="8" t="s">
        <v>3877</v>
      </c>
      <c r="E137" s="0" t="s">
        <v>3878</v>
      </c>
      <c r="F137" s="0" t="s">
        <v>427</v>
      </c>
      <c r="G137" s="0" t="s">
        <v>427</v>
      </c>
      <c r="H137" s="0" t="s">
        <v>427</v>
      </c>
      <c r="I137" s="0" t="s">
        <v>3879</v>
      </c>
      <c r="K137" s="44" t="str">
        <f aca="false">INDEX(libraries!$B:$B, MATCH(B137, libraries!$A:$A, 0), 1)</f>
        <v>sam0205</v>
      </c>
      <c r="L137" s="44" t="n">
        <f aca="false">INDEX(samples!$F:$F, MATCH(K137, samples!$A:$A, 0), 1)</f>
        <v>0</v>
      </c>
      <c r="M137" s="55" t="str">
        <f aca="false">INDEX(samples!$C:$C, MATCH(K137, samples!$A:$A, 0), 1)</f>
        <v>UNK</v>
      </c>
      <c r="N137" s="44" t="str">
        <f aca="false">INDEX(samples!$B:$B, MATCH(K137, samples!$A:$A, 0), 1)</f>
        <v>par0008</v>
      </c>
      <c r="O137" s="44" t="s">
        <v>505</v>
      </c>
      <c r="P137" s="8" t="s">
        <v>3880</v>
      </c>
      <c r="Q137" s="8" t="s">
        <v>36</v>
      </c>
      <c r="R137" s="33" t="s">
        <v>3881</v>
      </c>
      <c r="T137" s="8"/>
    </row>
    <row r="138" customFormat="false" ht="13.8" hidden="false" customHeight="false" outlineLevel="0" collapsed="false">
      <c r="A138" s="25" t="s">
        <v>4173</v>
      </c>
      <c r="B138" s="41" t="s">
        <v>3174</v>
      </c>
      <c r="C138" s="8" t="s">
        <v>427</v>
      </c>
      <c r="D138" s="8" t="s">
        <v>3877</v>
      </c>
      <c r="E138" s="0" t="s">
        <v>3878</v>
      </c>
      <c r="F138" s="0" t="s">
        <v>427</v>
      </c>
      <c r="G138" s="0" t="s">
        <v>427</v>
      </c>
      <c r="H138" s="0" t="s">
        <v>427</v>
      </c>
      <c r="I138" s="0" t="s">
        <v>3879</v>
      </c>
      <c r="K138" s="44" t="str">
        <f aca="false">INDEX(libraries!$B:$B, MATCH(B138, libraries!$A:$A, 0), 1)</f>
        <v>sam0059</v>
      </c>
      <c r="L138" s="44" t="n">
        <f aca="false">INDEX(samples!$F:$F, MATCH(K138, samples!$A:$A, 0), 1)</f>
        <v>0</v>
      </c>
      <c r="M138" s="55" t="str">
        <f aca="false">INDEX(samples!$C:$C, MATCH(K138, samples!$A:$A, 0), 1)</f>
        <v>2017-04-17</v>
      </c>
      <c r="N138" s="44" t="str">
        <f aca="false">INDEX(samples!$B:$B, MATCH(K138, samples!$A:$A, 0), 1)</f>
        <v>par0030</v>
      </c>
      <c r="O138" s="44" t="s">
        <v>594</v>
      </c>
      <c r="P138" s="8" t="s">
        <v>3880</v>
      </c>
      <c r="Q138" s="8" t="s">
        <v>36</v>
      </c>
      <c r="R138" s="33" t="s">
        <v>3881</v>
      </c>
      <c r="T138" s="8"/>
    </row>
    <row r="139" customFormat="false" ht="13.8" hidden="false" customHeight="false" outlineLevel="0" collapsed="false">
      <c r="A139" s="25" t="s">
        <v>4174</v>
      </c>
      <c r="B139" s="41" t="s">
        <v>3695</v>
      </c>
      <c r="C139" s="8" t="s">
        <v>3123</v>
      </c>
      <c r="D139" s="8" t="s">
        <v>3877</v>
      </c>
      <c r="E139" s="0" t="s">
        <v>3878</v>
      </c>
      <c r="F139" s="0" t="s">
        <v>4175</v>
      </c>
      <c r="G139" s="0" t="s">
        <v>4176</v>
      </c>
      <c r="H139" s="0" t="s">
        <v>427</v>
      </c>
      <c r="I139" s="0" t="s">
        <v>3891</v>
      </c>
      <c r="K139" s="44" t="str">
        <f aca="false">INDEX(libraries!$B:$B, MATCH(B139, libraries!$A:$A, 0), 1)</f>
        <v>sam0525</v>
      </c>
      <c r="L139" s="44" t="str">
        <f aca="false">INDEX(samples!$F:$F, MATCH(K139, samples!$A:$A, 0), 1)</f>
        <v>nf1_lib33</v>
      </c>
      <c r="M139" s="55" t="str">
        <f aca="false">INDEX(samples!$C:$C, MATCH(K139, samples!$A:$A, 0), 1)</f>
        <v>2025-02-04</v>
      </c>
      <c r="N139" s="44" t="str">
        <f aca="false">INDEX(samples!$B:$B, MATCH(K139, samples!$A:$A, 0), 1)</f>
        <v>par0294</v>
      </c>
      <c r="O139" s="44" t="s">
        <v>1431</v>
      </c>
      <c r="P139" s="8" t="s">
        <v>3880</v>
      </c>
      <c r="Q139" s="8" t="s">
        <v>4177</v>
      </c>
      <c r="R139" s="8" t="s">
        <v>3893</v>
      </c>
      <c r="T139" s="8"/>
    </row>
    <row r="140" customFormat="false" ht="13.8" hidden="false" customHeight="false" outlineLevel="0" collapsed="false">
      <c r="A140" s="25" t="s">
        <v>4178</v>
      </c>
      <c r="B140" s="41" t="s">
        <v>3242</v>
      </c>
      <c r="C140" s="8" t="s">
        <v>427</v>
      </c>
      <c r="D140" s="8" t="s">
        <v>3877</v>
      </c>
      <c r="E140" s="0" t="s">
        <v>3878</v>
      </c>
      <c r="F140" s="0" t="s">
        <v>427</v>
      </c>
      <c r="G140" s="0" t="s">
        <v>427</v>
      </c>
      <c r="H140" s="0" t="s">
        <v>427</v>
      </c>
      <c r="I140" s="0" t="s">
        <v>3879</v>
      </c>
      <c r="K140" s="44" t="str">
        <f aca="false">INDEX(libraries!$B:$B, MATCH(B140, libraries!$A:$A, 0), 1)</f>
        <v>sam0206</v>
      </c>
      <c r="L140" s="44" t="n">
        <f aca="false">INDEX(samples!$F:$F, MATCH(K140, samples!$A:$A, 0), 1)</f>
        <v>0</v>
      </c>
      <c r="M140" s="55" t="str">
        <f aca="false">INDEX(samples!$C:$C, MATCH(K140, samples!$A:$A, 0), 1)</f>
        <v>UNK</v>
      </c>
      <c r="N140" s="44" t="str">
        <f aca="false">INDEX(samples!$B:$B, MATCH(K140, samples!$A:$A, 0), 1)</f>
        <v>par0002</v>
      </c>
      <c r="O140" s="44" t="s">
        <v>482</v>
      </c>
      <c r="P140" s="8" t="s">
        <v>3880</v>
      </c>
      <c r="Q140" s="8" t="s">
        <v>36</v>
      </c>
      <c r="R140" s="33" t="s">
        <v>3881</v>
      </c>
      <c r="T140" s="8"/>
    </row>
    <row r="141" customFormat="false" ht="13.8" hidden="false" customHeight="false" outlineLevel="0" collapsed="false">
      <c r="A141" s="25" t="s">
        <v>4179</v>
      </c>
      <c r="B141" s="41" t="s">
        <v>3188</v>
      </c>
      <c r="C141" s="8" t="s">
        <v>427</v>
      </c>
      <c r="D141" s="8" t="s">
        <v>3877</v>
      </c>
      <c r="E141" s="0" t="s">
        <v>3878</v>
      </c>
      <c r="F141" s="0" t="s">
        <v>427</v>
      </c>
      <c r="G141" s="0" t="s">
        <v>427</v>
      </c>
      <c r="H141" s="0" t="s">
        <v>427</v>
      </c>
      <c r="I141" s="0" t="s">
        <v>3879</v>
      </c>
      <c r="K141" s="44" t="str">
        <f aca="false">INDEX(libraries!$B:$B, MATCH(B141, libraries!$A:$A, 0), 1)</f>
        <v>sam0060</v>
      </c>
      <c r="L141" s="44" t="n">
        <f aca="false">INDEX(samples!$F:$F, MATCH(K141, samples!$A:$A, 0), 1)</f>
        <v>0</v>
      </c>
      <c r="M141" s="55" t="str">
        <f aca="false">INDEX(samples!$C:$C, MATCH(K141, samples!$A:$A, 0), 1)</f>
        <v>2018-10-29</v>
      </c>
      <c r="N141" s="44" t="str">
        <f aca="false">INDEX(samples!$B:$B, MATCH(K141, samples!$A:$A, 0), 1)</f>
        <v>par0030</v>
      </c>
      <c r="O141" s="44" t="s">
        <v>594</v>
      </c>
      <c r="P141" s="8" t="s">
        <v>3880</v>
      </c>
      <c r="Q141" s="8" t="s">
        <v>36</v>
      </c>
      <c r="R141" s="33" t="s">
        <v>3881</v>
      </c>
      <c r="T141" s="8"/>
    </row>
    <row r="142" customFormat="false" ht="13.8" hidden="false" customHeight="false" outlineLevel="0" collapsed="false">
      <c r="A142" s="25" t="s">
        <v>4180</v>
      </c>
      <c r="B142" s="41" t="s">
        <v>3696</v>
      </c>
      <c r="C142" s="8" t="s">
        <v>3123</v>
      </c>
      <c r="D142" s="8" t="s">
        <v>3877</v>
      </c>
      <c r="E142" s="0" t="s">
        <v>3878</v>
      </c>
      <c r="F142" s="0" t="s">
        <v>4181</v>
      </c>
      <c r="G142" s="0" t="s">
        <v>4182</v>
      </c>
      <c r="H142" s="0" t="s">
        <v>427</v>
      </c>
      <c r="I142" s="0" t="s">
        <v>3891</v>
      </c>
      <c r="K142" s="44" t="str">
        <f aca="false">INDEX(libraries!$B:$B, MATCH(B142, libraries!$A:$A, 0), 1)</f>
        <v>sam0526</v>
      </c>
      <c r="L142" s="44" t="str">
        <f aca="false">INDEX(samples!$F:$F, MATCH(K142, samples!$A:$A, 0), 1)</f>
        <v>nf1_lib34</v>
      </c>
      <c r="M142" s="55" t="str">
        <f aca="false">INDEX(samples!$C:$C, MATCH(K142, samples!$A:$A, 0), 1)</f>
        <v>2025-02-18</v>
      </c>
      <c r="N142" s="44" t="str">
        <f aca="false">INDEX(samples!$B:$B, MATCH(K142, samples!$A:$A, 0), 1)</f>
        <v>par0233</v>
      </c>
      <c r="O142" s="44" t="s">
        <v>1214</v>
      </c>
      <c r="P142" s="8" t="s">
        <v>3880</v>
      </c>
      <c r="Q142" s="8" t="s">
        <v>4183</v>
      </c>
      <c r="R142" s="8" t="s">
        <v>3893</v>
      </c>
      <c r="T142" s="8"/>
    </row>
    <row r="143" customFormat="false" ht="13.8" hidden="false" customHeight="false" outlineLevel="0" collapsed="false">
      <c r="A143" s="25" t="s">
        <v>4184</v>
      </c>
      <c r="B143" s="41" t="s">
        <v>3559</v>
      </c>
      <c r="C143" s="8" t="s">
        <v>427</v>
      </c>
      <c r="D143" s="8" t="s">
        <v>3877</v>
      </c>
      <c r="E143" s="0" t="s">
        <v>3878</v>
      </c>
      <c r="F143" s="0" t="s">
        <v>427</v>
      </c>
      <c r="G143" s="0" t="s">
        <v>427</v>
      </c>
      <c r="H143" s="0" t="s">
        <v>427</v>
      </c>
      <c r="I143" s="0" t="s">
        <v>3879</v>
      </c>
      <c r="K143" s="44" t="str">
        <f aca="false">INDEX(libraries!$B:$B, MATCH(B143, libraries!$A:$A, 0), 1)</f>
        <v>sam0452</v>
      </c>
      <c r="L143" s="44" t="n">
        <f aca="false">INDEX(samples!$F:$F, MATCH(K143, samples!$A:$A, 0), 1)</f>
        <v>0</v>
      </c>
      <c r="M143" s="55" t="str">
        <f aca="false">INDEX(samples!$C:$C, MATCH(K143, samples!$A:$A, 0), 1)</f>
        <v>2022-09-13</v>
      </c>
      <c r="N143" s="44" t="str">
        <f aca="false">INDEX(samples!$B:$B, MATCH(K143, samples!$A:$A, 0), 1)</f>
        <v>par0244</v>
      </c>
      <c r="O143" s="44" t="s">
        <v>1254</v>
      </c>
      <c r="P143" s="8" t="s">
        <v>3880</v>
      </c>
      <c r="Q143" s="8" t="s">
        <v>36</v>
      </c>
      <c r="R143" s="33" t="s">
        <v>3881</v>
      </c>
      <c r="T143" s="8"/>
    </row>
    <row r="144" customFormat="false" ht="13.8" hidden="false" customHeight="false" outlineLevel="0" collapsed="false">
      <c r="A144" s="25" t="s">
        <v>4185</v>
      </c>
      <c r="B144" s="41" t="s">
        <v>3232</v>
      </c>
      <c r="C144" s="8" t="s">
        <v>427</v>
      </c>
      <c r="D144" s="8" t="s">
        <v>3877</v>
      </c>
      <c r="E144" s="0" t="s">
        <v>3878</v>
      </c>
      <c r="F144" s="0" t="s">
        <v>427</v>
      </c>
      <c r="G144" s="0" t="s">
        <v>427</v>
      </c>
      <c r="H144" s="0" t="s">
        <v>427</v>
      </c>
      <c r="I144" s="0" t="s">
        <v>3879</v>
      </c>
      <c r="K144" s="44" t="str">
        <f aca="false">INDEX(libraries!$B:$B, MATCH(B144, libraries!$A:$A, 0), 1)</f>
        <v>sam0207</v>
      </c>
      <c r="L144" s="44" t="n">
        <f aca="false">INDEX(samples!$F:$F, MATCH(K144, samples!$A:$A, 0), 1)</f>
        <v>0</v>
      </c>
      <c r="M144" s="55" t="str">
        <f aca="false">INDEX(samples!$C:$C, MATCH(K144, samples!$A:$A, 0), 1)</f>
        <v>UNK</v>
      </c>
      <c r="N144" s="44" t="str">
        <f aca="false">INDEX(samples!$B:$B, MATCH(K144, samples!$A:$A, 0), 1)</f>
        <v>par0003</v>
      </c>
      <c r="O144" s="44" t="s">
        <v>490</v>
      </c>
      <c r="P144" s="8" t="s">
        <v>3880</v>
      </c>
      <c r="Q144" s="8" t="s">
        <v>36</v>
      </c>
      <c r="R144" s="33" t="s">
        <v>3881</v>
      </c>
      <c r="T144" s="8"/>
    </row>
    <row r="145" customFormat="false" ht="13.8" hidden="false" customHeight="false" outlineLevel="0" collapsed="false">
      <c r="A145" s="25" t="s">
        <v>4186</v>
      </c>
      <c r="B145" s="41" t="s">
        <v>3187</v>
      </c>
      <c r="C145" s="8" t="s">
        <v>427</v>
      </c>
      <c r="D145" s="8" t="s">
        <v>3877</v>
      </c>
      <c r="E145" s="0" t="s">
        <v>3878</v>
      </c>
      <c r="F145" s="0" t="s">
        <v>427</v>
      </c>
      <c r="G145" s="0" t="s">
        <v>427</v>
      </c>
      <c r="H145" s="0" t="s">
        <v>427</v>
      </c>
      <c r="I145" s="0" t="s">
        <v>3879</v>
      </c>
      <c r="K145" s="44" t="str">
        <f aca="false">INDEX(libraries!$B:$B, MATCH(B145, libraries!$A:$A, 0), 1)</f>
        <v>sam0061</v>
      </c>
      <c r="L145" s="44" t="n">
        <f aca="false">INDEX(samples!$F:$F, MATCH(K145, samples!$A:$A, 0), 1)</f>
        <v>0</v>
      </c>
      <c r="M145" s="55" t="str">
        <f aca="false">INDEX(samples!$C:$C, MATCH(K145, samples!$A:$A, 0), 1)</f>
        <v>2018-06-12</v>
      </c>
      <c r="N145" s="44" t="str">
        <f aca="false">INDEX(samples!$B:$B, MATCH(K145, samples!$A:$A, 0), 1)</f>
        <v>par0031</v>
      </c>
      <c r="O145" s="44" t="s">
        <v>598</v>
      </c>
      <c r="P145" s="8" t="s">
        <v>3880</v>
      </c>
      <c r="Q145" s="8" t="s">
        <v>36</v>
      </c>
      <c r="R145" s="33" t="s">
        <v>3881</v>
      </c>
      <c r="T145" s="8"/>
    </row>
    <row r="146" customFormat="false" ht="13.8" hidden="false" customHeight="false" outlineLevel="0" collapsed="false">
      <c r="A146" s="25" t="s">
        <v>4187</v>
      </c>
      <c r="B146" s="41" t="s">
        <v>3697</v>
      </c>
      <c r="C146" s="8" t="s">
        <v>3123</v>
      </c>
      <c r="D146" s="8" t="s">
        <v>3877</v>
      </c>
      <c r="E146" s="0" t="s">
        <v>3878</v>
      </c>
      <c r="F146" s="0" t="s">
        <v>4188</v>
      </c>
      <c r="G146" s="0" t="s">
        <v>4189</v>
      </c>
      <c r="H146" s="0" t="s">
        <v>427</v>
      </c>
      <c r="I146" s="0" t="s">
        <v>3891</v>
      </c>
      <c r="K146" s="44" t="str">
        <f aca="false">INDEX(libraries!$B:$B, MATCH(B146, libraries!$A:$A, 0), 1)</f>
        <v>sam0527</v>
      </c>
      <c r="L146" s="44" t="str">
        <f aca="false">INDEX(samples!$F:$F, MATCH(K146, samples!$A:$A, 0), 1)</f>
        <v>nf1_lib35</v>
      </c>
      <c r="M146" s="55" t="str">
        <f aca="false">INDEX(samples!$C:$C, MATCH(K146, samples!$A:$A, 0), 1)</f>
        <v>2024-12-17</v>
      </c>
      <c r="N146" s="44" t="str">
        <f aca="false">INDEX(samples!$B:$B, MATCH(K146, samples!$A:$A, 0), 1)</f>
        <v>par0233</v>
      </c>
      <c r="O146" s="44" t="s">
        <v>1214</v>
      </c>
      <c r="P146" s="8" t="s">
        <v>3880</v>
      </c>
      <c r="Q146" s="8" t="s">
        <v>4190</v>
      </c>
      <c r="R146" s="8" t="s">
        <v>3893</v>
      </c>
      <c r="T146" s="8"/>
    </row>
    <row r="147" customFormat="false" ht="13.8" hidden="false" customHeight="false" outlineLevel="0" collapsed="false">
      <c r="A147" s="25" t="s">
        <v>4191</v>
      </c>
      <c r="B147" s="41" t="s">
        <v>3220</v>
      </c>
      <c r="C147" s="8" t="s">
        <v>427</v>
      </c>
      <c r="D147" s="8" t="s">
        <v>3877</v>
      </c>
      <c r="E147" s="0" t="s">
        <v>3878</v>
      </c>
      <c r="F147" s="0" t="s">
        <v>427</v>
      </c>
      <c r="G147" s="0" t="s">
        <v>427</v>
      </c>
      <c r="H147" s="0" t="s">
        <v>427</v>
      </c>
      <c r="I147" s="0" t="s">
        <v>3879</v>
      </c>
      <c r="K147" s="44" t="str">
        <f aca="false">INDEX(libraries!$B:$B, MATCH(B147, libraries!$A:$A, 0), 1)</f>
        <v>sam0194</v>
      </c>
      <c r="L147" s="44" t="n">
        <f aca="false">INDEX(samples!$F:$F, MATCH(K147, samples!$A:$A, 0), 1)</f>
        <v>0</v>
      </c>
      <c r="M147" s="55" t="str">
        <f aca="false">INDEX(samples!$C:$C, MATCH(K147, samples!$A:$A, 0), 1)</f>
        <v>UNK</v>
      </c>
      <c r="N147" s="44" t="str">
        <f aca="false">INDEX(samples!$B:$B, MATCH(K147, samples!$A:$A, 0), 1)</f>
        <v>par0007</v>
      </c>
      <c r="O147" s="44" t="s">
        <v>502</v>
      </c>
      <c r="P147" s="8" t="s">
        <v>3880</v>
      </c>
      <c r="Q147" s="8" t="s">
        <v>36</v>
      </c>
      <c r="R147" s="33" t="s">
        <v>3881</v>
      </c>
      <c r="T147" s="8"/>
    </row>
    <row r="148" customFormat="false" ht="13.8" hidden="false" customHeight="false" outlineLevel="0" collapsed="false">
      <c r="A148" s="25" t="s">
        <v>4192</v>
      </c>
      <c r="B148" s="41" t="s">
        <v>3180</v>
      </c>
      <c r="C148" s="8" t="s">
        <v>427</v>
      </c>
      <c r="D148" s="8" t="s">
        <v>3877</v>
      </c>
      <c r="E148" s="0" t="s">
        <v>3878</v>
      </c>
      <c r="F148" s="0" t="s">
        <v>427</v>
      </c>
      <c r="G148" s="0" t="s">
        <v>427</v>
      </c>
      <c r="H148" s="0" t="s">
        <v>427</v>
      </c>
      <c r="I148" s="0" t="s">
        <v>3879</v>
      </c>
      <c r="K148" s="44" t="str">
        <f aca="false">INDEX(libraries!$B:$B, MATCH(B148, libraries!$A:$A, 0), 1)</f>
        <v>sam0062</v>
      </c>
      <c r="L148" s="44" t="n">
        <f aca="false">INDEX(samples!$F:$F, MATCH(K148, samples!$A:$A, 0), 1)</f>
        <v>0</v>
      </c>
      <c r="M148" s="55" t="str">
        <f aca="false">INDEX(samples!$C:$C, MATCH(K148, samples!$A:$A, 0), 1)</f>
        <v>2017-05-15</v>
      </c>
      <c r="N148" s="44" t="str">
        <f aca="false">INDEX(samples!$B:$B, MATCH(K148, samples!$A:$A, 0), 1)</f>
        <v>par0032</v>
      </c>
      <c r="O148" s="44" t="s">
        <v>601</v>
      </c>
      <c r="P148" s="8" t="s">
        <v>3880</v>
      </c>
      <c r="Q148" s="8" t="s">
        <v>36</v>
      </c>
      <c r="R148" s="33" t="s">
        <v>3881</v>
      </c>
      <c r="T148" s="8"/>
    </row>
    <row r="149" customFormat="false" ht="13.8" hidden="false" customHeight="false" outlineLevel="0" collapsed="false">
      <c r="A149" s="25" t="s">
        <v>4193</v>
      </c>
      <c r="B149" s="41" t="s">
        <v>3698</v>
      </c>
      <c r="C149" s="8" t="s">
        <v>3123</v>
      </c>
      <c r="D149" s="8" t="s">
        <v>3877</v>
      </c>
      <c r="E149" s="0" t="s">
        <v>3878</v>
      </c>
      <c r="F149" s="0" t="s">
        <v>4194</v>
      </c>
      <c r="G149" s="0" t="s">
        <v>4195</v>
      </c>
      <c r="H149" s="0" t="s">
        <v>427</v>
      </c>
      <c r="I149" s="0" t="s">
        <v>3891</v>
      </c>
      <c r="K149" s="44" t="str">
        <f aca="false">INDEX(libraries!$B:$B, MATCH(B149, libraries!$A:$A, 0), 1)</f>
        <v>sam0528</v>
      </c>
      <c r="L149" s="44" t="str">
        <f aca="false">INDEX(samples!$F:$F, MATCH(K149, samples!$A:$A, 0), 1)</f>
        <v>nf1_lib36</v>
      </c>
      <c r="M149" s="55" t="str">
        <f aca="false">INDEX(samples!$C:$C, MATCH(K149, samples!$A:$A, 0), 1)</f>
        <v>2024-10-08</v>
      </c>
      <c r="N149" s="44" t="str">
        <f aca="false">INDEX(samples!$B:$B, MATCH(K149, samples!$A:$A, 0), 1)</f>
        <v>par0247</v>
      </c>
      <c r="O149" s="44" t="s">
        <v>1267</v>
      </c>
      <c r="P149" s="8" t="s">
        <v>3880</v>
      </c>
      <c r="Q149" s="8" t="s">
        <v>4196</v>
      </c>
      <c r="R149" s="8" t="s">
        <v>3893</v>
      </c>
      <c r="T149" s="8"/>
    </row>
    <row r="150" customFormat="false" ht="13.8" hidden="false" customHeight="false" outlineLevel="0" collapsed="false">
      <c r="A150" s="25" t="s">
        <v>4197</v>
      </c>
      <c r="B150" s="41" t="s">
        <v>3560</v>
      </c>
      <c r="C150" s="8" t="s">
        <v>427</v>
      </c>
      <c r="D150" s="8" t="s">
        <v>3877</v>
      </c>
      <c r="E150" s="0" t="s">
        <v>3878</v>
      </c>
      <c r="F150" s="0" t="s">
        <v>427</v>
      </c>
      <c r="G150" s="0" t="s">
        <v>427</v>
      </c>
      <c r="H150" s="0" t="s">
        <v>427</v>
      </c>
      <c r="I150" s="0" t="s">
        <v>3879</v>
      </c>
      <c r="K150" s="44" t="str">
        <f aca="false">INDEX(libraries!$B:$B, MATCH(B150, libraries!$A:$A, 0), 1)</f>
        <v>sam0453</v>
      </c>
      <c r="L150" s="44" t="n">
        <f aca="false">INDEX(samples!$F:$F, MATCH(K150, samples!$A:$A, 0), 1)</f>
        <v>0</v>
      </c>
      <c r="M150" s="55" t="str">
        <f aca="false">INDEX(samples!$C:$C, MATCH(K150, samples!$A:$A, 0), 1)</f>
        <v>2021-10-27</v>
      </c>
      <c r="N150" s="44" t="str">
        <f aca="false">INDEX(samples!$B:$B, MATCH(K150, samples!$A:$A, 0), 1)</f>
        <v>par0245</v>
      </c>
      <c r="O150" s="44" t="s">
        <v>1259</v>
      </c>
      <c r="P150" s="8" t="s">
        <v>3880</v>
      </c>
      <c r="Q150" s="8" t="s">
        <v>36</v>
      </c>
      <c r="R150" s="33" t="s">
        <v>3881</v>
      </c>
      <c r="T150" s="8"/>
    </row>
    <row r="151" customFormat="false" ht="13.8" hidden="false" customHeight="false" outlineLevel="0" collapsed="false">
      <c r="A151" s="25" t="s">
        <v>4198</v>
      </c>
      <c r="B151" s="41" t="s">
        <v>3229</v>
      </c>
      <c r="C151" s="8" t="s">
        <v>427</v>
      </c>
      <c r="D151" s="8" t="s">
        <v>3877</v>
      </c>
      <c r="E151" s="0" t="s">
        <v>3878</v>
      </c>
      <c r="F151" s="0" t="s">
        <v>427</v>
      </c>
      <c r="G151" s="0" t="s">
        <v>427</v>
      </c>
      <c r="H151" s="0" t="s">
        <v>427</v>
      </c>
      <c r="I151" s="0" t="s">
        <v>3879</v>
      </c>
      <c r="K151" s="44" t="str">
        <f aca="false">INDEX(libraries!$B:$B, MATCH(B151, libraries!$A:$A, 0), 1)</f>
        <v>sam0213</v>
      </c>
      <c r="L151" s="44" t="n">
        <f aca="false">INDEX(samples!$F:$F, MATCH(K151, samples!$A:$A, 0), 1)</f>
        <v>0</v>
      </c>
      <c r="M151" s="55" t="str">
        <f aca="false">INDEX(samples!$C:$C, MATCH(K151, samples!$A:$A, 0), 1)</f>
        <v>UNK</v>
      </c>
      <c r="N151" s="44" t="str">
        <f aca="false">INDEX(samples!$B:$B, MATCH(K151, samples!$A:$A, 0), 1)</f>
        <v>par0005</v>
      </c>
      <c r="O151" s="44" t="s">
        <v>496</v>
      </c>
      <c r="P151" s="8" t="s">
        <v>3880</v>
      </c>
      <c r="Q151" s="8" t="s">
        <v>36</v>
      </c>
      <c r="R151" s="33" t="s">
        <v>3881</v>
      </c>
      <c r="T151" s="8"/>
    </row>
    <row r="152" customFormat="false" ht="13.8" hidden="false" customHeight="false" outlineLevel="0" collapsed="false">
      <c r="A152" s="25" t="s">
        <v>4199</v>
      </c>
      <c r="B152" s="41" t="s">
        <v>3173</v>
      </c>
      <c r="C152" s="8" t="s">
        <v>427</v>
      </c>
      <c r="D152" s="8" t="s">
        <v>3877</v>
      </c>
      <c r="E152" s="0" t="s">
        <v>3878</v>
      </c>
      <c r="F152" s="0" t="s">
        <v>427</v>
      </c>
      <c r="G152" s="0" t="s">
        <v>427</v>
      </c>
      <c r="H152" s="0" t="s">
        <v>427</v>
      </c>
      <c r="I152" s="0" t="s">
        <v>3879</v>
      </c>
      <c r="K152" s="44" t="str">
        <f aca="false">INDEX(libraries!$B:$B, MATCH(B152, libraries!$A:$A, 0), 1)</f>
        <v>sam0063</v>
      </c>
      <c r="L152" s="44" t="n">
        <f aca="false">INDEX(samples!$F:$F, MATCH(K152, samples!$A:$A, 0), 1)</f>
        <v>0</v>
      </c>
      <c r="M152" s="55" t="str">
        <f aca="false">INDEX(samples!$C:$C, MATCH(K152, samples!$A:$A, 0), 1)</f>
        <v>2017-11-27</v>
      </c>
      <c r="N152" s="44" t="str">
        <f aca="false">INDEX(samples!$B:$B, MATCH(K152, samples!$A:$A, 0), 1)</f>
        <v>par0032</v>
      </c>
      <c r="O152" s="44" t="s">
        <v>601</v>
      </c>
      <c r="P152" s="8" t="s">
        <v>3880</v>
      </c>
      <c r="Q152" s="8" t="s">
        <v>36</v>
      </c>
      <c r="R152" s="33" t="s">
        <v>3881</v>
      </c>
      <c r="T152" s="8"/>
    </row>
    <row r="153" customFormat="false" ht="13.8" hidden="false" customHeight="false" outlineLevel="0" collapsed="false">
      <c r="A153" s="25" t="s">
        <v>4200</v>
      </c>
      <c r="B153" s="41" t="s">
        <v>3699</v>
      </c>
      <c r="C153" s="8" t="s">
        <v>3123</v>
      </c>
      <c r="D153" s="8" t="s">
        <v>3877</v>
      </c>
      <c r="E153" s="0" t="s">
        <v>3878</v>
      </c>
      <c r="F153" s="0" t="s">
        <v>4201</v>
      </c>
      <c r="G153" s="0" t="s">
        <v>4202</v>
      </c>
      <c r="H153" s="0" t="s">
        <v>427</v>
      </c>
      <c r="I153" s="0" t="s">
        <v>3891</v>
      </c>
      <c r="K153" s="44" t="str">
        <f aca="false">INDEX(libraries!$B:$B, MATCH(B153, libraries!$A:$A, 0), 1)</f>
        <v>sam0529</v>
      </c>
      <c r="L153" s="44" t="str">
        <f aca="false">INDEX(samples!$F:$F, MATCH(K153, samples!$A:$A, 0), 1)</f>
        <v>nf1_lib37</v>
      </c>
      <c r="M153" s="55" t="str">
        <f aca="false">INDEX(samples!$C:$C, MATCH(K153, samples!$A:$A, 0), 1)</f>
        <v>2025-02-25</v>
      </c>
      <c r="N153" s="44" t="str">
        <f aca="false">INDEX(samples!$B:$B, MATCH(K153, samples!$A:$A, 0), 1)</f>
        <v>par0247</v>
      </c>
      <c r="O153" s="44" t="s">
        <v>1267</v>
      </c>
      <c r="P153" s="8" t="s">
        <v>3880</v>
      </c>
      <c r="Q153" s="8" t="s">
        <v>4203</v>
      </c>
      <c r="R153" s="8" t="s">
        <v>3893</v>
      </c>
      <c r="T153" s="8"/>
    </row>
    <row r="154" customFormat="false" ht="13.8" hidden="false" customHeight="false" outlineLevel="0" collapsed="false">
      <c r="A154" s="25" t="s">
        <v>4204</v>
      </c>
      <c r="B154" s="41" t="s">
        <v>3225</v>
      </c>
      <c r="C154" s="8" t="s">
        <v>427</v>
      </c>
      <c r="D154" s="8" t="s">
        <v>3877</v>
      </c>
      <c r="E154" s="0" t="s">
        <v>3878</v>
      </c>
      <c r="F154" s="0" t="s">
        <v>427</v>
      </c>
      <c r="G154" s="0" t="s">
        <v>427</v>
      </c>
      <c r="H154" s="0" t="s">
        <v>427</v>
      </c>
      <c r="I154" s="0" t="s">
        <v>3879</v>
      </c>
      <c r="K154" s="44" t="str">
        <f aca="false">INDEX(libraries!$B:$B, MATCH(B154, libraries!$A:$A, 0), 1)</f>
        <v>sam0193</v>
      </c>
      <c r="L154" s="44" t="n">
        <f aca="false">INDEX(samples!$F:$F, MATCH(K154, samples!$A:$A, 0), 1)</f>
        <v>0</v>
      </c>
      <c r="M154" s="55" t="str">
        <f aca="false">INDEX(samples!$C:$C, MATCH(K154, samples!$A:$A, 0), 1)</f>
        <v>UNK</v>
      </c>
      <c r="N154" s="44" t="str">
        <f aca="false">INDEX(samples!$B:$B, MATCH(K154, samples!$A:$A, 0), 1)</f>
        <v>par0004</v>
      </c>
      <c r="O154" s="44" t="s">
        <v>493</v>
      </c>
      <c r="P154" s="8" t="s">
        <v>3880</v>
      </c>
      <c r="Q154" s="8" t="s">
        <v>36</v>
      </c>
      <c r="R154" s="33" t="s">
        <v>3881</v>
      </c>
      <c r="T154" s="8"/>
    </row>
    <row r="155" customFormat="false" ht="13.8" hidden="false" customHeight="false" outlineLevel="0" collapsed="false">
      <c r="A155" s="25" t="s">
        <v>4205</v>
      </c>
      <c r="B155" s="41" t="s">
        <v>3158</v>
      </c>
      <c r="C155" s="8" t="s">
        <v>427</v>
      </c>
      <c r="D155" s="8" t="s">
        <v>3877</v>
      </c>
      <c r="E155" s="0" t="s">
        <v>3878</v>
      </c>
      <c r="F155" s="0" t="s">
        <v>427</v>
      </c>
      <c r="G155" s="0" t="s">
        <v>427</v>
      </c>
      <c r="H155" s="0" t="s">
        <v>427</v>
      </c>
      <c r="I155" s="0" t="s">
        <v>3879</v>
      </c>
      <c r="K155" s="44" t="str">
        <f aca="false">INDEX(libraries!$B:$B, MATCH(B155, libraries!$A:$A, 0), 1)</f>
        <v>sam0192</v>
      </c>
      <c r="L155" s="44" t="n">
        <f aca="false">INDEX(samples!$F:$F, MATCH(K155, samples!$A:$A, 0), 1)</f>
        <v>0</v>
      </c>
      <c r="M155" s="55" t="str">
        <f aca="false">INDEX(samples!$C:$C, MATCH(K155, samples!$A:$A, 0), 1)</f>
        <v>2018-05-07</v>
      </c>
      <c r="N155" s="44" t="str">
        <f aca="false">INDEX(samples!$B:$B, MATCH(K155, samples!$A:$A, 0), 1)</f>
        <v>par0032</v>
      </c>
      <c r="O155" s="44" t="s">
        <v>601</v>
      </c>
      <c r="P155" s="8" t="s">
        <v>3880</v>
      </c>
      <c r="Q155" s="8" t="s">
        <v>36</v>
      </c>
      <c r="R155" s="33" t="s">
        <v>3881</v>
      </c>
      <c r="T155" s="8"/>
    </row>
    <row r="156" customFormat="false" ht="13.8" hidden="false" customHeight="false" outlineLevel="0" collapsed="false">
      <c r="A156" s="25" t="s">
        <v>4206</v>
      </c>
      <c r="B156" s="41" t="s">
        <v>3700</v>
      </c>
      <c r="C156" s="8" t="s">
        <v>3123</v>
      </c>
      <c r="D156" s="8" t="s">
        <v>3877</v>
      </c>
      <c r="E156" s="0" t="s">
        <v>3878</v>
      </c>
      <c r="F156" s="0" t="s">
        <v>4207</v>
      </c>
      <c r="G156" s="0" t="s">
        <v>4208</v>
      </c>
      <c r="H156" s="0" t="s">
        <v>427</v>
      </c>
      <c r="I156" s="0" t="s">
        <v>3891</v>
      </c>
      <c r="K156" s="44" t="str">
        <f aca="false">INDEX(libraries!$B:$B, MATCH(B156, libraries!$A:$A, 0), 1)</f>
        <v>sam0530</v>
      </c>
      <c r="L156" s="44" t="str">
        <f aca="false">INDEX(samples!$F:$F, MATCH(K156, samples!$A:$A, 0), 1)</f>
        <v>nf1_lib38</v>
      </c>
      <c r="M156" s="55" t="str">
        <f aca="false">INDEX(samples!$C:$C, MATCH(K156, samples!$A:$A, 0), 1)</f>
        <v>2024-03-12</v>
      </c>
      <c r="N156" s="44" t="str">
        <f aca="false">INDEX(samples!$B:$B, MATCH(K156, samples!$A:$A, 0), 1)</f>
        <v>par0298</v>
      </c>
      <c r="O156" s="44" t="s">
        <v>1443</v>
      </c>
      <c r="P156" s="8" t="s">
        <v>3880</v>
      </c>
      <c r="Q156" s="8" t="s">
        <v>4209</v>
      </c>
      <c r="R156" s="8" t="s">
        <v>3893</v>
      </c>
      <c r="T156" s="8"/>
    </row>
    <row r="157" customFormat="false" ht="13.8" hidden="false" customHeight="false" outlineLevel="0" collapsed="false">
      <c r="A157" s="25" t="s">
        <v>4210</v>
      </c>
      <c r="B157" s="41" t="s">
        <v>3175</v>
      </c>
      <c r="C157" s="8" t="s">
        <v>427</v>
      </c>
      <c r="D157" s="8" t="s">
        <v>3877</v>
      </c>
      <c r="E157" s="0" t="s">
        <v>3878</v>
      </c>
      <c r="F157" s="0" t="s">
        <v>427</v>
      </c>
      <c r="G157" s="0" t="s">
        <v>427</v>
      </c>
      <c r="H157" s="0" t="s">
        <v>427</v>
      </c>
      <c r="I157" s="0" t="s">
        <v>3879</v>
      </c>
      <c r="K157" s="44" t="str">
        <f aca="false">INDEX(libraries!$B:$B, MATCH(B157, libraries!$A:$A, 0), 1)</f>
        <v>sam0065</v>
      </c>
      <c r="L157" s="44" t="n">
        <f aca="false">INDEX(samples!$F:$F, MATCH(K157, samples!$A:$A, 0), 1)</f>
        <v>0</v>
      </c>
      <c r="M157" s="55" t="str">
        <f aca="false">INDEX(samples!$C:$C, MATCH(K157, samples!$A:$A, 0), 1)</f>
        <v>2018-10-15</v>
      </c>
      <c r="N157" s="44" t="str">
        <f aca="false">INDEX(samples!$B:$B, MATCH(K157, samples!$A:$A, 0), 1)</f>
        <v>par0032</v>
      </c>
      <c r="O157" s="44" t="s">
        <v>601</v>
      </c>
      <c r="P157" s="8" t="s">
        <v>3880</v>
      </c>
      <c r="Q157" s="8" t="s">
        <v>36</v>
      </c>
      <c r="R157" s="33" t="s">
        <v>3881</v>
      </c>
      <c r="T157" s="8"/>
    </row>
    <row r="158" customFormat="false" ht="13.8" hidden="false" customHeight="false" outlineLevel="0" collapsed="false">
      <c r="A158" s="25" t="s">
        <v>4211</v>
      </c>
      <c r="B158" s="41" t="s">
        <v>3701</v>
      </c>
      <c r="C158" s="8" t="s">
        <v>3123</v>
      </c>
      <c r="D158" s="8" t="s">
        <v>3877</v>
      </c>
      <c r="E158" s="0" t="s">
        <v>3878</v>
      </c>
      <c r="F158" s="0" t="s">
        <v>4212</v>
      </c>
      <c r="G158" s="0" t="s">
        <v>4213</v>
      </c>
      <c r="H158" s="0" t="s">
        <v>427</v>
      </c>
      <c r="I158" s="0" t="s">
        <v>3891</v>
      </c>
      <c r="K158" s="44" t="str">
        <f aca="false">INDEX(libraries!$B:$B, MATCH(B158, libraries!$A:$A, 0), 1)</f>
        <v>sam0531</v>
      </c>
      <c r="L158" s="44" t="str">
        <f aca="false">INDEX(samples!$F:$F, MATCH(K158, samples!$A:$A, 0), 1)</f>
        <v>nf1_lib39</v>
      </c>
      <c r="M158" s="55" t="str">
        <f aca="false">INDEX(samples!$C:$C, MATCH(K158, samples!$A:$A, 0), 1)</f>
        <v>2024-07-18</v>
      </c>
      <c r="N158" s="44" t="str">
        <f aca="false">INDEX(samples!$B:$B, MATCH(K158, samples!$A:$A, 0), 1)</f>
        <v>par0298</v>
      </c>
      <c r="O158" s="44" t="s">
        <v>1443</v>
      </c>
      <c r="P158" s="8" t="s">
        <v>3880</v>
      </c>
      <c r="Q158" s="8" t="s">
        <v>4214</v>
      </c>
      <c r="R158" s="8" t="s">
        <v>3893</v>
      </c>
      <c r="T158" s="8"/>
    </row>
    <row r="159" customFormat="false" ht="13.8" hidden="false" customHeight="false" outlineLevel="0" collapsed="false">
      <c r="A159" s="25" t="s">
        <v>4215</v>
      </c>
      <c r="B159" s="41" t="s">
        <v>3241</v>
      </c>
      <c r="C159" s="8" t="s">
        <v>427</v>
      </c>
      <c r="D159" s="8" t="s">
        <v>3877</v>
      </c>
      <c r="E159" s="0" t="s">
        <v>3878</v>
      </c>
      <c r="F159" s="0" t="s">
        <v>427</v>
      </c>
      <c r="G159" s="0" t="s">
        <v>427</v>
      </c>
      <c r="H159" s="0" t="s">
        <v>427</v>
      </c>
      <c r="I159" s="0" t="s">
        <v>3879</v>
      </c>
      <c r="K159" s="44" t="str">
        <f aca="false">INDEX(libraries!$B:$B, MATCH(B159, libraries!$A:$A, 0), 1)</f>
        <v>sam0016</v>
      </c>
      <c r="L159" s="44" t="n">
        <f aca="false">INDEX(samples!$F:$F, MATCH(K159, samples!$A:$A, 0), 1)</f>
        <v>0</v>
      </c>
      <c r="M159" s="55" t="str">
        <f aca="false">INDEX(samples!$C:$C, MATCH(K159, samples!$A:$A, 0), 1)</f>
        <v>UNK</v>
      </c>
      <c r="N159" s="44" t="str">
        <f aca="false">INDEX(samples!$B:$B, MATCH(K159, samples!$A:$A, 0), 1)</f>
        <v>par0118</v>
      </c>
      <c r="O159" s="44" t="s">
        <v>853</v>
      </c>
      <c r="P159" s="8" t="s">
        <v>3880</v>
      </c>
      <c r="Q159" s="8" t="s">
        <v>36</v>
      </c>
      <c r="R159" s="33" t="s">
        <v>3881</v>
      </c>
      <c r="T159" s="8"/>
    </row>
    <row r="160" customFormat="false" ht="13.8" hidden="false" customHeight="false" outlineLevel="0" collapsed="false">
      <c r="A160" s="25" t="s">
        <v>4216</v>
      </c>
      <c r="B160" s="41" t="s">
        <v>3190</v>
      </c>
      <c r="C160" s="8" t="s">
        <v>427</v>
      </c>
      <c r="D160" s="8" t="s">
        <v>3877</v>
      </c>
      <c r="E160" s="0" t="s">
        <v>3878</v>
      </c>
      <c r="F160" s="0" t="s">
        <v>427</v>
      </c>
      <c r="G160" s="0" t="s">
        <v>427</v>
      </c>
      <c r="H160" s="0" t="s">
        <v>427</v>
      </c>
      <c r="I160" s="0" t="s">
        <v>3879</v>
      </c>
      <c r="K160" s="44" t="str">
        <f aca="false">INDEX(libraries!$B:$B, MATCH(B160, libraries!$A:$A, 0), 1)</f>
        <v>sam0031</v>
      </c>
      <c r="L160" s="44" t="n">
        <f aca="false">INDEX(samples!$F:$F, MATCH(K160, samples!$A:$A, 0), 1)</f>
        <v>0</v>
      </c>
      <c r="M160" s="55" t="str">
        <f aca="false">INDEX(samples!$C:$C, MATCH(K160, samples!$A:$A, 0), 1)</f>
        <v>2018-07-16</v>
      </c>
      <c r="N160" s="44" t="str">
        <f aca="false">INDEX(samples!$B:$B, MATCH(K160, samples!$A:$A, 0), 1)</f>
        <v>par0013</v>
      </c>
      <c r="O160" s="44" t="s">
        <v>529</v>
      </c>
      <c r="P160" s="8" t="s">
        <v>3880</v>
      </c>
      <c r="Q160" s="8" t="s">
        <v>36</v>
      </c>
      <c r="R160" s="33" t="s">
        <v>3881</v>
      </c>
      <c r="T160" s="8"/>
    </row>
    <row r="161" customFormat="false" ht="13.8" hidden="false" customHeight="false" outlineLevel="0" collapsed="false">
      <c r="A161" s="25" t="s">
        <v>4217</v>
      </c>
      <c r="B161" s="41" t="s">
        <v>3373</v>
      </c>
      <c r="C161" s="8" t="s">
        <v>427</v>
      </c>
      <c r="D161" s="8" t="s">
        <v>3877</v>
      </c>
      <c r="E161" s="0" t="s">
        <v>3878</v>
      </c>
      <c r="F161" s="0" t="s">
        <v>427</v>
      </c>
      <c r="G161" s="0" t="s">
        <v>427</v>
      </c>
      <c r="H161" s="0" t="s">
        <v>427</v>
      </c>
      <c r="I161" s="0" t="s">
        <v>3879</v>
      </c>
      <c r="K161" s="44" t="str">
        <f aca="false">INDEX(libraries!$B:$B, MATCH(B161, libraries!$A:$A, 0), 1)</f>
        <v>sam0233</v>
      </c>
      <c r="L161" s="44" t="n">
        <f aca="false">INDEX(samples!$F:$F, MATCH(K161, samples!$A:$A, 0), 1)</f>
        <v>0</v>
      </c>
      <c r="M161" s="55" t="str">
        <f aca="false">INDEX(samples!$C:$C, MATCH(K161, samples!$A:$A, 0), 1)</f>
        <v>2019-11-11</v>
      </c>
      <c r="N161" s="44" t="str">
        <f aca="false">INDEX(samples!$B:$B, MATCH(K161, samples!$A:$A, 0), 1)</f>
        <v>par0011</v>
      </c>
      <c r="O161" s="44" t="s">
        <v>520</v>
      </c>
      <c r="P161" s="8" t="s">
        <v>3880</v>
      </c>
      <c r="Q161" s="8" t="s">
        <v>36</v>
      </c>
      <c r="R161" s="33" t="s">
        <v>3881</v>
      </c>
      <c r="T161" s="8"/>
    </row>
    <row r="162" customFormat="false" ht="13.8" hidden="false" customHeight="false" outlineLevel="0" collapsed="false">
      <c r="A162" s="25" t="s">
        <v>4218</v>
      </c>
      <c r="B162" s="53" t="s">
        <v>3662</v>
      </c>
      <c r="C162" s="33" t="s">
        <v>3107</v>
      </c>
      <c r="D162" s="33" t="s">
        <v>3877</v>
      </c>
      <c r="E162" s="0" t="s">
        <v>3878</v>
      </c>
      <c r="F162" s="0" t="s">
        <v>4219</v>
      </c>
      <c r="G162" s="0" t="s">
        <v>4220</v>
      </c>
      <c r="H162" s="0" t="s">
        <v>427</v>
      </c>
      <c r="I162" s="0" t="s">
        <v>4221</v>
      </c>
      <c r="K162" s="44" t="str">
        <f aca="false">INDEX(libraries!$B:$B, MATCH(B162, libraries!$A:$A, 0), 1)</f>
        <v>sam0484</v>
      </c>
      <c r="L162" s="44" t="str">
        <f aca="false">INDEX(samples!$F:$F, MATCH(K162, samples!$A:$A, 0), 1)</f>
        <v>emseq_08</v>
      </c>
      <c r="M162" s="55" t="str">
        <f aca="false">INDEX(samples!$C:$C, MATCH(K162, samples!$A:$A, 0), 1)</f>
        <v>GET</v>
      </c>
      <c r="N162" s="44" t="str">
        <f aca="false">INDEX(samples!$B:$B, MATCH(K162, samples!$A:$A, 0), 1)</f>
        <v>par0293</v>
      </c>
      <c r="O162" s="44" t="s">
        <v>1428</v>
      </c>
      <c r="P162" s="8" t="s">
        <v>3880</v>
      </c>
      <c r="Q162" s="8" t="s">
        <v>36</v>
      </c>
      <c r="R162" s="8" t="s">
        <v>3881</v>
      </c>
      <c r="T162" s="8"/>
    </row>
    <row r="163" customFormat="false" ht="13.8" hidden="false" customHeight="false" outlineLevel="0" collapsed="false">
      <c r="A163" s="25" t="s">
        <v>4222</v>
      </c>
      <c r="B163" s="41" t="s">
        <v>3666</v>
      </c>
      <c r="C163" s="8" t="s">
        <v>3123</v>
      </c>
      <c r="D163" s="8" t="s">
        <v>3877</v>
      </c>
      <c r="E163" s="0" t="s">
        <v>3878</v>
      </c>
      <c r="F163" s="0" t="s">
        <v>4223</v>
      </c>
      <c r="G163" s="0" t="s">
        <v>4224</v>
      </c>
      <c r="H163" s="0" t="s">
        <v>427</v>
      </c>
      <c r="I163" s="0" t="s">
        <v>3891</v>
      </c>
      <c r="K163" s="44" t="str">
        <f aca="false">INDEX(libraries!$B:$B, MATCH(B163, libraries!$A:$A, 0), 1)</f>
        <v>sam0496</v>
      </c>
      <c r="L163" s="44" t="str">
        <f aca="false">INDEX(samples!$F:$F, MATCH(K163, samples!$A:$A, 0), 1)</f>
        <v>nf1_lib4</v>
      </c>
      <c r="M163" s="55" t="str">
        <f aca="false">INDEX(samples!$C:$C, MATCH(K163, samples!$A:$A, 0), 1)</f>
        <v>2024-07-18</v>
      </c>
      <c r="N163" s="44" t="str">
        <f aca="false">INDEX(samples!$B:$B, MATCH(K163, samples!$A:$A, 0), 1)</f>
        <v>par0230</v>
      </c>
      <c r="O163" s="44" t="s">
        <v>1199</v>
      </c>
      <c r="P163" s="8" t="s">
        <v>3880</v>
      </c>
      <c r="Q163" s="8" t="s">
        <v>4225</v>
      </c>
      <c r="R163" s="8" t="s">
        <v>3893</v>
      </c>
      <c r="T163" s="8"/>
    </row>
    <row r="164" customFormat="false" ht="13.8" hidden="false" customHeight="false" outlineLevel="0" collapsed="false">
      <c r="A164" s="25" t="s">
        <v>4226</v>
      </c>
      <c r="B164" s="41" t="s">
        <v>3543</v>
      </c>
      <c r="C164" s="8" t="s">
        <v>3118</v>
      </c>
      <c r="D164" s="8" t="s">
        <v>427</v>
      </c>
      <c r="E164" s="0" t="s">
        <v>427</v>
      </c>
      <c r="F164" s="0" t="s">
        <v>427</v>
      </c>
      <c r="G164" s="0" t="s">
        <v>427</v>
      </c>
      <c r="H164" s="0" t="s">
        <v>427</v>
      </c>
      <c r="I164" s="0" t="s">
        <v>3895</v>
      </c>
      <c r="K164" s="44" t="str">
        <f aca="false">INDEX(libraries!$B:$B, MATCH(B164, libraries!$A:$A, 0), 1)</f>
        <v>sam0348</v>
      </c>
      <c r="L164" s="44" t="n">
        <f aca="false">INDEX(samples!$F:$F, MATCH(K164, samples!$A:$A, 0), 1)</f>
        <v>0</v>
      </c>
      <c r="M164" s="55" t="str">
        <f aca="false">INDEX(samples!$C:$C, MATCH(K164, samples!$A:$A, 0), 1)</f>
        <v>2020-08-11</v>
      </c>
      <c r="N164" s="44" t="str">
        <f aca="false">INDEX(samples!$B:$B, MATCH(K164, samples!$A:$A, 0), 1)</f>
        <v>par0233</v>
      </c>
      <c r="O164" s="44" t="s">
        <v>1214</v>
      </c>
      <c r="P164" s="8" t="s">
        <v>427</v>
      </c>
      <c r="Q164" s="8" t="s">
        <v>36</v>
      </c>
      <c r="R164" s="33" t="s">
        <v>3881</v>
      </c>
      <c r="T164" s="8"/>
    </row>
    <row r="165" customFormat="false" ht="13.8" hidden="false" customHeight="false" outlineLevel="0" collapsed="false">
      <c r="A165" s="25" t="s">
        <v>4227</v>
      </c>
      <c r="B165" s="41" t="s">
        <v>3209</v>
      </c>
      <c r="C165" s="8" t="s">
        <v>427</v>
      </c>
      <c r="D165" s="8" t="s">
        <v>3877</v>
      </c>
      <c r="E165" s="0" t="s">
        <v>3878</v>
      </c>
      <c r="F165" s="0" t="s">
        <v>427</v>
      </c>
      <c r="G165" s="0" t="s">
        <v>427</v>
      </c>
      <c r="H165" s="0" t="s">
        <v>427</v>
      </c>
      <c r="I165" s="0" t="s">
        <v>3879</v>
      </c>
      <c r="K165" s="44" t="str">
        <f aca="false">INDEX(libraries!$B:$B, MATCH(B165, libraries!$A:$A, 0), 1)</f>
        <v>sam0171</v>
      </c>
      <c r="L165" s="44" t="n">
        <f aca="false">INDEX(samples!$F:$F, MATCH(K165, samples!$A:$A, 0), 1)</f>
        <v>0</v>
      </c>
      <c r="M165" s="55" t="str">
        <f aca="false">INDEX(samples!$C:$C, MATCH(K165, samples!$A:$A, 0), 1)</f>
        <v>UNK</v>
      </c>
      <c r="N165" s="44" t="str">
        <f aca="false">INDEX(samples!$B:$B, MATCH(K165, samples!$A:$A, 0), 1)</f>
        <v>par0007</v>
      </c>
      <c r="O165" s="44" t="s">
        <v>502</v>
      </c>
      <c r="P165" s="8" t="s">
        <v>3880</v>
      </c>
      <c r="Q165" s="8" t="s">
        <v>36</v>
      </c>
      <c r="R165" s="33" t="s">
        <v>3881</v>
      </c>
      <c r="T165" s="8"/>
    </row>
    <row r="166" customFormat="false" ht="13.8" hidden="false" customHeight="false" outlineLevel="0" collapsed="false">
      <c r="A166" s="25" t="s">
        <v>4228</v>
      </c>
      <c r="B166" s="41" t="s">
        <v>3203</v>
      </c>
      <c r="C166" s="8" t="s">
        <v>427</v>
      </c>
      <c r="D166" s="8" t="s">
        <v>3877</v>
      </c>
      <c r="E166" s="0" t="s">
        <v>3878</v>
      </c>
      <c r="F166" s="0" t="s">
        <v>427</v>
      </c>
      <c r="G166" s="0" t="s">
        <v>427</v>
      </c>
      <c r="H166" s="0" t="s">
        <v>427</v>
      </c>
      <c r="I166" s="0" t="s">
        <v>3879</v>
      </c>
      <c r="K166" s="44" t="str">
        <f aca="false">INDEX(libraries!$B:$B, MATCH(B166, libraries!$A:$A, 0), 1)</f>
        <v>sam0066</v>
      </c>
      <c r="L166" s="44" t="n">
        <f aca="false">INDEX(samples!$F:$F, MATCH(K166, samples!$A:$A, 0), 1)</f>
        <v>0</v>
      </c>
      <c r="M166" s="55" t="str">
        <f aca="false">INDEX(samples!$C:$C, MATCH(K166, samples!$A:$A, 0), 1)</f>
        <v>2018-01-16</v>
      </c>
      <c r="N166" s="44" t="str">
        <f aca="false">INDEX(samples!$B:$B, MATCH(K166, samples!$A:$A, 0), 1)</f>
        <v>par0033</v>
      </c>
      <c r="O166" s="44" t="s">
        <v>605</v>
      </c>
      <c r="P166" s="8" t="s">
        <v>3880</v>
      </c>
      <c r="Q166" s="8" t="s">
        <v>36</v>
      </c>
      <c r="R166" s="33" t="s">
        <v>3881</v>
      </c>
      <c r="T166" s="8"/>
    </row>
    <row r="167" customFormat="false" ht="13.8" hidden="false" customHeight="false" outlineLevel="0" collapsed="false">
      <c r="A167" s="25" t="s">
        <v>4229</v>
      </c>
      <c r="B167" s="41" t="s">
        <v>3702</v>
      </c>
      <c r="C167" s="8" t="s">
        <v>3123</v>
      </c>
      <c r="D167" s="8" t="s">
        <v>3877</v>
      </c>
      <c r="E167" s="0" t="s">
        <v>3878</v>
      </c>
      <c r="F167" s="0" t="s">
        <v>4230</v>
      </c>
      <c r="G167" s="0" t="s">
        <v>4231</v>
      </c>
      <c r="H167" s="0" t="s">
        <v>427</v>
      </c>
      <c r="I167" s="0" t="s">
        <v>3891</v>
      </c>
      <c r="K167" s="44" t="str">
        <f aca="false">INDEX(libraries!$B:$B, MATCH(B167, libraries!$A:$A, 0), 1)</f>
        <v>sam0532</v>
      </c>
      <c r="L167" s="44" t="str">
        <f aca="false">INDEX(samples!$F:$F, MATCH(K167, samples!$A:$A, 0), 1)</f>
        <v>nf1_lib40</v>
      </c>
      <c r="M167" s="55" t="str">
        <f aca="false">INDEX(samples!$C:$C, MATCH(K167, samples!$A:$A, 0), 1)</f>
        <v>2021-10-26</v>
      </c>
      <c r="N167" s="44" t="str">
        <f aca="false">INDEX(samples!$B:$B, MATCH(K167, samples!$A:$A, 0), 1)</f>
        <v>par0245</v>
      </c>
      <c r="O167" s="44" t="s">
        <v>1259</v>
      </c>
      <c r="P167" s="8" t="s">
        <v>3880</v>
      </c>
      <c r="Q167" s="8" t="s">
        <v>4232</v>
      </c>
      <c r="R167" s="8" t="s">
        <v>3893</v>
      </c>
      <c r="T167" s="8"/>
    </row>
    <row r="168" customFormat="false" ht="13.8" hidden="false" customHeight="false" outlineLevel="0" collapsed="false">
      <c r="A168" s="25" t="s">
        <v>4233</v>
      </c>
      <c r="B168" s="41" t="s">
        <v>3151</v>
      </c>
      <c r="C168" s="8" t="s">
        <v>427</v>
      </c>
      <c r="D168" s="8" t="s">
        <v>3877</v>
      </c>
      <c r="E168" s="0" t="s">
        <v>3878</v>
      </c>
      <c r="F168" s="0" t="s">
        <v>427</v>
      </c>
      <c r="G168" s="0" t="s">
        <v>427</v>
      </c>
      <c r="H168" s="0" t="s">
        <v>427</v>
      </c>
      <c r="I168" s="0" t="s">
        <v>3879</v>
      </c>
      <c r="K168" s="44" t="str">
        <f aca="false">INDEX(libraries!$B:$B, MATCH(B168, libraries!$A:$A, 0), 1)</f>
        <v>sam0067</v>
      </c>
      <c r="L168" s="44" t="n">
        <f aca="false">INDEX(samples!$F:$F, MATCH(K168, samples!$A:$A, 0), 1)</f>
        <v>0</v>
      </c>
      <c r="M168" s="55" t="str">
        <f aca="false">INDEX(samples!$C:$C, MATCH(K168, samples!$A:$A, 0), 1)</f>
        <v>2018-05-21</v>
      </c>
      <c r="N168" s="44" t="str">
        <f aca="false">INDEX(samples!$B:$B, MATCH(K168, samples!$A:$A, 0), 1)</f>
        <v>par0033</v>
      </c>
      <c r="O168" s="44" t="s">
        <v>605</v>
      </c>
      <c r="P168" s="8" t="s">
        <v>3880</v>
      </c>
      <c r="Q168" s="8" t="s">
        <v>36</v>
      </c>
      <c r="R168" s="33" t="s">
        <v>3881</v>
      </c>
      <c r="T168" s="8"/>
    </row>
    <row r="169" customFormat="false" ht="13.8" hidden="false" customHeight="false" outlineLevel="0" collapsed="false">
      <c r="A169" s="25" t="s">
        <v>4234</v>
      </c>
      <c r="B169" s="41" t="s">
        <v>3233</v>
      </c>
      <c r="C169" s="8" t="s">
        <v>427</v>
      </c>
      <c r="D169" s="8" t="s">
        <v>3877</v>
      </c>
      <c r="E169" s="0" t="s">
        <v>3878</v>
      </c>
      <c r="F169" s="0" t="s">
        <v>427</v>
      </c>
      <c r="G169" s="0" t="s">
        <v>427</v>
      </c>
      <c r="H169" s="0" t="s">
        <v>427</v>
      </c>
      <c r="I169" s="0" t="s">
        <v>3879</v>
      </c>
      <c r="K169" s="44" t="str">
        <f aca="false">INDEX(libraries!$B:$B, MATCH(B169, libraries!$A:$A, 0), 1)</f>
        <v>sam0073</v>
      </c>
      <c r="L169" s="44" t="n">
        <f aca="false">INDEX(samples!$F:$F, MATCH(K169, samples!$A:$A, 0), 1)</f>
        <v>0</v>
      </c>
      <c r="M169" s="55" t="str">
        <f aca="false">INDEX(samples!$C:$C, MATCH(K169, samples!$A:$A, 0), 1)</f>
        <v>2015-09-17</v>
      </c>
      <c r="N169" s="44" t="str">
        <f aca="false">INDEX(samples!$B:$B, MATCH(K169, samples!$A:$A, 0), 1)</f>
        <v>par0035</v>
      </c>
      <c r="O169" s="44" t="s">
        <v>612</v>
      </c>
      <c r="P169" s="8" t="s">
        <v>3880</v>
      </c>
      <c r="Q169" s="8" t="s">
        <v>36</v>
      </c>
      <c r="R169" s="33" t="s">
        <v>3881</v>
      </c>
      <c r="T169" s="8"/>
    </row>
    <row r="170" customFormat="false" ht="13.8" hidden="false" customHeight="false" outlineLevel="0" collapsed="false">
      <c r="A170" s="25" t="s">
        <v>4235</v>
      </c>
      <c r="B170" s="41" t="s">
        <v>3703</v>
      </c>
      <c r="C170" s="8" t="s">
        <v>3123</v>
      </c>
      <c r="D170" s="8" t="s">
        <v>3877</v>
      </c>
      <c r="E170" s="0" t="s">
        <v>3878</v>
      </c>
      <c r="F170" s="0" t="s">
        <v>4236</v>
      </c>
      <c r="G170" s="0" t="s">
        <v>4237</v>
      </c>
      <c r="H170" s="0" t="s">
        <v>427</v>
      </c>
      <c r="I170" s="0" t="s">
        <v>3891</v>
      </c>
      <c r="K170" s="44" t="str">
        <f aca="false">INDEX(libraries!$B:$B, MATCH(B170, libraries!$A:$A, 0), 1)</f>
        <v>sam0533</v>
      </c>
      <c r="L170" s="44" t="str">
        <f aca="false">INDEX(samples!$F:$F, MATCH(K170, samples!$A:$A, 0), 1)</f>
        <v>nf1_lib41</v>
      </c>
      <c r="M170" s="55" t="str">
        <f aca="false">INDEX(samples!$C:$C, MATCH(K170, samples!$A:$A, 0), 1)</f>
        <v>2023-02-28</v>
      </c>
      <c r="N170" s="44" t="str">
        <f aca="false">INDEX(samples!$B:$B, MATCH(K170, samples!$A:$A, 0), 1)</f>
        <v>par0249</v>
      </c>
      <c r="O170" s="44" t="s">
        <v>1276</v>
      </c>
      <c r="P170" s="8" t="s">
        <v>3880</v>
      </c>
      <c r="Q170" s="8" t="s">
        <v>4238</v>
      </c>
      <c r="R170" s="8" t="s">
        <v>3893</v>
      </c>
      <c r="T170" s="8"/>
    </row>
    <row r="171" customFormat="false" ht="13.8" hidden="false" customHeight="false" outlineLevel="0" collapsed="false">
      <c r="A171" s="25" t="s">
        <v>4239</v>
      </c>
      <c r="B171" s="41" t="s">
        <v>3219</v>
      </c>
      <c r="C171" s="8" t="s">
        <v>427</v>
      </c>
      <c r="D171" s="8" t="s">
        <v>3877</v>
      </c>
      <c r="E171" s="0" t="s">
        <v>3878</v>
      </c>
      <c r="F171" s="0" t="s">
        <v>427</v>
      </c>
      <c r="G171" s="0" t="s">
        <v>427</v>
      </c>
      <c r="H171" s="0" t="s">
        <v>427</v>
      </c>
      <c r="I171" s="0" t="s">
        <v>3879</v>
      </c>
      <c r="K171" s="44" t="str">
        <f aca="false">INDEX(libraries!$B:$B, MATCH(B171, libraries!$A:$A, 0), 1)</f>
        <v>sam0202</v>
      </c>
      <c r="L171" s="44" t="n">
        <f aca="false">INDEX(samples!$F:$F, MATCH(K171, samples!$A:$A, 0), 1)</f>
        <v>0</v>
      </c>
      <c r="M171" s="55" t="str">
        <f aca="false">INDEX(samples!$C:$C, MATCH(K171, samples!$A:$A, 0), 1)</f>
        <v>UNK</v>
      </c>
      <c r="N171" s="44" t="str">
        <f aca="false">INDEX(samples!$B:$B, MATCH(K171, samples!$A:$A, 0), 1)</f>
        <v>par0115</v>
      </c>
      <c r="O171" s="44" t="s">
        <v>844</v>
      </c>
      <c r="P171" s="8" t="s">
        <v>3880</v>
      </c>
      <c r="Q171" s="8" t="s">
        <v>36</v>
      </c>
      <c r="R171" s="33" t="s">
        <v>3881</v>
      </c>
      <c r="T171" s="8"/>
    </row>
    <row r="172" customFormat="false" ht="13.8" hidden="false" customHeight="false" outlineLevel="0" collapsed="false">
      <c r="A172" s="25" t="s">
        <v>4240</v>
      </c>
      <c r="B172" s="41" t="s">
        <v>3179</v>
      </c>
      <c r="C172" s="8" t="s">
        <v>427</v>
      </c>
      <c r="D172" s="8" t="s">
        <v>3877</v>
      </c>
      <c r="E172" s="0" t="s">
        <v>3878</v>
      </c>
      <c r="F172" s="0" t="s">
        <v>427</v>
      </c>
      <c r="G172" s="0" t="s">
        <v>427</v>
      </c>
      <c r="H172" s="0" t="s">
        <v>427</v>
      </c>
      <c r="I172" s="0" t="s">
        <v>3879</v>
      </c>
      <c r="K172" s="44" t="str">
        <f aca="false">INDEX(libraries!$B:$B, MATCH(B172, libraries!$A:$A, 0), 1)</f>
        <v>sam0068</v>
      </c>
      <c r="L172" s="44" t="n">
        <f aca="false">INDEX(samples!$F:$F, MATCH(K172, samples!$A:$A, 0), 1)</f>
        <v>0</v>
      </c>
      <c r="M172" s="55" t="str">
        <f aca="false">INDEX(samples!$C:$C, MATCH(K172, samples!$A:$A, 0), 1)</f>
        <v>2017-07-24</v>
      </c>
      <c r="N172" s="44" t="str">
        <f aca="false">INDEX(samples!$B:$B, MATCH(K172, samples!$A:$A, 0), 1)</f>
        <v>par0034</v>
      </c>
      <c r="O172" s="44" t="s">
        <v>609</v>
      </c>
      <c r="P172" s="8" t="s">
        <v>3880</v>
      </c>
      <c r="Q172" s="8" t="s">
        <v>36</v>
      </c>
      <c r="R172" s="33" t="s">
        <v>3881</v>
      </c>
      <c r="T172" s="8"/>
    </row>
    <row r="173" customFormat="false" ht="13.8" hidden="false" customHeight="false" outlineLevel="0" collapsed="false">
      <c r="A173" s="25" t="s">
        <v>4241</v>
      </c>
      <c r="B173" s="41" t="s">
        <v>3704</v>
      </c>
      <c r="C173" s="8" t="s">
        <v>3123</v>
      </c>
      <c r="D173" s="8" t="s">
        <v>3877</v>
      </c>
      <c r="E173" s="0" t="s">
        <v>3878</v>
      </c>
      <c r="F173" s="0" t="s">
        <v>4242</v>
      </c>
      <c r="G173" s="0" t="s">
        <v>4243</v>
      </c>
      <c r="H173" s="0" t="s">
        <v>427</v>
      </c>
      <c r="I173" s="0" t="s">
        <v>3891</v>
      </c>
      <c r="K173" s="44" t="str">
        <f aca="false">INDEX(libraries!$B:$B, MATCH(B173, libraries!$A:$A, 0), 1)</f>
        <v>sam0534</v>
      </c>
      <c r="L173" s="44" t="str">
        <f aca="false">INDEX(samples!$F:$F, MATCH(K173, samples!$A:$A, 0), 1)</f>
        <v>nf1_lib42</v>
      </c>
      <c r="M173" s="55" t="str">
        <f aca="false">INDEX(samples!$C:$C, MATCH(K173, samples!$A:$A, 0), 1)</f>
        <v>2023-11-23</v>
      </c>
      <c r="N173" s="44" t="str">
        <f aca="false">INDEX(samples!$B:$B, MATCH(K173, samples!$A:$A, 0), 1)</f>
        <v>par0249</v>
      </c>
      <c r="O173" s="44" t="s">
        <v>1276</v>
      </c>
      <c r="P173" s="8" t="s">
        <v>3880</v>
      </c>
      <c r="Q173" s="8" t="s">
        <v>4244</v>
      </c>
      <c r="R173" s="8" t="s">
        <v>3893</v>
      </c>
      <c r="T173" s="8"/>
    </row>
    <row r="174" customFormat="false" ht="13.8" hidden="false" customHeight="false" outlineLevel="0" collapsed="false">
      <c r="A174" s="25" t="s">
        <v>4245</v>
      </c>
      <c r="B174" s="41" t="s">
        <v>3224</v>
      </c>
      <c r="C174" s="8" t="s">
        <v>427</v>
      </c>
      <c r="D174" s="8" t="s">
        <v>3877</v>
      </c>
      <c r="E174" s="0" t="s">
        <v>3878</v>
      </c>
      <c r="F174" s="0" t="s">
        <v>427</v>
      </c>
      <c r="G174" s="0" t="s">
        <v>427</v>
      </c>
      <c r="H174" s="0" t="s">
        <v>427</v>
      </c>
      <c r="I174" s="0" t="s">
        <v>3879</v>
      </c>
      <c r="K174" s="44" t="str">
        <f aca="false">INDEX(libraries!$B:$B, MATCH(B174, libraries!$A:$A, 0), 1)</f>
        <v>sam0094</v>
      </c>
      <c r="L174" s="44" t="n">
        <f aca="false">INDEX(samples!$F:$F, MATCH(K174, samples!$A:$A, 0), 1)</f>
        <v>0</v>
      </c>
      <c r="M174" s="55" t="str">
        <f aca="false">INDEX(samples!$C:$C, MATCH(K174, samples!$A:$A, 0), 1)</f>
        <v>2019-02-25</v>
      </c>
      <c r="N174" s="44" t="str">
        <f aca="false">INDEX(samples!$B:$B, MATCH(K174, samples!$A:$A, 0), 1)</f>
        <v>par0129</v>
      </c>
      <c r="O174" s="44" t="s">
        <v>884</v>
      </c>
      <c r="P174" s="8" t="s">
        <v>3880</v>
      </c>
      <c r="Q174" s="8" t="s">
        <v>36</v>
      </c>
      <c r="R174" s="33" t="s">
        <v>3881</v>
      </c>
      <c r="T174" s="8"/>
    </row>
    <row r="175" customFormat="false" ht="13.8" hidden="false" customHeight="false" outlineLevel="0" collapsed="false">
      <c r="A175" s="25" t="s">
        <v>4246</v>
      </c>
      <c r="B175" s="41" t="s">
        <v>3256</v>
      </c>
      <c r="C175" s="8" t="s">
        <v>427</v>
      </c>
      <c r="D175" s="8" t="s">
        <v>3877</v>
      </c>
      <c r="E175" s="0" t="s">
        <v>3878</v>
      </c>
      <c r="F175" s="0" t="s">
        <v>427</v>
      </c>
      <c r="G175" s="0" t="s">
        <v>427</v>
      </c>
      <c r="H175" s="0" t="s">
        <v>427</v>
      </c>
      <c r="I175" s="0" t="s">
        <v>3879</v>
      </c>
      <c r="K175" s="44" t="str">
        <f aca="false">INDEX(libraries!$B:$B, MATCH(B175, libraries!$A:$A, 0), 1)</f>
        <v>sam0070</v>
      </c>
      <c r="L175" s="44" t="n">
        <f aca="false">INDEX(samples!$F:$F, MATCH(K175, samples!$A:$A, 0), 1)</f>
        <v>0</v>
      </c>
      <c r="M175" s="55" t="str">
        <f aca="false">INDEX(samples!$C:$C, MATCH(K175, samples!$A:$A, 0), 1)</f>
        <v>2018-11-14</v>
      </c>
      <c r="N175" s="44" t="str">
        <f aca="false">INDEX(samples!$B:$B, MATCH(K175, samples!$A:$A, 0), 1)</f>
        <v>par0010</v>
      </c>
      <c r="O175" s="44" t="s">
        <v>515</v>
      </c>
      <c r="P175" s="8" t="s">
        <v>3880</v>
      </c>
      <c r="Q175" s="8" t="s">
        <v>36</v>
      </c>
      <c r="R175" s="33" t="s">
        <v>3881</v>
      </c>
      <c r="T175" s="8"/>
    </row>
    <row r="176" customFormat="false" ht="13.8" hidden="false" customHeight="false" outlineLevel="0" collapsed="false">
      <c r="A176" s="25" t="s">
        <v>4247</v>
      </c>
      <c r="B176" s="41" t="s">
        <v>3705</v>
      </c>
      <c r="C176" s="8" t="s">
        <v>3123</v>
      </c>
      <c r="D176" s="8" t="s">
        <v>3877</v>
      </c>
      <c r="E176" s="0" t="s">
        <v>3878</v>
      </c>
      <c r="F176" s="0" t="s">
        <v>4248</v>
      </c>
      <c r="G176" s="0" t="s">
        <v>4249</v>
      </c>
      <c r="H176" s="0" t="s">
        <v>427</v>
      </c>
      <c r="I176" s="0" t="s">
        <v>3891</v>
      </c>
      <c r="K176" s="44" t="str">
        <f aca="false">INDEX(libraries!$B:$B, MATCH(B176, libraries!$A:$A, 0), 1)</f>
        <v>sam0535</v>
      </c>
      <c r="L176" s="44" t="str">
        <f aca="false">INDEX(samples!$F:$F, MATCH(K176, samples!$A:$A, 0), 1)</f>
        <v>nf1_lib43</v>
      </c>
      <c r="M176" s="55" t="str">
        <f aca="false">INDEX(samples!$C:$C, MATCH(K176, samples!$A:$A, 0), 1)</f>
        <v>2022-03-14</v>
      </c>
      <c r="N176" s="44" t="str">
        <f aca="false">INDEX(samples!$B:$B, MATCH(K176, samples!$A:$A, 0), 1)</f>
        <v>par0257</v>
      </c>
      <c r="O176" s="44" t="s">
        <v>1307</v>
      </c>
      <c r="P176" s="8" t="s">
        <v>3880</v>
      </c>
      <c r="Q176" s="8" t="s">
        <v>4250</v>
      </c>
      <c r="R176" s="8" t="s">
        <v>3893</v>
      </c>
      <c r="T176" s="8"/>
    </row>
    <row r="177" customFormat="false" ht="13.8" hidden="false" customHeight="false" outlineLevel="0" collapsed="false">
      <c r="A177" s="25" t="s">
        <v>4251</v>
      </c>
      <c r="B177" s="41" t="s">
        <v>3155</v>
      </c>
      <c r="C177" s="8" t="s">
        <v>427</v>
      </c>
      <c r="D177" s="8" t="s">
        <v>3877</v>
      </c>
      <c r="E177" s="0" t="s">
        <v>3878</v>
      </c>
      <c r="F177" s="0" t="s">
        <v>427</v>
      </c>
      <c r="G177" s="0" t="s">
        <v>427</v>
      </c>
      <c r="H177" s="0" t="s">
        <v>427</v>
      </c>
      <c r="I177" s="0" t="s">
        <v>3879</v>
      </c>
      <c r="K177" s="44" t="str">
        <f aca="false">INDEX(libraries!$B:$B, MATCH(B177, libraries!$A:$A, 0), 1)</f>
        <v>sam0071</v>
      </c>
      <c r="L177" s="44" t="n">
        <f aca="false">INDEX(samples!$F:$F, MATCH(K177, samples!$A:$A, 0), 1)</f>
        <v>0</v>
      </c>
      <c r="M177" s="55" t="str">
        <f aca="false">INDEX(samples!$C:$C, MATCH(K177, samples!$A:$A, 0), 1)</f>
        <v>2017-05-01</v>
      </c>
      <c r="N177" s="44" t="str">
        <f aca="false">INDEX(samples!$B:$B, MATCH(K177, samples!$A:$A, 0), 1)</f>
        <v>par0035</v>
      </c>
      <c r="O177" s="44" t="s">
        <v>612</v>
      </c>
      <c r="P177" s="8" t="s">
        <v>3880</v>
      </c>
      <c r="Q177" s="8" t="s">
        <v>36</v>
      </c>
      <c r="R177" s="33" t="s">
        <v>3881</v>
      </c>
      <c r="T177" s="8"/>
    </row>
    <row r="178" customFormat="false" ht="13.8" hidden="false" customHeight="false" outlineLevel="0" collapsed="false">
      <c r="A178" s="25" t="s">
        <v>4252</v>
      </c>
      <c r="B178" s="41" t="s">
        <v>3221</v>
      </c>
      <c r="C178" s="8" t="s">
        <v>427</v>
      </c>
      <c r="D178" s="8" t="s">
        <v>3877</v>
      </c>
      <c r="E178" s="0" t="s">
        <v>3878</v>
      </c>
      <c r="F178" s="0" t="s">
        <v>427</v>
      </c>
      <c r="G178" s="0" t="s">
        <v>427</v>
      </c>
      <c r="H178" s="0" t="s">
        <v>427</v>
      </c>
      <c r="I178" s="0" t="s">
        <v>3879</v>
      </c>
      <c r="K178" s="44" t="str">
        <f aca="false">INDEX(libraries!$B:$B, MATCH(B178, libraries!$A:$A, 0), 1)</f>
        <v>sam0042</v>
      </c>
      <c r="L178" s="44" t="n">
        <f aca="false">INDEX(samples!$F:$F, MATCH(K178, samples!$A:$A, 0), 1)</f>
        <v>0</v>
      </c>
      <c r="M178" s="55" t="str">
        <f aca="false">INDEX(samples!$C:$C, MATCH(K178, samples!$A:$A, 0), 1)</f>
        <v>GET</v>
      </c>
      <c r="N178" s="44" t="str">
        <f aca="false">INDEX(samples!$B:$B, MATCH(K178, samples!$A:$A, 0), 1)</f>
        <v>par0017</v>
      </c>
      <c r="O178" s="44" t="s">
        <v>545</v>
      </c>
      <c r="P178" s="8" t="s">
        <v>3880</v>
      </c>
      <c r="Q178" s="8" t="s">
        <v>36</v>
      </c>
      <c r="R178" s="33" t="s">
        <v>3881</v>
      </c>
      <c r="T178" s="8"/>
    </row>
    <row r="179" customFormat="false" ht="13.8" hidden="false" customHeight="false" outlineLevel="0" collapsed="false">
      <c r="A179" s="25" t="s">
        <v>4253</v>
      </c>
      <c r="B179" s="41" t="s">
        <v>3706</v>
      </c>
      <c r="C179" s="8" t="s">
        <v>3123</v>
      </c>
      <c r="D179" s="8" t="s">
        <v>3877</v>
      </c>
      <c r="E179" s="0" t="s">
        <v>3878</v>
      </c>
      <c r="F179" s="0" t="s">
        <v>4254</v>
      </c>
      <c r="G179" s="0" t="s">
        <v>4255</v>
      </c>
      <c r="H179" s="0" t="s">
        <v>427</v>
      </c>
      <c r="I179" s="0" t="s">
        <v>3891</v>
      </c>
      <c r="K179" s="44" t="str">
        <f aca="false">INDEX(libraries!$B:$B, MATCH(B179, libraries!$A:$A, 0), 1)</f>
        <v>sam0536</v>
      </c>
      <c r="L179" s="44" t="str">
        <f aca="false">INDEX(samples!$F:$F, MATCH(K179, samples!$A:$A, 0), 1)</f>
        <v>nf1_lib44</v>
      </c>
      <c r="M179" s="55" t="str">
        <f aca="false">INDEX(samples!$C:$C, MATCH(K179, samples!$A:$A, 0), 1)</f>
        <v>2023-06-27</v>
      </c>
      <c r="N179" s="44" t="str">
        <f aca="false">INDEX(samples!$B:$B, MATCH(K179, samples!$A:$A, 0), 1)</f>
        <v>par0257</v>
      </c>
      <c r="O179" s="44" t="s">
        <v>1307</v>
      </c>
      <c r="P179" s="8" t="s">
        <v>3880</v>
      </c>
      <c r="Q179" s="8" t="s">
        <v>4256</v>
      </c>
      <c r="R179" s="8" t="s">
        <v>3893</v>
      </c>
      <c r="T179" s="8"/>
    </row>
    <row r="180" customFormat="false" ht="13.8" hidden="false" customHeight="false" outlineLevel="0" collapsed="false">
      <c r="A180" s="25" t="s">
        <v>4257</v>
      </c>
      <c r="B180" s="41" t="s">
        <v>3169</v>
      </c>
      <c r="C180" s="8" t="s">
        <v>427</v>
      </c>
      <c r="D180" s="8" t="s">
        <v>3877</v>
      </c>
      <c r="E180" s="0" t="s">
        <v>3878</v>
      </c>
      <c r="F180" s="0" t="s">
        <v>427</v>
      </c>
      <c r="G180" s="0" t="s">
        <v>427</v>
      </c>
      <c r="H180" s="0" t="s">
        <v>427</v>
      </c>
      <c r="I180" s="0" t="s">
        <v>3879</v>
      </c>
      <c r="K180" s="44" t="str">
        <f aca="false">INDEX(libraries!$B:$B, MATCH(B180, libraries!$A:$A, 0), 1)</f>
        <v>sam0072</v>
      </c>
      <c r="L180" s="44" t="n">
        <f aca="false">INDEX(samples!$F:$F, MATCH(K180, samples!$A:$A, 0), 1)</f>
        <v>0</v>
      </c>
      <c r="M180" s="55" t="str">
        <f aca="false">INDEX(samples!$C:$C, MATCH(K180, samples!$A:$A, 0), 1)</f>
        <v>2018-02-06</v>
      </c>
      <c r="N180" s="44" t="str">
        <f aca="false">INDEX(samples!$B:$B, MATCH(K180, samples!$A:$A, 0), 1)</f>
        <v>par0035</v>
      </c>
      <c r="O180" s="44" t="s">
        <v>612</v>
      </c>
      <c r="P180" s="8" t="s">
        <v>3880</v>
      </c>
      <c r="Q180" s="8" t="s">
        <v>36</v>
      </c>
      <c r="R180" s="33" t="s">
        <v>3881</v>
      </c>
      <c r="T180" s="8"/>
    </row>
    <row r="181" customFormat="false" ht="13.8" hidden="false" customHeight="false" outlineLevel="0" collapsed="false">
      <c r="A181" s="25" t="s">
        <v>4258</v>
      </c>
      <c r="B181" s="41" t="s">
        <v>3707</v>
      </c>
      <c r="C181" s="8" t="s">
        <v>3123</v>
      </c>
      <c r="D181" s="8" t="s">
        <v>3877</v>
      </c>
      <c r="E181" s="0" t="s">
        <v>3878</v>
      </c>
      <c r="F181" s="0" t="s">
        <v>4259</v>
      </c>
      <c r="G181" s="0" t="s">
        <v>4260</v>
      </c>
      <c r="H181" s="0" t="s">
        <v>427</v>
      </c>
      <c r="I181" s="0" t="s">
        <v>3891</v>
      </c>
      <c r="K181" s="44" t="str">
        <f aca="false">INDEX(libraries!$B:$B, MATCH(B181, libraries!$A:$A, 0), 1)</f>
        <v>sam0537</v>
      </c>
      <c r="L181" s="44" t="str">
        <f aca="false">INDEX(samples!$F:$F, MATCH(K181, samples!$A:$A, 0), 1)</f>
        <v>nf1_lib45</v>
      </c>
      <c r="M181" s="55" t="str">
        <f aca="false">INDEX(samples!$C:$C, MATCH(K181, samples!$A:$A, 0), 1)</f>
        <v>2023-07-03</v>
      </c>
      <c r="N181" s="44" t="str">
        <f aca="false">INDEX(samples!$B:$B, MATCH(K181, samples!$A:$A, 0), 1)</f>
        <v>par0257</v>
      </c>
      <c r="O181" s="44" t="s">
        <v>1307</v>
      </c>
      <c r="P181" s="8" t="s">
        <v>3880</v>
      </c>
      <c r="Q181" s="8" t="s">
        <v>4261</v>
      </c>
      <c r="R181" s="8" t="s">
        <v>3893</v>
      </c>
      <c r="T181" s="8"/>
    </row>
    <row r="182" customFormat="false" ht="13.8" hidden="false" customHeight="false" outlineLevel="0" collapsed="false">
      <c r="A182" s="25" t="s">
        <v>4262</v>
      </c>
      <c r="B182" s="41" t="s">
        <v>3172</v>
      </c>
      <c r="C182" s="8" t="s">
        <v>427</v>
      </c>
      <c r="D182" s="8" t="s">
        <v>3877</v>
      </c>
      <c r="E182" s="0" t="s">
        <v>3878</v>
      </c>
      <c r="F182" s="0" t="s">
        <v>427</v>
      </c>
      <c r="G182" s="0" t="s">
        <v>427</v>
      </c>
      <c r="H182" s="0" t="s">
        <v>427</v>
      </c>
      <c r="I182" s="0" t="s">
        <v>3879</v>
      </c>
      <c r="K182" s="44" t="str">
        <f aca="false">INDEX(libraries!$B:$B, MATCH(B182, libraries!$A:$A, 0), 1)</f>
        <v>sam0075</v>
      </c>
      <c r="L182" s="44" t="n">
        <f aca="false">INDEX(samples!$F:$F, MATCH(K182, samples!$A:$A, 0), 1)</f>
        <v>0</v>
      </c>
      <c r="M182" s="55" t="str">
        <f aca="false">INDEX(samples!$C:$C, MATCH(K182, samples!$A:$A, 0), 1)</f>
        <v>2018-04-09</v>
      </c>
      <c r="N182" s="44" t="str">
        <f aca="false">INDEX(samples!$B:$B, MATCH(K182, samples!$A:$A, 0), 1)</f>
        <v>par0036</v>
      </c>
      <c r="O182" s="44" t="s">
        <v>616</v>
      </c>
      <c r="P182" s="8" t="s">
        <v>3880</v>
      </c>
      <c r="Q182" s="8" t="s">
        <v>36</v>
      </c>
      <c r="R182" s="33" t="s">
        <v>3881</v>
      </c>
      <c r="T182" s="8"/>
    </row>
    <row r="183" customFormat="false" ht="13.8" hidden="false" customHeight="false" outlineLevel="0" collapsed="false">
      <c r="A183" s="25" t="s">
        <v>4263</v>
      </c>
      <c r="B183" s="41" t="s">
        <v>3708</v>
      </c>
      <c r="C183" s="8" t="s">
        <v>3123</v>
      </c>
      <c r="D183" s="8" t="s">
        <v>3877</v>
      </c>
      <c r="E183" s="0" t="s">
        <v>3878</v>
      </c>
      <c r="F183" s="0" t="s">
        <v>4264</v>
      </c>
      <c r="G183" s="0" t="s">
        <v>4265</v>
      </c>
      <c r="H183" s="0" t="s">
        <v>427</v>
      </c>
      <c r="I183" s="0" t="s">
        <v>3891</v>
      </c>
      <c r="K183" s="44" t="str">
        <f aca="false">INDEX(libraries!$B:$B, MATCH(B183, libraries!$A:$A, 0), 1)</f>
        <v>sam0538</v>
      </c>
      <c r="L183" s="44" t="str">
        <f aca="false">INDEX(samples!$F:$F, MATCH(K183, samples!$A:$A, 0), 1)</f>
        <v>nf1_lib46</v>
      </c>
      <c r="M183" s="55" t="str">
        <f aca="false">INDEX(samples!$C:$C, MATCH(K183, samples!$A:$A, 0), 1)</f>
        <v>2022-11-15</v>
      </c>
      <c r="N183" s="44" t="str">
        <f aca="false">INDEX(samples!$B:$B, MATCH(K183, samples!$A:$A, 0), 1)</f>
        <v>par0294</v>
      </c>
      <c r="O183" s="44" t="s">
        <v>1431</v>
      </c>
      <c r="P183" s="8" t="s">
        <v>3880</v>
      </c>
      <c r="Q183" s="8" t="s">
        <v>4266</v>
      </c>
      <c r="R183" s="8" t="s">
        <v>3893</v>
      </c>
      <c r="T183" s="8"/>
    </row>
    <row r="184" customFormat="false" ht="13.8" hidden="false" customHeight="false" outlineLevel="0" collapsed="false">
      <c r="A184" s="25" t="s">
        <v>4267</v>
      </c>
      <c r="B184" s="41" t="s">
        <v>3189</v>
      </c>
      <c r="C184" s="8" t="s">
        <v>427</v>
      </c>
      <c r="D184" s="8" t="s">
        <v>3877</v>
      </c>
      <c r="E184" s="0" t="s">
        <v>3878</v>
      </c>
      <c r="F184" s="0" t="s">
        <v>427</v>
      </c>
      <c r="G184" s="0" t="s">
        <v>427</v>
      </c>
      <c r="H184" s="0" t="s">
        <v>427</v>
      </c>
      <c r="I184" s="0" t="s">
        <v>3879</v>
      </c>
      <c r="K184" s="44" t="str">
        <f aca="false">INDEX(libraries!$B:$B, MATCH(B184, libraries!$A:$A, 0), 1)</f>
        <v>sam0076</v>
      </c>
      <c r="L184" s="44" t="n">
        <f aca="false">INDEX(samples!$F:$F, MATCH(K184, samples!$A:$A, 0), 1)</f>
        <v>0</v>
      </c>
      <c r="M184" s="55" t="str">
        <f aca="false">INDEX(samples!$C:$C, MATCH(K184, samples!$A:$A, 0), 1)</f>
        <v>2018-10-01</v>
      </c>
      <c r="N184" s="44" t="str">
        <f aca="false">INDEX(samples!$B:$B, MATCH(K184, samples!$A:$A, 0), 1)</f>
        <v>par0036</v>
      </c>
      <c r="O184" s="44" t="s">
        <v>616</v>
      </c>
      <c r="P184" s="8" t="s">
        <v>3880</v>
      </c>
      <c r="Q184" s="8" t="s">
        <v>36</v>
      </c>
      <c r="R184" s="33" t="s">
        <v>3881</v>
      </c>
      <c r="T184" s="8"/>
    </row>
    <row r="185" customFormat="false" ht="13.8" hidden="false" customHeight="false" outlineLevel="0" collapsed="false">
      <c r="A185" s="25" t="s">
        <v>4268</v>
      </c>
      <c r="B185" s="41" t="s">
        <v>3709</v>
      </c>
      <c r="C185" s="8" t="s">
        <v>3123</v>
      </c>
      <c r="D185" s="8" t="s">
        <v>3877</v>
      </c>
      <c r="E185" s="0" t="s">
        <v>3878</v>
      </c>
      <c r="F185" s="0" t="s">
        <v>4269</v>
      </c>
      <c r="G185" s="0" t="s">
        <v>4270</v>
      </c>
      <c r="H185" s="0" t="s">
        <v>427</v>
      </c>
      <c r="I185" s="0" t="s">
        <v>3891</v>
      </c>
      <c r="K185" s="44" t="str">
        <f aca="false">INDEX(libraries!$B:$B, MATCH(B185, libraries!$A:$A, 0), 1)</f>
        <v>sam0539</v>
      </c>
      <c r="L185" s="44" t="str">
        <f aca="false">INDEX(samples!$F:$F, MATCH(K185, samples!$A:$A, 0), 1)</f>
        <v>nf1_lib47</v>
      </c>
      <c r="M185" s="55" t="str">
        <f aca="false">INDEX(samples!$C:$C, MATCH(K185, samples!$A:$A, 0), 1)</f>
        <v>2021-11-19</v>
      </c>
      <c r="N185" s="44" t="str">
        <f aca="false">INDEX(samples!$B:$B, MATCH(K185, samples!$A:$A, 0), 1)</f>
        <v>par0241</v>
      </c>
      <c r="O185" s="44" t="s">
        <v>1240</v>
      </c>
      <c r="P185" s="8" t="s">
        <v>3880</v>
      </c>
      <c r="Q185" s="8" t="s">
        <v>4271</v>
      </c>
      <c r="R185" s="8" t="s">
        <v>3893</v>
      </c>
      <c r="T185" s="8"/>
    </row>
    <row r="186" customFormat="false" ht="13.8" hidden="false" customHeight="false" outlineLevel="0" collapsed="false">
      <c r="A186" s="25" t="s">
        <v>4272</v>
      </c>
      <c r="B186" s="41" t="s">
        <v>3184</v>
      </c>
      <c r="C186" s="8" t="s">
        <v>427</v>
      </c>
      <c r="D186" s="8" t="s">
        <v>3877</v>
      </c>
      <c r="E186" s="0" t="s">
        <v>3878</v>
      </c>
      <c r="F186" s="0" t="s">
        <v>427</v>
      </c>
      <c r="G186" s="0" t="s">
        <v>427</v>
      </c>
      <c r="H186" s="0" t="s">
        <v>427</v>
      </c>
      <c r="I186" s="0" t="s">
        <v>3879</v>
      </c>
      <c r="K186" s="44" t="str">
        <f aca="false">INDEX(libraries!$B:$B, MATCH(B186, libraries!$A:$A, 0), 1)</f>
        <v>sam0077</v>
      </c>
      <c r="L186" s="44" t="n">
        <f aca="false">INDEX(samples!$F:$F, MATCH(K186, samples!$A:$A, 0), 1)</f>
        <v>0</v>
      </c>
      <c r="M186" s="55" t="str">
        <f aca="false">INDEX(samples!$C:$C, MATCH(K186, samples!$A:$A, 0), 1)</f>
        <v>2018-03-28</v>
      </c>
      <c r="N186" s="44" t="str">
        <f aca="false">INDEX(samples!$B:$B, MATCH(K186, samples!$A:$A, 0), 1)</f>
        <v>par0037</v>
      </c>
      <c r="O186" s="44" t="s">
        <v>619</v>
      </c>
      <c r="P186" s="8" t="s">
        <v>3880</v>
      </c>
      <c r="Q186" s="8" t="s">
        <v>36</v>
      </c>
      <c r="R186" s="33" t="s">
        <v>3881</v>
      </c>
      <c r="T186" s="8"/>
    </row>
    <row r="187" customFormat="false" ht="13.8" hidden="false" customHeight="false" outlineLevel="0" collapsed="false">
      <c r="A187" s="25" t="s">
        <v>4273</v>
      </c>
      <c r="B187" s="41" t="s">
        <v>3711</v>
      </c>
      <c r="C187" s="8" t="s">
        <v>3123</v>
      </c>
      <c r="D187" s="8" t="s">
        <v>3877</v>
      </c>
      <c r="E187" s="0" t="s">
        <v>3878</v>
      </c>
      <c r="F187" s="0" t="s">
        <v>4274</v>
      </c>
      <c r="G187" s="0" t="s">
        <v>4275</v>
      </c>
      <c r="H187" s="0" t="s">
        <v>427</v>
      </c>
      <c r="I187" s="0" t="s">
        <v>3891</v>
      </c>
      <c r="K187" s="44" t="str">
        <f aca="false">INDEX(libraries!$B:$B, MATCH(B187, libraries!$A:$A, 0), 1)</f>
        <v>sam0540</v>
      </c>
      <c r="L187" s="44" t="str">
        <f aca="false">INDEX(samples!$F:$F, MATCH(K187, samples!$A:$A, 0), 1)</f>
        <v>nf1_lib48</v>
      </c>
      <c r="M187" s="55" t="str">
        <f aca="false">INDEX(samples!$C:$C, MATCH(K187, samples!$A:$A, 0), 1)</f>
        <v>2022-07-26</v>
      </c>
      <c r="N187" s="44" t="str">
        <f aca="false">INDEX(samples!$B:$B, MATCH(K187, samples!$A:$A, 0), 1)</f>
        <v>par0241</v>
      </c>
      <c r="O187" s="44" t="s">
        <v>1240</v>
      </c>
      <c r="P187" s="8" t="s">
        <v>3880</v>
      </c>
      <c r="Q187" s="8" t="s">
        <v>4276</v>
      </c>
      <c r="R187" s="8" t="s">
        <v>3893</v>
      </c>
      <c r="T187" s="8"/>
    </row>
    <row r="188" customFormat="false" ht="13.8" hidden="false" customHeight="false" outlineLevel="0" collapsed="false">
      <c r="A188" s="25" t="s">
        <v>4277</v>
      </c>
      <c r="B188" s="41" t="s">
        <v>3177</v>
      </c>
      <c r="C188" s="8" t="s">
        <v>427</v>
      </c>
      <c r="D188" s="8" t="s">
        <v>3877</v>
      </c>
      <c r="E188" s="0" t="s">
        <v>3878</v>
      </c>
      <c r="F188" s="0" t="s">
        <v>427</v>
      </c>
      <c r="G188" s="0" t="s">
        <v>427</v>
      </c>
      <c r="H188" s="0" t="s">
        <v>427</v>
      </c>
      <c r="I188" s="0" t="s">
        <v>3879</v>
      </c>
      <c r="K188" s="44" t="str">
        <f aca="false">INDEX(libraries!$B:$B, MATCH(B188, libraries!$A:$A, 0), 1)</f>
        <v>sam0078</v>
      </c>
      <c r="L188" s="44" t="n">
        <f aca="false">INDEX(samples!$F:$F, MATCH(K188, samples!$A:$A, 0), 1)</f>
        <v>0</v>
      </c>
      <c r="M188" s="55" t="str">
        <f aca="false">INDEX(samples!$C:$C, MATCH(K188, samples!$A:$A, 0), 1)</f>
        <v>2018-05-21</v>
      </c>
      <c r="N188" s="44" t="str">
        <f aca="false">INDEX(samples!$B:$B, MATCH(K188, samples!$A:$A, 0), 1)</f>
        <v>par0038</v>
      </c>
      <c r="O188" s="44" t="s">
        <v>622</v>
      </c>
      <c r="P188" s="8" t="s">
        <v>3880</v>
      </c>
      <c r="Q188" s="8" t="s">
        <v>36</v>
      </c>
      <c r="R188" s="33" t="s">
        <v>3881</v>
      </c>
      <c r="T188" s="8"/>
    </row>
    <row r="189" customFormat="false" ht="13.8" hidden="false" customHeight="false" outlineLevel="0" collapsed="false">
      <c r="A189" s="25" t="s">
        <v>4278</v>
      </c>
      <c r="B189" s="41" t="s">
        <v>3712</v>
      </c>
      <c r="C189" s="8" t="s">
        <v>3123</v>
      </c>
      <c r="D189" s="8" t="s">
        <v>3877</v>
      </c>
      <c r="E189" s="0" t="s">
        <v>3878</v>
      </c>
      <c r="F189" s="0" t="s">
        <v>4279</v>
      </c>
      <c r="G189" s="0" t="s">
        <v>4280</v>
      </c>
      <c r="H189" s="0" t="s">
        <v>427</v>
      </c>
      <c r="I189" s="0" t="s">
        <v>3891</v>
      </c>
      <c r="K189" s="44" t="str">
        <f aca="false">INDEX(libraries!$B:$B, MATCH(B189, libraries!$A:$A, 0), 1)</f>
        <v>sam0541</v>
      </c>
      <c r="L189" s="44" t="str">
        <f aca="false">INDEX(samples!$F:$F, MATCH(K189, samples!$A:$A, 0), 1)</f>
        <v>nf1_lib49</v>
      </c>
      <c r="M189" s="55" t="str">
        <f aca="false">INDEX(samples!$C:$C, MATCH(K189, samples!$A:$A, 0), 1)</f>
        <v>2022-04-19</v>
      </c>
      <c r="N189" s="44" t="str">
        <f aca="false">INDEX(samples!$B:$B, MATCH(K189, samples!$A:$A, 0), 1)</f>
        <v>par0202</v>
      </c>
      <c r="O189" s="44" t="s">
        <v>1086</v>
      </c>
      <c r="P189" s="8" t="s">
        <v>3880</v>
      </c>
      <c r="Q189" s="8" t="s">
        <v>4281</v>
      </c>
      <c r="R189" s="8" t="s">
        <v>3893</v>
      </c>
      <c r="T189" s="8"/>
    </row>
    <row r="190" customFormat="false" ht="13.8" hidden="false" customHeight="false" outlineLevel="0" collapsed="false">
      <c r="A190" s="25" t="s">
        <v>4282</v>
      </c>
      <c r="B190" s="41" t="s">
        <v>3239</v>
      </c>
      <c r="C190" s="8" t="s">
        <v>427</v>
      </c>
      <c r="D190" s="8" t="s">
        <v>3877</v>
      </c>
      <c r="E190" s="0" t="s">
        <v>3878</v>
      </c>
      <c r="F190" s="0" t="s">
        <v>427</v>
      </c>
      <c r="G190" s="0" t="s">
        <v>427</v>
      </c>
      <c r="H190" s="0" t="s">
        <v>427</v>
      </c>
      <c r="I190" s="0" t="s">
        <v>3879</v>
      </c>
      <c r="K190" s="44" t="str">
        <f aca="false">INDEX(libraries!$B:$B, MATCH(B190, libraries!$A:$A, 0), 1)</f>
        <v>sam0017</v>
      </c>
      <c r="L190" s="44" t="n">
        <f aca="false">INDEX(samples!$F:$F, MATCH(K190, samples!$A:$A, 0), 1)</f>
        <v>0</v>
      </c>
      <c r="M190" s="55" t="str">
        <f aca="false">INDEX(samples!$C:$C, MATCH(K190, samples!$A:$A, 0), 1)</f>
        <v>UNK</v>
      </c>
      <c r="N190" s="44" t="str">
        <f aca="false">INDEX(samples!$B:$B, MATCH(K190, samples!$A:$A, 0), 1)</f>
        <v>par0119</v>
      </c>
      <c r="O190" s="44" t="s">
        <v>856</v>
      </c>
      <c r="P190" s="8" t="s">
        <v>3880</v>
      </c>
      <c r="Q190" s="8" t="s">
        <v>36</v>
      </c>
      <c r="R190" s="33" t="s">
        <v>3881</v>
      </c>
      <c r="T190" s="8"/>
    </row>
    <row r="191" customFormat="false" ht="13.8" hidden="false" customHeight="false" outlineLevel="0" collapsed="false">
      <c r="A191" s="25" t="s">
        <v>4283</v>
      </c>
      <c r="B191" s="53" t="s">
        <v>3651</v>
      </c>
      <c r="C191" s="33" t="s">
        <v>3107</v>
      </c>
      <c r="D191" s="33" t="s">
        <v>3877</v>
      </c>
      <c r="E191" s="0" t="s">
        <v>3878</v>
      </c>
      <c r="F191" s="0" t="s">
        <v>4284</v>
      </c>
      <c r="G191" s="0" t="s">
        <v>4285</v>
      </c>
      <c r="H191" s="0" t="s">
        <v>427</v>
      </c>
      <c r="I191" s="0" t="s">
        <v>4286</v>
      </c>
      <c r="K191" s="44" t="str">
        <f aca="false">INDEX(libraries!$B:$B, MATCH(B191, libraries!$A:$A, 0), 1)</f>
        <v>sam0481</v>
      </c>
      <c r="L191" s="44" t="str">
        <f aca="false">INDEX(samples!$F:$F, MATCH(K191, samples!$A:$A, 0), 1)</f>
        <v>emseq_05</v>
      </c>
      <c r="M191" s="55" t="str">
        <f aca="false">INDEX(samples!$C:$C, MATCH(K191, samples!$A:$A, 0), 1)</f>
        <v>GET</v>
      </c>
      <c r="N191" s="44" t="str">
        <f aca="false">INDEX(samples!$B:$B, MATCH(K191, samples!$A:$A, 0), 1)</f>
        <v>par0291</v>
      </c>
      <c r="O191" s="44" t="s">
        <v>1422</v>
      </c>
      <c r="P191" s="8" t="s">
        <v>3880</v>
      </c>
      <c r="Q191" s="8" t="s">
        <v>36</v>
      </c>
      <c r="R191" s="8" t="s">
        <v>3893</v>
      </c>
      <c r="T191" s="8"/>
    </row>
    <row r="192" customFormat="false" ht="13.8" hidden="false" customHeight="false" outlineLevel="0" collapsed="false">
      <c r="A192" s="25" t="s">
        <v>4287</v>
      </c>
      <c r="B192" s="41" t="s">
        <v>3255</v>
      </c>
      <c r="C192" s="8" t="s">
        <v>427</v>
      </c>
      <c r="D192" s="8" t="s">
        <v>3877</v>
      </c>
      <c r="E192" s="0" t="s">
        <v>3878</v>
      </c>
      <c r="F192" s="0" t="s">
        <v>427</v>
      </c>
      <c r="G192" s="0" t="s">
        <v>427</v>
      </c>
      <c r="H192" s="0" t="s">
        <v>427</v>
      </c>
      <c r="I192" s="0" t="s">
        <v>3879</v>
      </c>
      <c r="K192" s="44" t="str">
        <f aca="false">INDEX(libraries!$B:$B, MATCH(B192, libraries!$A:$A, 0), 1)</f>
        <v>sam0032</v>
      </c>
      <c r="L192" s="44" t="n">
        <f aca="false">INDEX(samples!$F:$F, MATCH(K192, samples!$A:$A, 0), 1)</f>
        <v>0</v>
      </c>
      <c r="M192" s="55" t="str">
        <f aca="false">INDEX(samples!$C:$C, MATCH(K192, samples!$A:$A, 0), 1)</f>
        <v>2019-07-26</v>
      </c>
      <c r="N192" s="44" t="str">
        <f aca="false">INDEX(samples!$B:$B, MATCH(K192, samples!$A:$A, 0), 1)</f>
        <v>par0124</v>
      </c>
      <c r="O192" s="44" t="s">
        <v>871</v>
      </c>
      <c r="P192" s="8" t="s">
        <v>3880</v>
      </c>
      <c r="Q192" s="8" t="s">
        <v>36</v>
      </c>
      <c r="R192" s="33" t="s">
        <v>3881</v>
      </c>
      <c r="T192" s="8"/>
    </row>
    <row r="193" customFormat="false" ht="13.8" hidden="false" customHeight="false" outlineLevel="0" collapsed="false">
      <c r="A193" s="25" t="s">
        <v>4288</v>
      </c>
      <c r="B193" s="41" t="s">
        <v>3375</v>
      </c>
      <c r="C193" s="8" t="s">
        <v>427</v>
      </c>
      <c r="D193" s="8" t="s">
        <v>3877</v>
      </c>
      <c r="E193" s="0" t="s">
        <v>3878</v>
      </c>
      <c r="F193" s="0" t="s">
        <v>427</v>
      </c>
      <c r="G193" s="0" t="s">
        <v>427</v>
      </c>
      <c r="H193" s="0" t="s">
        <v>427</v>
      </c>
      <c r="I193" s="0" t="s">
        <v>3879</v>
      </c>
      <c r="K193" s="44" t="str">
        <f aca="false">INDEX(libraries!$B:$B, MATCH(B193, libraries!$A:$A, 0), 1)</f>
        <v>sam0235</v>
      </c>
      <c r="L193" s="44" t="n">
        <f aca="false">INDEX(samples!$F:$F, MATCH(K193, samples!$A:$A, 0), 1)</f>
        <v>0</v>
      </c>
      <c r="M193" s="55" t="str">
        <f aca="false">INDEX(samples!$C:$C, MATCH(K193, samples!$A:$A, 0), 1)</f>
        <v>2019-11-14</v>
      </c>
      <c r="N193" s="44" t="str">
        <f aca="false">INDEX(samples!$B:$B, MATCH(K193, samples!$A:$A, 0), 1)</f>
        <v>par0011</v>
      </c>
      <c r="O193" s="44" t="s">
        <v>520</v>
      </c>
      <c r="P193" s="8" t="s">
        <v>3880</v>
      </c>
      <c r="Q193" s="8" t="s">
        <v>36</v>
      </c>
      <c r="R193" s="33" t="s">
        <v>3881</v>
      </c>
      <c r="T193" s="8"/>
    </row>
    <row r="194" customFormat="false" ht="13.8" hidden="false" customHeight="false" outlineLevel="0" collapsed="false">
      <c r="A194" s="25" t="s">
        <v>4289</v>
      </c>
      <c r="B194" s="41" t="s">
        <v>3667</v>
      </c>
      <c r="C194" s="8" t="s">
        <v>3123</v>
      </c>
      <c r="D194" s="8" t="s">
        <v>3877</v>
      </c>
      <c r="E194" s="0" t="s">
        <v>3878</v>
      </c>
      <c r="F194" s="0" t="s">
        <v>4290</v>
      </c>
      <c r="G194" s="0" t="s">
        <v>4291</v>
      </c>
      <c r="H194" s="0" t="s">
        <v>427</v>
      </c>
      <c r="I194" s="0" t="s">
        <v>3891</v>
      </c>
      <c r="K194" s="44" t="str">
        <f aca="false">INDEX(libraries!$B:$B, MATCH(B194, libraries!$A:$A, 0), 1)</f>
        <v>sam0497</v>
      </c>
      <c r="L194" s="44" t="str">
        <f aca="false">INDEX(samples!$F:$F, MATCH(K194, samples!$A:$A, 0), 1)</f>
        <v>nf1_lib5</v>
      </c>
      <c r="M194" s="55" t="str">
        <f aca="false">INDEX(samples!$C:$C, MATCH(K194, samples!$A:$A, 0), 1)</f>
        <v>2023-07-25</v>
      </c>
      <c r="N194" s="44" t="str">
        <f aca="false">INDEX(samples!$B:$B, MATCH(K194, samples!$A:$A, 0), 1)</f>
        <v>par0294</v>
      </c>
      <c r="O194" s="44" t="s">
        <v>1431</v>
      </c>
      <c r="P194" s="8" t="s">
        <v>3880</v>
      </c>
      <c r="Q194" s="8" t="s">
        <v>4292</v>
      </c>
      <c r="R194" s="8" t="s">
        <v>3893</v>
      </c>
      <c r="T194" s="8"/>
    </row>
    <row r="195" customFormat="false" ht="13.8" hidden="false" customHeight="false" outlineLevel="0" collapsed="false">
      <c r="A195" s="25" t="s">
        <v>4293</v>
      </c>
      <c r="B195" s="41" t="s">
        <v>3544</v>
      </c>
      <c r="C195" s="8" t="s">
        <v>3118</v>
      </c>
      <c r="D195" s="8" t="s">
        <v>427</v>
      </c>
      <c r="E195" s="0" t="s">
        <v>427</v>
      </c>
      <c r="F195" s="0" t="s">
        <v>427</v>
      </c>
      <c r="G195" s="0" t="s">
        <v>427</v>
      </c>
      <c r="H195" s="0" t="s">
        <v>427</v>
      </c>
      <c r="I195" s="0" t="s">
        <v>3895</v>
      </c>
      <c r="K195" s="44" t="str">
        <f aca="false">INDEX(libraries!$B:$B, MATCH(B195, libraries!$A:$A, 0), 1)</f>
        <v>sam0347</v>
      </c>
      <c r="L195" s="44" t="n">
        <f aca="false">INDEX(samples!$F:$F, MATCH(K195, samples!$A:$A, 0), 1)</f>
        <v>0</v>
      </c>
      <c r="M195" s="55" t="str">
        <f aca="false">INDEX(samples!$C:$C, MATCH(K195, samples!$A:$A, 0), 1)</f>
        <v>2020-11-03</v>
      </c>
      <c r="N195" s="44" t="str">
        <f aca="false">INDEX(samples!$B:$B, MATCH(K195, samples!$A:$A, 0), 1)</f>
        <v>par0234</v>
      </c>
      <c r="O195" s="44" t="s">
        <v>1219</v>
      </c>
      <c r="P195" s="8" t="s">
        <v>427</v>
      </c>
      <c r="Q195" s="8" t="s">
        <v>36</v>
      </c>
      <c r="R195" s="33" t="s">
        <v>3881</v>
      </c>
      <c r="T195" s="8"/>
    </row>
    <row r="196" customFormat="false" ht="13.8" hidden="false" customHeight="false" outlineLevel="0" collapsed="false">
      <c r="A196" s="25" t="s">
        <v>4294</v>
      </c>
      <c r="B196" s="41" t="s">
        <v>3181</v>
      </c>
      <c r="C196" s="8" t="s">
        <v>427</v>
      </c>
      <c r="D196" s="8" t="s">
        <v>3877</v>
      </c>
      <c r="E196" s="0" t="s">
        <v>3878</v>
      </c>
      <c r="F196" s="0" t="s">
        <v>427</v>
      </c>
      <c r="G196" s="0" t="s">
        <v>427</v>
      </c>
      <c r="H196" s="0" t="s">
        <v>427</v>
      </c>
      <c r="I196" s="0" t="s">
        <v>3879</v>
      </c>
      <c r="K196" s="44" t="str">
        <f aca="false">INDEX(libraries!$B:$B, MATCH(B196, libraries!$A:$A, 0), 1)</f>
        <v>sam0079</v>
      </c>
      <c r="L196" s="44" t="n">
        <f aca="false">INDEX(samples!$F:$F, MATCH(K196, samples!$A:$A, 0), 1)</f>
        <v>0</v>
      </c>
      <c r="M196" s="55" t="str">
        <f aca="false">INDEX(samples!$C:$C, MATCH(K196, samples!$A:$A, 0), 1)</f>
        <v>2018-05-24</v>
      </c>
      <c r="N196" s="44" t="str">
        <f aca="false">INDEX(samples!$B:$B, MATCH(K196, samples!$A:$A, 0), 1)</f>
        <v>par0039</v>
      </c>
      <c r="O196" s="44" t="s">
        <v>625</v>
      </c>
      <c r="P196" s="8" t="s">
        <v>3880</v>
      </c>
      <c r="Q196" s="8" t="s">
        <v>36</v>
      </c>
      <c r="R196" s="33" t="s">
        <v>3881</v>
      </c>
      <c r="T196" s="8"/>
    </row>
    <row r="197" customFormat="false" ht="13.8" hidden="false" customHeight="false" outlineLevel="0" collapsed="false">
      <c r="A197" s="25" t="s">
        <v>4295</v>
      </c>
      <c r="B197" s="41" t="s">
        <v>3713</v>
      </c>
      <c r="C197" s="8" t="s">
        <v>3123</v>
      </c>
      <c r="D197" s="8" t="s">
        <v>3877</v>
      </c>
      <c r="E197" s="0" t="s">
        <v>3878</v>
      </c>
      <c r="F197" s="0" t="s">
        <v>4296</v>
      </c>
      <c r="G197" s="0" t="s">
        <v>4297</v>
      </c>
      <c r="H197" s="0" t="s">
        <v>427</v>
      </c>
      <c r="I197" s="0" t="s">
        <v>3891</v>
      </c>
      <c r="K197" s="44" t="str">
        <f aca="false">INDEX(libraries!$B:$B, MATCH(B197, libraries!$A:$A, 0), 1)</f>
        <v>sam0542</v>
      </c>
      <c r="L197" s="44" t="str">
        <f aca="false">INDEX(samples!$F:$F, MATCH(K197, samples!$A:$A, 0), 1)</f>
        <v>nf1_lib50</v>
      </c>
      <c r="M197" s="55" t="str">
        <f aca="false">INDEX(samples!$C:$C, MATCH(K197, samples!$A:$A, 0), 1)</f>
        <v>2022-07-19</v>
      </c>
      <c r="N197" s="44" t="str">
        <f aca="false">INDEX(samples!$B:$B, MATCH(K197, samples!$A:$A, 0), 1)</f>
        <v>par0202</v>
      </c>
      <c r="O197" s="44" t="s">
        <v>1086</v>
      </c>
      <c r="P197" s="8" t="s">
        <v>3880</v>
      </c>
      <c r="Q197" s="8" t="s">
        <v>4298</v>
      </c>
      <c r="R197" s="8" t="s">
        <v>3893</v>
      </c>
      <c r="T197" s="8"/>
    </row>
    <row r="198" customFormat="false" ht="13.8" hidden="false" customHeight="false" outlineLevel="0" collapsed="false">
      <c r="A198" s="25" t="s">
        <v>4299</v>
      </c>
      <c r="B198" s="41" t="s">
        <v>3154</v>
      </c>
      <c r="C198" s="8" t="s">
        <v>427</v>
      </c>
      <c r="D198" s="8" t="s">
        <v>3877</v>
      </c>
      <c r="E198" s="0" t="s">
        <v>3878</v>
      </c>
      <c r="F198" s="0" t="s">
        <v>427</v>
      </c>
      <c r="G198" s="0" t="s">
        <v>427</v>
      </c>
      <c r="H198" s="0" t="s">
        <v>427</v>
      </c>
      <c r="I198" s="0" t="s">
        <v>3879</v>
      </c>
      <c r="K198" s="44" t="str">
        <f aca="false">INDEX(libraries!$B:$B, MATCH(B198, libraries!$A:$A, 0), 1)</f>
        <v>sam0080</v>
      </c>
      <c r="L198" s="44" t="n">
        <f aca="false">INDEX(samples!$F:$F, MATCH(K198, samples!$A:$A, 0), 1)</f>
        <v>0</v>
      </c>
      <c r="M198" s="55" t="str">
        <f aca="false">INDEX(samples!$C:$C, MATCH(K198, samples!$A:$A, 0), 1)</f>
        <v>2018-05-21</v>
      </c>
      <c r="N198" s="44" t="str">
        <f aca="false">INDEX(samples!$B:$B, MATCH(K198, samples!$A:$A, 0), 1)</f>
        <v>par0040</v>
      </c>
      <c r="O198" s="44" t="s">
        <v>629</v>
      </c>
      <c r="P198" s="8" t="s">
        <v>3880</v>
      </c>
      <c r="Q198" s="8" t="s">
        <v>36</v>
      </c>
      <c r="R198" s="33" t="s">
        <v>3881</v>
      </c>
      <c r="T198" s="8"/>
    </row>
    <row r="199" customFormat="false" ht="13.8" hidden="false" customHeight="false" outlineLevel="0" collapsed="false">
      <c r="A199" s="25" t="s">
        <v>4300</v>
      </c>
      <c r="B199" s="41" t="s">
        <v>3714</v>
      </c>
      <c r="C199" s="8" t="s">
        <v>3123</v>
      </c>
      <c r="D199" s="8" t="s">
        <v>3877</v>
      </c>
      <c r="E199" s="0" t="s">
        <v>3878</v>
      </c>
      <c r="F199" s="0" t="s">
        <v>4301</v>
      </c>
      <c r="G199" s="0" t="s">
        <v>4302</v>
      </c>
      <c r="H199" s="0" t="s">
        <v>427</v>
      </c>
      <c r="I199" s="0" t="s">
        <v>3891</v>
      </c>
      <c r="K199" s="44" t="str">
        <f aca="false">INDEX(libraries!$B:$B, MATCH(B199, libraries!$A:$A, 0), 1)</f>
        <v>sam0543</v>
      </c>
      <c r="L199" s="44" t="str">
        <f aca="false">INDEX(samples!$F:$F, MATCH(K199, samples!$A:$A, 0), 1)</f>
        <v>nf1_lib51</v>
      </c>
      <c r="M199" s="55" t="str">
        <f aca="false">INDEX(samples!$C:$C, MATCH(K199, samples!$A:$A, 0), 1)</f>
        <v>2023-01-17</v>
      </c>
      <c r="N199" s="44" t="str">
        <f aca="false">INDEX(samples!$B:$B, MATCH(K199, samples!$A:$A, 0), 1)</f>
        <v>par0202</v>
      </c>
      <c r="O199" s="44" t="s">
        <v>1086</v>
      </c>
      <c r="P199" s="8" t="s">
        <v>3880</v>
      </c>
      <c r="Q199" s="8" t="s">
        <v>4303</v>
      </c>
      <c r="R199" s="8" t="s">
        <v>3893</v>
      </c>
      <c r="T199" s="8"/>
    </row>
    <row r="200" customFormat="false" ht="13.8" hidden="false" customHeight="false" outlineLevel="0" collapsed="false">
      <c r="A200" s="25" t="s">
        <v>4304</v>
      </c>
      <c r="B200" s="41" t="s">
        <v>3780</v>
      </c>
      <c r="C200" s="33" t="s">
        <v>3110</v>
      </c>
      <c r="D200" s="33" t="s">
        <v>3877</v>
      </c>
      <c r="E200" s="0" t="s">
        <v>4088</v>
      </c>
      <c r="F200" s="0" t="s">
        <v>427</v>
      </c>
      <c r="G200" s="0" t="s">
        <v>427</v>
      </c>
      <c r="H200" s="0" t="s">
        <v>4089</v>
      </c>
      <c r="I200" s="0" t="s">
        <v>4090</v>
      </c>
      <c r="K200" s="44" t="str">
        <f aca="false">INDEX(libraries!$B:$B, MATCH(B200, libraries!$A:$A, 0), 1)</f>
        <v>sam0607</v>
      </c>
      <c r="L200" s="44" t="n">
        <f aca="false">INDEX(samples!$F:$F, MATCH(K200, samples!$A:$A, 0), 1)</f>
        <v>0</v>
      </c>
      <c r="M200" s="55" t="str">
        <f aca="false">INDEX(samples!$C:$C, MATCH(K200, samples!$A:$A, 0), 1)</f>
        <v>1899-12-30</v>
      </c>
      <c r="N200" s="44" t="str">
        <f aca="false">INDEX(samples!$B:$B, MATCH(K200, samples!$A:$A, 0), 1)</f>
        <v>par0090</v>
      </c>
      <c r="P200" s="0" t="s">
        <v>3880</v>
      </c>
      <c r="T200" s="8"/>
    </row>
    <row r="201" customFormat="false" ht="13.8" hidden="false" customHeight="false" outlineLevel="0" collapsed="false">
      <c r="A201" s="25" t="s">
        <v>4305</v>
      </c>
      <c r="B201" s="41" t="s">
        <v>3780</v>
      </c>
      <c r="C201" s="33" t="s">
        <v>3110</v>
      </c>
      <c r="D201" s="33" t="s">
        <v>3877</v>
      </c>
      <c r="E201" s="0" t="s">
        <v>4088</v>
      </c>
      <c r="F201" s="0" t="s">
        <v>427</v>
      </c>
      <c r="G201" s="0" t="s">
        <v>427</v>
      </c>
      <c r="H201" s="0" t="s">
        <v>4089</v>
      </c>
      <c r="I201" s="0" t="s">
        <v>4090</v>
      </c>
      <c r="K201" s="44" t="str">
        <f aca="false">INDEX(libraries!$B:$B, MATCH(B201, libraries!$A:$A, 0), 1)</f>
        <v>sam0607</v>
      </c>
      <c r="L201" s="44" t="n">
        <f aca="false">INDEX(samples!$F:$F, MATCH(K201, samples!$A:$A, 0), 1)</f>
        <v>0</v>
      </c>
      <c r="M201" s="55" t="str">
        <f aca="false">INDEX(samples!$C:$C, MATCH(K201, samples!$A:$A, 0), 1)</f>
        <v>1899-12-30</v>
      </c>
      <c r="N201" s="44" t="str">
        <f aca="false">INDEX(samples!$B:$B, MATCH(K201, samples!$A:$A, 0), 1)</f>
        <v>par0090</v>
      </c>
      <c r="P201" s="0" t="s">
        <v>3880</v>
      </c>
      <c r="T201" s="8"/>
    </row>
    <row r="202" customFormat="false" ht="13.8" hidden="false" customHeight="false" outlineLevel="0" collapsed="false">
      <c r="A202" s="25" t="s">
        <v>4306</v>
      </c>
      <c r="B202" s="41" t="s">
        <v>3780</v>
      </c>
      <c r="C202" s="33" t="s">
        <v>3110</v>
      </c>
      <c r="D202" s="33" t="s">
        <v>3877</v>
      </c>
      <c r="E202" s="0" t="s">
        <v>4088</v>
      </c>
      <c r="F202" s="0" t="s">
        <v>427</v>
      </c>
      <c r="G202" s="0" t="s">
        <v>427</v>
      </c>
      <c r="H202" s="0" t="s">
        <v>4089</v>
      </c>
      <c r="I202" s="0" t="s">
        <v>4090</v>
      </c>
      <c r="K202" s="44" t="str">
        <f aca="false">INDEX(libraries!$B:$B, MATCH(B202, libraries!$A:$A, 0), 1)</f>
        <v>sam0607</v>
      </c>
      <c r="L202" s="44" t="n">
        <f aca="false">INDEX(samples!$F:$F, MATCH(K202, samples!$A:$A, 0), 1)</f>
        <v>0</v>
      </c>
      <c r="M202" s="55" t="str">
        <f aca="false">INDEX(samples!$C:$C, MATCH(K202, samples!$A:$A, 0), 1)</f>
        <v>1899-12-30</v>
      </c>
      <c r="N202" s="44" t="str">
        <f aca="false">INDEX(samples!$B:$B, MATCH(K202, samples!$A:$A, 0), 1)</f>
        <v>par0090</v>
      </c>
      <c r="P202" s="0" t="s">
        <v>3880</v>
      </c>
      <c r="T202" s="8"/>
    </row>
    <row r="203" customFormat="false" ht="13.8" hidden="false" customHeight="false" outlineLevel="0" collapsed="false">
      <c r="A203" s="25" t="s">
        <v>4307</v>
      </c>
      <c r="B203" s="41" t="s">
        <v>3780</v>
      </c>
      <c r="C203" s="33" t="s">
        <v>3110</v>
      </c>
      <c r="D203" s="33" t="s">
        <v>3877</v>
      </c>
      <c r="E203" s="0" t="s">
        <v>4088</v>
      </c>
      <c r="F203" s="0" t="s">
        <v>427</v>
      </c>
      <c r="G203" s="0" t="s">
        <v>427</v>
      </c>
      <c r="H203" s="0" t="s">
        <v>4089</v>
      </c>
      <c r="I203" s="0" t="s">
        <v>4090</v>
      </c>
      <c r="K203" s="44" t="str">
        <f aca="false">INDEX(libraries!$B:$B, MATCH(B203, libraries!$A:$A, 0), 1)</f>
        <v>sam0607</v>
      </c>
      <c r="L203" s="44" t="n">
        <f aca="false">INDEX(samples!$F:$F, MATCH(K203, samples!$A:$A, 0), 1)</f>
        <v>0</v>
      </c>
      <c r="M203" s="55" t="str">
        <f aca="false">INDEX(samples!$C:$C, MATCH(K203, samples!$A:$A, 0), 1)</f>
        <v>1899-12-30</v>
      </c>
      <c r="N203" s="44" t="str">
        <f aca="false">INDEX(samples!$B:$B, MATCH(K203, samples!$A:$A, 0), 1)</f>
        <v>par0090</v>
      </c>
      <c r="P203" s="0" t="s">
        <v>3880</v>
      </c>
      <c r="T203" s="8"/>
    </row>
    <row r="204" customFormat="false" ht="13.8" hidden="false" customHeight="false" outlineLevel="0" collapsed="false">
      <c r="A204" s="25" t="s">
        <v>4308</v>
      </c>
      <c r="B204" s="41" t="s">
        <v>3182</v>
      </c>
      <c r="C204" s="8" t="s">
        <v>427</v>
      </c>
      <c r="D204" s="8" t="s">
        <v>3877</v>
      </c>
      <c r="E204" s="0" t="s">
        <v>3878</v>
      </c>
      <c r="F204" s="0" t="s">
        <v>427</v>
      </c>
      <c r="G204" s="0" t="s">
        <v>427</v>
      </c>
      <c r="H204" s="0" t="s">
        <v>427</v>
      </c>
      <c r="I204" s="0" t="s">
        <v>3879</v>
      </c>
      <c r="K204" s="44" t="str">
        <f aca="false">INDEX(libraries!$B:$B, MATCH(B204, libraries!$A:$A, 0), 1)</f>
        <v>sam0081</v>
      </c>
      <c r="L204" s="44" t="n">
        <f aca="false">INDEX(samples!$F:$F, MATCH(K204, samples!$A:$A, 0), 1)</f>
        <v>0</v>
      </c>
      <c r="M204" s="55" t="str">
        <f aca="false">INDEX(samples!$C:$C, MATCH(K204, samples!$A:$A, 0), 1)</f>
        <v>2018-10-12</v>
      </c>
      <c r="N204" s="44" t="str">
        <f aca="false">INDEX(samples!$B:$B, MATCH(K204, samples!$A:$A, 0), 1)</f>
        <v>par0127</v>
      </c>
      <c r="O204" s="44" t="s">
        <v>878</v>
      </c>
      <c r="P204" s="8" t="s">
        <v>3880</v>
      </c>
      <c r="Q204" s="8" t="s">
        <v>36</v>
      </c>
      <c r="R204" s="33" t="s">
        <v>3881</v>
      </c>
      <c r="T204" s="8"/>
    </row>
    <row r="205" customFormat="false" ht="13.8" hidden="false" customHeight="false" outlineLevel="0" collapsed="false">
      <c r="A205" s="25" t="s">
        <v>4309</v>
      </c>
      <c r="B205" s="41" t="s">
        <v>3715</v>
      </c>
      <c r="C205" s="8" t="s">
        <v>3123</v>
      </c>
      <c r="D205" s="8" t="s">
        <v>3877</v>
      </c>
      <c r="E205" s="0" t="s">
        <v>3878</v>
      </c>
      <c r="F205" s="0" t="s">
        <v>4310</v>
      </c>
      <c r="G205" s="0" t="s">
        <v>4311</v>
      </c>
      <c r="H205" s="0" t="s">
        <v>427</v>
      </c>
      <c r="I205" s="0" t="s">
        <v>3891</v>
      </c>
      <c r="K205" s="44" t="str">
        <f aca="false">INDEX(libraries!$B:$B, MATCH(B205, libraries!$A:$A, 0), 1)</f>
        <v>sam0544</v>
      </c>
      <c r="L205" s="44" t="str">
        <f aca="false">INDEX(samples!$F:$F, MATCH(K205, samples!$A:$A, 0), 1)</f>
        <v>nf1_lib52</v>
      </c>
      <c r="M205" s="55" t="str">
        <f aca="false">INDEX(samples!$C:$C, MATCH(K205, samples!$A:$A, 0), 1)</f>
        <v>2023-06-20</v>
      </c>
      <c r="N205" s="44" t="str">
        <f aca="false">INDEX(samples!$B:$B, MATCH(K205, samples!$A:$A, 0), 1)</f>
        <v>par0295</v>
      </c>
      <c r="O205" s="44" t="s">
        <v>1434</v>
      </c>
      <c r="P205" s="8" t="s">
        <v>3880</v>
      </c>
      <c r="Q205" s="8" t="s">
        <v>4312</v>
      </c>
      <c r="R205" s="8" t="s">
        <v>3893</v>
      </c>
      <c r="T205" s="8"/>
    </row>
    <row r="206" customFormat="false" ht="13.8" hidden="false" customHeight="false" outlineLevel="0" collapsed="false">
      <c r="A206" s="25" t="s">
        <v>4313</v>
      </c>
      <c r="B206" s="41" t="s">
        <v>3561</v>
      </c>
      <c r="C206" s="8" t="s">
        <v>427</v>
      </c>
      <c r="D206" s="8" t="s">
        <v>3877</v>
      </c>
      <c r="E206" s="0" t="s">
        <v>3878</v>
      </c>
      <c r="F206" s="0" t="s">
        <v>427</v>
      </c>
      <c r="G206" s="0" t="s">
        <v>427</v>
      </c>
      <c r="H206" s="0" t="s">
        <v>427</v>
      </c>
      <c r="I206" s="0" t="s">
        <v>3879</v>
      </c>
      <c r="K206" s="44" t="str">
        <f aca="false">INDEX(libraries!$B:$B, MATCH(B206, libraries!$A:$A, 0), 1)</f>
        <v>sam0454</v>
      </c>
      <c r="L206" s="44" t="n">
        <f aca="false">INDEX(samples!$F:$F, MATCH(K206, samples!$A:$A, 0), 1)</f>
        <v>0</v>
      </c>
      <c r="M206" s="55" t="str">
        <f aca="false">INDEX(samples!$C:$C, MATCH(K206, samples!$A:$A, 0), 1)</f>
        <v>2022-09-06</v>
      </c>
      <c r="N206" s="44" t="str">
        <f aca="false">INDEX(samples!$B:$B, MATCH(K206, samples!$A:$A, 0), 1)</f>
        <v>par0246</v>
      </c>
      <c r="O206" s="44" t="s">
        <v>1263</v>
      </c>
      <c r="P206" s="8" t="s">
        <v>3880</v>
      </c>
      <c r="Q206" s="8" t="s">
        <v>36</v>
      </c>
      <c r="R206" s="33" t="s">
        <v>3881</v>
      </c>
      <c r="T206" s="8"/>
    </row>
    <row r="207" customFormat="false" ht="13.8" hidden="false" customHeight="false" outlineLevel="0" collapsed="false">
      <c r="A207" s="25" t="s">
        <v>4314</v>
      </c>
      <c r="B207" s="41" t="s">
        <v>3374</v>
      </c>
      <c r="C207" s="8" t="s">
        <v>427</v>
      </c>
      <c r="D207" s="8" t="s">
        <v>3877</v>
      </c>
      <c r="E207" s="0" t="s">
        <v>3878</v>
      </c>
      <c r="F207" s="0" t="s">
        <v>427</v>
      </c>
      <c r="G207" s="0" t="s">
        <v>427</v>
      </c>
      <c r="H207" s="0" t="s">
        <v>427</v>
      </c>
      <c r="I207" s="0" t="s">
        <v>3879</v>
      </c>
      <c r="K207" s="44" t="str">
        <f aca="false">INDEX(libraries!$B:$B, MATCH(B207, libraries!$A:$A, 0), 1)</f>
        <v>sam0234</v>
      </c>
      <c r="L207" s="44" t="n">
        <f aca="false">INDEX(samples!$F:$F, MATCH(K207, samples!$A:$A, 0), 1)</f>
        <v>0</v>
      </c>
      <c r="M207" s="55" t="str">
        <f aca="false">INDEX(samples!$C:$C, MATCH(K207, samples!$A:$A, 0), 1)</f>
        <v>2018-11-09</v>
      </c>
      <c r="N207" s="44" t="str">
        <f aca="false">INDEX(samples!$B:$B, MATCH(K207, samples!$A:$A, 0), 1)</f>
        <v>par0127</v>
      </c>
      <c r="O207" s="44" t="s">
        <v>878</v>
      </c>
      <c r="P207" s="8" t="s">
        <v>3880</v>
      </c>
      <c r="Q207" s="8" t="s">
        <v>36</v>
      </c>
      <c r="R207" s="33" t="s">
        <v>3881</v>
      </c>
      <c r="T207" s="8"/>
    </row>
    <row r="208" customFormat="false" ht="13.8" hidden="false" customHeight="false" outlineLevel="0" collapsed="false">
      <c r="A208" s="25" t="s">
        <v>4315</v>
      </c>
      <c r="B208" s="41" t="s">
        <v>3716</v>
      </c>
      <c r="C208" s="8" t="s">
        <v>3123</v>
      </c>
      <c r="D208" s="8" t="s">
        <v>3877</v>
      </c>
      <c r="E208" s="0" t="s">
        <v>3878</v>
      </c>
      <c r="F208" s="0" t="s">
        <v>4316</v>
      </c>
      <c r="G208" s="0" t="s">
        <v>4317</v>
      </c>
      <c r="H208" s="0" t="s">
        <v>427</v>
      </c>
      <c r="I208" s="0" t="s">
        <v>3891</v>
      </c>
      <c r="K208" s="44" t="str">
        <f aca="false">INDEX(libraries!$B:$B, MATCH(B208, libraries!$A:$A, 0), 1)</f>
        <v>sam0545</v>
      </c>
      <c r="L208" s="44" t="str">
        <f aca="false">INDEX(samples!$F:$F, MATCH(K208, samples!$A:$A, 0), 1)</f>
        <v>nf1_lib53</v>
      </c>
      <c r="M208" s="55" t="str">
        <f aca="false">INDEX(samples!$C:$C, MATCH(K208, samples!$A:$A, 0), 1)</f>
        <v>2023-10-02</v>
      </c>
      <c r="N208" s="44" t="str">
        <f aca="false">INDEX(samples!$B:$B, MATCH(K208, samples!$A:$A, 0), 1)</f>
        <v>par0295</v>
      </c>
      <c r="O208" s="44" t="s">
        <v>1434</v>
      </c>
      <c r="P208" s="8" t="s">
        <v>3880</v>
      </c>
      <c r="Q208" s="8" t="s">
        <v>4318</v>
      </c>
      <c r="R208" s="8" t="s">
        <v>3893</v>
      </c>
      <c r="T208" s="8"/>
    </row>
    <row r="209" customFormat="false" ht="13.8" hidden="false" customHeight="false" outlineLevel="0" collapsed="false">
      <c r="A209" s="25" t="s">
        <v>4319</v>
      </c>
      <c r="B209" s="41" t="s">
        <v>3562</v>
      </c>
      <c r="C209" s="8" t="s">
        <v>427</v>
      </c>
      <c r="D209" s="8" t="s">
        <v>3877</v>
      </c>
      <c r="E209" s="0" t="s">
        <v>3878</v>
      </c>
      <c r="F209" s="0" t="s">
        <v>427</v>
      </c>
      <c r="G209" s="0" t="s">
        <v>427</v>
      </c>
      <c r="H209" s="0" t="s">
        <v>427</v>
      </c>
      <c r="I209" s="0" t="s">
        <v>3879</v>
      </c>
      <c r="K209" s="44" t="str">
        <f aca="false">INDEX(libraries!$B:$B, MATCH(B209, libraries!$A:$A, 0), 1)</f>
        <v>sam0360</v>
      </c>
      <c r="L209" s="44" t="n">
        <f aca="false">INDEX(samples!$F:$F, MATCH(K209, samples!$A:$A, 0), 1)</f>
        <v>0</v>
      </c>
      <c r="M209" s="55" t="str">
        <f aca="false">INDEX(samples!$C:$C, MATCH(K209, samples!$A:$A, 0), 1)</f>
        <v>2021-07-27</v>
      </c>
      <c r="N209" s="44" t="str">
        <f aca="false">INDEX(samples!$B:$B, MATCH(K209, samples!$A:$A, 0), 1)</f>
        <v>par0247</v>
      </c>
      <c r="O209" s="44" t="s">
        <v>1267</v>
      </c>
      <c r="P209" s="8" t="s">
        <v>3880</v>
      </c>
      <c r="Q209" s="8" t="s">
        <v>36</v>
      </c>
      <c r="R209" s="33" t="s">
        <v>3881</v>
      </c>
      <c r="T209" s="8"/>
    </row>
    <row r="210" customFormat="false" ht="13.8" hidden="false" customHeight="false" outlineLevel="0" collapsed="false">
      <c r="A210" s="25" t="s">
        <v>4320</v>
      </c>
      <c r="B210" s="41" t="s">
        <v>3563</v>
      </c>
      <c r="C210" s="8" t="s">
        <v>427</v>
      </c>
      <c r="D210" s="8" t="s">
        <v>3877</v>
      </c>
      <c r="E210" s="0" t="s">
        <v>3878</v>
      </c>
      <c r="F210" s="0" t="s">
        <v>427</v>
      </c>
      <c r="G210" s="0" t="s">
        <v>427</v>
      </c>
      <c r="H210" s="0" t="s">
        <v>427</v>
      </c>
      <c r="I210" s="0" t="s">
        <v>3879</v>
      </c>
      <c r="K210" s="44" t="str">
        <f aca="false">INDEX(libraries!$B:$B, MATCH(B210, libraries!$A:$A, 0), 1)</f>
        <v>sam0361</v>
      </c>
      <c r="L210" s="44" t="n">
        <f aca="false">INDEX(samples!$F:$F, MATCH(K210, samples!$A:$A, 0), 1)</f>
        <v>0</v>
      </c>
      <c r="M210" s="55" t="str">
        <f aca="false">INDEX(samples!$C:$C, MATCH(K210, samples!$A:$A, 0), 1)</f>
        <v>2022-03-21</v>
      </c>
      <c r="N210" s="44" t="str">
        <f aca="false">INDEX(samples!$B:$B, MATCH(K210, samples!$A:$A, 0), 1)</f>
        <v>par0093</v>
      </c>
      <c r="O210" s="44" t="s">
        <v>750</v>
      </c>
      <c r="P210" s="8" t="s">
        <v>3880</v>
      </c>
      <c r="Q210" s="8" t="s">
        <v>36</v>
      </c>
      <c r="R210" s="33" t="s">
        <v>3881</v>
      </c>
      <c r="T210" s="8"/>
    </row>
    <row r="211" customFormat="false" ht="13.8" hidden="false" customHeight="false" outlineLevel="0" collapsed="false">
      <c r="A211" s="25" t="s">
        <v>4321</v>
      </c>
      <c r="B211" s="41" t="s">
        <v>3564</v>
      </c>
      <c r="C211" s="8" t="s">
        <v>427</v>
      </c>
      <c r="D211" s="8" t="s">
        <v>3877</v>
      </c>
      <c r="E211" s="0" t="s">
        <v>3878</v>
      </c>
      <c r="F211" s="0" t="s">
        <v>427</v>
      </c>
      <c r="G211" s="0" t="s">
        <v>427</v>
      </c>
      <c r="H211" s="0" t="s">
        <v>427</v>
      </c>
      <c r="I211" s="0" t="s">
        <v>3879</v>
      </c>
      <c r="K211" s="44" t="str">
        <f aca="false">INDEX(libraries!$B:$B, MATCH(B211, libraries!$A:$A, 0), 1)</f>
        <v>sam0455</v>
      </c>
      <c r="L211" s="44" t="n">
        <f aca="false">INDEX(samples!$F:$F, MATCH(K211, samples!$A:$A, 0), 1)</f>
        <v>0</v>
      </c>
      <c r="M211" s="55" t="str">
        <f aca="false">INDEX(samples!$C:$C, MATCH(K211, samples!$A:$A, 0), 1)</f>
        <v>2022-08-30</v>
      </c>
      <c r="N211" s="44" t="str">
        <f aca="false">INDEX(samples!$B:$B, MATCH(K211, samples!$A:$A, 0), 1)</f>
        <v>par0093</v>
      </c>
      <c r="O211" s="44" t="s">
        <v>750</v>
      </c>
      <c r="P211" s="8" t="s">
        <v>3880</v>
      </c>
      <c r="Q211" s="8" t="s">
        <v>36</v>
      </c>
      <c r="R211" s="33" t="s">
        <v>3881</v>
      </c>
      <c r="T211" s="8"/>
    </row>
    <row r="212" customFormat="false" ht="13.8" hidden="false" customHeight="false" outlineLevel="0" collapsed="false">
      <c r="A212" s="25" t="s">
        <v>4322</v>
      </c>
      <c r="B212" s="41" t="s">
        <v>3191</v>
      </c>
      <c r="C212" s="8" t="s">
        <v>427</v>
      </c>
      <c r="D212" s="8" t="s">
        <v>3877</v>
      </c>
      <c r="E212" s="0" t="s">
        <v>3878</v>
      </c>
      <c r="F212" s="0" t="s">
        <v>427</v>
      </c>
      <c r="G212" s="0" t="s">
        <v>427</v>
      </c>
      <c r="H212" s="0" t="s">
        <v>427</v>
      </c>
      <c r="I212" s="0" t="s">
        <v>3879</v>
      </c>
      <c r="K212" s="44" t="str">
        <f aca="false">INDEX(libraries!$B:$B, MATCH(B212, libraries!$A:$A, 0), 1)</f>
        <v>sam0082</v>
      </c>
      <c r="L212" s="44" t="n">
        <f aca="false">INDEX(samples!$F:$F, MATCH(K212, samples!$A:$A, 0), 1)</f>
        <v>0</v>
      </c>
      <c r="M212" s="55" t="str">
        <f aca="false">INDEX(samples!$C:$C, MATCH(K212, samples!$A:$A, 0), 1)</f>
        <v>2018-05-23</v>
      </c>
      <c r="N212" s="44" t="str">
        <f aca="false">INDEX(samples!$B:$B, MATCH(K212, samples!$A:$A, 0), 1)</f>
        <v>par0041</v>
      </c>
      <c r="O212" s="44" t="s">
        <v>632</v>
      </c>
      <c r="P212" s="8" t="s">
        <v>3880</v>
      </c>
      <c r="Q212" s="8" t="s">
        <v>36</v>
      </c>
      <c r="R212" s="33" t="s">
        <v>3881</v>
      </c>
      <c r="T212" s="8"/>
    </row>
    <row r="213" customFormat="false" ht="13.8" hidden="false" customHeight="false" outlineLevel="0" collapsed="false">
      <c r="A213" s="25" t="s">
        <v>4323</v>
      </c>
      <c r="B213" s="41" t="s">
        <v>3717</v>
      </c>
      <c r="C213" s="8" t="s">
        <v>3123</v>
      </c>
      <c r="D213" s="8" t="s">
        <v>3877</v>
      </c>
      <c r="E213" s="0" t="s">
        <v>3878</v>
      </c>
      <c r="F213" s="0" t="s">
        <v>4324</v>
      </c>
      <c r="G213" s="0" t="s">
        <v>4325</v>
      </c>
      <c r="H213" s="0" t="s">
        <v>427</v>
      </c>
      <c r="I213" s="0" t="s">
        <v>3891</v>
      </c>
      <c r="K213" s="44" t="str">
        <f aca="false">INDEX(libraries!$B:$B, MATCH(B213, libraries!$A:$A, 0), 1)</f>
        <v>sam0546</v>
      </c>
      <c r="L213" s="44" t="str">
        <f aca="false">INDEX(samples!$F:$F, MATCH(K213, samples!$A:$A, 0), 1)</f>
        <v>nf1_lib54</v>
      </c>
      <c r="M213" s="55" t="str">
        <f aca="false">INDEX(samples!$C:$C, MATCH(K213, samples!$A:$A, 0), 1)</f>
        <v>2024-09-01</v>
      </c>
      <c r="N213" s="44" t="str">
        <f aca="false">INDEX(samples!$B:$B, MATCH(K213, samples!$A:$A, 0), 1)</f>
        <v>par0295</v>
      </c>
      <c r="O213" s="44" t="s">
        <v>1434</v>
      </c>
      <c r="P213" s="8" t="s">
        <v>3880</v>
      </c>
      <c r="Q213" s="8" t="s">
        <v>4326</v>
      </c>
      <c r="R213" s="8" t="s">
        <v>3893</v>
      </c>
      <c r="T213" s="8"/>
    </row>
    <row r="214" customFormat="false" ht="13.8" hidden="false" customHeight="false" outlineLevel="0" collapsed="false">
      <c r="A214" s="25" t="s">
        <v>4327</v>
      </c>
      <c r="B214" s="41" t="s">
        <v>3565</v>
      </c>
      <c r="C214" s="8" t="s">
        <v>427</v>
      </c>
      <c r="D214" s="8" t="s">
        <v>3877</v>
      </c>
      <c r="E214" s="0" t="s">
        <v>3878</v>
      </c>
      <c r="F214" s="0" t="s">
        <v>427</v>
      </c>
      <c r="G214" s="0" t="s">
        <v>427</v>
      </c>
      <c r="H214" s="0" t="s">
        <v>427</v>
      </c>
      <c r="I214" s="0" t="s">
        <v>3879</v>
      </c>
      <c r="K214" s="44" t="str">
        <f aca="false">INDEX(libraries!$B:$B, MATCH(B214, libraries!$A:$A, 0), 1)</f>
        <v>sam0456</v>
      </c>
      <c r="L214" s="44" t="n">
        <f aca="false">INDEX(samples!$F:$F, MATCH(K214, samples!$A:$A, 0), 1)</f>
        <v>0</v>
      </c>
      <c r="M214" s="55" t="str">
        <f aca="false">INDEX(samples!$C:$C, MATCH(K214, samples!$A:$A, 0), 1)</f>
        <v>2022-09-20</v>
      </c>
      <c r="N214" s="44" t="str">
        <f aca="false">INDEX(samples!$B:$B, MATCH(K214, samples!$A:$A, 0), 1)</f>
        <v>par0197</v>
      </c>
      <c r="O214" s="44" t="s">
        <v>1069</v>
      </c>
      <c r="P214" s="8" t="s">
        <v>3880</v>
      </c>
      <c r="Q214" s="8" t="s">
        <v>36</v>
      </c>
      <c r="R214" s="33" t="s">
        <v>3881</v>
      </c>
      <c r="T214" s="8"/>
    </row>
    <row r="215" customFormat="false" ht="13.8" hidden="false" customHeight="false" outlineLevel="0" collapsed="false">
      <c r="A215" s="25" t="s">
        <v>4328</v>
      </c>
      <c r="B215" s="41" t="s">
        <v>3161</v>
      </c>
      <c r="C215" s="8" t="s">
        <v>427</v>
      </c>
      <c r="D215" s="8" t="s">
        <v>3877</v>
      </c>
      <c r="E215" s="0" t="s">
        <v>3878</v>
      </c>
      <c r="F215" s="0" t="s">
        <v>427</v>
      </c>
      <c r="G215" s="0" t="s">
        <v>427</v>
      </c>
      <c r="H215" s="0" t="s">
        <v>427</v>
      </c>
      <c r="I215" s="0" t="s">
        <v>3879</v>
      </c>
      <c r="K215" s="44" t="str">
        <f aca="false">INDEX(libraries!$B:$B, MATCH(B215, libraries!$A:$A, 0), 1)</f>
        <v>sam0083</v>
      </c>
      <c r="L215" s="44" t="n">
        <f aca="false">INDEX(samples!$F:$F, MATCH(K215, samples!$A:$A, 0), 1)</f>
        <v>0</v>
      </c>
      <c r="M215" s="55" t="str">
        <f aca="false">INDEX(samples!$C:$C, MATCH(K215, samples!$A:$A, 0), 1)</f>
        <v>2018-06-19</v>
      </c>
      <c r="N215" s="44" t="str">
        <f aca="false">INDEX(samples!$B:$B, MATCH(K215, samples!$A:$A, 0), 1)</f>
        <v>par0042</v>
      </c>
      <c r="O215" s="44" t="s">
        <v>635</v>
      </c>
      <c r="P215" s="8" t="s">
        <v>3880</v>
      </c>
      <c r="Q215" s="8" t="s">
        <v>36</v>
      </c>
      <c r="R215" s="33" t="s">
        <v>3881</v>
      </c>
      <c r="T215" s="8"/>
    </row>
    <row r="216" customFormat="false" ht="13.8" hidden="false" customHeight="false" outlineLevel="0" collapsed="false">
      <c r="A216" s="25" t="s">
        <v>4329</v>
      </c>
      <c r="B216" s="41" t="s">
        <v>3718</v>
      </c>
      <c r="C216" s="8" t="s">
        <v>3123</v>
      </c>
      <c r="D216" s="8" t="s">
        <v>3877</v>
      </c>
      <c r="E216" s="0" t="s">
        <v>3878</v>
      </c>
      <c r="F216" s="0" t="s">
        <v>4330</v>
      </c>
      <c r="G216" s="0" t="s">
        <v>4331</v>
      </c>
      <c r="H216" s="0" t="s">
        <v>427</v>
      </c>
      <c r="I216" s="0" t="s">
        <v>3891</v>
      </c>
      <c r="K216" s="44" t="str">
        <f aca="false">INDEX(libraries!$B:$B, MATCH(B216, libraries!$A:$A, 0), 1)</f>
        <v>sam0547</v>
      </c>
      <c r="L216" s="44" t="str">
        <f aca="false">INDEX(samples!$F:$F, MATCH(K216, samples!$A:$A, 0), 1)</f>
        <v>nf1_lib55</v>
      </c>
      <c r="M216" s="55" t="str">
        <f aca="false">INDEX(samples!$C:$C, MATCH(K216, samples!$A:$A, 0), 1)</f>
        <v>2024-07-23</v>
      </c>
      <c r="N216" s="44" t="str">
        <f aca="false">INDEX(samples!$B:$B, MATCH(K216, samples!$A:$A, 0), 1)</f>
        <v>par0295</v>
      </c>
      <c r="O216" s="44" t="s">
        <v>1434</v>
      </c>
      <c r="P216" s="8" t="s">
        <v>3880</v>
      </c>
      <c r="Q216" s="8" t="s">
        <v>4332</v>
      </c>
      <c r="R216" s="8" t="s">
        <v>3893</v>
      </c>
      <c r="T216" s="8"/>
    </row>
    <row r="217" customFormat="false" ht="13.8" hidden="false" customHeight="false" outlineLevel="0" collapsed="false">
      <c r="A217" s="25" t="s">
        <v>4333</v>
      </c>
      <c r="B217" s="41" t="s">
        <v>3566</v>
      </c>
      <c r="C217" s="8" t="s">
        <v>427</v>
      </c>
      <c r="D217" s="8" t="s">
        <v>3877</v>
      </c>
      <c r="E217" s="0" t="s">
        <v>3878</v>
      </c>
      <c r="F217" s="0" t="s">
        <v>427</v>
      </c>
      <c r="G217" s="0" t="s">
        <v>427</v>
      </c>
      <c r="H217" s="0" t="s">
        <v>427</v>
      </c>
      <c r="I217" s="0" t="s">
        <v>3879</v>
      </c>
      <c r="K217" s="44" t="str">
        <f aca="false">INDEX(libraries!$B:$B, MATCH(B217, libraries!$A:$A, 0), 1)</f>
        <v>sam0457</v>
      </c>
      <c r="L217" s="44" t="n">
        <f aca="false">INDEX(samples!$F:$F, MATCH(K217, samples!$A:$A, 0), 1)</f>
        <v>0</v>
      </c>
      <c r="M217" s="55" t="str">
        <f aca="false">INDEX(samples!$C:$C, MATCH(K217, samples!$A:$A, 0), 1)</f>
        <v>2022-09-20</v>
      </c>
      <c r="N217" s="44" t="str">
        <f aca="false">INDEX(samples!$B:$B, MATCH(K217, samples!$A:$A, 0), 1)</f>
        <v>par0248</v>
      </c>
      <c r="O217" s="44" t="s">
        <v>1271</v>
      </c>
      <c r="P217" s="8" t="s">
        <v>3880</v>
      </c>
      <c r="Q217" s="8" t="s">
        <v>36</v>
      </c>
      <c r="R217" s="33" t="s">
        <v>3881</v>
      </c>
      <c r="T217" s="8"/>
    </row>
    <row r="218" customFormat="false" ht="13.8" hidden="false" customHeight="false" outlineLevel="0" collapsed="false">
      <c r="A218" s="25" t="s">
        <v>4334</v>
      </c>
      <c r="B218" s="41" t="s">
        <v>3167</v>
      </c>
      <c r="C218" s="8" t="s">
        <v>427</v>
      </c>
      <c r="D218" s="8" t="s">
        <v>3877</v>
      </c>
      <c r="E218" s="0" t="s">
        <v>3878</v>
      </c>
      <c r="F218" s="0" t="s">
        <v>427</v>
      </c>
      <c r="G218" s="0" t="s">
        <v>427</v>
      </c>
      <c r="H218" s="0" t="s">
        <v>427</v>
      </c>
      <c r="I218" s="0" t="s">
        <v>3879</v>
      </c>
      <c r="K218" s="44" t="str">
        <f aca="false">INDEX(libraries!$B:$B, MATCH(B218, libraries!$A:$A, 0), 1)</f>
        <v>sam0084</v>
      </c>
      <c r="L218" s="44" t="n">
        <f aca="false">INDEX(samples!$F:$F, MATCH(K218, samples!$A:$A, 0), 1)</f>
        <v>0</v>
      </c>
      <c r="M218" s="55" t="str">
        <f aca="false">INDEX(samples!$C:$C, MATCH(K218, samples!$A:$A, 0), 1)</f>
        <v>2018-06-21</v>
      </c>
      <c r="N218" s="44" t="str">
        <f aca="false">INDEX(samples!$B:$B, MATCH(K218, samples!$A:$A, 0), 1)</f>
        <v>par0128</v>
      </c>
      <c r="O218" s="44" t="s">
        <v>881</v>
      </c>
      <c r="P218" s="8" t="s">
        <v>3880</v>
      </c>
      <c r="Q218" s="8" t="s">
        <v>36</v>
      </c>
      <c r="R218" s="33" t="s">
        <v>3881</v>
      </c>
      <c r="T218" s="8"/>
    </row>
    <row r="219" customFormat="false" ht="13.8" hidden="false" customHeight="false" outlineLevel="0" collapsed="false">
      <c r="A219" s="25" t="s">
        <v>4335</v>
      </c>
      <c r="B219" s="41" t="s">
        <v>3719</v>
      </c>
      <c r="C219" s="8" t="s">
        <v>3123</v>
      </c>
      <c r="D219" s="8" t="s">
        <v>3877</v>
      </c>
      <c r="E219" s="0" t="s">
        <v>3878</v>
      </c>
      <c r="F219" s="0" t="s">
        <v>4336</v>
      </c>
      <c r="G219" s="0" t="s">
        <v>4337</v>
      </c>
      <c r="H219" s="0" t="s">
        <v>427</v>
      </c>
      <c r="I219" s="0" t="s">
        <v>3891</v>
      </c>
      <c r="K219" s="44" t="str">
        <f aca="false">INDEX(libraries!$B:$B, MATCH(B219, libraries!$A:$A, 0), 1)</f>
        <v>sam0548</v>
      </c>
      <c r="L219" s="44" t="str">
        <f aca="false">INDEX(samples!$F:$F, MATCH(K219, samples!$A:$A, 0), 1)</f>
        <v>nf1_lib56</v>
      </c>
      <c r="M219" s="55" t="n">
        <f aca="false">INDEX(samples!$C:$C, MATCH(K219, samples!$A:$A, 0), 1)</f>
        <v>45279</v>
      </c>
      <c r="N219" s="44" t="str">
        <f aca="false">INDEX(samples!$B:$B, MATCH(K219, samples!$A:$A, 0), 1)</f>
        <v>par0297</v>
      </c>
      <c r="O219" s="44" t="s">
        <v>1440</v>
      </c>
      <c r="P219" s="8" t="s">
        <v>3880</v>
      </c>
      <c r="Q219" s="8" t="s">
        <v>4338</v>
      </c>
      <c r="R219" s="8" t="s">
        <v>3893</v>
      </c>
      <c r="T219" s="8"/>
    </row>
    <row r="220" customFormat="false" ht="13.8" hidden="false" customHeight="false" outlineLevel="0" collapsed="false">
      <c r="A220" s="25" t="s">
        <v>4339</v>
      </c>
      <c r="B220" s="41" t="s">
        <v>3193</v>
      </c>
      <c r="C220" s="8" t="s">
        <v>427</v>
      </c>
      <c r="D220" s="8" t="s">
        <v>3877</v>
      </c>
      <c r="E220" s="0" t="s">
        <v>3878</v>
      </c>
      <c r="F220" s="0" t="s">
        <v>427</v>
      </c>
      <c r="G220" s="0" t="s">
        <v>427</v>
      </c>
      <c r="H220" s="0" t="s">
        <v>427</v>
      </c>
      <c r="I220" s="0" t="s">
        <v>3879</v>
      </c>
      <c r="K220" s="44" t="str">
        <f aca="false">INDEX(libraries!$B:$B, MATCH(B220, libraries!$A:$A, 0), 1)</f>
        <v>sam0085</v>
      </c>
      <c r="L220" s="44" t="n">
        <f aca="false">INDEX(samples!$F:$F, MATCH(K220, samples!$A:$A, 0), 1)</f>
        <v>0</v>
      </c>
      <c r="M220" s="55" t="str">
        <f aca="false">INDEX(samples!$C:$C, MATCH(K220, samples!$A:$A, 0), 1)</f>
        <v>2016-10-19</v>
      </c>
      <c r="N220" s="44" t="str">
        <f aca="false">INDEX(samples!$B:$B, MATCH(K220, samples!$A:$A, 0), 1)</f>
        <v>par0043</v>
      </c>
      <c r="O220" s="44" t="s">
        <v>638</v>
      </c>
      <c r="P220" s="8" t="s">
        <v>3880</v>
      </c>
      <c r="Q220" s="8" t="s">
        <v>36</v>
      </c>
      <c r="R220" s="33" t="s">
        <v>3881</v>
      </c>
      <c r="T220" s="8"/>
    </row>
    <row r="221" customFormat="false" ht="13.8" hidden="false" customHeight="false" outlineLevel="0" collapsed="false">
      <c r="A221" s="25" t="s">
        <v>4340</v>
      </c>
      <c r="B221" s="41" t="s">
        <v>3720</v>
      </c>
      <c r="C221" s="8" t="s">
        <v>3125</v>
      </c>
      <c r="D221" s="8" t="s">
        <v>3877</v>
      </c>
      <c r="E221" s="0" t="s">
        <v>3878</v>
      </c>
      <c r="F221" s="0" t="s">
        <v>4341</v>
      </c>
      <c r="G221" s="0" t="s">
        <v>4342</v>
      </c>
      <c r="H221" s="0" t="s">
        <v>427</v>
      </c>
      <c r="I221" s="0" t="s">
        <v>3911</v>
      </c>
      <c r="K221" s="44" t="str">
        <f aca="false">INDEX(libraries!$B:$B, MATCH(B221, libraries!$A:$A, 0), 1)</f>
        <v>sam0549</v>
      </c>
      <c r="L221" s="44" t="e">
        <f aca="false">INDEX(samples!$F:$F, MATCH(K221, samples!$A:$A, 0), 1)</f>
        <v>#N/A</v>
      </c>
      <c r="M221" s="55" t="e">
        <f aca="false">INDEX(samples!$C:$C, MATCH(K221, samples!$A:$A, 0), 1)</f>
        <v>#N/A</v>
      </c>
      <c r="N221" s="44" t="e">
        <f aca="false">INDEX(samples!$B:$B, MATCH(K221, samples!$A:$A, 0), 1)</f>
        <v>#N/A</v>
      </c>
      <c r="O221" s="44" t="s">
        <v>1214</v>
      </c>
      <c r="P221" s="8" t="s">
        <v>3880</v>
      </c>
      <c r="Q221" s="8" t="s">
        <v>4343</v>
      </c>
      <c r="R221" s="8" t="s">
        <v>3893</v>
      </c>
      <c r="T221" s="8"/>
    </row>
    <row r="222" customFormat="false" ht="13.8" hidden="false" customHeight="false" outlineLevel="0" collapsed="false">
      <c r="A222" s="25" t="s">
        <v>4344</v>
      </c>
      <c r="B222" s="41" t="s">
        <v>3156</v>
      </c>
      <c r="C222" s="8" t="s">
        <v>427</v>
      </c>
      <c r="D222" s="8" t="s">
        <v>3877</v>
      </c>
      <c r="E222" s="0" t="s">
        <v>3878</v>
      </c>
      <c r="F222" s="0" t="s">
        <v>427</v>
      </c>
      <c r="G222" s="0" t="s">
        <v>427</v>
      </c>
      <c r="H222" s="0" t="s">
        <v>427</v>
      </c>
      <c r="I222" s="0" t="s">
        <v>3879</v>
      </c>
      <c r="K222" s="44" t="str">
        <f aca="false">INDEX(libraries!$B:$B, MATCH(B222, libraries!$A:$A, 0), 1)</f>
        <v>sam0086</v>
      </c>
      <c r="L222" s="44" t="n">
        <f aca="false">INDEX(samples!$F:$F, MATCH(K222, samples!$A:$A, 0), 1)</f>
        <v>0</v>
      </c>
      <c r="M222" s="55" t="str">
        <f aca="false">INDEX(samples!$C:$C, MATCH(K222, samples!$A:$A, 0), 1)</f>
        <v>2018-11-15</v>
      </c>
      <c r="N222" s="44" t="str">
        <f aca="false">INDEX(samples!$B:$B, MATCH(K222, samples!$A:$A, 0), 1)</f>
        <v>par0044</v>
      </c>
      <c r="O222" s="44" t="s">
        <v>641</v>
      </c>
      <c r="P222" s="8" t="s">
        <v>3880</v>
      </c>
      <c r="Q222" s="8" t="s">
        <v>36</v>
      </c>
      <c r="R222" s="33" t="s">
        <v>3881</v>
      </c>
      <c r="T222" s="8"/>
    </row>
    <row r="223" customFormat="false" ht="13.8" hidden="false" customHeight="false" outlineLevel="0" collapsed="false">
      <c r="A223" s="25" t="s">
        <v>4345</v>
      </c>
      <c r="B223" s="41" t="s">
        <v>3722</v>
      </c>
      <c r="C223" s="8" t="s">
        <v>3125</v>
      </c>
      <c r="D223" s="8" t="s">
        <v>3877</v>
      </c>
      <c r="E223" s="0" t="s">
        <v>3878</v>
      </c>
      <c r="F223" s="0" t="s">
        <v>4346</v>
      </c>
      <c r="G223" s="0" t="s">
        <v>4347</v>
      </c>
      <c r="H223" s="0" t="s">
        <v>427</v>
      </c>
      <c r="I223" s="0" t="s">
        <v>3911</v>
      </c>
      <c r="K223" s="44" t="str">
        <f aca="false">INDEX(libraries!$B:$B, MATCH(B223, libraries!$A:$A, 0), 1)</f>
        <v>sam0381</v>
      </c>
      <c r="L223" s="44" t="str">
        <f aca="false">INDEX(samples!$F:$F, MATCH(K223, samples!$A:$A, 0), 1)</f>
        <v>nf1_lib58</v>
      </c>
      <c r="M223" s="55" t="str">
        <f aca="false">INDEX(samples!$C:$C, MATCH(K223, samples!$A:$A, 0), 1)</f>
        <v>2022-09-13</v>
      </c>
      <c r="N223" s="44" t="str">
        <f aca="false">INDEX(samples!$B:$B, MATCH(K223, samples!$A:$A, 0), 1)</f>
        <v>par0233</v>
      </c>
      <c r="O223" s="44" t="s">
        <v>1214</v>
      </c>
      <c r="P223" s="8" t="s">
        <v>3880</v>
      </c>
      <c r="Q223" s="8" t="s">
        <v>4348</v>
      </c>
      <c r="R223" s="8" t="s">
        <v>3893</v>
      </c>
      <c r="T223" s="8"/>
    </row>
    <row r="224" customFormat="false" ht="13.8" hidden="false" customHeight="false" outlineLevel="0" collapsed="false">
      <c r="A224" s="25" t="s">
        <v>4349</v>
      </c>
      <c r="B224" s="41" t="s">
        <v>3204</v>
      </c>
      <c r="C224" s="8" t="s">
        <v>427</v>
      </c>
      <c r="D224" s="8" t="s">
        <v>3877</v>
      </c>
      <c r="E224" s="0" t="s">
        <v>3878</v>
      </c>
      <c r="F224" s="0" t="s">
        <v>427</v>
      </c>
      <c r="G224" s="0" t="s">
        <v>427</v>
      </c>
      <c r="H224" s="0" t="s">
        <v>427</v>
      </c>
      <c r="I224" s="0" t="s">
        <v>3879</v>
      </c>
      <c r="K224" s="44" t="str">
        <f aca="false">INDEX(libraries!$B:$B, MATCH(B224, libraries!$A:$A, 0), 1)</f>
        <v>sam0087</v>
      </c>
      <c r="L224" s="44" t="n">
        <f aca="false">INDEX(samples!$F:$F, MATCH(K224, samples!$A:$A, 0), 1)</f>
        <v>0</v>
      </c>
      <c r="M224" s="55" t="str">
        <f aca="false">INDEX(samples!$C:$C, MATCH(K224, samples!$A:$A, 0), 1)</f>
        <v>2018-11-19</v>
      </c>
      <c r="N224" s="44" t="str">
        <f aca="false">INDEX(samples!$B:$B, MATCH(K224, samples!$A:$A, 0), 1)</f>
        <v>par0045</v>
      </c>
      <c r="O224" s="44" t="s">
        <v>645</v>
      </c>
      <c r="P224" s="8" t="s">
        <v>3880</v>
      </c>
      <c r="Q224" s="8" t="s">
        <v>36</v>
      </c>
      <c r="R224" s="33" t="s">
        <v>3881</v>
      </c>
      <c r="T224" s="8"/>
    </row>
    <row r="225" customFormat="false" ht="13.8" hidden="false" customHeight="false" outlineLevel="0" collapsed="false">
      <c r="A225" s="25" t="s">
        <v>4350</v>
      </c>
      <c r="B225" s="41" t="s">
        <v>3723</v>
      </c>
      <c r="C225" s="8" t="s">
        <v>3125</v>
      </c>
      <c r="D225" s="8" t="s">
        <v>3877</v>
      </c>
      <c r="E225" s="0" t="s">
        <v>3878</v>
      </c>
      <c r="F225" s="0" t="s">
        <v>4351</v>
      </c>
      <c r="G225" s="0" t="s">
        <v>4352</v>
      </c>
      <c r="H225" s="0" t="s">
        <v>427</v>
      </c>
      <c r="I225" s="0" t="s">
        <v>3911</v>
      </c>
      <c r="K225" s="44" t="str">
        <f aca="false">INDEX(libraries!$B:$B, MATCH(B225, libraries!$A:$A, 0), 1)</f>
        <v>sam0551</v>
      </c>
      <c r="L225" s="44" t="str">
        <f aca="false">INDEX(samples!$F:$F, MATCH(K225, samples!$A:$A, 0), 1)</f>
        <v>nf1_lib59</v>
      </c>
      <c r="M225" s="55" t="str">
        <f aca="false">INDEX(samples!$C:$C, MATCH(K225, samples!$A:$A, 0), 1)</f>
        <v>2023-09-19</v>
      </c>
      <c r="N225" s="44" t="str">
        <f aca="false">INDEX(samples!$B:$B, MATCH(K225, samples!$A:$A, 0), 1)</f>
        <v>par0257</v>
      </c>
      <c r="O225" s="44" t="s">
        <v>1307</v>
      </c>
      <c r="P225" s="8" t="s">
        <v>3880</v>
      </c>
      <c r="Q225" s="8" t="s">
        <v>4353</v>
      </c>
      <c r="R225" s="8" t="s">
        <v>3893</v>
      </c>
      <c r="T225" s="8"/>
    </row>
    <row r="226" customFormat="false" ht="13.8" hidden="false" customHeight="false" outlineLevel="0" collapsed="false">
      <c r="A226" s="25" t="s">
        <v>4354</v>
      </c>
      <c r="B226" s="41" t="s">
        <v>3567</v>
      </c>
      <c r="C226" s="8" t="s">
        <v>427</v>
      </c>
      <c r="D226" s="8" t="s">
        <v>3877</v>
      </c>
      <c r="E226" s="0" t="s">
        <v>3878</v>
      </c>
      <c r="F226" s="0" t="s">
        <v>427</v>
      </c>
      <c r="G226" s="0" t="s">
        <v>427</v>
      </c>
      <c r="H226" s="0" t="s">
        <v>427</v>
      </c>
      <c r="I226" s="0" t="s">
        <v>3879</v>
      </c>
      <c r="K226" s="44" t="str">
        <f aca="false">INDEX(libraries!$B:$B, MATCH(B226, libraries!$A:$A, 0), 1)</f>
        <v>sam0365</v>
      </c>
      <c r="L226" s="44" t="n">
        <f aca="false">INDEX(samples!$F:$F, MATCH(K226, samples!$A:$A, 0), 1)</f>
        <v>0</v>
      </c>
      <c r="M226" s="55" t="str">
        <f aca="false">INDEX(samples!$C:$C, MATCH(K226, samples!$A:$A, 0), 1)</f>
        <v>2021-05-21</v>
      </c>
      <c r="N226" s="44" t="str">
        <f aca="false">INDEX(samples!$B:$B, MATCH(K226, samples!$A:$A, 0), 1)</f>
        <v>par0249</v>
      </c>
      <c r="O226" s="44" t="s">
        <v>1276</v>
      </c>
      <c r="P226" s="8" t="s">
        <v>3880</v>
      </c>
      <c r="Q226" s="8" t="s">
        <v>36</v>
      </c>
      <c r="R226" s="33" t="s">
        <v>3881</v>
      </c>
      <c r="T226" s="8"/>
    </row>
    <row r="227" customFormat="false" ht="13.8" hidden="false" customHeight="false" outlineLevel="0" collapsed="false">
      <c r="A227" s="25" t="s">
        <v>4355</v>
      </c>
      <c r="B227" s="41" t="s">
        <v>4356</v>
      </c>
      <c r="C227" s="8" t="s">
        <v>427</v>
      </c>
      <c r="D227" s="8" t="s">
        <v>3877</v>
      </c>
      <c r="E227" s="0" t="s">
        <v>3878</v>
      </c>
      <c r="F227" s="0" t="s">
        <v>427</v>
      </c>
      <c r="G227" s="0" t="s">
        <v>427</v>
      </c>
      <c r="H227" s="0" t="s">
        <v>427</v>
      </c>
      <c r="I227" s="0" t="s">
        <v>3879</v>
      </c>
      <c r="K227" s="44" t="e">
        <f aca="false">INDEX(libraries!$B:$B, MATCH(B227, libraries!$A:$A, 0), 1)</f>
        <v>#N/A</v>
      </c>
      <c r="L227" s="44" t="e">
        <f aca="false">INDEX(samples!$F:$F, MATCH(K227, samples!$A:$A, 0), 1)</f>
        <v>#N/A</v>
      </c>
      <c r="M227" s="55" t="e">
        <f aca="false">INDEX(samples!$C:$C, MATCH(K227, samples!$A:$A, 0), 1)</f>
        <v>#N/A</v>
      </c>
      <c r="N227" s="44" t="e">
        <f aca="false">INDEX(samples!$B:$B, MATCH(K227, samples!$A:$A, 0), 1)</f>
        <v>#N/A</v>
      </c>
      <c r="O227" s="44" t="s">
        <v>1240</v>
      </c>
      <c r="P227" s="8" t="s">
        <v>3880</v>
      </c>
      <c r="Q227" s="8" t="s">
        <v>36</v>
      </c>
      <c r="R227" s="33" t="s">
        <v>3881</v>
      </c>
      <c r="T227" s="8"/>
    </row>
    <row r="228" customFormat="false" ht="13.8" hidden="false" customHeight="false" outlineLevel="0" collapsed="false">
      <c r="A228" s="25" t="s">
        <v>4357</v>
      </c>
      <c r="B228" s="41" t="s">
        <v>3227</v>
      </c>
      <c r="C228" s="8" t="s">
        <v>427</v>
      </c>
      <c r="D228" s="8" t="s">
        <v>3877</v>
      </c>
      <c r="E228" s="0" t="s">
        <v>3878</v>
      </c>
      <c r="F228" s="0" t="s">
        <v>427</v>
      </c>
      <c r="G228" s="0" t="s">
        <v>427</v>
      </c>
      <c r="H228" s="0" t="s">
        <v>427</v>
      </c>
      <c r="I228" s="0" t="s">
        <v>3879</v>
      </c>
      <c r="K228" s="44" t="str">
        <f aca="false">INDEX(libraries!$B:$B, MATCH(B228, libraries!$A:$A, 0), 1)</f>
        <v>sam0019</v>
      </c>
      <c r="L228" s="44" t="n">
        <f aca="false">INDEX(samples!$F:$F, MATCH(K228, samples!$A:$A, 0), 1)</f>
        <v>0</v>
      </c>
      <c r="M228" s="55" t="str">
        <f aca="false">INDEX(samples!$C:$C, MATCH(K228, samples!$A:$A, 0), 1)</f>
        <v>UNK</v>
      </c>
      <c r="N228" s="44" t="str">
        <f aca="false">INDEX(samples!$B:$B, MATCH(K228, samples!$A:$A, 0), 1)</f>
        <v>par0120</v>
      </c>
      <c r="O228" s="44" t="s">
        <v>859</v>
      </c>
      <c r="P228" s="8" t="s">
        <v>3880</v>
      </c>
      <c r="Q228" s="8" t="s">
        <v>36</v>
      </c>
      <c r="R228" s="33" t="s">
        <v>3881</v>
      </c>
      <c r="T228" s="8"/>
    </row>
    <row r="229" customFormat="false" ht="13.8" hidden="false" customHeight="false" outlineLevel="0" collapsed="false">
      <c r="A229" s="25" t="s">
        <v>4358</v>
      </c>
      <c r="B229" s="53" t="s">
        <v>3652</v>
      </c>
      <c r="C229" s="33" t="s">
        <v>3107</v>
      </c>
      <c r="D229" s="33" t="s">
        <v>3877</v>
      </c>
      <c r="E229" s="0" t="s">
        <v>3878</v>
      </c>
      <c r="F229" s="0" t="s">
        <v>4359</v>
      </c>
      <c r="G229" s="0" t="s">
        <v>4360</v>
      </c>
      <c r="H229" s="0" t="s">
        <v>427</v>
      </c>
      <c r="I229" s="0" t="s">
        <v>4361</v>
      </c>
      <c r="K229" s="44" t="str">
        <f aca="false">INDEX(libraries!$B:$B, MATCH(B229, libraries!$A:$A, 0), 1)</f>
        <v>sam0482</v>
      </c>
      <c r="L229" s="44" t="str">
        <f aca="false">INDEX(samples!$F:$F, MATCH(K229, samples!$A:$A, 0), 1)</f>
        <v>emseq_06</v>
      </c>
      <c r="M229" s="55" t="str">
        <f aca="false">INDEX(samples!$C:$C, MATCH(K229, samples!$A:$A, 0), 1)</f>
        <v>GET</v>
      </c>
      <c r="N229" s="44" t="str">
        <f aca="false">INDEX(samples!$B:$B, MATCH(K229, samples!$A:$A, 0), 1)</f>
        <v>par0292</v>
      </c>
      <c r="O229" s="44" t="s">
        <v>1425</v>
      </c>
      <c r="P229" s="8" t="s">
        <v>3880</v>
      </c>
      <c r="Q229" s="8" t="s">
        <v>36</v>
      </c>
      <c r="R229" s="8" t="s">
        <v>3893</v>
      </c>
      <c r="T229" s="8"/>
    </row>
    <row r="230" customFormat="false" ht="13.8" hidden="false" customHeight="false" outlineLevel="0" collapsed="false">
      <c r="A230" s="25" t="s">
        <v>4362</v>
      </c>
      <c r="B230" s="41" t="s">
        <v>3195</v>
      </c>
      <c r="C230" s="8" t="s">
        <v>427</v>
      </c>
      <c r="D230" s="8" t="s">
        <v>3877</v>
      </c>
      <c r="E230" s="0" t="s">
        <v>3878</v>
      </c>
      <c r="F230" s="0" t="s">
        <v>427</v>
      </c>
      <c r="G230" s="0" t="s">
        <v>427</v>
      </c>
      <c r="H230" s="0" t="s">
        <v>427</v>
      </c>
      <c r="I230" s="0" t="s">
        <v>3879</v>
      </c>
      <c r="K230" s="44" t="str">
        <f aca="false">INDEX(libraries!$B:$B, MATCH(B230, libraries!$A:$A, 0), 1)</f>
        <v>sam0033</v>
      </c>
      <c r="L230" s="44" t="n">
        <f aca="false">INDEX(samples!$F:$F, MATCH(K230, samples!$A:$A, 0), 1)</f>
        <v>0</v>
      </c>
      <c r="M230" s="55" t="str">
        <f aca="false">INDEX(samples!$C:$C, MATCH(K230, samples!$A:$A, 0), 1)</f>
        <v>2018-11-19</v>
      </c>
      <c r="N230" s="44" t="str">
        <f aca="false">INDEX(samples!$B:$B, MATCH(K230, samples!$A:$A, 0), 1)</f>
        <v>par0014</v>
      </c>
      <c r="O230" s="44" t="s">
        <v>532</v>
      </c>
      <c r="P230" s="8" t="s">
        <v>3880</v>
      </c>
      <c r="Q230" s="8" t="s">
        <v>36</v>
      </c>
      <c r="R230" s="33" t="s">
        <v>3881</v>
      </c>
      <c r="T230" s="8"/>
    </row>
    <row r="231" customFormat="false" ht="13.8" hidden="false" customHeight="false" outlineLevel="0" collapsed="false">
      <c r="A231" s="25" t="s">
        <v>4363</v>
      </c>
      <c r="B231" s="41" t="s">
        <v>3380</v>
      </c>
      <c r="C231" s="8" t="s">
        <v>427</v>
      </c>
      <c r="D231" s="8" t="s">
        <v>3877</v>
      </c>
      <c r="E231" s="0" t="s">
        <v>3878</v>
      </c>
      <c r="F231" s="0" t="s">
        <v>427</v>
      </c>
      <c r="G231" s="0" t="s">
        <v>427</v>
      </c>
      <c r="H231" s="0" t="s">
        <v>427</v>
      </c>
      <c r="I231" s="0" t="s">
        <v>3879</v>
      </c>
      <c r="K231" s="44" t="str">
        <f aca="false">INDEX(libraries!$B:$B, MATCH(B231, libraries!$A:$A, 0), 1)</f>
        <v>sam0240</v>
      </c>
      <c r="L231" s="44" t="n">
        <f aca="false">INDEX(samples!$F:$F, MATCH(K231, samples!$A:$A, 0), 1)</f>
        <v>0</v>
      </c>
      <c r="M231" s="55" t="str">
        <f aca="false">INDEX(samples!$C:$C, MATCH(K231, samples!$A:$A, 0), 1)</f>
        <v>2019-06-27</v>
      </c>
      <c r="N231" s="44" t="str">
        <f aca="false">INDEX(samples!$B:$B, MATCH(K231, samples!$A:$A, 0), 1)</f>
        <v>par0140</v>
      </c>
      <c r="O231" s="44" t="s">
        <v>921</v>
      </c>
      <c r="P231" s="8" t="s">
        <v>3880</v>
      </c>
      <c r="Q231" s="8" t="s">
        <v>36</v>
      </c>
      <c r="R231" s="33" t="s">
        <v>3881</v>
      </c>
      <c r="T231" s="8"/>
    </row>
    <row r="232" customFormat="false" ht="13.8" hidden="false" customHeight="false" outlineLevel="0" collapsed="false">
      <c r="A232" s="25" t="s">
        <v>4364</v>
      </c>
      <c r="B232" s="41" t="s">
        <v>3668</v>
      </c>
      <c r="C232" s="8" t="s">
        <v>3123</v>
      </c>
      <c r="D232" s="8" t="s">
        <v>3877</v>
      </c>
      <c r="E232" s="0" t="s">
        <v>3878</v>
      </c>
      <c r="F232" s="0" t="s">
        <v>4365</v>
      </c>
      <c r="G232" s="0" t="s">
        <v>4366</v>
      </c>
      <c r="H232" s="0" t="s">
        <v>427</v>
      </c>
      <c r="I232" s="0" t="s">
        <v>3891</v>
      </c>
      <c r="K232" s="44" t="str">
        <f aca="false">INDEX(libraries!$B:$B, MATCH(B232, libraries!$A:$A, 0), 1)</f>
        <v>sam0498</v>
      </c>
      <c r="L232" s="44" t="str">
        <f aca="false">INDEX(samples!$F:$F, MATCH(K232, samples!$A:$A, 0), 1)</f>
        <v>nf1_lib6</v>
      </c>
      <c r="M232" s="55" t="str">
        <f aca="false">INDEX(samples!$C:$C, MATCH(K232, samples!$A:$A, 0), 1)</f>
        <v>2024-01-16</v>
      </c>
      <c r="N232" s="44" t="str">
        <f aca="false">INDEX(samples!$B:$B, MATCH(K232, samples!$A:$A, 0), 1)</f>
        <v>par0294</v>
      </c>
      <c r="O232" s="44" t="s">
        <v>1431</v>
      </c>
      <c r="P232" s="8" t="s">
        <v>3880</v>
      </c>
      <c r="Q232" s="8" t="s">
        <v>4367</v>
      </c>
      <c r="R232" s="8" t="s">
        <v>3893</v>
      </c>
      <c r="T232" s="8"/>
    </row>
    <row r="233" customFormat="false" ht="13.8" hidden="false" customHeight="false" outlineLevel="0" collapsed="false">
      <c r="A233" s="25" t="s">
        <v>4368</v>
      </c>
      <c r="B233" s="41" t="s">
        <v>3545</v>
      </c>
      <c r="C233" s="8" t="s">
        <v>3118</v>
      </c>
      <c r="D233" s="8" t="s">
        <v>427</v>
      </c>
      <c r="E233" s="0" t="s">
        <v>427</v>
      </c>
      <c r="F233" s="0" t="s">
        <v>427</v>
      </c>
      <c r="G233" s="0" t="s">
        <v>427</v>
      </c>
      <c r="H233" s="0" t="s">
        <v>427</v>
      </c>
      <c r="I233" s="0" t="s">
        <v>3895</v>
      </c>
      <c r="K233" s="44" t="str">
        <f aca="false">INDEX(libraries!$B:$B, MATCH(B233, libraries!$A:$A, 0), 1)</f>
        <v>sam0346</v>
      </c>
      <c r="L233" s="44" t="n">
        <f aca="false">INDEX(samples!$F:$F, MATCH(K233, samples!$A:$A, 0), 1)</f>
        <v>0</v>
      </c>
      <c r="M233" s="55" t="str">
        <f aca="false">INDEX(samples!$C:$C, MATCH(K233, samples!$A:$A, 0), 1)</f>
        <v>2021-02-02</v>
      </c>
      <c r="N233" s="44" t="str">
        <f aca="false">INDEX(samples!$B:$B, MATCH(K233, samples!$A:$A, 0), 1)</f>
        <v>par0235</v>
      </c>
      <c r="O233" s="44" t="s">
        <v>1224</v>
      </c>
      <c r="P233" s="8" t="s">
        <v>427</v>
      </c>
      <c r="Q233" s="8" t="s">
        <v>36</v>
      </c>
      <c r="R233" s="33" t="s">
        <v>3881</v>
      </c>
      <c r="T233" s="8"/>
    </row>
    <row r="234" customFormat="false" ht="13.8" hidden="false" customHeight="false" outlineLevel="0" collapsed="false">
      <c r="A234" s="25" t="s">
        <v>4369</v>
      </c>
      <c r="B234" s="41" t="s">
        <v>3170</v>
      </c>
      <c r="C234" s="8" t="s">
        <v>427</v>
      </c>
      <c r="D234" s="8" t="s">
        <v>3877</v>
      </c>
      <c r="E234" s="0" t="s">
        <v>3878</v>
      </c>
      <c r="F234" s="0" t="s">
        <v>427</v>
      </c>
      <c r="G234" s="0" t="s">
        <v>427</v>
      </c>
      <c r="H234" s="0" t="s">
        <v>427</v>
      </c>
      <c r="I234" s="0" t="s">
        <v>3879</v>
      </c>
      <c r="K234" s="44" t="str">
        <f aca="false">INDEX(libraries!$B:$B, MATCH(B234, libraries!$A:$A, 0), 1)</f>
        <v>sam0088</v>
      </c>
      <c r="L234" s="44" t="n">
        <f aca="false">INDEX(samples!$F:$F, MATCH(K234, samples!$A:$A, 0), 1)</f>
        <v>0</v>
      </c>
      <c r="M234" s="55" t="str">
        <f aca="false">INDEX(samples!$C:$C, MATCH(K234, samples!$A:$A, 0), 1)</f>
        <v>2018-03-05</v>
      </c>
      <c r="N234" s="44" t="str">
        <f aca="false">INDEX(samples!$B:$B, MATCH(K234, samples!$A:$A, 0), 1)</f>
        <v>par0046</v>
      </c>
      <c r="O234" s="44" t="s">
        <v>648</v>
      </c>
      <c r="P234" s="8" t="s">
        <v>3880</v>
      </c>
      <c r="Q234" s="8" t="s">
        <v>36</v>
      </c>
      <c r="R234" s="33" t="s">
        <v>3881</v>
      </c>
      <c r="T234" s="8"/>
    </row>
    <row r="235" customFormat="false" ht="13.8" hidden="false" customHeight="false" outlineLevel="0" collapsed="false">
      <c r="A235" s="25" t="s">
        <v>4370</v>
      </c>
      <c r="B235" s="41" t="s">
        <v>3724</v>
      </c>
      <c r="C235" s="8" t="s">
        <v>3125</v>
      </c>
      <c r="D235" s="8" t="s">
        <v>3877</v>
      </c>
      <c r="E235" s="0" t="s">
        <v>3878</v>
      </c>
      <c r="F235" s="0" t="s">
        <v>4371</v>
      </c>
      <c r="G235" s="0" t="s">
        <v>4372</v>
      </c>
      <c r="H235" s="0" t="s">
        <v>427</v>
      </c>
      <c r="I235" s="0" t="s">
        <v>3911</v>
      </c>
      <c r="K235" s="44" t="str">
        <f aca="false">INDEX(libraries!$B:$B, MATCH(B235, libraries!$A:$A, 0), 1)</f>
        <v>sam0552</v>
      </c>
      <c r="L235" s="44" t="str">
        <f aca="false">INDEX(samples!$F:$F, MATCH(K235, samples!$A:$A, 0), 1)</f>
        <v>nf1_lib60</v>
      </c>
      <c r="M235" s="55" t="n">
        <f aca="false">INDEX(samples!$C:$C, MATCH(K235, samples!$A:$A, 0), 1)</f>
        <v>45279</v>
      </c>
      <c r="N235" s="44" t="str">
        <f aca="false">INDEX(samples!$B:$B, MATCH(K235, samples!$A:$A, 0), 1)</f>
        <v>par0258</v>
      </c>
      <c r="O235" s="44" t="s">
        <v>1311</v>
      </c>
      <c r="P235" s="8" t="s">
        <v>3880</v>
      </c>
      <c r="Q235" s="8" t="s">
        <v>4373</v>
      </c>
      <c r="R235" s="8" t="s">
        <v>3893</v>
      </c>
      <c r="T235" s="8"/>
    </row>
    <row r="236" customFormat="false" ht="13.8" hidden="false" customHeight="false" outlineLevel="0" collapsed="false">
      <c r="A236" s="25" t="s">
        <v>4374</v>
      </c>
      <c r="B236" s="41" t="s">
        <v>3568</v>
      </c>
      <c r="C236" s="8" t="s">
        <v>427</v>
      </c>
      <c r="D236" s="8" t="s">
        <v>3877</v>
      </c>
      <c r="E236" s="0" t="s">
        <v>3878</v>
      </c>
      <c r="F236" s="0" t="s">
        <v>427</v>
      </c>
      <c r="G236" s="0" t="s">
        <v>427</v>
      </c>
      <c r="H236" s="0" t="s">
        <v>427</v>
      </c>
      <c r="I236" s="0" t="s">
        <v>3879</v>
      </c>
      <c r="K236" s="44" t="str">
        <f aca="false">INDEX(libraries!$B:$B, MATCH(B236, libraries!$A:$A, 0), 1)</f>
        <v>sam0458</v>
      </c>
      <c r="L236" s="44" t="n">
        <f aca="false">INDEX(samples!$F:$F, MATCH(K236, samples!$A:$A, 0), 1)</f>
        <v>0</v>
      </c>
      <c r="M236" s="55" t="str">
        <f aca="false">INDEX(samples!$C:$C, MATCH(K236, samples!$A:$A, 0), 1)</f>
        <v>2022-02-01</v>
      </c>
      <c r="N236" s="44" t="str">
        <f aca="false">INDEX(samples!$B:$B, MATCH(K236, samples!$A:$A, 0), 1)</f>
        <v>par0132</v>
      </c>
      <c r="O236" s="44" t="s">
        <v>895</v>
      </c>
      <c r="P236" s="8" t="s">
        <v>3880</v>
      </c>
      <c r="Q236" s="8" t="s">
        <v>36</v>
      </c>
      <c r="R236" s="33" t="s">
        <v>3881</v>
      </c>
      <c r="T236" s="8"/>
    </row>
    <row r="237" customFormat="false" ht="13.8" hidden="false" customHeight="false" outlineLevel="0" collapsed="false">
      <c r="A237" s="25" t="s">
        <v>4375</v>
      </c>
      <c r="B237" s="41" t="s">
        <v>3569</v>
      </c>
      <c r="C237" s="8" t="s">
        <v>427</v>
      </c>
      <c r="D237" s="8" t="s">
        <v>3877</v>
      </c>
      <c r="E237" s="0" t="s">
        <v>3878</v>
      </c>
      <c r="F237" s="0" t="s">
        <v>427</v>
      </c>
      <c r="G237" s="0" t="s">
        <v>427</v>
      </c>
      <c r="H237" s="0" t="s">
        <v>427</v>
      </c>
      <c r="I237" s="0" t="s">
        <v>3879</v>
      </c>
      <c r="K237" s="44" t="str">
        <f aca="false">INDEX(libraries!$B:$B, MATCH(B237, libraries!$A:$A, 0), 1)</f>
        <v>sam0459</v>
      </c>
      <c r="L237" s="44" t="n">
        <f aca="false">INDEX(samples!$F:$F, MATCH(K237, samples!$A:$A, 0), 1)</f>
        <v>0</v>
      </c>
      <c r="M237" s="55" t="str">
        <f aca="false">INDEX(samples!$C:$C, MATCH(K237, samples!$A:$A, 0), 1)</f>
        <v>2022-03-29</v>
      </c>
      <c r="N237" s="44" t="str">
        <f aca="false">INDEX(samples!$B:$B, MATCH(K237, samples!$A:$A, 0), 1)</f>
        <v>par0132</v>
      </c>
      <c r="O237" s="44" t="s">
        <v>895</v>
      </c>
      <c r="P237" s="8" t="s">
        <v>3880</v>
      </c>
      <c r="Q237" s="8" t="s">
        <v>36</v>
      </c>
      <c r="R237" s="33" t="s">
        <v>3881</v>
      </c>
      <c r="T237" s="8"/>
    </row>
    <row r="238" customFormat="false" ht="13.8" hidden="false" customHeight="false" outlineLevel="0" collapsed="false">
      <c r="A238" s="25" t="s">
        <v>4376</v>
      </c>
      <c r="B238" s="41" t="s">
        <v>3570</v>
      </c>
      <c r="C238" s="8" t="s">
        <v>427</v>
      </c>
      <c r="D238" s="8" t="s">
        <v>3877</v>
      </c>
      <c r="E238" s="0" t="s">
        <v>3878</v>
      </c>
      <c r="F238" s="0" t="s">
        <v>427</v>
      </c>
      <c r="G238" s="0" t="s">
        <v>427</v>
      </c>
      <c r="H238" s="0" t="s">
        <v>427</v>
      </c>
      <c r="I238" s="0" t="s">
        <v>3879</v>
      </c>
      <c r="K238" s="44" t="str">
        <f aca="false">INDEX(libraries!$B:$B, MATCH(B238, libraries!$A:$A, 0), 1)</f>
        <v>sam0460</v>
      </c>
      <c r="L238" s="44" t="n">
        <f aca="false">INDEX(samples!$F:$F, MATCH(K238, samples!$A:$A, 0), 1)</f>
        <v>0</v>
      </c>
      <c r="M238" s="55" t="str">
        <f aca="false">INDEX(samples!$C:$C, MATCH(K238, samples!$A:$A, 0), 1)</f>
        <v>2021-10-12</v>
      </c>
      <c r="N238" s="44" t="str">
        <f aca="false">INDEX(samples!$B:$B, MATCH(K238, samples!$A:$A, 0), 1)</f>
        <v>par0132</v>
      </c>
      <c r="O238" s="44" t="s">
        <v>895</v>
      </c>
      <c r="P238" s="8" t="s">
        <v>3880</v>
      </c>
      <c r="Q238" s="8" t="s">
        <v>36</v>
      </c>
      <c r="R238" s="33" t="s">
        <v>3881</v>
      </c>
      <c r="T238" s="8"/>
    </row>
    <row r="239" customFormat="false" ht="13.8" hidden="false" customHeight="false" outlineLevel="0" collapsed="false">
      <c r="A239" s="25" t="s">
        <v>4377</v>
      </c>
      <c r="B239" s="41" t="s">
        <v>3571</v>
      </c>
      <c r="C239" s="8" t="s">
        <v>427</v>
      </c>
      <c r="D239" s="8" t="s">
        <v>3877</v>
      </c>
      <c r="E239" s="0" t="s">
        <v>3878</v>
      </c>
      <c r="F239" s="0" t="s">
        <v>427</v>
      </c>
      <c r="G239" s="0" t="s">
        <v>427</v>
      </c>
      <c r="H239" s="0" t="s">
        <v>427</v>
      </c>
      <c r="I239" s="0" t="s">
        <v>3879</v>
      </c>
      <c r="K239" s="44" t="str">
        <f aca="false">INDEX(libraries!$B:$B, MATCH(B239, libraries!$A:$A, 0), 1)</f>
        <v>sam0461</v>
      </c>
      <c r="L239" s="44" t="n">
        <f aca="false">INDEX(samples!$F:$F, MATCH(K239, samples!$A:$A, 0), 1)</f>
        <v>0</v>
      </c>
      <c r="M239" s="55" t="str">
        <f aca="false">INDEX(samples!$C:$C, MATCH(K239, samples!$A:$A, 0), 1)</f>
        <v>2022-02-01</v>
      </c>
      <c r="N239" s="44" t="str">
        <f aca="false">INDEX(samples!$B:$B, MATCH(K239, samples!$A:$A, 0), 1)</f>
        <v>par0148</v>
      </c>
      <c r="O239" s="44" t="s">
        <v>950</v>
      </c>
      <c r="P239" s="8" t="s">
        <v>3880</v>
      </c>
      <c r="Q239" s="8" t="s">
        <v>36</v>
      </c>
      <c r="R239" s="33" t="s">
        <v>3881</v>
      </c>
      <c r="T239" s="8"/>
    </row>
    <row r="240" customFormat="false" ht="13.8" hidden="false" customHeight="false" outlineLevel="0" collapsed="false">
      <c r="A240" s="25" t="s">
        <v>4378</v>
      </c>
      <c r="B240" s="41" t="s">
        <v>3572</v>
      </c>
      <c r="C240" s="8" t="s">
        <v>427</v>
      </c>
      <c r="D240" s="8" t="s">
        <v>3877</v>
      </c>
      <c r="E240" s="0" t="s">
        <v>3878</v>
      </c>
      <c r="F240" s="0" t="s">
        <v>427</v>
      </c>
      <c r="G240" s="0" t="s">
        <v>427</v>
      </c>
      <c r="H240" s="0" t="s">
        <v>427</v>
      </c>
      <c r="I240" s="0" t="s">
        <v>3879</v>
      </c>
      <c r="K240" s="44" t="str">
        <f aca="false">INDEX(libraries!$B:$B, MATCH(B240, libraries!$A:$A, 0), 1)</f>
        <v>sam0462</v>
      </c>
      <c r="L240" s="44" t="n">
        <f aca="false">INDEX(samples!$F:$F, MATCH(K240, samples!$A:$A, 0), 1)</f>
        <v>0</v>
      </c>
      <c r="M240" s="55" t="str">
        <f aca="false">INDEX(samples!$C:$C, MATCH(K240, samples!$A:$A, 0), 1)</f>
        <v>2022-03-29</v>
      </c>
      <c r="N240" s="44" t="str">
        <f aca="false">INDEX(samples!$B:$B, MATCH(K240, samples!$A:$A, 0), 1)</f>
        <v>par0148</v>
      </c>
      <c r="O240" s="44" t="s">
        <v>950</v>
      </c>
      <c r="P240" s="8" t="s">
        <v>3880</v>
      </c>
      <c r="Q240" s="8" t="s">
        <v>36</v>
      </c>
      <c r="R240" s="33" t="s">
        <v>3881</v>
      </c>
      <c r="T240" s="8"/>
    </row>
    <row r="241" customFormat="false" ht="13.8" hidden="false" customHeight="false" outlineLevel="0" collapsed="false">
      <c r="A241" s="25" t="s">
        <v>4379</v>
      </c>
      <c r="B241" s="41" t="s">
        <v>3573</v>
      </c>
      <c r="C241" s="8" t="s">
        <v>427</v>
      </c>
      <c r="D241" s="8" t="s">
        <v>3877</v>
      </c>
      <c r="E241" s="0" t="s">
        <v>3878</v>
      </c>
      <c r="F241" s="0" t="s">
        <v>427</v>
      </c>
      <c r="G241" s="0" t="s">
        <v>427</v>
      </c>
      <c r="H241" s="0" t="s">
        <v>427</v>
      </c>
      <c r="I241" s="0" t="s">
        <v>3879</v>
      </c>
      <c r="K241" s="44" t="str">
        <f aca="false">INDEX(libraries!$B:$B, MATCH(B241, libraries!$A:$A, 0), 1)</f>
        <v>sam0463</v>
      </c>
      <c r="L241" s="44" t="n">
        <f aca="false">INDEX(samples!$F:$F, MATCH(K241, samples!$A:$A, 0), 1)</f>
        <v>0</v>
      </c>
      <c r="M241" s="55" t="str">
        <f aca="false">INDEX(samples!$C:$C, MATCH(K241, samples!$A:$A, 0), 1)</f>
        <v>2022-05-03</v>
      </c>
      <c r="N241" s="44" t="str">
        <f aca="false">INDEX(samples!$B:$B, MATCH(K241, samples!$A:$A, 0), 1)</f>
        <v>par0148</v>
      </c>
      <c r="O241" s="44" t="s">
        <v>950</v>
      </c>
      <c r="P241" s="8" t="s">
        <v>3880</v>
      </c>
      <c r="Q241" s="8" t="s">
        <v>36</v>
      </c>
      <c r="R241" s="33" t="s">
        <v>3881</v>
      </c>
      <c r="T241" s="8"/>
    </row>
    <row r="242" customFormat="false" ht="13.8" hidden="false" customHeight="false" outlineLevel="0" collapsed="false">
      <c r="A242" s="25" t="s">
        <v>4380</v>
      </c>
      <c r="B242" s="41" t="s">
        <v>3574</v>
      </c>
      <c r="C242" s="8" t="s">
        <v>427</v>
      </c>
      <c r="D242" s="8" t="s">
        <v>3877</v>
      </c>
      <c r="E242" s="0" t="s">
        <v>3878</v>
      </c>
      <c r="F242" s="0" t="s">
        <v>427</v>
      </c>
      <c r="G242" s="0" t="s">
        <v>427</v>
      </c>
      <c r="H242" s="0" t="s">
        <v>427</v>
      </c>
      <c r="I242" s="0" t="s">
        <v>3879</v>
      </c>
      <c r="K242" s="44" t="str">
        <f aca="false">INDEX(libraries!$B:$B, MATCH(B242, libraries!$A:$A, 0), 1)</f>
        <v>sam0464</v>
      </c>
      <c r="L242" s="44" t="n">
        <f aca="false">INDEX(samples!$F:$F, MATCH(K242, samples!$A:$A, 0), 1)</f>
        <v>0</v>
      </c>
      <c r="M242" s="55" t="str">
        <f aca="false">INDEX(samples!$C:$C, MATCH(K242, samples!$A:$A, 0), 1)</f>
        <v>2022-08-16</v>
      </c>
      <c r="N242" s="44" t="str">
        <f aca="false">INDEX(samples!$B:$B, MATCH(K242, samples!$A:$A, 0), 1)</f>
        <v>par0148</v>
      </c>
      <c r="O242" s="44" t="s">
        <v>950</v>
      </c>
      <c r="P242" s="8" t="s">
        <v>3880</v>
      </c>
      <c r="Q242" s="8" t="s">
        <v>36</v>
      </c>
      <c r="R242" s="33" t="s">
        <v>3881</v>
      </c>
      <c r="T242" s="8"/>
    </row>
    <row r="243" customFormat="false" ht="13.8" hidden="false" customHeight="false" outlineLevel="0" collapsed="false">
      <c r="A243" s="25" t="s">
        <v>4381</v>
      </c>
      <c r="B243" s="41" t="s">
        <v>3575</v>
      </c>
      <c r="C243" s="8" t="s">
        <v>427</v>
      </c>
      <c r="D243" s="8" t="s">
        <v>3877</v>
      </c>
      <c r="E243" s="0" t="s">
        <v>3878</v>
      </c>
      <c r="F243" s="0" t="s">
        <v>427</v>
      </c>
      <c r="G243" s="0" t="s">
        <v>427</v>
      </c>
      <c r="H243" s="0" t="s">
        <v>427</v>
      </c>
      <c r="I243" s="0" t="s">
        <v>3879</v>
      </c>
      <c r="K243" s="44" t="str">
        <f aca="false">INDEX(libraries!$B:$B, MATCH(B243, libraries!$A:$A, 0), 1)</f>
        <v>sam0465</v>
      </c>
      <c r="L243" s="44" t="n">
        <f aca="false">INDEX(samples!$F:$F, MATCH(K243, samples!$A:$A, 0), 1)</f>
        <v>0</v>
      </c>
      <c r="M243" s="55" t="str">
        <f aca="false">INDEX(samples!$C:$C, MATCH(K243, samples!$A:$A, 0), 1)</f>
        <v>2021-10-12</v>
      </c>
      <c r="N243" s="44" t="str">
        <f aca="false">INDEX(samples!$B:$B, MATCH(K243, samples!$A:$A, 0), 1)</f>
        <v>par0148</v>
      </c>
      <c r="O243" s="44" t="s">
        <v>950</v>
      </c>
      <c r="P243" s="8" t="s">
        <v>3880</v>
      </c>
      <c r="Q243" s="8" t="s">
        <v>36</v>
      </c>
      <c r="R243" s="33" t="s">
        <v>3881</v>
      </c>
      <c r="T243" s="8"/>
    </row>
    <row r="244" customFormat="false" ht="13.8" hidden="false" customHeight="false" outlineLevel="0" collapsed="false">
      <c r="A244" s="25" t="s">
        <v>4382</v>
      </c>
      <c r="B244" s="41" t="s">
        <v>3166</v>
      </c>
      <c r="C244" s="8" t="s">
        <v>427</v>
      </c>
      <c r="D244" s="8" t="s">
        <v>3877</v>
      </c>
      <c r="E244" s="0" t="s">
        <v>3878</v>
      </c>
      <c r="F244" s="0" t="s">
        <v>427</v>
      </c>
      <c r="G244" s="0" t="s">
        <v>427</v>
      </c>
      <c r="H244" s="0" t="s">
        <v>427</v>
      </c>
      <c r="I244" s="0" t="s">
        <v>3879</v>
      </c>
      <c r="K244" s="44" t="str">
        <f aca="false">INDEX(libraries!$B:$B, MATCH(B244, libraries!$A:$A, 0), 1)</f>
        <v>sam0089</v>
      </c>
      <c r="L244" s="44" t="n">
        <f aca="false">INDEX(samples!$F:$F, MATCH(K244, samples!$A:$A, 0), 1)</f>
        <v>0</v>
      </c>
      <c r="M244" s="55" t="str">
        <f aca="false">INDEX(samples!$C:$C, MATCH(K244, samples!$A:$A, 0), 1)</f>
        <v>2018-02-26</v>
      </c>
      <c r="N244" s="44" t="str">
        <f aca="false">INDEX(samples!$B:$B, MATCH(K244, samples!$A:$A, 0), 1)</f>
        <v>par0047</v>
      </c>
      <c r="O244" s="44" t="s">
        <v>651</v>
      </c>
      <c r="P244" s="8" t="s">
        <v>3880</v>
      </c>
      <c r="Q244" s="8" t="s">
        <v>36</v>
      </c>
      <c r="R244" s="33" t="s">
        <v>3881</v>
      </c>
      <c r="T244" s="8"/>
    </row>
    <row r="245" customFormat="false" ht="13.8" hidden="false" customHeight="false" outlineLevel="0" collapsed="false">
      <c r="A245" s="25" t="s">
        <v>4383</v>
      </c>
      <c r="B245" s="41" t="s">
        <v>3725</v>
      </c>
      <c r="C245" s="8" t="s">
        <v>3125</v>
      </c>
      <c r="D245" s="8" t="s">
        <v>3877</v>
      </c>
      <c r="E245" s="0" t="s">
        <v>3878</v>
      </c>
      <c r="F245" s="0" t="s">
        <v>4384</v>
      </c>
      <c r="G245" s="0" t="s">
        <v>4385</v>
      </c>
      <c r="H245" s="0" t="s">
        <v>427</v>
      </c>
      <c r="I245" s="0" t="s">
        <v>3911</v>
      </c>
      <c r="K245" s="44" t="str">
        <f aca="false">INDEX(libraries!$B:$B, MATCH(B245, libraries!$A:$A, 0), 1)</f>
        <v>sam0553</v>
      </c>
      <c r="L245" s="44" t="str">
        <f aca="false">INDEX(samples!$F:$F, MATCH(K245, samples!$A:$A, 0), 1)</f>
        <v>nf1_lib61</v>
      </c>
      <c r="M245" s="55" t="str">
        <f aca="false">INDEX(samples!$C:$C, MATCH(K245, samples!$A:$A, 0), 1)</f>
        <v>2024-11-19</v>
      </c>
      <c r="N245" s="44" t="str">
        <f aca="false">INDEX(samples!$B:$B, MATCH(K245, samples!$A:$A, 0), 1)</f>
        <v>par0237</v>
      </c>
      <c r="O245" s="44" t="s">
        <v>1232</v>
      </c>
      <c r="P245" s="8" t="s">
        <v>3880</v>
      </c>
      <c r="Q245" s="8" t="s">
        <v>4386</v>
      </c>
      <c r="R245" s="8" t="s">
        <v>3893</v>
      </c>
      <c r="T245" s="8"/>
    </row>
    <row r="246" customFormat="false" ht="13.8" hidden="false" customHeight="false" outlineLevel="0" collapsed="false">
      <c r="A246" s="25" t="s">
        <v>4387</v>
      </c>
      <c r="B246" s="41" t="s">
        <v>3576</v>
      </c>
      <c r="C246" s="8" t="s">
        <v>427</v>
      </c>
      <c r="D246" s="8" t="s">
        <v>3877</v>
      </c>
      <c r="E246" s="0" t="s">
        <v>3878</v>
      </c>
      <c r="F246" s="0" t="s">
        <v>427</v>
      </c>
      <c r="G246" s="0" t="s">
        <v>427</v>
      </c>
      <c r="H246" s="0" t="s">
        <v>427</v>
      </c>
      <c r="I246" s="0" t="s">
        <v>3879</v>
      </c>
      <c r="K246" s="44" t="str">
        <f aca="false">INDEX(libraries!$B:$B, MATCH(B246, libraries!$A:$A, 0), 1)</f>
        <v>sam0374</v>
      </c>
      <c r="L246" s="44" t="n">
        <f aca="false">INDEX(samples!$F:$F, MATCH(K246, samples!$A:$A, 0), 1)</f>
        <v>0</v>
      </c>
      <c r="M246" s="55" t="str">
        <f aca="false">INDEX(samples!$C:$C, MATCH(K246, samples!$A:$A, 0), 1)</f>
        <v>2021-01-19</v>
      </c>
      <c r="N246" s="44" t="str">
        <f aca="false">INDEX(samples!$B:$B, MATCH(K246, samples!$A:$A, 0), 1)</f>
        <v>par0204</v>
      </c>
      <c r="O246" s="44" t="s">
        <v>1091</v>
      </c>
      <c r="P246" s="8" t="s">
        <v>3880</v>
      </c>
      <c r="Q246" s="8" t="s">
        <v>36</v>
      </c>
      <c r="R246" s="33" t="s">
        <v>3881</v>
      </c>
      <c r="T246" s="8"/>
    </row>
    <row r="247" customFormat="false" ht="13.8" hidden="false" customHeight="false" outlineLevel="0" collapsed="false">
      <c r="A247" s="25" t="s">
        <v>4388</v>
      </c>
      <c r="B247" s="41" t="s">
        <v>3577</v>
      </c>
      <c r="C247" s="8" t="s">
        <v>427</v>
      </c>
      <c r="D247" s="8" t="s">
        <v>3877</v>
      </c>
      <c r="E247" s="0" t="s">
        <v>3878</v>
      </c>
      <c r="F247" s="0" t="s">
        <v>427</v>
      </c>
      <c r="G247" s="0" t="s">
        <v>427</v>
      </c>
      <c r="H247" s="0" t="s">
        <v>427</v>
      </c>
      <c r="I247" s="0" t="s">
        <v>3879</v>
      </c>
      <c r="K247" s="44" t="str">
        <f aca="false">INDEX(libraries!$B:$B, MATCH(B247, libraries!$A:$A, 0), 1)</f>
        <v>sam0375</v>
      </c>
      <c r="L247" s="44" t="n">
        <f aca="false">INDEX(samples!$F:$F, MATCH(K247, samples!$A:$A, 0), 1)</f>
        <v>0</v>
      </c>
      <c r="M247" s="55" t="str">
        <f aca="false">INDEX(samples!$C:$C, MATCH(K247, samples!$A:$A, 0), 1)</f>
        <v>2022-03-08</v>
      </c>
      <c r="N247" s="44" t="str">
        <f aca="false">INDEX(samples!$B:$B, MATCH(K247, samples!$A:$A, 0), 1)</f>
        <v>par0204</v>
      </c>
      <c r="O247" s="44" t="s">
        <v>1091</v>
      </c>
      <c r="P247" s="8" t="s">
        <v>3880</v>
      </c>
      <c r="Q247" s="8" t="s">
        <v>36</v>
      </c>
      <c r="R247" s="33" t="s">
        <v>3881</v>
      </c>
      <c r="T247" s="8"/>
    </row>
    <row r="248" customFormat="false" ht="13.8" hidden="false" customHeight="false" outlineLevel="0" collapsed="false">
      <c r="A248" s="25" t="s">
        <v>4389</v>
      </c>
      <c r="B248" s="41" t="s">
        <v>3578</v>
      </c>
      <c r="C248" s="8" t="s">
        <v>427</v>
      </c>
      <c r="D248" s="8" t="s">
        <v>3877</v>
      </c>
      <c r="E248" s="0" t="s">
        <v>3878</v>
      </c>
      <c r="F248" s="0" t="s">
        <v>427</v>
      </c>
      <c r="G248" s="0" t="s">
        <v>427</v>
      </c>
      <c r="H248" s="0" t="s">
        <v>427</v>
      </c>
      <c r="I248" s="0" t="s">
        <v>3879</v>
      </c>
      <c r="K248" s="44" t="str">
        <f aca="false">INDEX(libraries!$B:$B, MATCH(B248, libraries!$A:$A, 0), 1)</f>
        <v>sam0376</v>
      </c>
      <c r="L248" s="44" t="n">
        <f aca="false">INDEX(samples!$F:$F, MATCH(K248, samples!$A:$A, 0), 1)</f>
        <v>0</v>
      </c>
      <c r="M248" s="55" t="str">
        <f aca="false">INDEX(samples!$C:$C, MATCH(K248, samples!$A:$A, 0), 1)</f>
        <v>2022-05-10</v>
      </c>
      <c r="N248" s="44" t="str">
        <f aca="false">INDEX(samples!$B:$B, MATCH(K248, samples!$A:$A, 0), 1)</f>
        <v>par0204</v>
      </c>
      <c r="O248" s="44" t="s">
        <v>1091</v>
      </c>
      <c r="P248" s="8" t="s">
        <v>3880</v>
      </c>
      <c r="Q248" s="8" t="s">
        <v>36</v>
      </c>
      <c r="R248" s="33" t="s">
        <v>3881</v>
      </c>
      <c r="T248" s="8"/>
    </row>
    <row r="249" customFormat="false" ht="13.8" hidden="false" customHeight="false" outlineLevel="0" collapsed="false">
      <c r="A249" s="25" t="s">
        <v>4390</v>
      </c>
      <c r="B249" s="41" t="s">
        <v>3579</v>
      </c>
      <c r="C249" s="8" t="s">
        <v>427</v>
      </c>
      <c r="D249" s="8" t="s">
        <v>3877</v>
      </c>
      <c r="E249" s="0" t="s">
        <v>3878</v>
      </c>
      <c r="F249" s="0" t="s">
        <v>427</v>
      </c>
      <c r="G249" s="0" t="s">
        <v>427</v>
      </c>
      <c r="H249" s="0" t="s">
        <v>427</v>
      </c>
      <c r="I249" s="0" t="s">
        <v>3879</v>
      </c>
      <c r="K249" s="44" t="str">
        <f aca="false">INDEX(libraries!$B:$B, MATCH(B249, libraries!$A:$A, 0), 1)</f>
        <v>sam0377</v>
      </c>
      <c r="L249" s="44" t="n">
        <f aca="false">INDEX(samples!$F:$F, MATCH(K249, samples!$A:$A, 0), 1)</f>
        <v>0</v>
      </c>
      <c r="M249" s="55" t="str">
        <f aca="false">INDEX(samples!$C:$C, MATCH(K249, samples!$A:$A, 0), 1)</f>
        <v>2020-07-14</v>
      </c>
      <c r="N249" s="44" t="str">
        <f aca="false">INDEX(samples!$B:$B, MATCH(K249, samples!$A:$A, 0), 1)</f>
        <v>par0204</v>
      </c>
      <c r="O249" s="44" t="s">
        <v>1091</v>
      </c>
      <c r="P249" s="8" t="s">
        <v>3880</v>
      </c>
      <c r="Q249" s="8" t="s">
        <v>36</v>
      </c>
      <c r="R249" s="33" t="s">
        <v>3881</v>
      </c>
      <c r="T249" s="8"/>
    </row>
    <row r="250" customFormat="false" ht="13.8" hidden="false" customHeight="false" outlineLevel="0" collapsed="false">
      <c r="A250" s="25" t="s">
        <v>4391</v>
      </c>
      <c r="B250" s="41" t="s">
        <v>3580</v>
      </c>
      <c r="C250" s="8" t="s">
        <v>427</v>
      </c>
      <c r="D250" s="8" t="s">
        <v>3877</v>
      </c>
      <c r="E250" s="0" t="s">
        <v>3878</v>
      </c>
      <c r="F250" s="0" t="s">
        <v>427</v>
      </c>
      <c r="G250" s="0" t="s">
        <v>427</v>
      </c>
      <c r="H250" s="0" t="s">
        <v>427</v>
      </c>
      <c r="I250" s="0" t="s">
        <v>3879</v>
      </c>
      <c r="K250" s="44" t="str">
        <f aca="false">INDEX(libraries!$B:$B, MATCH(B250, libraries!$A:$A, 0), 1)</f>
        <v>sam0378</v>
      </c>
      <c r="L250" s="44" t="n">
        <f aca="false">INDEX(samples!$F:$F, MATCH(K250, samples!$A:$A, 0), 1)</f>
        <v>0</v>
      </c>
      <c r="M250" s="55" t="str">
        <f aca="false">INDEX(samples!$C:$C, MATCH(K250, samples!$A:$A, 0), 1)</f>
        <v>2021-09-12</v>
      </c>
      <c r="N250" s="44" t="str">
        <f aca="false">INDEX(samples!$B:$B, MATCH(K250, samples!$A:$A, 0), 1)</f>
        <v>par0204</v>
      </c>
      <c r="O250" s="44" t="s">
        <v>1091</v>
      </c>
      <c r="P250" s="8" t="s">
        <v>3880</v>
      </c>
      <c r="Q250" s="8" t="s">
        <v>36</v>
      </c>
      <c r="R250" s="33" t="s">
        <v>3881</v>
      </c>
      <c r="T250" s="8"/>
    </row>
    <row r="251" customFormat="false" ht="13.8" hidden="false" customHeight="false" outlineLevel="0" collapsed="false">
      <c r="A251" s="25" t="s">
        <v>4392</v>
      </c>
      <c r="B251" s="41" t="s">
        <v>3581</v>
      </c>
      <c r="C251" s="8" t="s">
        <v>427</v>
      </c>
      <c r="D251" s="8" t="s">
        <v>3877</v>
      </c>
      <c r="E251" s="0" t="s">
        <v>3878</v>
      </c>
      <c r="F251" s="0" t="s">
        <v>427</v>
      </c>
      <c r="G251" s="0" t="s">
        <v>427</v>
      </c>
      <c r="H251" s="0" t="s">
        <v>427</v>
      </c>
      <c r="I251" s="0" t="s">
        <v>3879</v>
      </c>
      <c r="K251" s="44" t="str">
        <f aca="false">INDEX(libraries!$B:$B, MATCH(B251, libraries!$A:$A, 0), 1)</f>
        <v>sam0466</v>
      </c>
      <c r="L251" s="44" t="n">
        <f aca="false">INDEX(samples!$F:$F, MATCH(K251, samples!$A:$A, 0), 1)</f>
        <v>0</v>
      </c>
      <c r="M251" s="55" t="str">
        <f aca="false">INDEX(samples!$C:$C, MATCH(K251, samples!$A:$A, 0), 1)</f>
        <v>2022-09-27</v>
      </c>
      <c r="N251" s="44" t="str">
        <f aca="false">INDEX(samples!$B:$B, MATCH(K251, samples!$A:$A, 0), 1)</f>
        <v>par0232</v>
      </c>
      <c r="O251" s="44" t="s">
        <v>1209</v>
      </c>
      <c r="P251" s="8" t="s">
        <v>3880</v>
      </c>
      <c r="Q251" s="8" t="s">
        <v>36</v>
      </c>
      <c r="R251" s="33" t="s">
        <v>3881</v>
      </c>
      <c r="T251" s="8"/>
    </row>
    <row r="252" customFormat="false" ht="13.8" hidden="false" customHeight="false" outlineLevel="0" collapsed="false">
      <c r="A252" s="25" t="s">
        <v>4393</v>
      </c>
      <c r="B252" s="41" t="s">
        <v>3582</v>
      </c>
      <c r="C252" s="8" t="s">
        <v>427</v>
      </c>
      <c r="D252" s="8" t="s">
        <v>3877</v>
      </c>
      <c r="E252" s="0" t="s">
        <v>3878</v>
      </c>
      <c r="F252" s="0" t="s">
        <v>427</v>
      </c>
      <c r="G252" s="0" t="s">
        <v>427</v>
      </c>
      <c r="H252" s="0" t="s">
        <v>427</v>
      </c>
      <c r="I252" s="0" t="s">
        <v>3879</v>
      </c>
      <c r="K252" s="44" t="str">
        <f aca="false">INDEX(libraries!$B:$B, MATCH(B252, libraries!$A:$A, 0), 1)</f>
        <v>sam0467</v>
      </c>
      <c r="L252" s="44" t="n">
        <f aca="false">INDEX(samples!$F:$F, MATCH(K252, samples!$A:$A, 0), 1)</f>
        <v>0</v>
      </c>
      <c r="M252" s="55" t="str">
        <f aca="false">INDEX(samples!$C:$C, MATCH(K252, samples!$A:$A, 0), 1)</f>
        <v>2022-08-11</v>
      </c>
      <c r="N252" s="44" t="str">
        <f aca="false">INDEX(samples!$B:$B, MATCH(K252, samples!$A:$A, 0), 1)</f>
        <v>par0250</v>
      </c>
      <c r="O252" s="44" t="s">
        <v>1280</v>
      </c>
      <c r="P252" s="8" t="s">
        <v>3880</v>
      </c>
      <c r="Q252" s="8" t="s">
        <v>36</v>
      </c>
      <c r="R252" s="33" t="s">
        <v>3881</v>
      </c>
      <c r="T252" s="8"/>
    </row>
    <row r="253" customFormat="false" ht="13.8" hidden="false" customHeight="false" outlineLevel="0" collapsed="false">
      <c r="A253" s="25" t="s">
        <v>4394</v>
      </c>
      <c r="B253" s="41" t="s">
        <v>3583</v>
      </c>
      <c r="C253" s="8" t="s">
        <v>427</v>
      </c>
      <c r="D253" s="8" t="s">
        <v>3877</v>
      </c>
      <c r="E253" s="0" t="s">
        <v>3878</v>
      </c>
      <c r="F253" s="0" t="s">
        <v>427</v>
      </c>
      <c r="G253" s="0" t="s">
        <v>427</v>
      </c>
      <c r="H253" s="0" t="s">
        <v>427</v>
      </c>
      <c r="I253" s="0" t="s">
        <v>3879</v>
      </c>
      <c r="K253" s="44" t="str">
        <f aca="false">INDEX(libraries!$B:$B, MATCH(B253, libraries!$A:$A, 0), 1)</f>
        <v>sam0381</v>
      </c>
      <c r="L253" s="44" t="str">
        <f aca="false">INDEX(samples!$F:$F, MATCH(K253, samples!$A:$A, 0), 1)</f>
        <v>nf1_lib58</v>
      </c>
      <c r="M253" s="55" t="str">
        <f aca="false">INDEX(samples!$C:$C, MATCH(K253, samples!$A:$A, 0), 1)</f>
        <v>2022-09-13</v>
      </c>
      <c r="N253" s="44" t="str">
        <f aca="false">INDEX(samples!$B:$B, MATCH(K253, samples!$A:$A, 0), 1)</f>
        <v>par0233</v>
      </c>
      <c r="O253" s="44" t="s">
        <v>1214</v>
      </c>
      <c r="P253" s="8" t="s">
        <v>3880</v>
      </c>
      <c r="Q253" s="8" t="s">
        <v>36</v>
      </c>
      <c r="R253" s="33" t="s">
        <v>3881</v>
      </c>
      <c r="T253" s="8"/>
    </row>
    <row r="254" customFormat="false" ht="13.8" hidden="false" customHeight="false" outlineLevel="0" collapsed="false">
      <c r="A254" s="25" t="s">
        <v>4395</v>
      </c>
      <c r="B254" s="41" t="s">
        <v>3584</v>
      </c>
      <c r="C254" s="8" t="s">
        <v>427</v>
      </c>
      <c r="D254" s="8" t="s">
        <v>3877</v>
      </c>
      <c r="E254" s="0" t="s">
        <v>3878</v>
      </c>
      <c r="F254" s="0" t="s">
        <v>427</v>
      </c>
      <c r="G254" s="0" t="s">
        <v>427</v>
      </c>
      <c r="H254" s="0" t="s">
        <v>427</v>
      </c>
      <c r="I254" s="0" t="s">
        <v>3879</v>
      </c>
      <c r="K254" s="44" t="str">
        <f aca="false">INDEX(libraries!$B:$B, MATCH(B254, libraries!$A:$A, 0), 1)</f>
        <v>sam0382</v>
      </c>
      <c r="L254" s="44" t="str">
        <f aca="false">INDEX(samples!$F:$F, MATCH(K254, samples!$A:$A, 0), 1)</f>
        <v>nf1_lib57</v>
      </c>
      <c r="M254" s="55" t="str">
        <f aca="false">INDEX(samples!$C:$C, MATCH(K254, samples!$A:$A, 0), 1)</f>
        <v>2021-12-28</v>
      </c>
      <c r="N254" s="44" t="str">
        <f aca="false">INDEX(samples!$B:$B, MATCH(K254, samples!$A:$A, 0), 1)</f>
        <v>par0233</v>
      </c>
      <c r="O254" s="44" t="s">
        <v>1214</v>
      </c>
      <c r="P254" s="8" t="s">
        <v>3880</v>
      </c>
      <c r="Q254" s="8" t="s">
        <v>36</v>
      </c>
      <c r="R254" s="33" t="s">
        <v>3881</v>
      </c>
      <c r="T254" s="8"/>
    </row>
    <row r="255" customFormat="false" ht="13.8" hidden="false" customHeight="false" outlineLevel="0" collapsed="false">
      <c r="A255" s="25" t="s">
        <v>4396</v>
      </c>
      <c r="B255" s="41" t="s">
        <v>3585</v>
      </c>
      <c r="C255" s="8" t="s">
        <v>427</v>
      </c>
      <c r="D255" s="8" t="s">
        <v>3877</v>
      </c>
      <c r="E255" s="0" t="s">
        <v>3878</v>
      </c>
      <c r="F255" s="0" t="s">
        <v>427</v>
      </c>
      <c r="G255" s="0" t="s">
        <v>427</v>
      </c>
      <c r="H255" s="0" t="s">
        <v>427</v>
      </c>
      <c r="I255" s="0" t="s">
        <v>3879</v>
      </c>
      <c r="K255" s="44" t="str">
        <f aca="false">INDEX(libraries!$B:$B, MATCH(B255, libraries!$A:$A, 0), 1)</f>
        <v>sam0383</v>
      </c>
      <c r="L255" s="44" t="n">
        <f aca="false">INDEX(samples!$F:$F, MATCH(K255, samples!$A:$A, 0), 1)</f>
        <v>0</v>
      </c>
      <c r="M255" s="55" t="str">
        <f aca="false">INDEX(samples!$C:$C, MATCH(K255, samples!$A:$A, 0), 1)</f>
        <v>2021-10-21</v>
      </c>
      <c r="N255" s="44" t="str">
        <f aca="false">INDEX(samples!$B:$B, MATCH(K255, samples!$A:$A, 0), 1)</f>
        <v>par0206</v>
      </c>
      <c r="O255" s="44" t="s">
        <v>1099</v>
      </c>
      <c r="P255" s="8" t="s">
        <v>3880</v>
      </c>
      <c r="Q255" s="8" t="s">
        <v>36</v>
      </c>
      <c r="R255" s="33" t="s">
        <v>3881</v>
      </c>
      <c r="T255" s="8"/>
    </row>
    <row r="256" customFormat="false" ht="13.8" hidden="false" customHeight="false" outlineLevel="0" collapsed="false">
      <c r="A256" s="25" t="s">
        <v>4397</v>
      </c>
      <c r="B256" s="41" t="s">
        <v>3586</v>
      </c>
      <c r="C256" s="8" t="s">
        <v>427</v>
      </c>
      <c r="D256" s="8" t="s">
        <v>3877</v>
      </c>
      <c r="E256" s="0" t="s">
        <v>3878</v>
      </c>
      <c r="F256" s="0" t="s">
        <v>427</v>
      </c>
      <c r="G256" s="0" t="s">
        <v>427</v>
      </c>
      <c r="H256" s="0" t="s">
        <v>427</v>
      </c>
      <c r="I256" s="0" t="s">
        <v>3879</v>
      </c>
      <c r="K256" s="44" t="str">
        <f aca="false">INDEX(libraries!$B:$B, MATCH(B256, libraries!$A:$A, 0), 1)</f>
        <v>sam0468</v>
      </c>
      <c r="L256" s="44" t="n">
        <f aca="false">INDEX(samples!$F:$F, MATCH(K256, samples!$A:$A, 0), 1)</f>
        <v>0</v>
      </c>
      <c r="M256" s="55" t="str">
        <f aca="false">INDEX(samples!$C:$C, MATCH(K256, samples!$A:$A, 0), 1)</f>
        <v>2021-07-20</v>
      </c>
      <c r="N256" s="44" t="str">
        <f aca="false">INDEX(samples!$B:$B, MATCH(K256, samples!$A:$A, 0), 1)</f>
        <v>par0252</v>
      </c>
      <c r="O256" s="44" t="s">
        <v>1285</v>
      </c>
      <c r="P256" s="8" t="s">
        <v>3880</v>
      </c>
      <c r="Q256" s="8" t="s">
        <v>36</v>
      </c>
      <c r="R256" s="33" t="s">
        <v>3881</v>
      </c>
      <c r="T256" s="8"/>
    </row>
    <row r="257" customFormat="false" ht="13.8" hidden="false" customHeight="false" outlineLevel="0" collapsed="false">
      <c r="A257" s="25" t="s">
        <v>4398</v>
      </c>
      <c r="B257" s="41" t="s">
        <v>3186</v>
      </c>
      <c r="C257" s="8" t="s">
        <v>427</v>
      </c>
      <c r="D257" s="8" t="s">
        <v>3877</v>
      </c>
      <c r="E257" s="0" t="s">
        <v>3878</v>
      </c>
      <c r="F257" s="0" t="s">
        <v>427</v>
      </c>
      <c r="G257" s="0" t="s">
        <v>427</v>
      </c>
      <c r="H257" s="0" t="s">
        <v>427</v>
      </c>
      <c r="I257" s="0" t="s">
        <v>3879</v>
      </c>
      <c r="K257" s="44" t="str">
        <f aca="false">INDEX(libraries!$B:$B, MATCH(B257, libraries!$A:$A, 0), 1)</f>
        <v>sam0090</v>
      </c>
      <c r="L257" s="44" t="n">
        <f aca="false">INDEX(samples!$F:$F, MATCH(K257, samples!$A:$A, 0), 1)</f>
        <v>0</v>
      </c>
      <c r="M257" s="55" t="str">
        <f aca="false">INDEX(samples!$C:$C, MATCH(K257, samples!$A:$A, 0), 1)</f>
        <v>2018-03-05</v>
      </c>
      <c r="N257" s="44" t="str">
        <f aca="false">INDEX(samples!$B:$B, MATCH(K257, samples!$A:$A, 0), 1)</f>
        <v>par0048</v>
      </c>
      <c r="O257" s="44" t="s">
        <v>655</v>
      </c>
      <c r="P257" s="8" t="s">
        <v>3880</v>
      </c>
      <c r="Q257" s="8" t="s">
        <v>36</v>
      </c>
      <c r="R257" s="33" t="s">
        <v>3881</v>
      </c>
      <c r="T257" s="8"/>
    </row>
    <row r="258" customFormat="false" ht="13.8" hidden="false" customHeight="false" outlineLevel="0" collapsed="false">
      <c r="A258" s="25" t="s">
        <v>4399</v>
      </c>
      <c r="B258" s="41" t="s">
        <v>3726</v>
      </c>
      <c r="C258" s="8" t="s">
        <v>3125</v>
      </c>
      <c r="D258" s="8" t="s">
        <v>3877</v>
      </c>
      <c r="E258" s="0" t="s">
        <v>3878</v>
      </c>
      <c r="F258" s="0" t="s">
        <v>4400</v>
      </c>
      <c r="G258" s="0" t="s">
        <v>4401</v>
      </c>
      <c r="H258" s="0" t="s">
        <v>427</v>
      </c>
      <c r="I258" s="0" t="s">
        <v>3911</v>
      </c>
      <c r="K258" s="44" t="str">
        <f aca="false">INDEX(libraries!$B:$B, MATCH(B258, libraries!$A:$A, 0), 1)</f>
        <v>sam0554</v>
      </c>
      <c r="L258" s="44" t="str">
        <f aca="false">INDEX(samples!$F:$F, MATCH(K258, samples!$A:$A, 0), 1)</f>
        <v>nf1_lib62</v>
      </c>
      <c r="M258" s="55" t="str">
        <f aca="false">INDEX(samples!$C:$C, MATCH(K258, samples!$A:$A, 0), 1)</f>
        <v>2025-02-25</v>
      </c>
      <c r="N258" s="44" t="str">
        <f aca="false">INDEX(samples!$B:$B, MATCH(K258, samples!$A:$A, 0), 1)</f>
        <v>par0249</v>
      </c>
      <c r="O258" s="44" t="s">
        <v>1276</v>
      </c>
      <c r="P258" s="8" t="s">
        <v>3880</v>
      </c>
      <c r="Q258" s="8" t="s">
        <v>4402</v>
      </c>
      <c r="R258" s="8" t="s">
        <v>3893</v>
      </c>
      <c r="T258" s="8"/>
    </row>
    <row r="259" customFormat="false" ht="13.8" hidden="false" customHeight="false" outlineLevel="0" collapsed="false">
      <c r="A259" s="25" t="s">
        <v>4403</v>
      </c>
      <c r="B259" s="41" t="s">
        <v>3587</v>
      </c>
      <c r="C259" s="8" t="s">
        <v>427</v>
      </c>
      <c r="D259" s="8" t="s">
        <v>3877</v>
      </c>
      <c r="E259" s="0" t="s">
        <v>3878</v>
      </c>
      <c r="F259" s="0" t="s">
        <v>427</v>
      </c>
      <c r="G259" s="0" t="s">
        <v>427</v>
      </c>
      <c r="H259" s="0" t="s">
        <v>427</v>
      </c>
      <c r="I259" s="0" t="s">
        <v>3879</v>
      </c>
      <c r="K259" s="44" t="str">
        <f aca="false">INDEX(libraries!$B:$B, MATCH(B259, libraries!$A:$A, 0), 1)</f>
        <v>sam0385</v>
      </c>
      <c r="L259" s="44" t="n">
        <f aca="false">INDEX(samples!$F:$F, MATCH(K259, samples!$A:$A, 0), 1)</f>
        <v>0</v>
      </c>
      <c r="M259" s="55" t="str">
        <f aca="false">INDEX(samples!$C:$C, MATCH(K259, samples!$A:$A, 0), 1)</f>
        <v>2022-09-27</v>
      </c>
      <c r="N259" s="44" t="str">
        <f aca="false">INDEX(samples!$B:$B, MATCH(K259, samples!$A:$A, 0), 1)</f>
        <v>par0236</v>
      </c>
      <c r="O259" s="44" t="s">
        <v>1228</v>
      </c>
      <c r="P259" s="8" t="s">
        <v>3880</v>
      </c>
      <c r="Q259" s="8" t="s">
        <v>36</v>
      </c>
      <c r="R259" s="33" t="s">
        <v>3881</v>
      </c>
      <c r="T259" s="8"/>
    </row>
    <row r="260" customFormat="false" ht="13.8" hidden="false" customHeight="false" outlineLevel="0" collapsed="false">
      <c r="A260" s="25" t="s">
        <v>4404</v>
      </c>
      <c r="B260" s="41" t="s">
        <v>3782</v>
      </c>
      <c r="C260" s="33" t="s">
        <v>3110</v>
      </c>
      <c r="D260" s="33" t="s">
        <v>3877</v>
      </c>
      <c r="E260" s="0" t="s">
        <v>4088</v>
      </c>
      <c r="F260" s="0" t="s">
        <v>427</v>
      </c>
      <c r="G260" s="0" t="s">
        <v>427</v>
      </c>
      <c r="H260" s="0" t="s">
        <v>4089</v>
      </c>
      <c r="I260" s="0" t="s">
        <v>4090</v>
      </c>
      <c r="K260" s="44" t="str">
        <f aca="false">INDEX(libraries!$B:$B, MATCH(B260, libraries!$A:$A, 0), 1)</f>
        <v>sam0609</v>
      </c>
      <c r="L260" s="44" t="n">
        <f aca="false">INDEX(samples!$F:$F, MATCH(K260, samples!$A:$A, 0), 1)</f>
        <v>0</v>
      </c>
      <c r="M260" s="55" t="str">
        <f aca="false">INDEX(samples!$C:$C, MATCH(K260, samples!$A:$A, 0), 1)</f>
        <v>1899-12-30</v>
      </c>
      <c r="N260" s="44" t="str">
        <f aca="false">INDEX(samples!$B:$B, MATCH(K260, samples!$A:$A, 0), 1)</f>
        <v>par0212</v>
      </c>
      <c r="P260" s="0" t="s">
        <v>3880</v>
      </c>
      <c r="T260" s="8"/>
    </row>
    <row r="261" customFormat="false" ht="13.8" hidden="false" customHeight="false" outlineLevel="0" collapsed="false">
      <c r="A261" s="25" t="s">
        <v>4405</v>
      </c>
      <c r="B261" s="41" t="s">
        <v>3782</v>
      </c>
      <c r="C261" s="33" t="s">
        <v>3110</v>
      </c>
      <c r="D261" s="33" t="s">
        <v>3877</v>
      </c>
      <c r="E261" s="0" t="s">
        <v>4088</v>
      </c>
      <c r="F261" s="0" t="s">
        <v>427</v>
      </c>
      <c r="G261" s="0" t="s">
        <v>427</v>
      </c>
      <c r="H261" s="0" t="s">
        <v>4089</v>
      </c>
      <c r="I261" s="0" t="s">
        <v>4090</v>
      </c>
      <c r="K261" s="44" t="str">
        <f aca="false">INDEX(libraries!$B:$B, MATCH(B261, libraries!$A:$A, 0), 1)</f>
        <v>sam0609</v>
      </c>
      <c r="L261" s="44" t="n">
        <f aca="false">INDEX(samples!$F:$F, MATCH(K261, samples!$A:$A, 0), 1)</f>
        <v>0</v>
      </c>
      <c r="M261" s="55" t="str">
        <f aca="false">INDEX(samples!$C:$C, MATCH(K261, samples!$A:$A, 0), 1)</f>
        <v>1899-12-30</v>
      </c>
      <c r="N261" s="44" t="str">
        <f aca="false">INDEX(samples!$B:$B, MATCH(K261, samples!$A:$A, 0), 1)</f>
        <v>par0212</v>
      </c>
      <c r="P261" s="0" t="s">
        <v>3880</v>
      </c>
      <c r="T261" s="8"/>
    </row>
    <row r="262" customFormat="false" ht="13.8" hidden="false" customHeight="false" outlineLevel="0" collapsed="false">
      <c r="A262" s="25" t="s">
        <v>4406</v>
      </c>
      <c r="B262" s="41" t="s">
        <v>3782</v>
      </c>
      <c r="C262" s="33" t="s">
        <v>3110</v>
      </c>
      <c r="D262" s="33" t="s">
        <v>3877</v>
      </c>
      <c r="E262" s="0" t="s">
        <v>4088</v>
      </c>
      <c r="F262" s="0" t="s">
        <v>427</v>
      </c>
      <c r="G262" s="0" t="s">
        <v>427</v>
      </c>
      <c r="H262" s="0" t="s">
        <v>4089</v>
      </c>
      <c r="I262" s="0" t="s">
        <v>4090</v>
      </c>
      <c r="K262" s="44" t="str">
        <f aca="false">INDEX(libraries!$B:$B, MATCH(B262, libraries!$A:$A, 0), 1)</f>
        <v>sam0609</v>
      </c>
      <c r="L262" s="44" t="n">
        <f aca="false">INDEX(samples!$F:$F, MATCH(K262, samples!$A:$A, 0), 1)</f>
        <v>0</v>
      </c>
      <c r="M262" s="55" t="str">
        <f aca="false">INDEX(samples!$C:$C, MATCH(K262, samples!$A:$A, 0), 1)</f>
        <v>1899-12-30</v>
      </c>
      <c r="N262" s="44" t="str">
        <f aca="false">INDEX(samples!$B:$B, MATCH(K262, samples!$A:$A, 0), 1)</f>
        <v>par0212</v>
      </c>
      <c r="P262" s="0" t="s">
        <v>3880</v>
      </c>
      <c r="T262" s="8"/>
    </row>
    <row r="263" customFormat="false" ht="13.8" hidden="false" customHeight="false" outlineLevel="0" collapsed="false">
      <c r="A263" s="25" t="s">
        <v>4407</v>
      </c>
      <c r="B263" s="41" t="s">
        <v>3782</v>
      </c>
      <c r="C263" s="33" t="s">
        <v>3110</v>
      </c>
      <c r="D263" s="33" t="s">
        <v>3877</v>
      </c>
      <c r="E263" s="0" t="s">
        <v>4088</v>
      </c>
      <c r="F263" s="0" t="s">
        <v>427</v>
      </c>
      <c r="G263" s="0" t="s">
        <v>427</v>
      </c>
      <c r="H263" s="0" t="s">
        <v>4089</v>
      </c>
      <c r="I263" s="0" t="s">
        <v>4090</v>
      </c>
      <c r="K263" s="44" t="str">
        <f aca="false">INDEX(libraries!$B:$B, MATCH(B263, libraries!$A:$A, 0), 1)</f>
        <v>sam0609</v>
      </c>
      <c r="L263" s="44" t="n">
        <f aca="false">INDEX(samples!$F:$F, MATCH(K263, samples!$A:$A, 0), 1)</f>
        <v>0</v>
      </c>
      <c r="M263" s="55" t="str">
        <f aca="false">INDEX(samples!$C:$C, MATCH(K263, samples!$A:$A, 0), 1)</f>
        <v>1899-12-30</v>
      </c>
      <c r="N263" s="44" t="str">
        <f aca="false">INDEX(samples!$B:$B, MATCH(K263, samples!$A:$A, 0), 1)</f>
        <v>par0212</v>
      </c>
      <c r="P263" s="0" t="s">
        <v>3880</v>
      </c>
      <c r="T263" s="8"/>
    </row>
    <row r="264" customFormat="false" ht="13.8" hidden="false" customHeight="false" outlineLevel="0" collapsed="false">
      <c r="A264" s="25" t="s">
        <v>4408</v>
      </c>
      <c r="B264" s="41" t="s">
        <v>3781</v>
      </c>
      <c r="C264" s="33" t="s">
        <v>3110</v>
      </c>
      <c r="D264" s="33" t="s">
        <v>3877</v>
      </c>
      <c r="E264" s="0" t="s">
        <v>4088</v>
      </c>
      <c r="F264" s="0" t="s">
        <v>427</v>
      </c>
      <c r="G264" s="0" t="s">
        <v>427</v>
      </c>
      <c r="H264" s="0" t="s">
        <v>4089</v>
      </c>
      <c r="I264" s="0" t="s">
        <v>4090</v>
      </c>
      <c r="K264" s="44" t="str">
        <f aca="false">INDEX(libraries!$B:$B, MATCH(B264, libraries!$A:$A, 0), 1)</f>
        <v>sam0608</v>
      </c>
      <c r="L264" s="44" t="n">
        <f aca="false">INDEX(samples!$F:$F, MATCH(K264, samples!$A:$A, 0), 1)</f>
        <v>0</v>
      </c>
      <c r="M264" s="55" t="str">
        <f aca="false">INDEX(samples!$C:$C, MATCH(K264, samples!$A:$A, 0), 1)</f>
        <v>1899-12-30</v>
      </c>
      <c r="N264" s="44" t="str">
        <f aca="false">INDEX(samples!$B:$B, MATCH(K264, samples!$A:$A, 0), 1)</f>
        <v>par0212</v>
      </c>
      <c r="P264" s="0" t="s">
        <v>3880</v>
      </c>
      <c r="T264" s="8"/>
    </row>
    <row r="265" customFormat="false" ht="13.8" hidden="false" customHeight="false" outlineLevel="0" collapsed="false">
      <c r="A265" s="25" t="s">
        <v>4409</v>
      </c>
      <c r="B265" s="41" t="s">
        <v>3781</v>
      </c>
      <c r="C265" s="33" t="s">
        <v>3110</v>
      </c>
      <c r="D265" s="33" t="s">
        <v>3877</v>
      </c>
      <c r="E265" s="0" t="s">
        <v>4088</v>
      </c>
      <c r="F265" s="0" t="s">
        <v>427</v>
      </c>
      <c r="G265" s="0" t="s">
        <v>427</v>
      </c>
      <c r="H265" s="0" t="s">
        <v>4089</v>
      </c>
      <c r="I265" s="0" t="s">
        <v>4090</v>
      </c>
      <c r="K265" s="44" t="str">
        <f aca="false">INDEX(libraries!$B:$B, MATCH(B265, libraries!$A:$A, 0), 1)</f>
        <v>sam0608</v>
      </c>
      <c r="L265" s="44" t="n">
        <f aca="false">INDEX(samples!$F:$F, MATCH(K265, samples!$A:$A, 0), 1)</f>
        <v>0</v>
      </c>
      <c r="M265" s="55" t="str">
        <f aca="false">INDEX(samples!$C:$C, MATCH(K265, samples!$A:$A, 0), 1)</f>
        <v>1899-12-30</v>
      </c>
      <c r="N265" s="44" t="str">
        <f aca="false">INDEX(samples!$B:$B, MATCH(K265, samples!$A:$A, 0), 1)</f>
        <v>par0212</v>
      </c>
      <c r="P265" s="0" t="s">
        <v>3880</v>
      </c>
      <c r="T265" s="8"/>
    </row>
    <row r="266" customFormat="false" ht="13.8" hidden="false" customHeight="false" outlineLevel="0" collapsed="false">
      <c r="A266" s="25" t="s">
        <v>4410</v>
      </c>
      <c r="B266" s="41" t="s">
        <v>3781</v>
      </c>
      <c r="C266" s="33" t="s">
        <v>3110</v>
      </c>
      <c r="D266" s="33" t="s">
        <v>3877</v>
      </c>
      <c r="E266" s="0" t="s">
        <v>4088</v>
      </c>
      <c r="F266" s="0" t="s">
        <v>427</v>
      </c>
      <c r="G266" s="0" t="s">
        <v>427</v>
      </c>
      <c r="H266" s="0" t="s">
        <v>4089</v>
      </c>
      <c r="I266" s="0" t="s">
        <v>4090</v>
      </c>
      <c r="K266" s="44" t="str">
        <f aca="false">INDEX(libraries!$B:$B, MATCH(B266, libraries!$A:$A, 0), 1)</f>
        <v>sam0608</v>
      </c>
      <c r="L266" s="44" t="n">
        <f aca="false">INDEX(samples!$F:$F, MATCH(K266, samples!$A:$A, 0), 1)</f>
        <v>0</v>
      </c>
      <c r="M266" s="55" t="str">
        <f aca="false">INDEX(samples!$C:$C, MATCH(K266, samples!$A:$A, 0), 1)</f>
        <v>1899-12-30</v>
      </c>
      <c r="N266" s="44" t="str">
        <f aca="false">INDEX(samples!$B:$B, MATCH(K266, samples!$A:$A, 0), 1)</f>
        <v>par0212</v>
      </c>
      <c r="P266" s="0" t="s">
        <v>3880</v>
      </c>
      <c r="T266" s="8"/>
    </row>
    <row r="267" customFormat="false" ht="13.8" hidden="false" customHeight="false" outlineLevel="0" collapsed="false">
      <c r="A267" s="25" t="s">
        <v>4411</v>
      </c>
      <c r="B267" s="41" t="s">
        <v>3781</v>
      </c>
      <c r="C267" s="33" t="s">
        <v>3110</v>
      </c>
      <c r="D267" s="33" t="s">
        <v>3877</v>
      </c>
      <c r="E267" s="0" t="s">
        <v>4088</v>
      </c>
      <c r="F267" s="0" t="s">
        <v>427</v>
      </c>
      <c r="G267" s="0" t="s">
        <v>427</v>
      </c>
      <c r="H267" s="0" t="s">
        <v>4089</v>
      </c>
      <c r="I267" s="0" t="s">
        <v>4090</v>
      </c>
      <c r="K267" s="44" t="str">
        <f aca="false">INDEX(libraries!$B:$B, MATCH(B267, libraries!$A:$A, 0), 1)</f>
        <v>sam0608</v>
      </c>
      <c r="L267" s="44" t="n">
        <f aca="false">INDEX(samples!$F:$F, MATCH(K267, samples!$A:$A, 0), 1)</f>
        <v>0</v>
      </c>
      <c r="M267" s="55" t="str">
        <f aca="false">INDEX(samples!$C:$C, MATCH(K267, samples!$A:$A, 0), 1)</f>
        <v>1899-12-30</v>
      </c>
      <c r="N267" s="44" t="str">
        <f aca="false">INDEX(samples!$B:$B, MATCH(K267, samples!$A:$A, 0), 1)</f>
        <v>par0212</v>
      </c>
      <c r="P267" s="0" t="s">
        <v>3880</v>
      </c>
      <c r="T267" s="8"/>
    </row>
    <row r="268" customFormat="false" ht="13.8" hidden="false" customHeight="false" outlineLevel="0" collapsed="false">
      <c r="A268" s="25" t="s">
        <v>4412</v>
      </c>
      <c r="B268" s="41" t="s">
        <v>3784</v>
      </c>
      <c r="C268" s="33" t="s">
        <v>3110</v>
      </c>
      <c r="D268" s="33" t="s">
        <v>3877</v>
      </c>
      <c r="E268" s="0" t="s">
        <v>4088</v>
      </c>
      <c r="F268" s="0" t="s">
        <v>427</v>
      </c>
      <c r="G268" s="0" t="s">
        <v>427</v>
      </c>
      <c r="H268" s="0" t="s">
        <v>4089</v>
      </c>
      <c r="I268" s="0" t="s">
        <v>4090</v>
      </c>
      <c r="K268" s="44" t="str">
        <f aca="false">INDEX(libraries!$B:$B, MATCH(B268, libraries!$A:$A, 0), 1)</f>
        <v>sam0611</v>
      </c>
      <c r="L268" s="44" t="n">
        <f aca="false">INDEX(samples!$F:$F, MATCH(K268, samples!$A:$A, 0), 1)</f>
        <v>0</v>
      </c>
      <c r="M268" s="55" t="str">
        <f aca="false">INDEX(samples!$C:$C, MATCH(K268, samples!$A:$A, 0), 1)</f>
        <v>GET</v>
      </c>
      <c r="N268" s="44" t="str">
        <f aca="false">INDEX(samples!$B:$B, MATCH(K268, samples!$A:$A, 0), 1)</f>
        <v>par0213</v>
      </c>
      <c r="P268" s="0" t="s">
        <v>3880</v>
      </c>
      <c r="T268" s="8"/>
    </row>
    <row r="269" customFormat="false" ht="13.8" hidden="false" customHeight="false" outlineLevel="0" collapsed="false">
      <c r="A269" s="25" t="s">
        <v>4413</v>
      </c>
      <c r="B269" s="41" t="s">
        <v>3784</v>
      </c>
      <c r="C269" s="33" t="s">
        <v>3110</v>
      </c>
      <c r="D269" s="33" t="s">
        <v>3877</v>
      </c>
      <c r="E269" s="0" t="s">
        <v>4088</v>
      </c>
      <c r="F269" s="0" t="s">
        <v>427</v>
      </c>
      <c r="G269" s="0" t="s">
        <v>427</v>
      </c>
      <c r="H269" s="0" t="s">
        <v>4089</v>
      </c>
      <c r="I269" s="0" t="s">
        <v>4090</v>
      </c>
      <c r="K269" s="44" t="str">
        <f aca="false">INDEX(libraries!$B:$B, MATCH(B269, libraries!$A:$A, 0), 1)</f>
        <v>sam0611</v>
      </c>
      <c r="L269" s="44" t="n">
        <f aca="false">INDEX(samples!$F:$F, MATCH(K269, samples!$A:$A, 0), 1)</f>
        <v>0</v>
      </c>
      <c r="M269" s="55" t="str">
        <f aca="false">INDEX(samples!$C:$C, MATCH(K269, samples!$A:$A, 0), 1)</f>
        <v>GET</v>
      </c>
      <c r="N269" s="44" t="str">
        <f aca="false">INDEX(samples!$B:$B, MATCH(K269, samples!$A:$A, 0), 1)</f>
        <v>par0213</v>
      </c>
      <c r="P269" s="0" t="s">
        <v>3880</v>
      </c>
      <c r="T269" s="8"/>
    </row>
    <row r="270" customFormat="false" ht="13.8" hidden="false" customHeight="false" outlineLevel="0" collapsed="false">
      <c r="A270" s="25" t="s">
        <v>4414</v>
      </c>
      <c r="B270" s="41" t="s">
        <v>3784</v>
      </c>
      <c r="C270" s="33" t="s">
        <v>3110</v>
      </c>
      <c r="D270" s="33" t="s">
        <v>3877</v>
      </c>
      <c r="E270" s="0" t="s">
        <v>4088</v>
      </c>
      <c r="F270" s="0" t="s">
        <v>427</v>
      </c>
      <c r="G270" s="0" t="s">
        <v>427</v>
      </c>
      <c r="H270" s="0" t="s">
        <v>4089</v>
      </c>
      <c r="I270" s="0" t="s">
        <v>4090</v>
      </c>
      <c r="K270" s="44" t="str">
        <f aca="false">INDEX(libraries!$B:$B, MATCH(B270, libraries!$A:$A, 0), 1)</f>
        <v>sam0611</v>
      </c>
      <c r="L270" s="44" t="n">
        <f aca="false">INDEX(samples!$F:$F, MATCH(K270, samples!$A:$A, 0), 1)</f>
        <v>0</v>
      </c>
      <c r="M270" s="55" t="str">
        <f aca="false">INDEX(samples!$C:$C, MATCH(K270, samples!$A:$A, 0), 1)</f>
        <v>GET</v>
      </c>
      <c r="N270" s="44" t="str">
        <f aca="false">INDEX(samples!$B:$B, MATCH(K270, samples!$A:$A, 0), 1)</f>
        <v>par0213</v>
      </c>
      <c r="P270" s="0" t="s">
        <v>3880</v>
      </c>
      <c r="T270" s="8"/>
    </row>
    <row r="271" customFormat="false" ht="13.8" hidden="false" customHeight="false" outlineLevel="0" collapsed="false">
      <c r="A271" s="25" t="s">
        <v>4415</v>
      </c>
      <c r="B271" s="41" t="s">
        <v>3784</v>
      </c>
      <c r="C271" s="33" t="s">
        <v>3110</v>
      </c>
      <c r="D271" s="33" t="s">
        <v>3877</v>
      </c>
      <c r="E271" s="0" t="s">
        <v>4088</v>
      </c>
      <c r="F271" s="0" t="s">
        <v>427</v>
      </c>
      <c r="G271" s="0" t="s">
        <v>427</v>
      </c>
      <c r="H271" s="0" t="s">
        <v>4089</v>
      </c>
      <c r="I271" s="0" t="s">
        <v>4090</v>
      </c>
      <c r="K271" s="44" t="str">
        <f aca="false">INDEX(libraries!$B:$B, MATCH(B271, libraries!$A:$A, 0), 1)</f>
        <v>sam0611</v>
      </c>
      <c r="L271" s="44" t="n">
        <f aca="false">INDEX(samples!$F:$F, MATCH(K271, samples!$A:$A, 0), 1)</f>
        <v>0</v>
      </c>
      <c r="M271" s="55" t="str">
        <f aca="false">INDEX(samples!$C:$C, MATCH(K271, samples!$A:$A, 0), 1)</f>
        <v>GET</v>
      </c>
      <c r="N271" s="44" t="str">
        <f aca="false">INDEX(samples!$B:$B, MATCH(K271, samples!$A:$A, 0), 1)</f>
        <v>par0213</v>
      </c>
      <c r="P271" s="0" t="s">
        <v>3880</v>
      </c>
      <c r="T271" s="8"/>
    </row>
    <row r="272" customFormat="false" ht="13.8" hidden="false" customHeight="false" outlineLevel="0" collapsed="false">
      <c r="A272" s="25" t="s">
        <v>4416</v>
      </c>
      <c r="B272" s="41" t="s">
        <v>3783</v>
      </c>
      <c r="C272" s="33" t="s">
        <v>3110</v>
      </c>
      <c r="D272" s="33" t="s">
        <v>3877</v>
      </c>
      <c r="E272" s="0" t="s">
        <v>4088</v>
      </c>
      <c r="F272" s="0" t="s">
        <v>427</v>
      </c>
      <c r="G272" s="0" t="s">
        <v>427</v>
      </c>
      <c r="H272" s="0" t="s">
        <v>4089</v>
      </c>
      <c r="I272" s="0" t="s">
        <v>4090</v>
      </c>
      <c r="K272" s="44" t="str">
        <f aca="false">INDEX(libraries!$B:$B, MATCH(B272, libraries!$A:$A, 0), 1)</f>
        <v>sam0610</v>
      </c>
      <c r="L272" s="44" t="n">
        <f aca="false">INDEX(samples!$F:$F, MATCH(K272, samples!$A:$A, 0), 1)</f>
        <v>0</v>
      </c>
      <c r="M272" s="55" t="str">
        <f aca="false">INDEX(samples!$C:$C, MATCH(K272, samples!$A:$A, 0), 1)</f>
        <v>GET</v>
      </c>
      <c r="N272" s="44" t="str">
        <f aca="false">INDEX(samples!$B:$B, MATCH(K272, samples!$A:$A, 0), 1)</f>
        <v>par0213</v>
      </c>
      <c r="P272" s="0" t="s">
        <v>3880</v>
      </c>
      <c r="T272" s="8"/>
    </row>
    <row r="273" customFormat="false" ht="13.8" hidden="false" customHeight="false" outlineLevel="0" collapsed="false">
      <c r="A273" s="25" t="s">
        <v>4417</v>
      </c>
      <c r="B273" s="41" t="s">
        <v>3783</v>
      </c>
      <c r="C273" s="33" t="s">
        <v>3110</v>
      </c>
      <c r="D273" s="33" t="s">
        <v>3877</v>
      </c>
      <c r="E273" s="0" t="s">
        <v>4088</v>
      </c>
      <c r="F273" s="0" t="s">
        <v>427</v>
      </c>
      <c r="G273" s="0" t="s">
        <v>427</v>
      </c>
      <c r="H273" s="0" t="s">
        <v>4089</v>
      </c>
      <c r="I273" s="0" t="s">
        <v>4090</v>
      </c>
      <c r="K273" s="44" t="str">
        <f aca="false">INDEX(libraries!$B:$B, MATCH(B273, libraries!$A:$A, 0), 1)</f>
        <v>sam0610</v>
      </c>
      <c r="L273" s="44" t="n">
        <f aca="false">INDEX(samples!$F:$F, MATCH(K273, samples!$A:$A, 0), 1)</f>
        <v>0</v>
      </c>
      <c r="M273" s="55" t="str">
        <f aca="false">INDEX(samples!$C:$C, MATCH(K273, samples!$A:$A, 0), 1)</f>
        <v>GET</v>
      </c>
      <c r="N273" s="44" t="str">
        <f aca="false">INDEX(samples!$B:$B, MATCH(K273, samples!$A:$A, 0), 1)</f>
        <v>par0213</v>
      </c>
      <c r="P273" s="0" t="s">
        <v>3880</v>
      </c>
      <c r="T273" s="8"/>
    </row>
    <row r="274" customFormat="false" ht="13.8" hidden="false" customHeight="false" outlineLevel="0" collapsed="false">
      <c r="A274" s="25" t="s">
        <v>4418</v>
      </c>
      <c r="B274" s="41" t="s">
        <v>3783</v>
      </c>
      <c r="C274" s="33" t="s">
        <v>3110</v>
      </c>
      <c r="D274" s="33" t="s">
        <v>3877</v>
      </c>
      <c r="E274" s="0" t="s">
        <v>4088</v>
      </c>
      <c r="F274" s="0" t="s">
        <v>427</v>
      </c>
      <c r="G274" s="0" t="s">
        <v>427</v>
      </c>
      <c r="H274" s="0" t="s">
        <v>4089</v>
      </c>
      <c r="I274" s="0" t="s">
        <v>4090</v>
      </c>
      <c r="K274" s="44" t="str">
        <f aca="false">INDEX(libraries!$B:$B, MATCH(B274, libraries!$A:$A, 0), 1)</f>
        <v>sam0610</v>
      </c>
      <c r="L274" s="44" t="n">
        <f aca="false">INDEX(samples!$F:$F, MATCH(K274, samples!$A:$A, 0), 1)</f>
        <v>0</v>
      </c>
      <c r="M274" s="55" t="str">
        <f aca="false">INDEX(samples!$C:$C, MATCH(K274, samples!$A:$A, 0), 1)</f>
        <v>GET</v>
      </c>
      <c r="N274" s="44" t="str">
        <f aca="false">INDEX(samples!$B:$B, MATCH(K274, samples!$A:$A, 0), 1)</f>
        <v>par0213</v>
      </c>
      <c r="P274" s="0" t="s">
        <v>3880</v>
      </c>
      <c r="T274" s="8"/>
    </row>
    <row r="275" customFormat="false" ht="13.8" hidden="false" customHeight="false" outlineLevel="0" collapsed="false">
      <c r="A275" s="25" t="s">
        <v>4419</v>
      </c>
      <c r="B275" s="41" t="s">
        <v>3783</v>
      </c>
      <c r="C275" s="33" t="s">
        <v>3110</v>
      </c>
      <c r="D275" s="33" t="s">
        <v>3877</v>
      </c>
      <c r="E275" s="0" t="s">
        <v>4088</v>
      </c>
      <c r="F275" s="0" t="s">
        <v>427</v>
      </c>
      <c r="G275" s="0" t="s">
        <v>427</v>
      </c>
      <c r="H275" s="0" t="s">
        <v>4089</v>
      </c>
      <c r="I275" s="0" t="s">
        <v>4090</v>
      </c>
      <c r="K275" s="44" t="str">
        <f aca="false">INDEX(libraries!$B:$B, MATCH(B275, libraries!$A:$A, 0), 1)</f>
        <v>sam0610</v>
      </c>
      <c r="L275" s="44" t="n">
        <f aca="false">INDEX(samples!$F:$F, MATCH(K275, samples!$A:$A, 0), 1)</f>
        <v>0</v>
      </c>
      <c r="M275" s="55" t="str">
        <f aca="false">INDEX(samples!$C:$C, MATCH(K275, samples!$A:$A, 0), 1)</f>
        <v>GET</v>
      </c>
      <c r="N275" s="44" t="str">
        <f aca="false">INDEX(samples!$B:$B, MATCH(K275, samples!$A:$A, 0), 1)</f>
        <v>par0213</v>
      </c>
      <c r="P275" s="0" t="s">
        <v>3880</v>
      </c>
      <c r="T275" s="8"/>
    </row>
    <row r="276" customFormat="false" ht="13.8" hidden="false" customHeight="false" outlineLevel="0" collapsed="false">
      <c r="A276" s="25" t="s">
        <v>4420</v>
      </c>
      <c r="B276" s="41" t="s">
        <v>3153</v>
      </c>
      <c r="C276" s="8" t="s">
        <v>427</v>
      </c>
      <c r="D276" s="8" t="s">
        <v>3877</v>
      </c>
      <c r="E276" s="0" t="s">
        <v>3878</v>
      </c>
      <c r="F276" s="0" t="s">
        <v>427</v>
      </c>
      <c r="G276" s="0" t="s">
        <v>427</v>
      </c>
      <c r="H276" s="0" t="s">
        <v>427</v>
      </c>
      <c r="I276" s="0" t="s">
        <v>3879</v>
      </c>
      <c r="K276" s="44" t="str">
        <f aca="false">INDEX(libraries!$B:$B, MATCH(B276, libraries!$A:$A, 0), 1)</f>
        <v>sam0091</v>
      </c>
      <c r="L276" s="44" t="n">
        <f aca="false">INDEX(samples!$F:$F, MATCH(K276, samples!$A:$A, 0), 1)</f>
        <v>0</v>
      </c>
      <c r="M276" s="55" t="str">
        <f aca="false">INDEX(samples!$C:$C, MATCH(K276, samples!$A:$A, 0), 1)</f>
        <v>2018-03-15</v>
      </c>
      <c r="N276" s="44" t="str">
        <f aca="false">INDEX(samples!$B:$B, MATCH(K276, samples!$A:$A, 0), 1)</f>
        <v>par0049</v>
      </c>
      <c r="O276" s="44" t="s">
        <v>658</v>
      </c>
      <c r="P276" s="8" t="s">
        <v>3880</v>
      </c>
      <c r="Q276" s="8" t="s">
        <v>36</v>
      </c>
      <c r="R276" s="33" t="s">
        <v>3881</v>
      </c>
      <c r="T276" s="8"/>
    </row>
    <row r="277" customFormat="false" ht="13.8" hidden="false" customHeight="false" outlineLevel="0" collapsed="false">
      <c r="A277" s="25" t="s">
        <v>4421</v>
      </c>
      <c r="B277" s="41" t="s">
        <v>3727</v>
      </c>
      <c r="C277" s="8" t="s">
        <v>3125</v>
      </c>
      <c r="D277" s="8" t="s">
        <v>3877</v>
      </c>
      <c r="E277" s="0" t="s">
        <v>3878</v>
      </c>
      <c r="F277" s="0" t="s">
        <v>4422</v>
      </c>
      <c r="G277" s="0" t="s">
        <v>4423</v>
      </c>
      <c r="H277" s="0" t="s">
        <v>427</v>
      </c>
      <c r="I277" s="0" t="s">
        <v>3911</v>
      </c>
      <c r="K277" s="44" t="str">
        <f aca="false">INDEX(libraries!$B:$B, MATCH(B277, libraries!$A:$A, 0), 1)</f>
        <v>sam0555</v>
      </c>
      <c r="L277" s="44" t="str">
        <f aca="false">INDEX(samples!$F:$F, MATCH(K277, samples!$A:$A, 0), 1)</f>
        <v>nf1_lib63</v>
      </c>
      <c r="M277" s="55" t="str">
        <f aca="false">INDEX(samples!$C:$C, MATCH(K277, samples!$A:$A, 0), 1)</f>
        <v>2025-02-25</v>
      </c>
      <c r="N277" s="44" t="str">
        <f aca="false">INDEX(samples!$B:$B, MATCH(K277, samples!$A:$A, 0), 1)</f>
        <v>par0230</v>
      </c>
      <c r="O277" s="44" t="s">
        <v>1199</v>
      </c>
      <c r="P277" s="8" t="s">
        <v>3880</v>
      </c>
      <c r="Q277" s="8" t="s">
        <v>4424</v>
      </c>
      <c r="R277" s="8" t="s">
        <v>3893</v>
      </c>
      <c r="T277" s="8"/>
    </row>
    <row r="278" customFormat="false" ht="13.8" hidden="false" customHeight="false" outlineLevel="0" collapsed="false">
      <c r="A278" s="25" t="s">
        <v>4425</v>
      </c>
      <c r="B278" s="41" t="s">
        <v>3588</v>
      </c>
      <c r="C278" s="8" t="s">
        <v>427</v>
      </c>
      <c r="D278" s="8" t="s">
        <v>3877</v>
      </c>
      <c r="E278" s="0" t="s">
        <v>3878</v>
      </c>
      <c r="F278" s="0" t="s">
        <v>427</v>
      </c>
      <c r="G278" s="0" t="s">
        <v>427</v>
      </c>
      <c r="H278" s="0" t="s">
        <v>427</v>
      </c>
      <c r="I278" s="0" t="s">
        <v>3879</v>
      </c>
      <c r="K278" s="44" t="str">
        <f aca="false">INDEX(libraries!$B:$B, MATCH(B278, libraries!$A:$A, 0), 1)</f>
        <v>sam0469</v>
      </c>
      <c r="L278" s="44" t="n">
        <f aca="false">INDEX(samples!$F:$F, MATCH(K278, samples!$A:$A, 0), 1)</f>
        <v>0</v>
      </c>
      <c r="M278" s="55" t="str">
        <f aca="false">INDEX(samples!$C:$C, MATCH(K278, samples!$A:$A, 0), 1)</f>
        <v>2022-03-29</v>
      </c>
      <c r="N278" s="44" t="str">
        <f aca="false">INDEX(samples!$B:$B, MATCH(K278, samples!$A:$A, 0), 1)</f>
        <v>par0253</v>
      </c>
      <c r="O278" s="44" t="s">
        <v>1289</v>
      </c>
      <c r="P278" s="8" t="s">
        <v>3880</v>
      </c>
      <c r="Q278" s="8" t="s">
        <v>36</v>
      </c>
      <c r="R278" s="33" t="s">
        <v>3881</v>
      </c>
      <c r="T278" s="8"/>
    </row>
    <row r="279" customFormat="false" ht="13.8" hidden="false" customHeight="false" outlineLevel="0" collapsed="false">
      <c r="A279" s="25" t="s">
        <v>4426</v>
      </c>
      <c r="B279" s="41" t="s">
        <v>3589</v>
      </c>
      <c r="C279" s="8" t="s">
        <v>427</v>
      </c>
      <c r="D279" s="8" t="s">
        <v>3877</v>
      </c>
      <c r="E279" s="0" t="s">
        <v>3878</v>
      </c>
      <c r="F279" s="0" t="s">
        <v>427</v>
      </c>
      <c r="G279" s="0" t="s">
        <v>427</v>
      </c>
      <c r="H279" s="0" t="s">
        <v>427</v>
      </c>
      <c r="I279" s="0" t="s">
        <v>3879</v>
      </c>
      <c r="K279" s="44" t="str">
        <f aca="false">INDEX(libraries!$B:$B, MATCH(B279, libraries!$A:$A, 0), 1)</f>
        <v>sam0470</v>
      </c>
      <c r="L279" s="44" t="n">
        <f aca="false">INDEX(samples!$F:$F, MATCH(K279, samples!$A:$A, 0), 1)</f>
        <v>0</v>
      </c>
      <c r="M279" s="55" t="str">
        <f aca="false">INDEX(samples!$C:$C, MATCH(K279, samples!$A:$A, 0), 1)</f>
        <v>2021-03-30</v>
      </c>
      <c r="N279" s="44" t="str">
        <f aca="false">INDEX(samples!$B:$B, MATCH(K279, samples!$A:$A, 0), 1)</f>
        <v>par0253</v>
      </c>
      <c r="O279" s="44" t="s">
        <v>1289</v>
      </c>
      <c r="P279" s="8" t="s">
        <v>3880</v>
      </c>
      <c r="Q279" s="8" t="s">
        <v>36</v>
      </c>
      <c r="R279" s="33" t="s">
        <v>3881</v>
      </c>
      <c r="T279" s="8"/>
    </row>
    <row r="280" customFormat="false" ht="13.8" hidden="false" customHeight="false" outlineLevel="0" collapsed="false">
      <c r="A280" s="25" t="s">
        <v>4427</v>
      </c>
      <c r="B280" s="41" t="s">
        <v>3590</v>
      </c>
      <c r="C280" s="8" t="s">
        <v>427</v>
      </c>
      <c r="D280" s="8" t="s">
        <v>3877</v>
      </c>
      <c r="E280" s="0" t="s">
        <v>3878</v>
      </c>
      <c r="F280" s="0" t="s">
        <v>427</v>
      </c>
      <c r="G280" s="0" t="s">
        <v>427</v>
      </c>
      <c r="H280" s="0" t="s">
        <v>427</v>
      </c>
      <c r="I280" s="0" t="s">
        <v>3879</v>
      </c>
      <c r="K280" s="44" t="str">
        <f aca="false">INDEX(libraries!$B:$B, MATCH(B280, libraries!$A:$A, 0), 1)</f>
        <v>sam0471</v>
      </c>
      <c r="L280" s="44" t="n">
        <f aca="false">INDEX(samples!$F:$F, MATCH(K280, samples!$A:$A, 0), 1)</f>
        <v>0</v>
      </c>
      <c r="M280" s="55" t="str">
        <f aca="false">INDEX(samples!$C:$C, MATCH(K280, samples!$A:$A, 0), 1)</f>
        <v>2022-09-13</v>
      </c>
      <c r="N280" s="44" t="str">
        <f aca="false">INDEX(samples!$B:$B, MATCH(K280, samples!$A:$A, 0), 1)</f>
        <v>par0254</v>
      </c>
      <c r="O280" s="44" t="s">
        <v>1294</v>
      </c>
      <c r="P280" s="8" t="s">
        <v>3880</v>
      </c>
      <c r="Q280" s="8" t="s">
        <v>36</v>
      </c>
      <c r="R280" s="33" t="s">
        <v>3881</v>
      </c>
      <c r="T280" s="8"/>
    </row>
    <row r="281" customFormat="false" ht="13.8" hidden="false" customHeight="false" outlineLevel="0" collapsed="false">
      <c r="A281" s="25" t="s">
        <v>4428</v>
      </c>
      <c r="B281" s="41" t="s">
        <v>3376</v>
      </c>
      <c r="C281" s="8" t="s">
        <v>427</v>
      </c>
      <c r="D281" s="8" t="s">
        <v>3877</v>
      </c>
      <c r="E281" s="0" t="s">
        <v>3878</v>
      </c>
      <c r="F281" s="0" t="s">
        <v>427</v>
      </c>
      <c r="G281" s="0" t="s">
        <v>427</v>
      </c>
      <c r="H281" s="0" t="s">
        <v>427</v>
      </c>
      <c r="I281" s="0" t="s">
        <v>3879</v>
      </c>
      <c r="K281" s="44" t="str">
        <f aca="false">INDEX(libraries!$B:$B, MATCH(B281, libraries!$A:$A, 0), 1)</f>
        <v>sam0236</v>
      </c>
      <c r="L281" s="44" t="n">
        <f aca="false">INDEX(samples!$F:$F, MATCH(K281, samples!$A:$A, 0), 1)</f>
        <v>0</v>
      </c>
      <c r="M281" s="55" t="str">
        <f aca="false">INDEX(samples!$C:$C, MATCH(K281, samples!$A:$A, 0), 1)</f>
        <v>2018-03-16</v>
      </c>
      <c r="N281" s="44" t="str">
        <f aca="false">INDEX(samples!$B:$B, MATCH(K281, samples!$A:$A, 0), 1)</f>
        <v>par0142</v>
      </c>
      <c r="O281" s="44" t="s">
        <v>927</v>
      </c>
      <c r="P281" s="8" t="s">
        <v>3880</v>
      </c>
      <c r="Q281" s="8" t="s">
        <v>36</v>
      </c>
      <c r="R281" s="33" t="s">
        <v>3881</v>
      </c>
      <c r="T281" s="8"/>
    </row>
    <row r="282" customFormat="false" ht="13.8" hidden="false" customHeight="false" outlineLevel="0" collapsed="false">
      <c r="A282" s="25" t="s">
        <v>4429</v>
      </c>
      <c r="B282" s="41" t="s">
        <v>3728</v>
      </c>
      <c r="C282" s="8" t="s">
        <v>3125</v>
      </c>
      <c r="D282" s="8" t="s">
        <v>3877</v>
      </c>
      <c r="E282" s="0" t="s">
        <v>3878</v>
      </c>
      <c r="F282" s="0" t="s">
        <v>4430</v>
      </c>
      <c r="G282" s="0" t="s">
        <v>4431</v>
      </c>
      <c r="H282" s="0" t="s">
        <v>427</v>
      </c>
      <c r="I282" s="0" t="s">
        <v>3911</v>
      </c>
      <c r="K282" s="44" t="str">
        <f aca="false">INDEX(libraries!$B:$B, MATCH(B282, libraries!$A:$A, 0), 1)</f>
        <v>sam0556</v>
      </c>
      <c r="L282" s="44" t="str">
        <f aca="false">INDEX(samples!$F:$F, MATCH(K282, samples!$A:$A, 0), 1)</f>
        <v>nf1_lib64</v>
      </c>
      <c r="M282" s="55" t="str">
        <f aca="false">INDEX(samples!$C:$C, MATCH(K282, samples!$A:$A, 0), 1)</f>
        <v>2024-05-28</v>
      </c>
      <c r="N282" s="44" t="str">
        <f aca="false">INDEX(samples!$B:$B, MATCH(K282, samples!$A:$A, 0), 1)</f>
        <v>par0247</v>
      </c>
      <c r="O282" s="44" t="s">
        <v>1267</v>
      </c>
      <c r="P282" s="8" t="s">
        <v>3880</v>
      </c>
      <c r="Q282" s="8" t="s">
        <v>4432</v>
      </c>
      <c r="R282" s="8" t="s">
        <v>3893</v>
      </c>
      <c r="T282" s="8"/>
    </row>
    <row r="283" customFormat="false" ht="13.8" hidden="false" customHeight="false" outlineLevel="0" collapsed="false">
      <c r="A283" s="25" t="s">
        <v>4433</v>
      </c>
      <c r="B283" s="41" t="s">
        <v>3591</v>
      </c>
      <c r="C283" s="8" t="s">
        <v>427</v>
      </c>
      <c r="D283" s="8" t="s">
        <v>3877</v>
      </c>
      <c r="E283" s="0" t="s">
        <v>3878</v>
      </c>
      <c r="F283" s="0" t="s">
        <v>427</v>
      </c>
      <c r="G283" s="0" t="s">
        <v>427</v>
      </c>
      <c r="H283" s="0" t="s">
        <v>427</v>
      </c>
      <c r="I283" s="0" t="s">
        <v>3879</v>
      </c>
      <c r="K283" s="44" t="str">
        <f aca="false">INDEX(libraries!$B:$B, MATCH(B283, libraries!$A:$A, 0), 1)</f>
        <v>sam0389</v>
      </c>
      <c r="L283" s="44" t="n">
        <f aca="false">INDEX(samples!$F:$F, MATCH(K283, samples!$A:$A, 0), 1)</f>
        <v>0</v>
      </c>
      <c r="M283" s="55" t="str">
        <f aca="false">INDEX(samples!$C:$C, MATCH(K283, samples!$A:$A, 0), 1)</f>
        <v>2022-02-08</v>
      </c>
      <c r="N283" s="44" t="str">
        <f aca="false">INDEX(samples!$B:$B, MATCH(K283, samples!$A:$A, 0), 1)</f>
        <v>par0238</v>
      </c>
      <c r="O283" s="44" t="s">
        <v>1236</v>
      </c>
      <c r="P283" s="8" t="s">
        <v>3880</v>
      </c>
      <c r="Q283" s="8" t="s">
        <v>36</v>
      </c>
      <c r="R283" s="33" t="s">
        <v>3881</v>
      </c>
      <c r="T283" s="8"/>
    </row>
    <row r="284" customFormat="false" ht="13.8" hidden="false" customHeight="false" outlineLevel="0" collapsed="false">
      <c r="A284" s="25" t="s">
        <v>4434</v>
      </c>
      <c r="B284" s="41" t="s">
        <v>3592</v>
      </c>
      <c r="C284" s="8" t="s">
        <v>427</v>
      </c>
      <c r="D284" s="8" t="s">
        <v>3877</v>
      </c>
      <c r="E284" s="0" t="s">
        <v>3878</v>
      </c>
      <c r="F284" s="0" t="s">
        <v>427</v>
      </c>
      <c r="G284" s="0" t="s">
        <v>427</v>
      </c>
      <c r="H284" s="0" t="s">
        <v>427</v>
      </c>
      <c r="I284" s="0" t="s">
        <v>3879</v>
      </c>
      <c r="K284" s="44" t="str">
        <f aca="false">INDEX(libraries!$B:$B, MATCH(B284, libraries!$A:$A, 0), 1)</f>
        <v>sam0390</v>
      </c>
      <c r="L284" s="44" t="n">
        <f aca="false">INDEX(samples!$F:$F, MATCH(K284, samples!$A:$A, 0), 1)</f>
        <v>0</v>
      </c>
      <c r="M284" s="55" t="str">
        <f aca="false">INDEX(samples!$C:$C, MATCH(K284, samples!$A:$A, 0), 1)</f>
        <v>2022-08-17</v>
      </c>
      <c r="N284" s="44" t="str">
        <f aca="false">INDEX(samples!$B:$B, MATCH(K284, samples!$A:$A, 0), 1)</f>
        <v>par0238</v>
      </c>
      <c r="O284" s="44" t="s">
        <v>1236</v>
      </c>
      <c r="P284" s="8" t="s">
        <v>3880</v>
      </c>
      <c r="Q284" s="8" t="s">
        <v>36</v>
      </c>
      <c r="R284" s="33" t="s">
        <v>3881</v>
      </c>
      <c r="T284" s="8"/>
    </row>
    <row r="285" customFormat="false" ht="13.8" hidden="false" customHeight="false" outlineLevel="0" collapsed="false">
      <c r="A285" s="25" t="s">
        <v>4435</v>
      </c>
      <c r="B285" s="41" t="s">
        <v>3593</v>
      </c>
      <c r="C285" s="8" t="s">
        <v>427</v>
      </c>
      <c r="D285" s="8" t="s">
        <v>3877</v>
      </c>
      <c r="E285" s="0" t="s">
        <v>3878</v>
      </c>
      <c r="F285" s="0" t="s">
        <v>427</v>
      </c>
      <c r="G285" s="0" t="s">
        <v>427</v>
      </c>
      <c r="H285" s="0" t="s">
        <v>427</v>
      </c>
      <c r="I285" s="0" t="s">
        <v>3879</v>
      </c>
      <c r="K285" s="44" t="str">
        <f aca="false">INDEX(libraries!$B:$B, MATCH(B285, libraries!$A:$A, 0), 1)</f>
        <v>sam0472</v>
      </c>
      <c r="L285" s="44" t="n">
        <f aca="false">INDEX(samples!$F:$F, MATCH(K285, samples!$A:$A, 0), 1)</f>
        <v>0</v>
      </c>
      <c r="M285" s="55" t="str">
        <f aca="false">INDEX(samples!$C:$C, MATCH(K285, samples!$A:$A, 0), 1)</f>
        <v>2021-09-07</v>
      </c>
      <c r="N285" s="44" t="str">
        <f aca="false">INDEX(samples!$B:$B, MATCH(K285, samples!$A:$A, 0), 1)</f>
        <v>par0238</v>
      </c>
      <c r="O285" s="44" t="s">
        <v>1236</v>
      </c>
      <c r="P285" s="8" t="s">
        <v>3880</v>
      </c>
      <c r="Q285" s="8" t="s">
        <v>36</v>
      </c>
      <c r="R285" s="33" t="s">
        <v>3881</v>
      </c>
      <c r="T285" s="8"/>
    </row>
    <row r="286" customFormat="false" ht="13.8" hidden="false" customHeight="false" outlineLevel="0" collapsed="false">
      <c r="A286" s="25" t="s">
        <v>4436</v>
      </c>
      <c r="B286" s="41" t="s">
        <v>3594</v>
      </c>
      <c r="C286" s="8" t="s">
        <v>427</v>
      </c>
      <c r="D286" s="8" t="s">
        <v>3877</v>
      </c>
      <c r="E286" s="0" t="s">
        <v>3878</v>
      </c>
      <c r="F286" s="0" t="s">
        <v>427</v>
      </c>
      <c r="G286" s="0" t="s">
        <v>427</v>
      </c>
      <c r="H286" s="0" t="s">
        <v>427</v>
      </c>
      <c r="I286" s="0" t="s">
        <v>3879</v>
      </c>
      <c r="K286" s="44" t="str">
        <f aca="false">INDEX(libraries!$B:$B, MATCH(B286, libraries!$A:$A, 0), 1)</f>
        <v>sam0473</v>
      </c>
      <c r="L286" s="44" t="n">
        <f aca="false">INDEX(samples!$F:$F, MATCH(K286, samples!$A:$A, 0), 1)</f>
        <v>0</v>
      </c>
      <c r="M286" s="55" t="str">
        <f aca="false">INDEX(samples!$C:$C, MATCH(K286, samples!$A:$A, 0), 1)</f>
        <v>2021-08-17</v>
      </c>
      <c r="N286" s="44" t="str">
        <f aca="false">INDEX(samples!$B:$B, MATCH(K286, samples!$A:$A, 0), 1)</f>
        <v>par0217</v>
      </c>
      <c r="O286" s="44" t="s">
        <v>1146</v>
      </c>
      <c r="P286" s="8" t="s">
        <v>3880</v>
      </c>
      <c r="Q286" s="8" t="s">
        <v>36</v>
      </c>
      <c r="R286" s="33" t="s">
        <v>3881</v>
      </c>
      <c r="T286" s="8"/>
    </row>
    <row r="287" customFormat="false" ht="13.8" hidden="false" customHeight="false" outlineLevel="0" collapsed="false">
      <c r="A287" s="25" t="s">
        <v>4437</v>
      </c>
      <c r="B287" s="41" t="s">
        <v>3377</v>
      </c>
      <c r="C287" s="8" t="s">
        <v>427</v>
      </c>
      <c r="D287" s="8" t="s">
        <v>3877</v>
      </c>
      <c r="E287" s="0" t="s">
        <v>3878</v>
      </c>
      <c r="F287" s="0" t="s">
        <v>427</v>
      </c>
      <c r="G287" s="0" t="s">
        <v>427</v>
      </c>
      <c r="H287" s="0" t="s">
        <v>427</v>
      </c>
      <c r="I287" s="0" t="s">
        <v>3879</v>
      </c>
      <c r="K287" s="44" t="str">
        <f aca="false">INDEX(libraries!$B:$B, MATCH(B287, libraries!$A:$A, 0), 1)</f>
        <v>sam0237</v>
      </c>
      <c r="L287" s="44" t="n">
        <f aca="false">INDEX(samples!$F:$F, MATCH(K287, samples!$A:$A, 0), 1)</f>
        <v>0</v>
      </c>
      <c r="M287" s="55" t="str">
        <f aca="false">INDEX(samples!$C:$C, MATCH(K287, samples!$A:$A, 0), 1)</f>
        <v>2018-04-19</v>
      </c>
      <c r="N287" s="44" t="str">
        <f aca="false">INDEX(samples!$B:$B, MATCH(K287, samples!$A:$A, 0), 1)</f>
        <v>par0142</v>
      </c>
      <c r="O287" s="44" t="s">
        <v>927</v>
      </c>
      <c r="P287" s="8" t="s">
        <v>3880</v>
      </c>
      <c r="Q287" s="8" t="s">
        <v>36</v>
      </c>
      <c r="R287" s="33" t="s">
        <v>3881</v>
      </c>
      <c r="T287" s="8"/>
    </row>
    <row r="288" customFormat="false" ht="13.8" hidden="false" customHeight="false" outlineLevel="0" collapsed="false">
      <c r="A288" s="25" t="s">
        <v>4438</v>
      </c>
      <c r="B288" s="41" t="s">
        <v>3729</v>
      </c>
      <c r="C288" s="8" t="s">
        <v>3125</v>
      </c>
      <c r="D288" s="8" t="s">
        <v>3877</v>
      </c>
      <c r="E288" s="0" t="s">
        <v>3878</v>
      </c>
      <c r="F288" s="0" t="s">
        <v>4439</v>
      </c>
      <c r="G288" s="0" t="s">
        <v>4440</v>
      </c>
      <c r="H288" s="0" t="s">
        <v>427</v>
      </c>
      <c r="I288" s="0" t="s">
        <v>3911</v>
      </c>
      <c r="K288" s="44" t="str">
        <f aca="false">INDEX(libraries!$B:$B, MATCH(B288, libraries!$A:$A, 0), 1)</f>
        <v>sam0557</v>
      </c>
      <c r="L288" s="44" t="str">
        <f aca="false">INDEX(samples!$F:$F, MATCH(K288, samples!$A:$A, 0), 1)</f>
        <v>nf1_lib65</v>
      </c>
      <c r="M288" s="55" t="str">
        <f aca="false">INDEX(samples!$C:$C, MATCH(K288, samples!$A:$A, 0), 1)</f>
        <v>2023-05-30</v>
      </c>
      <c r="N288" s="44" t="str">
        <f aca="false">INDEX(samples!$B:$B, MATCH(K288, samples!$A:$A, 0), 1)</f>
        <v>par0247</v>
      </c>
      <c r="O288" s="44" t="s">
        <v>1267</v>
      </c>
      <c r="P288" s="8" t="s">
        <v>3880</v>
      </c>
      <c r="Q288" s="8" t="s">
        <v>4441</v>
      </c>
      <c r="R288" s="8" t="s">
        <v>3893</v>
      </c>
      <c r="T288" s="8"/>
    </row>
    <row r="289" customFormat="false" ht="13.8" hidden="false" customHeight="false" outlineLevel="0" collapsed="false">
      <c r="A289" s="25" t="s">
        <v>4442</v>
      </c>
      <c r="B289" s="41" t="s">
        <v>3595</v>
      </c>
      <c r="C289" s="8" t="s">
        <v>427</v>
      </c>
      <c r="D289" s="8" t="s">
        <v>3877</v>
      </c>
      <c r="E289" s="0" t="s">
        <v>3878</v>
      </c>
      <c r="F289" s="0" t="s">
        <v>427</v>
      </c>
      <c r="G289" s="0" t="s">
        <v>427</v>
      </c>
      <c r="H289" s="0" t="s">
        <v>427</v>
      </c>
      <c r="I289" s="0" t="s">
        <v>3879</v>
      </c>
      <c r="K289" s="44" t="str">
        <f aca="false">INDEX(libraries!$B:$B, MATCH(B289, libraries!$A:$A, 0), 1)</f>
        <v>sam0474</v>
      </c>
      <c r="L289" s="44" t="n">
        <f aca="false">INDEX(samples!$F:$F, MATCH(K289, samples!$A:$A, 0), 1)</f>
        <v>0</v>
      </c>
      <c r="M289" s="55" t="str">
        <f aca="false">INDEX(samples!$C:$C, MATCH(K289, samples!$A:$A, 0), 1)</f>
        <v>2021-09-07</v>
      </c>
      <c r="N289" s="44" t="str">
        <f aca="false">INDEX(samples!$B:$B, MATCH(K289, samples!$A:$A, 0), 1)</f>
        <v>par0255</v>
      </c>
      <c r="O289" s="44" t="s">
        <v>1298</v>
      </c>
      <c r="P289" s="8" t="s">
        <v>3880</v>
      </c>
      <c r="Q289" s="8" t="s">
        <v>36</v>
      </c>
      <c r="R289" s="33" t="s">
        <v>3881</v>
      </c>
      <c r="T289" s="8"/>
    </row>
    <row r="290" customFormat="false" ht="13.8" hidden="false" customHeight="false" outlineLevel="0" collapsed="false">
      <c r="A290" s="25" t="s">
        <v>4443</v>
      </c>
      <c r="B290" s="41" t="s">
        <v>3730</v>
      </c>
      <c r="C290" s="8" t="s">
        <v>3125</v>
      </c>
      <c r="D290" s="8" t="s">
        <v>3877</v>
      </c>
      <c r="E290" s="0" t="s">
        <v>3878</v>
      </c>
      <c r="F290" s="0" t="s">
        <v>4444</v>
      </c>
      <c r="G290" s="0" t="s">
        <v>4445</v>
      </c>
      <c r="H290" s="0" t="s">
        <v>427</v>
      </c>
      <c r="I290" s="0" t="s">
        <v>3911</v>
      </c>
      <c r="K290" s="44" t="str">
        <f aca="false">INDEX(libraries!$B:$B, MATCH(B290, libraries!$A:$A, 0), 1)</f>
        <v>sam0558</v>
      </c>
      <c r="L290" s="44" t="str">
        <f aca="false">INDEX(samples!$F:$F, MATCH(K290, samples!$A:$A, 0), 1)</f>
        <v>nf1_lib66</v>
      </c>
      <c r="M290" s="55" t="str">
        <f aca="false">INDEX(samples!$C:$C, MATCH(K290, samples!$A:$A, 0), 1)</f>
        <v>2024-12-03</v>
      </c>
      <c r="N290" s="44" t="str">
        <f aca="false">INDEX(samples!$B:$B, MATCH(K290, samples!$A:$A, 0), 1)</f>
        <v>par0230</v>
      </c>
      <c r="O290" s="44" t="s">
        <v>1199</v>
      </c>
      <c r="P290" s="8" t="s">
        <v>3880</v>
      </c>
      <c r="Q290" s="8" t="s">
        <v>4446</v>
      </c>
      <c r="R290" s="8" t="s">
        <v>3893</v>
      </c>
      <c r="T290" s="8"/>
    </row>
    <row r="291" customFormat="false" ht="13.8" hidden="false" customHeight="false" outlineLevel="0" collapsed="false">
      <c r="A291" s="25" t="s">
        <v>4447</v>
      </c>
      <c r="B291" s="41" t="s">
        <v>3596</v>
      </c>
      <c r="C291" s="8" t="s">
        <v>427</v>
      </c>
      <c r="D291" s="8" t="s">
        <v>3877</v>
      </c>
      <c r="E291" s="0" t="s">
        <v>3878</v>
      </c>
      <c r="F291" s="0" t="s">
        <v>427</v>
      </c>
      <c r="G291" s="0" t="s">
        <v>427</v>
      </c>
      <c r="H291" s="0" t="s">
        <v>427</v>
      </c>
      <c r="I291" s="0" t="s">
        <v>3879</v>
      </c>
      <c r="K291" s="44" t="str">
        <f aca="false">INDEX(libraries!$B:$B, MATCH(B291, libraries!$A:$A, 0), 1)</f>
        <v>sam0394</v>
      </c>
      <c r="L291" s="44" t="n">
        <f aca="false">INDEX(samples!$F:$F, MATCH(K291, samples!$A:$A, 0), 1)</f>
        <v>0</v>
      </c>
      <c r="M291" s="55" t="str">
        <f aca="false">INDEX(samples!$C:$C, MATCH(K291, samples!$A:$A, 0), 1)</f>
        <v>2022-05-03</v>
      </c>
      <c r="N291" s="44" t="str">
        <f aca="false">INDEX(samples!$B:$B, MATCH(K291, samples!$A:$A, 0), 1)</f>
        <v>par0220</v>
      </c>
      <c r="O291" s="44" t="s">
        <v>1160</v>
      </c>
      <c r="P291" s="8" t="s">
        <v>3880</v>
      </c>
      <c r="Q291" s="8" t="s">
        <v>36</v>
      </c>
      <c r="R291" s="33" t="s">
        <v>3881</v>
      </c>
      <c r="T291" s="8"/>
    </row>
    <row r="292" customFormat="false" ht="13.8" hidden="false" customHeight="false" outlineLevel="0" collapsed="false">
      <c r="A292" s="25" t="s">
        <v>4448</v>
      </c>
      <c r="B292" s="41" t="s">
        <v>3597</v>
      </c>
      <c r="C292" s="8" t="s">
        <v>427</v>
      </c>
      <c r="D292" s="8" t="s">
        <v>3877</v>
      </c>
      <c r="E292" s="0" t="s">
        <v>3878</v>
      </c>
      <c r="F292" s="0" t="s">
        <v>427</v>
      </c>
      <c r="G292" s="0" t="s">
        <v>427</v>
      </c>
      <c r="H292" s="0" t="s">
        <v>427</v>
      </c>
      <c r="I292" s="0" t="s">
        <v>3879</v>
      </c>
      <c r="K292" s="44" t="str">
        <f aca="false">INDEX(libraries!$B:$B, MATCH(B292, libraries!$A:$A, 0), 1)</f>
        <v>sam0475</v>
      </c>
      <c r="L292" s="44" t="n">
        <f aca="false">INDEX(samples!$F:$F, MATCH(K292, samples!$A:$A, 0), 1)</f>
        <v>0</v>
      </c>
      <c r="M292" s="55" t="str">
        <f aca="false">INDEX(samples!$C:$C, MATCH(K292, samples!$A:$A, 0), 1)</f>
        <v>2021-11-02</v>
      </c>
      <c r="N292" s="44" t="str">
        <f aca="false">INDEX(samples!$B:$B, MATCH(K292, samples!$A:$A, 0), 1)</f>
        <v>par0256</v>
      </c>
      <c r="O292" s="44" t="s">
        <v>1302</v>
      </c>
      <c r="P292" s="8" t="s">
        <v>3880</v>
      </c>
      <c r="Q292" s="8" t="s">
        <v>36</v>
      </c>
      <c r="R292" s="33" t="s">
        <v>3881</v>
      </c>
      <c r="T292" s="8"/>
    </row>
    <row r="293" customFormat="false" ht="13.8" hidden="false" customHeight="false" outlineLevel="0" collapsed="false">
      <c r="A293" s="25" t="s">
        <v>4449</v>
      </c>
      <c r="B293" s="41" t="s">
        <v>3598</v>
      </c>
      <c r="C293" s="8" t="s">
        <v>427</v>
      </c>
      <c r="D293" s="8" t="s">
        <v>3877</v>
      </c>
      <c r="E293" s="0" t="s">
        <v>3878</v>
      </c>
      <c r="F293" s="0" t="s">
        <v>427</v>
      </c>
      <c r="G293" s="0" t="s">
        <v>427</v>
      </c>
      <c r="H293" s="0" t="s">
        <v>427</v>
      </c>
      <c r="I293" s="0" t="s">
        <v>3879</v>
      </c>
      <c r="K293" s="44" t="str">
        <f aca="false">INDEX(libraries!$B:$B, MATCH(B293, libraries!$A:$A, 0), 1)</f>
        <v>sam0476</v>
      </c>
      <c r="L293" s="44" t="n">
        <f aca="false">INDEX(samples!$F:$F, MATCH(K293, samples!$A:$A, 0), 1)</f>
        <v>0</v>
      </c>
      <c r="M293" s="55" t="str">
        <f aca="false">INDEX(samples!$C:$C, MATCH(K293, samples!$A:$A, 0), 1)</f>
        <v>2022-08-16</v>
      </c>
      <c r="N293" s="44" t="str">
        <f aca="false">INDEX(samples!$B:$B, MATCH(K293, samples!$A:$A, 0), 1)</f>
        <v>par0257</v>
      </c>
      <c r="O293" s="44" t="s">
        <v>1307</v>
      </c>
      <c r="P293" s="8" t="s">
        <v>3880</v>
      </c>
      <c r="Q293" s="8" t="s">
        <v>36</v>
      </c>
      <c r="R293" s="33" t="s">
        <v>3881</v>
      </c>
      <c r="T293" s="8"/>
    </row>
    <row r="294" customFormat="false" ht="13.8" hidden="false" customHeight="false" outlineLevel="0" collapsed="false">
      <c r="A294" s="25" t="s">
        <v>4450</v>
      </c>
      <c r="B294" s="41" t="s">
        <v>3731</v>
      </c>
      <c r="C294" s="8" t="s">
        <v>3125</v>
      </c>
      <c r="D294" s="8" t="s">
        <v>3877</v>
      </c>
      <c r="E294" s="0" t="s">
        <v>3878</v>
      </c>
      <c r="F294" s="0" t="s">
        <v>4451</v>
      </c>
      <c r="G294" s="0" t="s">
        <v>4452</v>
      </c>
      <c r="H294" s="0" t="s">
        <v>427</v>
      </c>
      <c r="I294" s="0" t="s">
        <v>3911</v>
      </c>
      <c r="K294" s="44" t="str">
        <f aca="false">INDEX(libraries!$B:$B, MATCH(B294, libraries!$A:$A, 0), 1)</f>
        <v>sam0352</v>
      </c>
      <c r="L294" s="44" t="str">
        <f aca="false">INDEX(samples!$F:$F, MATCH(K294, samples!$A:$A, 0), 1)</f>
        <v>nf1_lib67</v>
      </c>
      <c r="M294" s="55" t="str">
        <f aca="false">INDEX(samples!$C:$C, MATCH(K294, samples!$A:$A, 0), 1)</f>
        <v>2022-05-24</v>
      </c>
      <c r="N294" s="44" t="str">
        <f aca="false">INDEX(samples!$B:$B, MATCH(K294, samples!$A:$A, 0), 1)</f>
        <v>par0257</v>
      </c>
      <c r="O294" s="44" t="s">
        <v>1307</v>
      </c>
      <c r="P294" s="8" t="s">
        <v>3880</v>
      </c>
      <c r="Q294" s="8" t="s">
        <v>4453</v>
      </c>
      <c r="R294" s="8" t="s">
        <v>3893</v>
      </c>
      <c r="T294" s="8"/>
    </row>
    <row r="295" customFormat="false" ht="13.8" hidden="false" customHeight="false" outlineLevel="0" collapsed="false">
      <c r="A295" s="25" t="s">
        <v>4454</v>
      </c>
      <c r="B295" s="41" t="s">
        <v>3599</v>
      </c>
      <c r="C295" s="8" t="s">
        <v>427</v>
      </c>
      <c r="D295" s="8" t="s">
        <v>3877</v>
      </c>
      <c r="E295" s="0" t="s">
        <v>3878</v>
      </c>
      <c r="F295" s="0" t="s">
        <v>427</v>
      </c>
      <c r="G295" s="0" t="s">
        <v>427</v>
      </c>
      <c r="H295" s="0" t="s">
        <v>427</v>
      </c>
      <c r="I295" s="0" t="s">
        <v>3879</v>
      </c>
      <c r="K295" s="44" t="str">
        <f aca="false">INDEX(libraries!$B:$B, MATCH(B295, libraries!$A:$A, 0), 1)</f>
        <v>sam0477</v>
      </c>
      <c r="L295" s="44" t="str">
        <f aca="false">INDEX(samples!$F:$F, MATCH(K295, samples!$A:$A, 0), 1)</f>
        <v>nf1_lib72</v>
      </c>
      <c r="M295" s="55" t="str">
        <f aca="false">INDEX(samples!$C:$C, MATCH(K295, samples!$A:$A, 0), 1)</f>
        <v>2022-08-23</v>
      </c>
      <c r="N295" s="44" t="str">
        <f aca="false">INDEX(samples!$B:$B, MATCH(K295, samples!$A:$A, 0), 1)</f>
        <v>par0258</v>
      </c>
      <c r="O295" s="44" t="s">
        <v>1311</v>
      </c>
      <c r="P295" s="8" t="s">
        <v>3880</v>
      </c>
      <c r="Q295" s="8" t="s">
        <v>36</v>
      </c>
      <c r="R295" s="33" t="s">
        <v>3881</v>
      </c>
      <c r="T295" s="8"/>
    </row>
    <row r="296" customFormat="false" ht="13.8" hidden="false" customHeight="false" outlineLevel="0" collapsed="false">
      <c r="A296" s="25" t="s">
        <v>4455</v>
      </c>
      <c r="B296" s="41" t="s">
        <v>3785</v>
      </c>
      <c r="C296" s="33" t="s">
        <v>3110</v>
      </c>
      <c r="D296" s="33" t="s">
        <v>3877</v>
      </c>
      <c r="E296" s="0" t="s">
        <v>4088</v>
      </c>
      <c r="F296" s="0" t="s">
        <v>427</v>
      </c>
      <c r="G296" s="0" t="s">
        <v>427</v>
      </c>
      <c r="H296" s="0" t="s">
        <v>4089</v>
      </c>
      <c r="I296" s="0" t="s">
        <v>4090</v>
      </c>
      <c r="K296" s="44" t="str">
        <f aca="false">INDEX(libraries!$B:$B, MATCH(B296, libraries!$A:$A, 0), 1)</f>
        <v>sam0612</v>
      </c>
      <c r="L296" s="44" t="n">
        <f aca="false">INDEX(samples!$F:$F, MATCH(K296, samples!$A:$A, 0), 1)</f>
        <v>0</v>
      </c>
      <c r="M296" s="55" t="str">
        <f aca="false">INDEX(samples!$C:$C, MATCH(K296, samples!$A:$A, 0), 1)</f>
        <v>1899-12-30</v>
      </c>
      <c r="N296" s="44" t="str">
        <f aca="false">INDEX(samples!$B:$B, MATCH(K296, samples!$A:$A, 0), 1)</f>
        <v>par0223</v>
      </c>
      <c r="P296" s="0" t="s">
        <v>3880</v>
      </c>
      <c r="T296" s="8"/>
    </row>
    <row r="297" customFormat="false" ht="13.8" hidden="false" customHeight="false" outlineLevel="0" collapsed="false">
      <c r="A297" s="25" t="s">
        <v>4456</v>
      </c>
      <c r="B297" s="41" t="s">
        <v>3785</v>
      </c>
      <c r="C297" s="33" t="s">
        <v>3110</v>
      </c>
      <c r="D297" s="33" t="s">
        <v>3877</v>
      </c>
      <c r="E297" s="0" t="s">
        <v>4088</v>
      </c>
      <c r="F297" s="0" t="s">
        <v>427</v>
      </c>
      <c r="G297" s="0" t="s">
        <v>427</v>
      </c>
      <c r="H297" s="0" t="s">
        <v>4089</v>
      </c>
      <c r="I297" s="0" t="s">
        <v>4090</v>
      </c>
      <c r="K297" s="44" t="str">
        <f aca="false">INDEX(libraries!$B:$B, MATCH(B297, libraries!$A:$A, 0), 1)</f>
        <v>sam0612</v>
      </c>
      <c r="L297" s="44" t="n">
        <f aca="false">INDEX(samples!$F:$F, MATCH(K297, samples!$A:$A, 0), 1)</f>
        <v>0</v>
      </c>
      <c r="M297" s="55" t="str">
        <f aca="false">INDEX(samples!$C:$C, MATCH(K297, samples!$A:$A, 0), 1)</f>
        <v>1899-12-30</v>
      </c>
      <c r="N297" s="44" t="str">
        <f aca="false">INDEX(samples!$B:$B, MATCH(K297, samples!$A:$A, 0), 1)</f>
        <v>par0223</v>
      </c>
      <c r="P297" s="0" t="s">
        <v>3880</v>
      </c>
      <c r="T297" s="8"/>
    </row>
    <row r="298" customFormat="false" ht="13.8" hidden="false" customHeight="false" outlineLevel="0" collapsed="false">
      <c r="A298" s="25" t="s">
        <v>4457</v>
      </c>
      <c r="B298" s="41" t="s">
        <v>3785</v>
      </c>
      <c r="C298" s="33" t="s">
        <v>3110</v>
      </c>
      <c r="D298" s="33" t="s">
        <v>3877</v>
      </c>
      <c r="E298" s="0" t="s">
        <v>4088</v>
      </c>
      <c r="F298" s="0" t="s">
        <v>427</v>
      </c>
      <c r="G298" s="0" t="s">
        <v>427</v>
      </c>
      <c r="H298" s="0" t="s">
        <v>4089</v>
      </c>
      <c r="I298" s="0" t="s">
        <v>4090</v>
      </c>
      <c r="K298" s="44" t="str">
        <f aca="false">INDEX(libraries!$B:$B, MATCH(B298, libraries!$A:$A, 0), 1)</f>
        <v>sam0612</v>
      </c>
      <c r="L298" s="44" t="n">
        <f aca="false">INDEX(samples!$F:$F, MATCH(K298, samples!$A:$A, 0), 1)</f>
        <v>0</v>
      </c>
      <c r="M298" s="55" t="str">
        <f aca="false">INDEX(samples!$C:$C, MATCH(K298, samples!$A:$A, 0), 1)</f>
        <v>1899-12-30</v>
      </c>
      <c r="N298" s="44" t="str">
        <f aca="false">INDEX(samples!$B:$B, MATCH(K298, samples!$A:$A, 0), 1)</f>
        <v>par0223</v>
      </c>
      <c r="P298" s="0" t="s">
        <v>3880</v>
      </c>
      <c r="T298" s="8"/>
    </row>
    <row r="299" customFormat="false" ht="13.8" hidden="false" customHeight="false" outlineLevel="0" collapsed="false">
      <c r="A299" s="25" t="s">
        <v>4458</v>
      </c>
      <c r="B299" s="41" t="s">
        <v>3785</v>
      </c>
      <c r="C299" s="33" t="s">
        <v>3110</v>
      </c>
      <c r="D299" s="33" t="s">
        <v>3877</v>
      </c>
      <c r="E299" s="0" t="s">
        <v>4088</v>
      </c>
      <c r="F299" s="0" t="s">
        <v>427</v>
      </c>
      <c r="G299" s="0" t="s">
        <v>427</v>
      </c>
      <c r="H299" s="0" t="s">
        <v>4089</v>
      </c>
      <c r="I299" s="0" t="s">
        <v>4090</v>
      </c>
      <c r="K299" s="44" t="str">
        <f aca="false">INDEX(libraries!$B:$B, MATCH(B299, libraries!$A:$A, 0), 1)</f>
        <v>sam0612</v>
      </c>
      <c r="L299" s="44" t="n">
        <f aca="false">INDEX(samples!$F:$F, MATCH(K299, samples!$A:$A, 0), 1)</f>
        <v>0</v>
      </c>
      <c r="M299" s="55" t="str">
        <f aca="false">INDEX(samples!$C:$C, MATCH(K299, samples!$A:$A, 0), 1)</f>
        <v>1899-12-30</v>
      </c>
      <c r="N299" s="44" t="str">
        <f aca="false">INDEX(samples!$B:$B, MATCH(K299, samples!$A:$A, 0), 1)</f>
        <v>par0223</v>
      </c>
      <c r="P299" s="0" t="s">
        <v>3880</v>
      </c>
      <c r="T299" s="8"/>
    </row>
    <row r="300" customFormat="false" ht="13.8" hidden="false" customHeight="false" outlineLevel="0" collapsed="false">
      <c r="A300" s="25" t="s">
        <v>4459</v>
      </c>
      <c r="B300" s="41" t="s">
        <v>3378</v>
      </c>
      <c r="C300" s="8" t="s">
        <v>427</v>
      </c>
      <c r="D300" s="8" t="s">
        <v>3877</v>
      </c>
      <c r="E300" s="0" t="s">
        <v>3878</v>
      </c>
      <c r="F300" s="0" t="s">
        <v>427</v>
      </c>
      <c r="G300" s="0" t="s">
        <v>427</v>
      </c>
      <c r="H300" s="0" t="s">
        <v>427</v>
      </c>
      <c r="I300" s="0" t="s">
        <v>3879</v>
      </c>
      <c r="K300" s="44" t="str">
        <f aca="false">INDEX(libraries!$B:$B, MATCH(B300, libraries!$A:$A, 0), 1)</f>
        <v>sam0238</v>
      </c>
      <c r="L300" s="44" t="n">
        <f aca="false">INDEX(samples!$F:$F, MATCH(K300, samples!$A:$A, 0), 1)</f>
        <v>0</v>
      </c>
      <c r="M300" s="55" t="str">
        <f aca="false">INDEX(samples!$C:$C, MATCH(K300, samples!$A:$A, 0), 1)</f>
        <v>2018-04-09</v>
      </c>
      <c r="N300" s="44" t="str">
        <f aca="false">INDEX(samples!$B:$B, MATCH(K300, samples!$A:$A, 0), 1)</f>
        <v>par0143</v>
      </c>
      <c r="O300" s="44" t="s">
        <v>930</v>
      </c>
      <c r="P300" s="8" t="s">
        <v>3880</v>
      </c>
      <c r="Q300" s="8" t="s">
        <v>36</v>
      </c>
      <c r="R300" s="33" t="s">
        <v>3881</v>
      </c>
      <c r="T300" s="8"/>
    </row>
    <row r="301" customFormat="false" ht="13.8" hidden="false" customHeight="false" outlineLevel="0" collapsed="false">
      <c r="A301" s="25" t="s">
        <v>4460</v>
      </c>
      <c r="B301" s="41" t="s">
        <v>3732</v>
      </c>
      <c r="C301" s="8" t="s">
        <v>3125</v>
      </c>
      <c r="D301" s="8" t="s">
        <v>3877</v>
      </c>
      <c r="E301" s="0" t="s">
        <v>3878</v>
      </c>
      <c r="F301" s="0" t="s">
        <v>4461</v>
      </c>
      <c r="G301" s="0" t="s">
        <v>4462</v>
      </c>
      <c r="H301" s="0" t="s">
        <v>427</v>
      </c>
      <c r="I301" s="0" t="s">
        <v>3911</v>
      </c>
      <c r="K301" s="44" t="str">
        <f aca="false">INDEX(libraries!$B:$B, MATCH(B301, libraries!$A:$A, 0), 1)</f>
        <v>sam0560</v>
      </c>
      <c r="L301" s="44" t="str">
        <f aca="false">INDEX(samples!$F:$F, MATCH(K301, samples!$A:$A, 0), 1)</f>
        <v>nf1_lib68</v>
      </c>
      <c r="M301" s="55" t="str">
        <f aca="false">INDEX(samples!$C:$C, MATCH(K301, samples!$A:$A, 0), 1)</f>
        <v>2022-10-18</v>
      </c>
      <c r="N301" s="44" t="str">
        <f aca="false">INDEX(samples!$B:$B, MATCH(K301, samples!$A:$A, 0), 1)</f>
        <v>par0202</v>
      </c>
      <c r="O301" s="44" t="s">
        <v>1086</v>
      </c>
      <c r="P301" s="8" t="s">
        <v>3880</v>
      </c>
      <c r="Q301" s="8" t="s">
        <v>4463</v>
      </c>
      <c r="R301" s="8" t="s">
        <v>3893</v>
      </c>
      <c r="T301" s="8"/>
    </row>
    <row r="302" customFormat="false" ht="13.8" hidden="false" customHeight="false" outlineLevel="0" collapsed="false">
      <c r="A302" s="25" t="s">
        <v>4464</v>
      </c>
      <c r="B302" s="41" t="s">
        <v>3600</v>
      </c>
      <c r="C302" s="8" t="s">
        <v>427</v>
      </c>
      <c r="D302" s="8" t="s">
        <v>3877</v>
      </c>
      <c r="E302" s="0" t="s">
        <v>3878</v>
      </c>
      <c r="F302" s="0" t="s">
        <v>427</v>
      </c>
      <c r="G302" s="0" t="s">
        <v>427</v>
      </c>
      <c r="H302" s="0" t="s">
        <v>427</v>
      </c>
      <c r="I302" s="0" t="s">
        <v>3879</v>
      </c>
      <c r="K302" s="44" t="str">
        <f aca="false">INDEX(libraries!$B:$B, MATCH(B302, libraries!$A:$A, 0), 1)</f>
        <v>sam0478</v>
      </c>
      <c r="L302" s="44" t="n">
        <f aca="false">INDEX(samples!$F:$F, MATCH(K302, samples!$A:$A, 0), 1)</f>
        <v>0</v>
      </c>
      <c r="M302" s="55" t="str">
        <f aca="false">INDEX(samples!$C:$C, MATCH(K302, samples!$A:$A, 0), 1)</f>
        <v>2022-04-05</v>
      </c>
      <c r="N302" s="44" t="str">
        <f aca="false">INDEX(samples!$B:$B, MATCH(K302, samples!$A:$A, 0), 1)</f>
        <v>par0259</v>
      </c>
      <c r="O302" s="44" t="s">
        <v>1316</v>
      </c>
      <c r="P302" s="8" t="s">
        <v>3880</v>
      </c>
      <c r="Q302" s="8" t="s">
        <v>36</v>
      </c>
      <c r="R302" s="33" t="s">
        <v>3881</v>
      </c>
      <c r="T302" s="8"/>
    </row>
    <row r="303" customFormat="false" ht="13.8" hidden="false" customHeight="false" outlineLevel="0" collapsed="false">
      <c r="A303" s="25" t="s">
        <v>4465</v>
      </c>
      <c r="B303" s="41" t="s">
        <v>3601</v>
      </c>
      <c r="C303" s="8" t="s">
        <v>427</v>
      </c>
      <c r="D303" s="8" t="s">
        <v>3877</v>
      </c>
      <c r="E303" s="0" t="s">
        <v>3878</v>
      </c>
      <c r="F303" s="0" t="s">
        <v>427</v>
      </c>
      <c r="G303" s="0" t="s">
        <v>427</v>
      </c>
      <c r="H303" s="0" t="s">
        <v>427</v>
      </c>
      <c r="I303" s="0" t="s">
        <v>3879</v>
      </c>
      <c r="K303" s="44" t="str">
        <f aca="false">INDEX(libraries!$B:$B, MATCH(B303, libraries!$A:$A, 0), 1)</f>
        <v>sam0479</v>
      </c>
      <c r="L303" s="44" t="n">
        <f aca="false">INDEX(samples!$F:$F, MATCH(K303, samples!$A:$A, 0), 1)</f>
        <v>0</v>
      </c>
      <c r="M303" s="55" t="str">
        <f aca="false">INDEX(samples!$C:$C, MATCH(K303, samples!$A:$A, 0), 1)</f>
        <v>2022-04-12</v>
      </c>
      <c r="N303" s="44" t="str">
        <f aca="false">INDEX(samples!$B:$B, MATCH(K303, samples!$A:$A, 0), 1)</f>
        <v>par0260</v>
      </c>
      <c r="O303" s="44" t="s">
        <v>1320</v>
      </c>
      <c r="P303" s="8" t="s">
        <v>3880</v>
      </c>
      <c r="Q303" s="8" t="s">
        <v>36</v>
      </c>
      <c r="R303" s="33" t="s">
        <v>3881</v>
      </c>
      <c r="T303" s="8"/>
    </row>
    <row r="304" customFormat="false" ht="13.8" hidden="false" customHeight="false" outlineLevel="0" collapsed="false">
      <c r="A304" s="25" t="s">
        <v>4466</v>
      </c>
      <c r="B304" s="41" t="s">
        <v>3379</v>
      </c>
      <c r="C304" s="8" t="s">
        <v>427</v>
      </c>
      <c r="D304" s="8" t="s">
        <v>3877</v>
      </c>
      <c r="E304" s="0" t="s">
        <v>3878</v>
      </c>
      <c r="F304" s="0" t="s">
        <v>427</v>
      </c>
      <c r="G304" s="0" t="s">
        <v>427</v>
      </c>
      <c r="H304" s="0" t="s">
        <v>427</v>
      </c>
      <c r="I304" s="0" t="s">
        <v>3879</v>
      </c>
      <c r="K304" s="44" t="str">
        <f aca="false">INDEX(libraries!$B:$B, MATCH(B304, libraries!$A:$A, 0), 1)</f>
        <v>sam0239</v>
      </c>
      <c r="L304" s="44" t="n">
        <f aca="false">INDEX(samples!$F:$F, MATCH(K304, samples!$A:$A, 0), 1)</f>
        <v>0</v>
      </c>
      <c r="M304" s="55" t="str">
        <f aca="false">INDEX(samples!$C:$C, MATCH(K304, samples!$A:$A, 0), 1)</f>
        <v>2018-03-09</v>
      </c>
      <c r="N304" s="44" t="str">
        <f aca="false">INDEX(samples!$B:$B, MATCH(K304, samples!$A:$A, 0), 1)</f>
        <v>par0144</v>
      </c>
      <c r="O304" s="44" t="s">
        <v>935</v>
      </c>
      <c r="P304" s="8" t="s">
        <v>3880</v>
      </c>
      <c r="Q304" s="8" t="s">
        <v>36</v>
      </c>
      <c r="R304" s="33" t="s">
        <v>3881</v>
      </c>
      <c r="T304" s="8"/>
    </row>
    <row r="305" customFormat="false" ht="13.8" hidden="false" customHeight="false" outlineLevel="0" collapsed="false">
      <c r="A305" s="25" t="s">
        <v>4467</v>
      </c>
      <c r="B305" s="41" t="s">
        <v>3733</v>
      </c>
      <c r="C305" s="8" t="s">
        <v>3125</v>
      </c>
      <c r="D305" s="8" t="s">
        <v>3877</v>
      </c>
      <c r="E305" s="0" t="s">
        <v>3878</v>
      </c>
      <c r="F305" s="0" t="s">
        <v>4468</v>
      </c>
      <c r="G305" s="0" t="s">
        <v>4469</v>
      </c>
      <c r="H305" s="0" t="s">
        <v>427</v>
      </c>
      <c r="I305" s="0" t="s">
        <v>3911</v>
      </c>
      <c r="K305" s="44" t="str">
        <f aca="false">INDEX(libraries!$B:$B, MATCH(B305, libraries!$A:$A, 0), 1)</f>
        <v>sam0561</v>
      </c>
      <c r="L305" s="44" t="str">
        <f aca="false">INDEX(samples!$F:$F, MATCH(K305, samples!$A:$A, 0), 1)</f>
        <v>nf1_lib69</v>
      </c>
      <c r="M305" s="55" t="str">
        <f aca="false">INDEX(samples!$C:$C, MATCH(K305, samples!$A:$A, 0), 1)</f>
        <v>2024-10-25</v>
      </c>
      <c r="N305" s="44" t="str">
        <f aca="false">INDEX(samples!$B:$B, MATCH(K305, samples!$A:$A, 0), 1)</f>
        <v>par0295</v>
      </c>
      <c r="O305" s="44" t="s">
        <v>1434</v>
      </c>
      <c r="P305" s="8" t="s">
        <v>3880</v>
      </c>
      <c r="Q305" s="8" t="s">
        <v>4470</v>
      </c>
      <c r="R305" s="8" t="s">
        <v>3893</v>
      </c>
      <c r="T305" s="8"/>
    </row>
    <row r="306" customFormat="false" ht="13.8" hidden="false" customHeight="false" outlineLevel="0" collapsed="false">
      <c r="A306" s="25" t="s">
        <v>4471</v>
      </c>
      <c r="B306" s="41" t="s">
        <v>3602</v>
      </c>
      <c r="C306" s="8" t="s">
        <v>427</v>
      </c>
      <c r="D306" s="8" t="s">
        <v>3877</v>
      </c>
      <c r="E306" s="0" t="s">
        <v>3878</v>
      </c>
      <c r="F306" s="0" t="s">
        <v>427</v>
      </c>
      <c r="G306" s="0" t="s">
        <v>427</v>
      </c>
      <c r="H306" s="0" t="s">
        <v>427</v>
      </c>
      <c r="I306" s="0" t="s">
        <v>3879</v>
      </c>
      <c r="K306" s="44" t="str">
        <f aca="false">INDEX(libraries!$B:$B, MATCH(B306, libraries!$A:$A, 0), 1)</f>
        <v>sam0480</v>
      </c>
      <c r="L306" s="44" t="n">
        <f aca="false">INDEX(samples!$F:$F, MATCH(K306, samples!$A:$A, 0), 1)</f>
        <v>0</v>
      </c>
      <c r="M306" s="55" t="str">
        <f aca="false">INDEX(samples!$C:$C, MATCH(K306, samples!$A:$A, 0), 1)</f>
        <v>2022-05-10</v>
      </c>
      <c r="N306" s="44" t="str">
        <f aca="false">INDEX(samples!$B:$B, MATCH(K306, samples!$A:$A, 0), 1)</f>
        <v>par0261</v>
      </c>
      <c r="O306" s="44" t="s">
        <v>1324</v>
      </c>
      <c r="P306" s="8" t="s">
        <v>3880</v>
      </c>
      <c r="Q306" s="8" t="s">
        <v>36</v>
      </c>
      <c r="R306" s="33" t="s">
        <v>3881</v>
      </c>
      <c r="T306" s="8"/>
    </row>
    <row r="307" customFormat="false" ht="13.8" hidden="false" customHeight="false" outlineLevel="0" collapsed="false">
      <c r="A307" s="25" t="s">
        <v>4472</v>
      </c>
      <c r="B307" s="41" t="s">
        <v>3603</v>
      </c>
      <c r="C307" s="8" t="s">
        <v>427</v>
      </c>
      <c r="D307" s="8" t="s">
        <v>3877</v>
      </c>
      <c r="E307" s="0" t="s">
        <v>3878</v>
      </c>
      <c r="F307" s="0" t="s">
        <v>427</v>
      </c>
      <c r="G307" s="0" t="s">
        <v>427</v>
      </c>
      <c r="H307" s="0" t="s">
        <v>427</v>
      </c>
      <c r="I307" s="0" t="s">
        <v>3879</v>
      </c>
      <c r="K307" s="44" t="str">
        <f aca="false">INDEX(libraries!$B:$B, MATCH(B307, libraries!$A:$A, 0), 1)</f>
        <v>sam0401</v>
      </c>
      <c r="L307" s="44" t="n">
        <f aca="false">INDEX(samples!$F:$F, MATCH(K307, samples!$A:$A, 0), 1)</f>
        <v>0</v>
      </c>
      <c r="M307" s="55" t="str">
        <f aca="false">INDEX(samples!$C:$C, MATCH(K307, samples!$A:$A, 0), 1)</f>
        <v>2022-09-13</v>
      </c>
      <c r="N307" s="44" t="str">
        <f aca="false">INDEX(samples!$B:$B, MATCH(K307, samples!$A:$A, 0), 1)</f>
        <v>par0262</v>
      </c>
      <c r="O307" s="44" t="s">
        <v>1328</v>
      </c>
      <c r="P307" s="8" t="s">
        <v>3880</v>
      </c>
      <c r="Q307" s="8" t="s">
        <v>36</v>
      </c>
      <c r="R307" s="33" t="s">
        <v>3881</v>
      </c>
      <c r="T307" s="8"/>
    </row>
    <row r="308" customFormat="false" ht="13.8" hidden="false" customHeight="false" outlineLevel="0" collapsed="false">
      <c r="A308" s="25" t="s">
        <v>4473</v>
      </c>
      <c r="B308" s="41" t="s">
        <v>3238</v>
      </c>
      <c r="C308" s="8" t="s">
        <v>427</v>
      </c>
      <c r="D308" s="8" t="s">
        <v>3877</v>
      </c>
      <c r="E308" s="0" t="s">
        <v>3878</v>
      </c>
      <c r="F308" s="0" t="s">
        <v>427</v>
      </c>
      <c r="G308" s="0" t="s">
        <v>427</v>
      </c>
      <c r="H308" s="0" t="s">
        <v>427</v>
      </c>
      <c r="I308" s="0" t="s">
        <v>3879</v>
      </c>
      <c r="K308" s="44" t="str">
        <f aca="false">INDEX(libraries!$B:$B, MATCH(B308, libraries!$A:$A, 0), 1)</f>
        <v>sam0021</v>
      </c>
      <c r="L308" s="44" t="n">
        <f aca="false">INDEX(samples!$F:$F, MATCH(K308, samples!$A:$A, 0), 1)</f>
        <v>0</v>
      </c>
      <c r="M308" s="55" t="str">
        <f aca="false">INDEX(samples!$C:$C, MATCH(K308, samples!$A:$A, 0), 1)</f>
        <v>UNK</v>
      </c>
      <c r="N308" s="44" t="str">
        <f aca="false">INDEX(samples!$B:$B, MATCH(K308, samples!$A:$A, 0), 1)</f>
        <v>par0121</v>
      </c>
      <c r="O308" s="44" t="s">
        <v>862</v>
      </c>
      <c r="P308" s="8" t="s">
        <v>3880</v>
      </c>
      <c r="Q308" s="8" t="s">
        <v>36</v>
      </c>
      <c r="R308" s="33" t="s">
        <v>3881</v>
      </c>
      <c r="T308" s="8"/>
    </row>
    <row r="309" customFormat="false" ht="13.8" hidden="false" customHeight="false" outlineLevel="0" collapsed="false">
      <c r="A309" s="25" t="s">
        <v>4474</v>
      </c>
      <c r="B309" s="53" t="s">
        <v>3653</v>
      </c>
      <c r="C309" s="33" t="s">
        <v>3107</v>
      </c>
      <c r="D309" s="33" t="s">
        <v>3877</v>
      </c>
      <c r="E309" s="0" t="s">
        <v>3878</v>
      </c>
      <c r="F309" s="0" t="s">
        <v>4475</v>
      </c>
      <c r="G309" s="0" t="s">
        <v>4476</v>
      </c>
      <c r="H309" s="0" t="s">
        <v>427</v>
      </c>
      <c r="I309" s="0" t="s">
        <v>4477</v>
      </c>
      <c r="K309" s="44" t="str">
        <f aca="false">INDEX(libraries!$B:$B, MATCH(B309, libraries!$A:$A, 0), 1)</f>
        <v>sam0483</v>
      </c>
      <c r="L309" s="44" t="str">
        <f aca="false">INDEX(samples!$F:$F, MATCH(K309, samples!$A:$A, 0), 1)</f>
        <v>emseq_07</v>
      </c>
      <c r="M309" s="55" t="str">
        <f aca="false">INDEX(samples!$C:$C, MATCH(K309, samples!$A:$A, 0), 1)</f>
        <v>GET</v>
      </c>
      <c r="N309" s="44" t="str">
        <f aca="false">INDEX(samples!$B:$B, MATCH(K309, samples!$A:$A, 0), 1)</f>
        <v>par0292</v>
      </c>
      <c r="O309" s="44" t="s">
        <v>1425</v>
      </c>
      <c r="P309" s="8" t="s">
        <v>3880</v>
      </c>
      <c r="Q309" s="8" t="s">
        <v>36</v>
      </c>
      <c r="R309" s="8" t="s">
        <v>3893</v>
      </c>
      <c r="T309" s="8"/>
    </row>
    <row r="310" customFormat="false" ht="13.8" hidden="false" customHeight="false" outlineLevel="0" collapsed="false">
      <c r="A310" s="25" t="s">
        <v>4478</v>
      </c>
      <c r="B310" s="41" t="s">
        <v>3176</v>
      </c>
      <c r="C310" s="8" t="s">
        <v>427</v>
      </c>
      <c r="D310" s="8" t="s">
        <v>3877</v>
      </c>
      <c r="E310" s="0" t="s">
        <v>3878</v>
      </c>
      <c r="F310" s="0" t="s">
        <v>427</v>
      </c>
      <c r="G310" s="0" t="s">
        <v>427</v>
      </c>
      <c r="H310" s="0" t="s">
        <v>427</v>
      </c>
      <c r="I310" s="0" t="s">
        <v>3879</v>
      </c>
      <c r="K310" s="44" t="str">
        <f aca="false">INDEX(libraries!$B:$B, MATCH(B310, libraries!$A:$A, 0), 1)</f>
        <v>sam0034</v>
      </c>
      <c r="L310" s="44" t="n">
        <f aca="false">INDEX(samples!$F:$F, MATCH(K310, samples!$A:$A, 0), 1)</f>
        <v>0</v>
      </c>
      <c r="M310" s="55" t="str">
        <f aca="false">INDEX(samples!$C:$C, MATCH(K310, samples!$A:$A, 0), 1)</f>
        <v>2018-05-01</v>
      </c>
      <c r="N310" s="44" t="str">
        <f aca="false">INDEX(samples!$B:$B, MATCH(K310, samples!$A:$A, 0), 1)</f>
        <v>par0015</v>
      </c>
      <c r="O310" s="44" t="s">
        <v>536</v>
      </c>
      <c r="P310" s="8" t="s">
        <v>3880</v>
      </c>
      <c r="Q310" s="8" t="s">
        <v>36</v>
      </c>
      <c r="R310" s="33" t="s">
        <v>3881</v>
      </c>
      <c r="T310" s="8"/>
    </row>
    <row r="311" customFormat="false" ht="13.8" hidden="false" customHeight="false" outlineLevel="0" collapsed="false">
      <c r="A311" s="25" t="s">
        <v>4479</v>
      </c>
      <c r="B311" s="41" t="s">
        <v>3382</v>
      </c>
      <c r="C311" s="8" t="s">
        <v>427</v>
      </c>
      <c r="D311" s="8" t="s">
        <v>3877</v>
      </c>
      <c r="E311" s="0" t="s">
        <v>3878</v>
      </c>
      <c r="F311" s="0" t="s">
        <v>427</v>
      </c>
      <c r="G311" s="0" t="s">
        <v>427</v>
      </c>
      <c r="H311" s="0" t="s">
        <v>427</v>
      </c>
      <c r="I311" s="0" t="s">
        <v>3879</v>
      </c>
      <c r="K311" s="44" t="str">
        <f aca="false">INDEX(libraries!$B:$B, MATCH(B311, libraries!$A:$A, 0), 1)</f>
        <v>sam0242</v>
      </c>
      <c r="L311" s="44" t="n">
        <f aca="false">INDEX(samples!$F:$F, MATCH(K311, samples!$A:$A, 0), 1)</f>
        <v>0</v>
      </c>
      <c r="M311" s="55" t="str">
        <f aca="false">INDEX(samples!$C:$C, MATCH(K311, samples!$A:$A, 0), 1)</f>
        <v>2019-06-21</v>
      </c>
      <c r="N311" s="44" t="str">
        <f aca="false">INDEX(samples!$B:$B, MATCH(K311, samples!$A:$A, 0), 1)</f>
        <v>par0010</v>
      </c>
      <c r="O311" s="44" t="s">
        <v>515</v>
      </c>
      <c r="P311" s="8" t="s">
        <v>3880</v>
      </c>
      <c r="Q311" s="8" t="s">
        <v>36</v>
      </c>
      <c r="R311" s="33" t="s">
        <v>3881</v>
      </c>
      <c r="T311" s="8"/>
    </row>
    <row r="312" customFormat="false" ht="13.8" hidden="false" customHeight="false" outlineLevel="0" collapsed="false">
      <c r="A312" s="25" t="s">
        <v>4480</v>
      </c>
      <c r="B312" s="41" t="s">
        <v>3669</v>
      </c>
      <c r="C312" s="8" t="s">
        <v>3123</v>
      </c>
      <c r="D312" s="8" t="s">
        <v>3877</v>
      </c>
      <c r="E312" s="0" t="s">
        <v>3878</v>
      </c>
      <c r="F312" s="0" t="s">
        <v>4481</v>
      </c>
      <c r="G312" s="0" t="s">
        <v>4482</v>
      </c>
      <c r="H312" s="0" t="s">
        <v>427</v>
      </c>
      <c r="I312" s="0" t="s">
        <v>3891</v>
      </c>
      <c r="K312" s="44" t="str">
        <f aca="false">INDEX(libraries!$B:$B, MATCH(B312, libraries!$A:$A, 0), 1)</f>
        <v>sam0499</v>
      </c>
      <c r="L312" s="44" t="str">
        <f aca="false">INDEX(samples!$F:$F, MATCH(K312, samples!$A:$A, 0), 1)</f>
        <v>nf1_lib7</v>
      </c>
      <c r="M312" s="55" t="str">
        <f aca="false">INDEX(samples!$C:$C, MATCH(K312, samples!$A:$A, 0), 1)</f>
        <v>2024-10-15</v>
      </c>
      <c r="N312" s="44" t="str">
        <f aca="false">INDEX(samples!$B:$B, MATCH(K312, samples!$A:$A, 0), 1)</f>
        <v>par0294</v>
      </c>
      <c r="O312" s="44" t="s">
        <v>1431</v>
      </c>
      <c r="P312" s="8" t="s">
        <v>3880</v>
      </c>
      <c r="Q312" s="8" t="s">
        <v>4483</v>
      </c>
      <c r="R312" s="8" t="s">
        <v>3893</v>
      </c>
      <c r="T312" s="8"/>
    </row>
    <row r="313" customFormat="false" ht="13.8" hidden="false" customHeight="false" outlineLevel="0" collapsed="false">
      <c r="A313" s="25" t="s">
        <v>4484</v>
      </c>
      <c r="B313" s="41" t="s">
        <v>3546</v>
      </c>
      <c r="C313" s="8" t="s">
        <v>3118</v>
      </c>
      <c r="D313" s="8" t="s">
        <v>427</v>
      </c>
      <c r="E313" s="0" t="s">
        <v>427</v>
      </c>
      <c r="F313" s="0" t="s">
        <v>427</v>
      </c>
      <c r="G313" s="0" t="s">
        <v>427</v>
      </c>
      <c r="H313" s="0" t="s">
        <v>427</v>
      </c>
      <c r="I313" s="0" t="s">
        <v>3895</v>
      </c>
      <c r="K313" s="44" t="str">
        <f aca="false">INDEX(libraries!$B:$B, MATCH(B313, libraries!$A:$A, 0), 1)</f>
        <v>sam0345</v>
      </c>
      <c r="L313" s="44" t="n">
        <f aca="false">INDEX(samples!$F:$F, MATCH(K313, samples!$A:$A, 0), 1)</f>
        <v>0</v>
      </c>
      <c r="M313" s="55" t="str">
        <f aca="false">INDEX(samples!$C:$C, MATCH(K313, samples!$A:$A, 0), 1)</f>
        <v>2020-11-17</v>
      </c>
      <c r="N313" s="44" t="str">
        <f aca="false">INDEX(samples!$B:$B, MATCH(K313, samples!$A:$A, 0), 1)</f>
        <v>par0236</v>
      </c>
      <c r="O313" s="44" t="s">
        <v>1228</v>
      </c>
      <c r="P313" s="8" t="s">
        <v>427</v>
      </c>
      <c r="Q313" s="8" t="s">
        <v>36</v>
      </c>
      <c r="R313" s="33" t="s">
        <v>3881</v>
      </c>
      <c r="T313" s="8"/>
    </row>
    <row r="314" customFormat="false" ht="13.8" hidden="false" customHeight="false" outlineLevel="0" collapsed="false">
      <c r="A314" s="25" t="s">
        <v>4485</v>
      </c>
      <c r="B314" s="41" t="s">
        <v>3734</v>
      </c>
      <c r="C314" s="8" t="s">
        <v>3125</v>
      </c>
      <c r="D314" s="8" t="s">
        <v>3877</v>
      </c>
      <c r="E314" s="0" t="s">
        <v>3878</v>
      </c>
      <c r="F314" s="0" t="s">
        <v>4486</v>
      </c>
      <c r="G314" s="0" t="s">
        <v>4487</v>
      </c>
      <c r="H314" s="0" t="s">
        <v>427</v>
      </c>
      <c r="I314" s="0" t="s">
        <v>3911</v>
      </c>
      <c r="K314" s="44" t="str">
        <f aca="false">INDEX(libraries!$B:$B, MATCH(B314, libraries!$A:$A, 0), 1)</f>
        <v>sam0562</v>
      </c>
      <c r="L314" s="44" t="str">
        <f aca="false">INDEX(samples!$F:$F, MATCH(K314, samples!$A:$A, 0), 1)</f>
        <v>nf1_lib70</v>
      </c>
      <c r="M314" s="55" t="str">
        <f aca="false">INDEX(samples!$C:$C, MATCH(K314, samples!$A:$A, 0), 1)</f>
        <v>2024-06-18</v>
      </c>
      <c r="N314" s="44" t="str">
        <f aca="false">INDEX(samples!$B:$B, MATCH(K314, samples!$A:$A, 0), 1)</f>
        <v>par0297</v>
      </c>
      <c r="O314" s="44" t="s">
        <v>1440</v>
      </c>
      <c r="P314" s="8" t="s">
        <v>3880</v>
      </c>
      <c r="Q314" s="8" t="s">
        <v>4488</v>
      </c>
      <c r="R314" s="8" t="s">
        <v>3893</v>
      </c>
      <c r="T314" s="8"/>
    </row>
    <row r="315" customFormat="false" ht="13.8" hidden="false" customHeight="false" outlineLevel="0" collapsed="false">
      <c r="A315" s="25" t="s">
        <v>4489</v>
      </c>
      <c r="B315" s="41" t="s">
        <v>3604</v>
      </c>
      <c r="C315" s="8" t="s">
        <v>427</v>
      </c>
      <c r="D315" s="8" t="s">
        <v>3877</v>
      </c>
      <c r="E315" s="0" t="s">
        <v>3878</v>
      </c>
      <c r="F315" s="0" t="s">
        <v>427</v>
      </c>
      <c r="G315" s="0" t="s">
        <v>427</v>
      </c>
      <c r="H315" s="0" t="s">
        <v>427</v>
      </c>
      <c r="I315" s="0" t="s">
        <v>3879</v>
      </c>
      <c r="K315" s="44" t="str">
        <f aca="false">INDEX(libraries!$B:$B, MATCH(B315, libraries!$A:$A, 0), 1)</f>
        <v>sam0402</v>
      </c>
      <c r="L315" s="44" t="n">
        <f aca="false">INDEX(samples!$F:$F, MATCH(K315, samples!$A:$A, 0), 1)</f>
        <v>0</v>
      </c>
      <c r="M315" s="55" t="str">
        <f aca="false">INDEX(samples!$C:$C, MATCH(K315, samples!$A:$A, 0), 1)</f>
        <v>2022-08-09</v>
      </c>
      <c r="N315" s="44" t="str">
        <f aca="false">INDEX(samples!$B:$B, MATCH(K315, samples!$A:$A, 0), 1)</f>
        <v>par0263</v>
      </c>
      <c r="O315" s="44" t="s">
        <v>1332</v>
      </c>
      <c r="P315" s="8" t="s">
        <v>3880</v>
      </c>
      <c r="Q315" s="8" t="s">
        <v>36</v>
      </c>
      <c r="R315" s="33" t="s">
        <v>3881</v>
      </c>
      <c r="T315" s="8"/>
    </row>
    <row r="316" customFormat="false" ht="13.8" hidden="false" customHeight="false" outlineLevel="0" collapsed="false">
      <c r="A316" s="25" t="s">
        <v>4490</v>
      </c>
      <c r="B316" s="41" t="s">
        <v>3605</v>
      </c>
      <c r="C316" s="8" t="s">
        <v>427</v>
      </c>
      <c r="D316" s="8" t="s">
        <v>3877</v>
      </c>
      <c r="E316" s="0" t="s">
        <v>3878</v>
      </c>
      <c r="F316" s="0" t="s">
        <v>427</v>
      </c>
      <c r="G316" s="0" t="s">
        <v>427</v>
      </c>
      <c r="H316" s="0" t="s">
        <v>427</v>
      </c>
      <c r="I316" s="0" t="s">
        <v>3879</v>
      </c>
      <c r="K316" s="44" t="str">
        <f aca="false">INDEX(libraries!$B:$B, MATCH(B316, libraries!$A:$A, 0), 1)</f>
        <v>sam0403</v>
      </c>
      <c r="L316" s="44" t="n">
        <f aca="false">INDEX(samples!$F:$F, MATCH(K316, samples!$A:$A, 0), 1)</f>
        <v>0</v>
      </c>
      <c r="M316" s="55" t="str">
        <f aca="false">INDEX(samples!$C:$C, MATCH(K316, samples!$A:$A, 0), 1)</f>
        <v>2022-08-16</v>
      </c>
      <c r="N316" s="44" t="str">
        <f aca="false">INDEX(samples!$B:$B, MATCH(K316, samples!$A:$A, 0), 1)</f>
        <v>par0264</v>
      </c>
      <c r="O316" s="44" t="s">
        <v>1337</v>
      </c>
      <c r="P316" s="8" t="s">
        <v>3880</v>
      </c>
      <c r="Q316" s="8" t="s">
        <v>36</v>
      </c>
      <c r="R316" s="33" t="s">
        <v>3881</v>
      </c>
      <c r="T316" s="8"/>
    </row>
    <row r="317" customFormat="false" ht="13.8" hidden="false" customHeight="false" outlineLevel="0" collapsed="false">
      <c r="A317" s="25" t="s">
        <v>4491</v>
      </c>
      <c r="B317" s="41" t="s">
        <v>3606</v>
      </c>
      <c r="C317" s="8" t="s">
        <v>427</v>
      </c>
      <c r="D317" s="8" t="s">
        <v>3877</v>
      </c>
      <c r="E317" s="0" t="s">
        <v>3878</v>
      </c>
      <c r="F317" s="0" t="s">
        <v>427</v>
      </c>
      <c r="G317" s="0" t="s">
        <v>427</v>
      </c>
      <c r="H317" s="0" t="s">
        <v>427</v>
      </c>
      <c r="I317" s="0" t="s">
        <v>3879</v>
      </c>
      <c r="K317" s="44" t="str">
        <f aca="false">INDEX(libraries!$B:$B, MATCH(B317, libraries!$A:$A, 0), 1)</f>
        <v>sam0404</v>
      </c>
      <c r="L317" s="44" t="n">
        <f aca="false">INDEX(samples!$F:$F, MATCH(K317, samples!$A:$A, 0), 1)</f>
        <v>0</v>
      </c>
      <c r="M317" s="55" t="str">
        <f aca="false">INDEX(samples!$C:$C, MATCH(K317, samples!$A:$A, 0), 1)</f>
        <v>2022-08-30</v>
      </c>
      <c r="N317" s="44" t="str">
        <f aca="false">INDEX(samples!$B:$B, MATCH(K317, samples!$A:$A, 0), 1)</f>
        <v>par0265</v>
      </c>
      <c r="O317" s="44" t="s">
        <v>1341</v>
      </c>
      <c r="P317" s="8" t="s">
        <v>3880</v>
      </c>
      <c r="Q317" s="8" t="s">
        <v>36</v>
      </c>
      <c r="R317" s="33" t="s">
        <v>3881</v>
      </c>
      <c r="T317" s="8"/>
    </row>
    <row r="318" customFormat="false" ht="13.8" hidden="false" customHeight="false" outlineLevel="0" collapsed="false">
      <c r="A318" s="25" t="s">
        <v>4492</v>
      </c>
      <c r="B318" s="41" t="s">
        <v>3607</v>
      </c>
      <c r="C318" s="8" t="s">
        <v>427</v>
      </c>
      <c r="D318" s="8" t="s">
        <v>3877</v>
      </c>
      <c r="E318" s="0" t="s">
        <v>3878</v>
      </c>
      <c r="F318" s="0" t="s">
        <v>427</v>
      </c>
      <c r="G318" s="0" t="s">
        <v>427</v>
      </c>
      <c r="H318" s="0" t="s">
        <v>427</v>
      </c>
      <c r="I318" s="0" t="s">
        <v>3879</v>
      </c>
      <c r="K318" s="44" t="str">
        <f aca="false">INDEX(libraries!$B:$B, MATCH(B318, libraries!$A:$A, 0), 1)</f>
        <v>sam0405</v>
      </c>
      <c r="L318" s="44" t="n">
        <f aca="false">INDEX(samples!$F:$F, MATCH(K318, samples!$A:$A, 0), 1)</f>
        <v>0</v>
      </c>
      <c r="M318" s="55" t="str">
        <f aca="false">INDEX(samples!$C:$C, MATCH(K318, samples!$A:$A, 0), 1)</f>
        <v>2022-09-06</v>
      </c>
      <c r="N318" s="44" t="str">
        <f aca="false">INDEX(samples!$B:$B, MATCH(K318, samples!$A:$A, 0), 1)</f>
        <v>par0266</v>
      </c>
      <c r="O318" s="44" t="s">
        <v>1345</v>
      </c>
      <c r="P318" s="8" t="s">
        <v>3880</v>
      </c>
      <c r="Q318" s="8" t="s">
        <v>36</v>
      </c>
      <c r="R318" s="33" t="s">
        <v>3881</v>
      </c>
      <c r="T318" s="8"/>
    </row>
    <row r="319" customFormat="false" ht="13.8" hidden="false" customHeight="false" outlineLevel="0" collapsed="false">
      <c r="A319" s="25" t="s">
        <v>4493</v>
      </c>
      <c r="B319" s="41" t="s">
        <v>3608</v>
      </c>
      <c r="C319" s="8" t="s">
        <v>427</v>
      </c>
      <c r="D319" s="8" t="s">
        <v>3877</v>
      </c>
      <c r="E319" s="0" t="s">
        <v>3878</v>
      </c>
      <c r="F319" s="0" t="s">
        <v>427</v>
      </c>
      <c r="G319" s="0" t="s">
        <v>427</v>
      </c>
      <c r="H319" s="0" t="s">
        <v>427</v>
      </c>
      <c r="I319" s="0" t="s">
        <v>3879</v>
      </c>
      <c r="J319" s="0" t="s">
        <v>4494</v>
      </c>
      <c r="K319" s="44" t="str">
        <f aca="false">INDEX(libraries!$B:$B, MATCH(B319, libraries!$A:$A, 0), 1)</f>
        <v>sam0406</v>
      </c>
      <c r="L319" s="44" t="n">
        <f aca="false">INDEX(samples!$F:$F, MATCH(K319, samples!$A:$A, 0), 1)</f>
        <v>0</v>
      </c>
      <c r="M319" s="55" t="str">
        <f aca="false">INDEX(samples!$C:$C, MATCH(K319, samples!$A:$A, 0), 1)</f>
        <v>2022-09-27</v>
      </c>
      <c r="N319" s="44" t="str">
        <f aca="false">INDEX(samples!$B:$B, MATCH(K319, samples!$A:$A, 0), 1)</f>
        <v>par0267</v>
      </c>
      <c r="O319" s="44" t="s">
        <v>1349</v>
      </c>
      <c r="P319" s="8" t="s">
        <v>3880</v>
      </c>
      <c r="Q319" s="8" t="s">
        <v>36</v>
      </c>
      <c r="R319" s="33" t="s">
        <v>3881</v>
      </c>
      <c r="T319" s="8"/>
    </row>
    <row r="320" customFormat="false" ht="13.8" hidden="false" customHeight="false" outlineLevel="0" collapsed="false">
      <c r="A320" s="25" t="s">
        <v>4495</v>
      </c>
      <c r="B320" s="41" t="s">
        <v>3735</v>
      </c>
      <c r="C320" s="8" t="s">
        <v>3125</v>
      </c>
      <c r="D320" s="8" t="s">
        <v>3877</v>
      </c>
      <c r="E320" s="0" t="s">
        <v>3878</v>
      </c>
      <c r="F320" s="0" t="s">
        <v>4496</v>
      </c>
      <c r="G320" s="0" t="s">
        <v>4497</v>
      </c>
      <c r="H320" s="0" t="s">
        <v>427</v>
      </c>
      <c r="I320" s="0" t="s">
        <v>3911</v>
      </c>
      <c r="K320" s="44" t="str">
        <f aca="false">INDEX(libraries!$B:$B, MATCH(B320, libraries!$A:$A, 0), 1)</f>
        <v>sam0563</v>
      </c>
      <c r="L320" s="44" t="str">
        <f aca="false">INDEX(samples!$F:$F, MATCH(K320, samples!$A:$A, 0), 1)</f>
        <v>nf1_lib71</v>
      </c>
      <c r="M320" s="55" t="str">
        <f aca="false">INDEX(samples!$C:$C, MATCH(K320, samples!$A:$A, 0), 1)</f>
        <v>2024-09-17</v>
      </c>
      <c r="N320" s="44" t="str">
        <f aca="false">INDEX(samples!$B:$B, MATCH(K320, samples!$A:$A, 0), 1)</f>
        <v>par0297</v>
      </c>
      <c r="O320" s="44" t="s">
        <v>1440</v>
      </c>
      <c r="P320" s="8" t="s">
        <v>3880</v>
      </c>
      <c r="Q320" s="8" t="s">
        <v>4498</v>
      </c>
      <c r="R320" s="8" t="s">
        <v>3893</v>
      </c>
      <c r="T320" s="8"/>
    </row>
    <row r="321" customFormat="false" ht="13.8" hidden="false" customHeight="false" outlineLevel="0" collapsed="false">
      <c r="A321" s="25" t="s">
        <v>4499</v>
      </c>
      <c r="B321" s="41" t="s">
        <v>3736</v>
      </c>
      <c r="C321" s="8" t="s">
        <v>3125</v>
      </c>
      <c r="D321" s="8" t="s">
        <v>3877</v>
      </c>
      <c r="E321" s="0" t="s">
        <v>3878</v>
      </c>
      <c r="F321" s="0" t="s">
        <v>4500</v>
      </c>
      <c r="G321" s="0" t="s">
        <v>4501</v>
      </c>
      <c r="H321" s="0" t="s">
        <v>427</v>
      </c>
      <c r="I321" s="0" t="s">
        <v>3911</v>
      </c>
      <c r="K321" s="44" t="str">
        <f aca="false">INDEX(libraries!$B:$B, MATCH(B321, libraries!$A:$A, 0), 1)</f>
        <v>sam0477</v>
      </c>
      <c r="L321" s="44" t="str">
        <f aca="false">INDEX(samples!$F:$F, MATCH(K321, samples!$A:$A, 0), 1)</f>
        <v>nf1_lib72</v>
      </c>
      <c r="M321" s="55" t="str">
        <f aca="false">INDEX(samples!$C:$C, MATCH(K321, samples!$A:$A, 0), 1)</f>
        <v>2022-08-23</v>
      </c>
      <c r="N321" s="44" t="str">
        <f aca="false">INDEX(samples!$B:$B, MATCH(K321, samples!$A:$A, 0), 1)</f>
        <v>par0258</v>
      </c>
      <c r="O321" s="44" t="s">
        <v>1311</v>
      </c>
      <c r="P321" s="8" t="s">
        <v>3880</v>
      </c>
      <c r="Q321" s="8" t="s">
        <v>4502</v>
      </c>
      <c r="R321" s="8" t="s">
        <v>3893</v>
      </c>
      <c r="T321" s="8"/>
    </row>
    <row r="322" customFormat="false" ht="13.8" hidden="false" customHeight="false" outlineLevel="0" collapsed="false">
      <c r="A322" s="25" t="s">
        <v>4503</v>
      </c>
      <c r="B322" s="41" t="s">
        <v>3737</v>
      </c>
      <c r="C322" s="8" t="s">
        <v>3125</v>
      </c>
      <c r="D322" s="8" t="s">
        <v>3877</v>
      </c>
      <c r="E322" s="0" t="s">
        <v>3878</v>
      </c>
      <c r="F322" s="0" t="s">
        <v>4504</v>
      </c>
      <c r="G322" s="0" t="s">
        <v>4505</v>
      </c>
      <c r="H322" s="0" t="s">
        <v>427</v>
      </c>
      <c r="I322" s="0" t="s">
        <v>3911</v>
      </c>
      <c r="K322" s="44" t="str">
        <f aca="false">INDEX(libraries!$B:$B, MATCH(B322, libraries!$A:$A, 0), 1)</f>
        <v>sam0565</v>
      </c>
      <c r="L322" s="44" t="str">
        <f aca="false">INDEX(samples!$F:$F, MATCH(K322, samples!$A:$A, 0), 1)</f>
        <v>nf1_lib73</v>
      </c>
      <c r="M322" s="55" t="str">
        <f aca="false">INDEX(samples!$C:$C, MATCH(K322, samples!$A:$A, 0), 1)</f>
        <v>2024-06-18</v>
      </c>
      <c r="N322" s="44" t="str">
        <f aca="false">INDEX(samples!$B:$B, MATCH(K322, samples!$A:$A, 0), 1)</f>
        <v>par0258</v>
      </c>
      <c r="O322" s="44" t="s">
        <v>1311</v>
      </c>
      <c r="P322" s="8" t="s">
        <v>3880</v>
      </c>
      <c r="Q322" s="8" t="s">
        <v>4506</v>
      </c>
      <c r="R322" s="8" t="s">
        <v>3893</v>
      </c>
      <c r="T322" s="8"/>
    </row>
    <row r="323" customFormat="false" ht="13.8" hidden="false" customHeight="false" outlineLevel="0" collapsed="false">
      <c r="A323" s="25" t="s">
        <v>4507</v>
      </c>
      <c r="B323" s="41" t="s">
        <v>3381</v>
      </c>
      <c r="C323" s="8" t="s">
        <v>427</v>
      </c>
      <c r="D323" s="8" t="s">
        <v>3877</v>
      </c>
      <c r="E323" s="0" t="s">
        <v>3878</v>
      </c>
      <c r="F323" s="0" t="s">
        <v>427</v>
      </c>
      <c r="G323" s="0" t="s">
        <v>427</v>
      </c>
      <c r="H323" s="0" t="s">
        <v>427</v>
      </c>
      <c r="I323" s="0" t="s">
        <v>3879</v>
      </c>
      <c r="K323" s="44" t="str">
        <f aca="false">INDEX(libraries!$B:$B, MATCH(B323, libraries!$A:$A, 0), 1)</f>
        <v>sam0241</v>
      </c>
      <c r="L323" s="44" t="n">
        <f aca="false">INDEX(samples!$F:$F, MATCH(K323, samples!$A:$A, 0), 1)</f>
        <v>0</v>
      </c>
      <c r="M323" s="55" t="str">
        <f aca="false">INDEX(samples!$C:$C, MATCH(K323, samples!$A:$A, 0), 1)</f>
        <v>2016-08-21</v>
      </c>
      <c r="N323" s="44" t="str">
        <f aca="false">INDEX(samples!$B:$B, MATCH(K323, samples!$A:$A, 0), 1)</f>
        <v>par0145</v>
      </c>
      <c r="O323" s="44" t="s">
        <v>938</v>
      </c>
      <c r="P323" s="8" t="s">
        <v>3880</v>
      </c>
      <c r="Q323" s="8" t="s">
        <v>36</v>
      </c>
      <c r="R323" s="33" t="s">
        <v>3881</v>
      </c>
      <c r="T323" s="8"/>
    </row>
    <row r="324" customFormat="false" ht="13.8" hidden="false" customHeight="false" outlineLevel="0" collapsed="false">
      <c r="A324" s="25" t="s">
        <v>4508</v>
      </c>
      <c r="B324" s="41" t="s">
        <v>3738</v>
      </c>
      <c r="C324" s="8" t="s">
        <v>3125</v>
      </c>
      <c r="D324" s="8" t="s">
        <v>3877</v>
      </c>
      <c r="E324" s="0" t="s">
        <v>3878</v>
      </c>
      <c r="F324" s="0" t="s">
        <v>4509</v>
      </c>
      <c r="G324" s="0" t="s">
        <v>4510</v>
      </c>
      <c r="H324" s="0" t="s">
        <v>427</v>
      </c>
      <c r="I324" s="0" t="s">
        <v>3911</v>
      </c>
      <c r="K324" s="44" t="str">
        <f aca="false">INDEX(libraries!$B:$B, MATCH(B324, libraries!$A:$A, 0), 1)</f>
        <v>sam0566</v>
      </c>
      <c r="L324" s="44" t="str">
        <f aca="false">INDEX(samples!$F:$F, MATCH(K324, samples!$A:$A, 0), 1)</f>
        <v>nf1_lib74</v>
      </c>
      <c r="M324" s="55" t="str">
        <f aca="false">INDEX(samples!$C:$C, MATCH(K324, samples!$A:$A, 0), 1)</f>
        <v>2025-01-14</v>
      </c>
      <c r="N324" s="44" t="str">
        <f aca="false">INDEX(samples!$B:$B, MATCH(K324, samples!$A:$A, 0), 1)</f>
        <v>par0230</v>
      </c>
      <c r="O324" s="44" t="s">
        <v>1199</v>
      </c>
      <c r="P324" s="8" t="s">
        <v>3880</v>
      </c>
      <c r="Q324" s="8" t="s">
        <v>4511</v>
      </c>
      <c r="R324" s="8" t="s">
        <v>3893</v>
      </c>
      <c r="T324" s="8"/>
    </row>
    <row r="325" customFormat="false" ht="13.8" hidden="false" customHeight="false" outlineLevel="0" collapsed="false">
      <c r="A325" s="25" t="s">
        <v>4512</v>
      </c>
      <c r="B325" s="41" t="s">
        <v>3739</v>
      </c>
      <c r="C325" s="8" t="s">
        <v>3125</v>
      </c>
      <c r="D325" s="8" t="s">
        <v>3877</v>
      </c>
      <c r="E325" s="0" t="s">
        <v>3878</v>
      </c>
      <c r="F325" s="0" t="s">
        <v>4513</v>
      </c>
      <c r="G325" s="0" t="s">
        <v>4514</v>
      </c>
      <c r="H325" s="0" t="s">
        <v>427</v>
      </c>
      <c r="I325" s="0" t="s">
        <v>3911</v>
      </c>
      <c r="K325" s="44" t="str">
        <f aca="false">INDEX(libraries!$B:$B, MATCH(B325, libraries!$A:$A, 0), 1)</f>
        <v>sam0567</v>
      </c>
      <c r="L325" s="44" t="str">
        <f aca="false">INDEX(samples!$F:$F, MATCH(K325, samples!$A:$A, 0), 1)</f>
        <v>nf1_lib75</v>
      </c>
      <c r="M325" s="55" t="str">
        <f aca="false">INDEX(samples!$C:$C, MATCH(K325, samples!$A:$A, 0), 1)</f>
        <v>2024-12-17</v>
      </c>
      <c r="N325" s="44" t="str">
        <f aca="false">INDEX(samples!$B:$B, MATCH(K325, samples!$A:$A, 0), 1)</f>
        <v>par0258</v>
      </c>
      <c r="O325" s="44" t="s">
        <v>1311</v>
      </c>
      <c r="P325" s="8" t="s">
        <v>3880</v>
      </c>
      <c r="Q325" s="8" t="s">
        <v>4515</v>
      </c>
      <c r="R325" s="8" t="s">
        <v>3893</v>
      </c>
      <c r="T325" s="8"/>
    </row>
    <row r="326" customFormat="false" ht="13.8" hidden="false" customHeight="false" outlineLevel="0" collapsed="false">
      <c r="A326" s="25" t="s">
        <v>4516</v>
      </c>
      <c r="B326" s="41" t="s">
        <v>3740</v>
      </c>
      <c r="C326" s="8" t="s">
        <v>3125</v>
      </c>
      <c r="D326" s="8" t="s">
        <v>3877</v>
      </c>
      <c r="E326" s="0" t="s">
        <v>3878</v>
      </c>
      <c r="F326" s="0" t="s">
        <v>4517</v>
      </c>
      <c r="G326" s="0" t="s">
        <v>4518</v>
      </c>
      <c r="H326" s="0" t="s">
        <v>427</v>
      </c>
      <c r="I326" s="0" t="s">
        <v>3911</v>
      </c>
      <c r="K326" s="44" t="str">
        <f aca="false">INDEX(libraries!$B:$B, MATCH(B326, libraries!$A:$A, 0), 1)</f>
        <v>sam0568</v>
      </c>
      <c r="L326" s="44" t="str">
        <f aca="false">INDEX(samples!$F:$F, MATCH(K326, samples!$A:$A, 0), 1)</f>
        <v>nf1_lib76</v>
      </c>
      <c r="M326" s="55" t="str">
        <f aca="false">INDEX(samples!$C:$C, MATCH(K326, samples!$A:$A, 0), 1)</f>
        <v>2022-10-25</v>
      </c>
      <c r="N326" s="44" t="str">
        <f aca="false">INDEX(samples!$B:$B, MATCH(K326, samples!$A:$A, 0), 1)</f>
        <v>par0295</v>
      </c>
      <c r="O326" s="44" t="s">
        <v>1434</v>
      </c>
      <c r="P326" s="8" t="s">
        <v>3880</v>
      </c>
      <c r="Q326" s="8" t="s">
        <v>4519</v>
      </c>
      <c r="R326" s="8" t="s">
        <v>3893</v>
      </c>
      <c r="T326" s="8"/>
    </row>
    <row r="327" customFormat="false" ht="13.8" hidden="false" customHeight="false" outlineLevel="0" collapsed="false">
      <c r="A327" s="25" t="s">
        <v>4520</v>
      </c>
      <c r="B327" s="41" t="s">
        <v>3741</v>
      </c>
      <c r="C327" s="8" t="s">
        <v>3125</v>
      </c>
      <c r="D327" s="8" t="s">
        <v>3877</v>
      </c>
      <c r="E327" s="0" t="s">
        <v>3878</v>
      </c>
      <c r="F327" s="0" t="s">
        <v>4521</v>
      </c>
      <c r="G327" s="0" t="s">
        <v>4522</v>
      </c>
      <c r="H327" s="0" t="s">
        <v>427</v>
      </c>
      <c r="I327" s="0" t="s">
        <v>3911</v>
      </c>
      <c r="K327" s="44" t="str">
        <f aca="false">INDEX(libraries!$B:$B, MATCH(B327, libraries!$A:$A, 0), 1)</f>
        <v>sam0569</v>
      </c>
      <c r="L327" s="44" t="str">
        <f aca="false">INDEX(samples!$F:$F, MATCH(K327, samples!$A:$A, 0), 1)</f>
        <v>nf1_lib77</v>
      </c>
      <c r="M327" s="55" t="str">
        <f aca="false">INDEX(samples!$C:$C, MATCH(K327, samples!$A:$A, 0), 1)</f>
        <v>2024-11-12</v>
      </c>
      <c r="N327" s="44" t="str">
        <f aca="false">INDEX(samples!$B:$B, MATCH(K327, samples!$A:$A, 0), 1)</f>
        <v>par0202</v>
      </c>
      <c r="O327" s="44" t="s">
        <v>1086</v>
      </c>
      <c r="P327" s="8" t="s">
        <v>3880</v>
      </c>
      <c r="Q327" s="8" t="s">
        <v>4523</v>
      </c>
      <c r="R327" s="8" t="s">
        <v>3893</v>
      </c>
      <c r="T327" s="8"/>
    </row>
    <row r="328" customFormat="false" ht="13.8" hidden="false" customHeight="false" outlineLevel="0" collapsed="false">
      <c r="A328" s="25" t="s">
        <v>4524</v>
      </c>
      <c r="B328" s="41" t="s">
        <v>3742</v>
      </c>
      <c r="C328" s="8" t="s">
        <v>3125</v>
      </c>
      <c r="D328" s="8" t="s">
        <v>3877</v>
      </c>
      <c r="E328" s="0" t="s">
        <v>3878</v>
      </c>
      <c r="F328" s="0" t="s">
        <v>4525</v>
      </c>
      <c r="G328" s="0" t="s">
        <v>4526</v>
      </c>
      <c r="H328" s="0" t="s">
        <v>427</v>
      </c>
      <c r="I328" s="0" t="s">
        <v>3911</v>
      </c>
      <c r="K328" s="44" t="str">
        <f aca="false">INDEX(libraries!$B:$B, MATCH(B328, libraries!$A:$A, 0), 1)</f>
        <v>sam0570</v>
      </c>
      <c r="L328" s="44" t="str">
        <f aca="false">INDEX(samples!$F:$F, MATCH(K328, samples!$A:$A, 0), 1)</f>
        <v>nf1_lib78</v>
      </c>
      <c r="M328" s="55" t="str">
        <f aca="false">INDEX(samples!$C:$C, MATCH(K328, samples!$A:$A, 0), 1)</f>
        <v>2024-12-10</v>
      </c>
      <c r="N328" s="44" t="str">
        <f aca="false">INDEX(samples!$B:$B, MATCH(K328, samples!$A:$A, 0), 1)</f>
        <v>par0247</v>
      </c>
      <c r="O328" s="44" t="s">
        <v>1267</v>
      </c>
      <c r="P328" s="8" t="s">
        <v>3880</v>
      </c>
      <c r="Q328" s="8" t="s">
        <v>4527</v>
      </c>
      <c r="R328" s="8" t="s">
        <v>3893</v>
      </c>
      <c r="T328" s="8"/>
    </row>
    <row r="329" customFormat="false" ht="13.8" hidden="false" customHeight="false" outlineLevel="0" collapsed="false">
      <c r="A329" s="25" t="s">
        <v>4528</v>
      </c>
      <c r="B329" s="41" t="s">
        <v>3743</v>
      </c>
      <c r="C329" s="8" t="s">
        <v>3125</v>
      </c>
      <c r="D329" s="8" t="s">
        <v>3877</v>
      </c>
      <c r="E329" s="0" t="s">
        <v>3878</v>
      </c>
      <c r="F329" s="0" t="s">
        <v>4529</v>
      </c>
      <c r="G329" s="0" t="s">
        <v>4530</v>
      </c>
      <c r="H329" s="0" t="s">
        <v>427</v>
      </c>
      <c r="I329" s="0" t="s">
        <v>3911</v>
      </c>
      <c r="K329" s="44" t="str">
        <f aca="false">INDEX(libraries!$B:$B, MATCH(B329, libraries!$A:$A, 0), 1)</f>
        <v>sam0571</v>
      </c>
      <c r="L329" s="44" t="str">
        <f aca="false">INDEX(samples!$F:$F, MATCH(K329, samples!$A:$A, 0), 1)</f>
        <v>nf1_lib79</v>
      </c>
      <c r="M329" s="55" t="str">
        <f aca="false">INDEX(samples!$C:$C, MATCH(K329, samples!$A:$A, 0), 1)</f>
        <v>2021-07-27</v>
      </c>
      <c r="N329" s="44" t="str">
        <f aca="false">INDEX(samples!$B:$B, MATCH(K329, samples!$A:$A, 0), 1)</f>
        <v>par0247</v>
      </c>
      <c r="O329" s="44" t="s">
        <v>1267</v>
      </c>
      <c r="P329" s="8" t="s">
        <v>3880</v>
      </c>
      <c r="Q329" s="8" t="s">
        <v>4531</v>
      </c>
      <c r="R329" s="8" t="s">
        <v>3893</v>
      </c>
      <c r="T329" s="8"/>
    </row>
    <row r="330" customFormat="false" ht="13.8" hidden="false" customHeight="false" outlineLevel="0" collapsed="false">
      <c r="A330" s="25" t="s">
        <v>4532</v>
      </c>
      <c r="B330" s="41" t="s">
        <v>3243</v>
      </c>
      <c r="C330" s="8" t="s">
        <v>427</v>
      </c>
      <c r="D330" s="8" t="s">
        <v>3877</v>
      </c>
      <c r="E330" s="0" t="s">
        <v>3878</v>
      </c>
      <c r="F330" s="0" t="s">
        <v>427</v>
      </c>
      <c r="G330" s="0" t="s">
        <v>427</v>
      </c>
      <c r="H330" s="0" t="s">
        <v>427</v>
      </c>
      <c r="I330" s="0" t="s">
        <v>3879</v>
      </c>
      <c r="K330" s="44" t="str">
        <f aca="false">INDEX(libraries!$B:$B, MATCH(B330, libraries!$A:$A, 0), 1)</f>
        <v>sam0026</v>
      </c>
      <c r="L330" s="44" t="n">
        <f aca="false">INDEX(samples!$F:$F, MATCH(K330, samples!$A:$A, 0), 1)</f>
        <v>0</v>
      </c>
      <c r="M330" s="55" t="str">
        <f aca="false">INDEX(samples!$C:$C, MATCH(K330, samples!$A:$A, 0), 1)</f>
        <v>UNK</v>
      </c>
      <c r="N330" s="44" t="str">
        <f aca="false">INDEX(samples!$B:$B, MATCH(K330, samples!$A:$A, 0), 1)</f>
        <v>par0122</v>
      </c>
      <c r="O330" s="44" t="s">
        <v>865</v>
      </c>
      <c r="P330" s="8" t="s">
        <v>3880</v>
      </c>
      <c r="Q330" s="8" t="s">
        <v>36</v>
      </c>
      <c r="R330" s="33" t="s">
        <v>3881</v>
      </c>
      <c r="T330" s="8"/>
    </row>
    <row r="331" customFormat="false" ht="13.8" hidden="false" customHeight="false" outlineLevel="0" collapsed="false">
      <c r="A331" s="25" t="s">
        <v>4533</v>
      </c>
      <c r="B331" s="53" t="s">
        <v>3654</v>
      </c>
      <c r="C331" s="33" t="s">
        <v>3107</v>
      </c>
      <c r="D331" s="33" t="s">
        <v>3877</v>
      </c>
      <c r="E331" s="0" t="s">
        <v>3878</v>
      </c>
      <c r="F331" s="0" t="s">
        <v>4534</v>
      </c>
      <c r="G331" s="0" t="s">
        <v>4535</v>
      </c>
      <c r="H331" s="0" t="s">
        <v>427</v>
      </c>
      <c r="I331" s="0" t="s">
        <v>4536</v>
      </c>
      <c r="K331" s="44" t="str">
        <f aca="false">INDEX(libraries!$B:$B, MATCH(B331, libraries!$A:$A, 0), 1)</f>
        <v>sam0484</v>
      </c>
      <c r="L331" s="44" t="str">
        <f aca="false">INDEX(samples!$F:$F, MATCH(K331, samples!$A:$A, 0), 1)</f>
        <v>emseq_08</v>
      </c>
      <c r="M331" s="55" t="str">
        <f aca="false">INDEX(samples!$C:$C, MATCH(K331, samples!$A:$A, 0), 1)</f>
        <v>GET</v>
      </c>
      <c r="N331" s="44" t="str">
        <f aca="false">INDEX(samples!$B:$B, MATCH(K331, samples!$A:$A, 0), 1)</f>
        <v>par0293</v>
      </c>
      <c r="O331" s="44" t="s">
        <v>1428</v>
      </c>
      <c r="P331" s="8" t="s">
        <v>3880</v>
      </c>
      <c r="Q331" s="8" t="s">
        <v>36</v>
      </c>
      <c r="R331" s="8" t="s">
        <v>3893</v>
      </c>
      <c r="T331" s="8"/>
    </row>
    <row r="332" customFormat="false" ht="13.8" hidden="false" customHeight="false" outlineLevel="0" collapsed="false">
      <c r="A332" s="25" t="s">
        <v>4537</v>
      </c>
      <c r="B332" s="41" t="s">
        <v>3205</v>
      </c>
      <c r="C332" s="8" t="s">
        <v>427</v>
      </c>
      <c r="D332" s="8" t="s">
        <v>3877</v>
      </c>
      <c r="E332" s="0" t="s">
        <v>3878</v>
      </c>
      <c r="F332" s="0" t="s">
        <v>427</v>
      </c>
      <c r="G332" s="0" t="s">
        <v>427</v>
      </c>
      <c r="H332" s="0" t="s">
        <v>427</v>
      </c>
      <c r="I332" s="0" t="s">
        <v>3879</v>
      </c>
      <c r="K332" s="44" t="str">
        <f aca="false">INDEX(libraries!$B:$B, MATCH(B332, libraries!$A:$A, 0), 1)</f>
        <v>sam0035</v>
      </c>
      <c r="L332" s="44" t="n">
        <f aca="false">INDEX(samples!$F:$F, MATCH(K332, samples!$A:$A, 0), 1)</f>
        <v>0</v>
      </c>
      <c r="M332" s="55" t="str">
        <f aca="false">INDEX(samples!$C:$C, MATCH(K332, samples!$A:$A, 0), 1)</f>
        <v>2017-06-29</v>
      </c>
      <c r="N332" s="44" t="str">
        <f aca="false">INDEX(samples!$B:$B, MATCH(K332, samples!$A:$A, 0), 1)</f>
        <v>par0125</v>
      </c>
      <c r="O332" s="44" t="s">
        <v>875</v>
      </c>
      <c r="P332" s="8" t="s">
        <v>3880</v>
      </c>
      <c r="Q332" s="8" t="s">
        <v>36</v>
      </c>
      <c r="R332" s="33" t="s">
        <v>3881</v>
      </c>
      <c r="T332" s="8"/>
    </row>
    <row r="333" customFormat="false" ht="13.8" hidden="false" customHeight="false" outlineLevel="0" collapsed="false">
      <c r="A333" s="25" t="s">
        <v>4538</v>
      </c>
      <c r="B333" s="41" t="s">
        <v>3383</v>
      </c>
      <c r="C333" s="8" t="s">
        <v>427</v>
      </c>
      <c r="D333" s="8" t="s">
        <v>3877</v>
      </c>
      <c r="E333" s="0" t="s">
        <v>3878</v>
      </c>
      <c r="F333" s="0" t="s">
        <v>427</v>
      </c>
      <c r="G333" s="0" t="s">
        <v>427</v>
      </c>
      <c r="H333" s="0" t="s">
        <v>427</v>
      </c>
      <c r="I333" s="0" t="s">
        <v>3879</v>
      </c>
      <c r="K333" s="44" t="str">
        <f aca="false">INDEX(libraries!$B:$B, MATCH(B333, libraries!$A:$A, 0), 1)</f>
        <v>sam0243</v>
      </c>
      <c r="L333" s="44" t="n">
        <f aca="false">INDEX(samples!$F:$F, MATCH(K333, samples!$A:$A, 0), 1)</f>
        <v>0</v>
      </c>
      <c r="M333" s="55" t="str">
        <f aca="false">INDEX(samples!$C:$C, MATCH(K333, samples!$A:$A, 0), 1)</f>
        <v>2019-06-23</v>
      </c>
      <c r="N333" s="44" t="str">
        <f aca="false">INDEX(samples!$B:$B, MATCH(K333, samples!$A:$A, 0), 1)</f>
        <v>par0010</v>
      </c>
      <c r="O333" s="44" t="s">
        <v>515</v>
      </c>
      <c r="P333" s="8" t="s">
        <v>3880</v>
      </c>
      <c r="Q333" s="8" t="s">
        <v>36</v>
      </c>
      <c r="R333" s="33" t="s">
        <v>3881</v>
      </c>
      <c r="T333" s="8"/>
    </row>
    <row r="334" customFormat="false" ht="13.8" hidden="false" customHeight="false" outlineLevel="0" collapsed="false">
      <c r="A334" s="25" t="s">
        <v>4539</v>
      </c>
      <c r="B334" s="41" t="s">
        <v>3670</v>
      </c>
      <c r="C334" s="8" t="s">
        <v>3123</v>
      </c>
      <c r="D334" s="8" t="s">
        <v>3877</v>
      </c>
      <c r="E334" s="0" t="s">
        <v>3878</v>
      </c>
      <c r="F334" s="0" t="s">
        <v>4540</v>
      </c>
      <c r="G334" s="0" t="s">
        <v>4541</v>
      </c>
      <c r="H334" s="0" t="s">
        <v>427</v>
      </c>
      <c r="I334" s="0" t="s">
        <v>3891</v>
      </c>
      <c r="K334" s="44" t="str">
        <f aca="false">INDEX(libraries!$B:$B, MATCH(B334, libraries!$A:$A, 0), 1)</f>
        <v>sam0500</v>
      </c>
      <c r="L334" s="44" t="str">
        <f aca="false">INDEX(samples!$F:$F, MATCH(K334, samples!$A:$A, 0), 1)</f>
        <v>nf1_lib8</v>
      </c>
      <c r="M334" s="55" t="str">
        <f aca="false">INDEX(samples!$C:$C, MATCH(K334, samples!$A:$A, 0), 1)</f>
        <v>2024-04-16</v>
      </c>
      <c r="N334" s="44" t="str">
        <f aca="false">INDEX(samples!$B:$B, MATCH(K334, samples!$A:$A, 0), 1)</f>
        <v>par0295</v>
      </c>
      <c r="O334" s="44" t="s">
        <v>1434</v>
      </c>
      <c r="P334" s="8" t="s">
        <v>3880</v>
      </c>
      <c r="Q334" s="8" t="s">
        <v>4542</v>
      </c>
      <c r="R334" s="8" t="s">
        <v>3893</v>
      </c>
      <c r="T334" s="8"/>
    </row>
    <row r="335" customFormat="false" ht="13.8" hidden="false" customHeight="false" outlineLevel="0" collapsed="false">
      <c r="A335" s="25" t="s">
        <v>4543</v>
      </c>
      <c r="B335" s="41" t="s">
        <v>3547</v>
      </c>
      <c r="C335" s="8" t="s">
        <v>3118</v>
      </c>
      <c r="D335" s="8" t="s">
        <v>427</v>
      </c>
      <c r="E335" s="0" t="s">
        <v>427</v>
      </c>
      <c r="F335" s="0" t="s">
        <v>427</v>
      </c>
      <c r="G335" s="0" t="s">
        <v>427</v>
      </c>
      <c r="H335" s="0" t="s">
        <v>427</v>
      </c>
      <c r="I335" s="0" t="s">
        <v>3895</v>
      </c>
      <c r="K335" s="44" t="str">
        <f aca="false">INDEX(libraries!$B:$B, MATCH(B335, libraries!$A:$A, 0), 1)</f>
        <v>sam0344</v>
      </c>
      <c r="L335" s="44" t="n">
        <f aca="false">INDEX(samples!$F:$F, MATCH(K335, samples!$A:$A, 0), 1)</f>
        <v>0</v>
      </c>
      <c r="M335" s="55" t="str">
        <f aca="false">INDEX(samples!$C:$C, MATCH(K335, samples!$A:$A, 0), 1)</f>
        <v>2021-06-10</v>
      </c>
      <c r="N335" s="44" t="str">
        <f aca="false">INDEX(samples!$B:$B, MATCH(K335, samples!$A:$A, 0), 1)</f>
        <v>par0237</v>
      </c>
      <c r="O335" s="44" t="s">
        <v>1232</v>
      </c>
      <c r="P335" s="8" t="s">
        <v>427</v>
      </c>
      <c r="Q335" s="8" t="s">
        <v>36</v>
      </c>
      <c r="R335" s="33" t="s">
        <v>3881</v>
      </c>
      <c r="T335" s="8"/>
    </row>
    <row r="336" customFormat="false" ht="13.8" hidden="false" customHeight="false" outlineLevel="0" collapsed="false">
      <c r="A336" s="25" t="s">
        <v>4544</v>
      </c>
      <c r="B336" s="41" t="s">
        <v>3744</v>
      </c>
      <c r="C336" s="8" t="s">
        <v>3125</v>
      </c>
      <c r="D336" s="8" t="s">
        <v>3877</v>
      </c>
      <c r="E336" s="0" t="s">
        <v>3878</v>
      </c>
      <c r="F336" s="0" t="s">
        <v>4545</v>
      </c>
      <c r="G336" s="0" t="s">
        <v>4546</v>
      </c>
      <c r="H336" s="0" t="s">
        <v>427</v>
      </c>
      <c r="I336" s="0" t="s">
        <v>3911</v>
      </c>
      <c r="K336" s="44" t="str">
        <f aca="false">INDEX(libraries!$B:$B, MATCH(B336, libraries!$A:$A, 0), 1)</f>
        <v>sam0572</v>
      </c>
      <c r="L336" s="44" t="str">
        <f aca="false">INDEX(samples!$F:$F, MATCH(K336, samples!$A:$A, 0), 1)</f>
        <v>nf1_lib80</v>
      </c>
      <c r="M336" s="55" t="str">
        <f aca="false">INDEX(samples!$C:$C, MATCH(K336, samples!$A:$A, 0), 1)</f>
        <v>2022-08-16</v>
      </c>
      <c r="N336" s="44" t="str">
        <f aca="false">INDEX(samples!$B:$B, MATCH(K336, samples!$A:$A, 0), 1)</f>
        <v>par0257</v>
      </c>
      <c r="O336" s="44" t="s">
        <v>1307</v>
      </c>
      <c r="P336" s="8" t="s">
        <v>3880</v>
      </c>
      <c r="Q336" s="8" t="s">
        <v>4547</v>
      </c>
      <c r="R336" s="8" t="s">
        <v>3893</v>
      </c>
      <c r="T336" s="8"/>
    </row>
    <row r="337" customFormat="false" ht="13.8" hidden="false" customHeight="false" outlineLevel="0" collapsed="false">
      <c r="A337" s="25" t="s">
        <v>4548</v>
      </c>
      <c r="B337" s="41" t="s">
        <v>3745</v>
      </c>
      <c r="C337" s="8" t="s">
        <v>3125</v>
      </c>
      <c r="D337" s="8" t="s">
        <v>3877</v>
      </c>
      <c r="E337" s="0" t="s">
        <v>3878</v>
      </c>
      <c r="F337" s="0" t="s">
        <v>4549</v>
      </c>
      <c r="G337" s="0" t="s">
        <v>4550</v>
      </c>
      <c r="H337" s="0" t="s">
        <v>427</v>
      </c>
      <c r="I337" s="0" t="s">
        <v>3911</v>
      </c>
      <c r="K337" s="44" t="str">
        <f aca="false">INDEX(libraries!$B:$B, MATCH(B337, libraries!$A:$A, 0), 1)</f>
        <v>sam0573</v>
      </c>
      <c r="L337" s="44" t="str">
        <f aca="false">INDEX(samples!$F:$F, MATCH(K337, samples!$A:$A, 0), 1)</f>
        <v>nf1_lib81</v>
      </c>
      <c r="M337" s="55" t="str">
        <f aca="false">INDEX(samples!$C:$C, MATCH(K337, samples!$A:$A, 0), 1)</f>
        <v>2024-01-23</v>
      </c>
      <c r="N337" s="44" t="str">
        <f aca="false">INDEX(samples!$B:$B, MATCH(K337, samples!$A:$A, 0), 1)</f>
        <v>par0230</v>
      </c>
      <c r="O337" s="44" t="s">
        <v>1199</v>
      </c>
      <c r="P337" s="8" t="s">
        <v>3880</v>
      </c>
      <c r="Q337" s="8" t="s">
        <v>4551</v>
      </c>
      <c r="R337" s="8" t="s">
        <v>3893</v>
      </c>
      <c r="T337" s="8"/>
    </row>
    <row r="338" customFormat="false" ht="13.8" hidden="false" customHeight="false" outlineLevel="0" collapsed="false">
      <c r="A338" s="25" t="s">
        <v>4552</v>
      </c>
      <c r="B338" s="41" t="s">
        <v>3746</v>
      </c>
      <c r="C338" s="8" t="s">
        <v>3125</v>
      </c>
      <c r="D338" s="8" t="s">
        <v>3877</v>
      </c>
      <c r="E338" s="0" t="s">
        <v>3878</v>
      </c>
      <c r="F338" s="0" t="s">
        <v>4553</v>
      </c>
      <c r="G338" s="0" t="s">
        <v>4554</v>
      </c>
      <c r="H338" s="0" t="s">
        <v>427</v>
      </c>
      <c r="I338" s="0" t="s">
        <v>3911</v>
      </c>
      <c r="K338" s="44" t="str">
        <f aca="false">INDEX(libraries!$B:$B, MATCH(B338, libraries!$A:$A, 0), 1)</f>
        <v>sam0574</v>
      </c>
      <c r="L338" s="44" t="str">
        <f aca="false">INDEX(samples!$F:$F, MATCH(K338, samples!$A:$A, 0), 1)</f>
        <v>nf1_lib82</v>
      </c>
      <c r="M338" s="55" t="str">
        <f aca="false">INDEX(samples!$C:$C, MATCH(K338, samples!$A:$A, 0), 1)</f>
        <v>2022-05-24</v>
      </c>
      <c r="N338" s="44" t="str">
        <f aca="false">INDEX(samples!$B:$B, MATCH(K338, samples!$A:$A, 0), 1)</f>
        <v>par0249</v>
      </c>
      <c r="O338" s="44" t="s">
        <v>1276</v>
      </c>
      <c r="P338" s="8" t="s">
        <v>3880</v>
      </c>
      <c r="Q338" s="8" t="s">
        <v>4555</v>
      </c>
      <c r="R338" s="8" t="s">
        <v>3893</v>
      </c>
      <c r="T338" s="8"/>
    </row>
    <row r="339" customFormat="false" ht="13.8" hidden="false" customHeight="false" outlineLevel="0" collapsed="false">
      <c r="A339" s="25" t="s">
        <v>4556</v>
      </c>
      <c r="B339" s="41" t="s">
        <v>3747</v>
      </c>
      <c r="C339" s="8" t="s">
        <v>3125</v>
      </c>
      <c r="D339" s="8" t="s">
        <v>3877</v>
      </c>
      <c r="E339" s="0" t="s">
        <v>3878</v>
      </c>
      <c r="F339" s="0" t="s">
        <v>4557</v>
      </c>
      <c r="G339" s="0" t="s">
        <v>4558</v>
      </c>
      <c r="H339" s="0" t="s">
        <v>427</v>
      </c>
      <c r="I339" s="0" t="s">
        <v>3911</v>
      </c>
      <c r="K339" s="44" t="str">
        <f aca="false">INDEX(libraries!$B:$B, MATCH(B339, libraries!$A:$A, 0), 1)</f>
        <v>sam0575</v>
      </c>
      <c r="L339" s="44" t="str">
        <f aca="false">INDEX(samples!$F:$F, MATCH(K339, samples!$A:$A, 0), 1)</f>
        <v>nf1_lib83</v>
      </c>
      <c r="M339" s="55" t="str">
        <f aca="false">INDEX(samples!$C:$C, MATCH(K339, samples!$A:$A, 0), 1)</f>
        <v>2023-07-11</v>
      </c>
      <c r="N339" s="44" t="str">
        <f aca="false">INDEX(samples!$B:$B, MATCH(K339, samples!$A:$A, 0), 1)</f>
        <v>par0297</v>
      </c>
      <c r="O339" s="44" t="s">
        <v>1440</v>
      </c>
      <c r="P339" s="8" t="s">
        <v>3880</v>
      </c>
      <c r="Q339" s="8" t="s">
        <v>4559</v>
      </c>
      <c r="R339" s="8" t="s">
        <v>3893</v>
      </c>
      <c r="T339" s="8"/>
    </row>
    <row r="340" customFormat="false" ht="13.8" hidden="false" customHeight="false" outlineLevel="0" collapsed="false">
      <c r="A340" s="25" t="s">
        <v>4560</v>
      </c>
      <c r="B340" s="41" t="s">
        <v>3748</v>
      </c>
      <c r="C340" s="8" t="s">
        <v>3125</v>
      </c>
      <c r="D340" s="8" t="s">
        <v>3877</v>
      </c>
      <c r="E340" s="0" t="s">
        <v>3878</v>
      </c>
      <c r="F340" s="0" t="s">
        <v>4561</v>
      </c>
      <c r="G340" s="0" t="s">
        <v>4562</v>
      </c>
      <c r="H340" s="0" t="s">
        <v>427</v>
      </c>
      <c r="I340" s="0" t="s">
        <v>3911</v>
      </c>
      <c r="K340" s="44" t="str">
        <f aca="false">INDEX(libraries!$B:$B, MATCH(B340, libraries!$A:$A, 0), 1)</f>
        <v>sam0576</v>
      </c>
      <c r="L340" s="44" t="str">
        <f aca="false">INDEX(samples!$F:$F, MATCH(K340, samples!$A:$A, 0), 1)</f>
        <v>nf1_lib84</v>
      </c>
      <c r="M340" s="55" t="str">
        <f aca="false">INDEX(samples!$C:$C, MATCH(K340, samples!$A:$A, 0), 1)</f>
        <v>2022-05-03</v>
      </c>
      <c r="N340" s="44" t="str">
        <f aca="false">INDEX(samples!$B:$B, MATCH(K340, samples!$A:$A, 0), 1)</f>
        <v>par0227</v>
      </c>
      <c r="O340" s="44" t="s">
        <v>1186</v>
      </c>
      <c r="P340" s="8" t="s">
        <v>3880</v>
      </c>
      <c r="Q340" s="8" t="s">
        <v>4563</v>
      </c>
      <c r="R340" s="8" t="s">
        <v>3893</v>
      </c>
      <c r="T340" s="8"/>
    </row>
    <row r="341" customFormat="false" ht="13.8" hidden="false" customHeight="false" outlineLevel="0" collapsed="false">
      <c r="A341" s="25" t="s">
        <v>4564</v>
      </c>
      <c r="B341" s="41" t="s">
        <v>3749</v>
      </c>
      <c r="C341" s="8" t="s">
        <v>3125</v>
      </c>
      <c r="D341" s="8" t="s">
        <v>3877</v>
      </c>
      <c r="E341" s="0" t="s">
        <v>3878</v>
      </c>
      <c r="F341" s="0" t="s">
        <v>4565</v>
      </c>
      <c r="G341" s="0" t="s">
        <v>4566</v>
      </c>
      <c r="H341" s="0" t="s">
        <v>427</v>
      </c>
      <c r="I341" s="0" t="s">
        <v>3911</v>
      </c>
      <c r="K341" s="44" t="str">
        <f aca="false">INDEX(libraries!$B:$B, MATCH(B341, libraries!$A:$A, 0), 1)</f>
        <v>sam0577</v>
      </c>
      <c r="L341" s="44" t="str">
        <f aca="false">INDEX(samples!$F:$F, MATCH(K341, samples!$A:$A, 0), 1)</f>
        <v>nf1_lib85</v>
      </c>
      <c r="M341" s="55" t="str">
        <f aca="false">INDEX(samples!$C:$C, MATCH(K341, samples!$A:$A, 0), 1)</f>
        <v>2024-04-06</v>
      </c>
      <c r="N341" s="44" t="str">
        <f aca="false">INDEX(samples!$B:$B, MATCH(K341, samples!$A:$A, 0), 1)</f>
        <v>par0298</v>
      </c>
      <c r="O341" s="44" t="s">
        <v>1443</v>
      </c>
      <c r="P341" s="8" t="s">
        <v>3880</v>
      </c>
      <c r="Q341" s="8" t="s">
        <v>4567</v>
      </c>
      <c r="R341" s="8" t="s">
        <v>3893</v>
      </c>
      <c r="T341" s="8"/>
    </row>
    <row r="342" customFormat="false" ht="13.8" hidden="false" customHeight="false" outlineLevel="0" collapsed="false">
      <c r="A342" s="25" t="s">
        <v>4568</v>
      </c>
      <c r="B342" s="41" t="s">
        <v>3750</v>
      </c>
      <c r="C342" s="8" t="s">
        <v>3125</v>
      </c>
      <c r="D342" s="8" t="s">
        <v>3877</v>
      </c>
      <c r="E342" s="0" t="s">
        <v>3878</v>
      </c>
      <c r="F342" s="0" t="s">
        <v>4569</v>
      </c>
      <c r="G342" s="0" t="s">
        <v>4570</v>
      </c>
      <c r="H342" s="0" t="s">
        <v>427</v>
      </c>
      <c r="I342" s="0" t="s">
        <v>3911</v>
      </c>
      <c r="K342" s="44" t="str">
        <f aca="false">INDEX(libraries!$B:$B, MATCH(B342, libraries!$A:$A, 0), 1)</f>
        <v>sam0578</v>
      </c>
      <c r="L342" s="44" t="str">
        <f aca="false">INDEX(samples!$F:$F, MATCH(K342, samples!$A:$A, 0), 1)</f>
        <v>nf1_lib86</v>
      </c>
      <c r="M342" s="55" t="str">
        <f aca="false">INDEX(samples!$C:$C, MATCH(K342, samples!$A:$A, 0), 1)</f>
        <v>2024-08-20</v>
      </c>
      <c r="N342" s="44" t="str">
        <f aca="false">INDEX(samples!$B:$B, MATCH(K342, samples!$A:$A, 0), 1)</f>
        <v>par0230</v>
      </c>
      <c r="O342" s="44" t="s">
        <v>1199</v>
      </c>
      <c r="P342" s="8" t="s">
        <v>3880</v>
      </c>
      <c r="Q342" s="8" t="s">
        <v>4571</v>
      </c>
      <c r="R342" s="8" t="s">
        <v>3893</v>
      </c>
      <c r="T342" s="8"/>
    </row>
    <row r="343" customFormat="false" ht="13.8" hidden="false" customHeight="false" outlineLevel="0" collapsed="false">
      <c r="A343" s="25" t="s">
        <v>4572</v>
      </c>
      <c r="B343" s="41" t="s">
        <v>3751</v>
      </c>
      <c r="C343" s="8" t="s">
        <v>3125</v>
      </c>
      <c r="D343" s="8" t="s">
        <v>3877</v>
      </c>
      <c r="E343" s="0" t="s">
        <v>3878</v>
      </c>
      <c r="F343" s="0" t="s">
        <v>4573</v>
      </c>
      <c r="G343" s="0" t="s">
        <v>4574</v>
      </c>
      <c r="H343" s="0" t="s">
        <v>427</v>
      </c>
      <c r="I343" s="0" t="s">
        <v>3911</v>
      </c>
      <c r="K343" s="44" t="str">
        <f aca="false">INDEX(libraries!$B:$B, MATCH(B343, libraries!$A:$A, 0), 1)</f>
        <v>sam0579</v>
      </c>
      <c r="L343" s="44" t="str">
        <f aca="false">INDEX(samples!$F:$F, MATCH(K343, samples!$A:$A, 0), 1)</f>
        <v>nf1_lib87</v>
      </c>
      <c r="M343" s="55" t="str">
        <f aca="false">INDEX(samples!$C:$C, MATCH(K343, samples!$A:$A, 0), 1)</f>
        <v>2024-09-03</v>
      </c>
      <c r="N343" s="44" t="str">
        <f aca="false">INDEX(samples!$B:$B, MATCH(K343, samples!$A:$A, 0), 1)</f>
        <v>par0230</v>
      </c>
      <c r="O343" s="44" t="s">
        <v>1199</v>
      </c>
      <c r="P343" s="8" t="s">
        <v>3880</v>
      </c>
      <c r="Q343" s="8" t="s">
        <v>4575</v>
      </c>
      <c r="R343" s="8" t="s">
        <v>3893</v>
      </c>
      <c r="T343" s="8"/>
    </row>
    <row r="344" customFormat="false" ht="13.8" hidden="false" customHeight="false" outlineLevel="0" collapsed="false">
      <c r="A344" s="25" t="s">
        <v>4576</v>
      </c>
      <c r="B344" s="41" t="s">
        <v>3752</v>
      </c>
      <c r="C344" s="8" t="s">
        <v>3125</v>
      </c>
      <c r="D344" s="8" t="s">
        <v>3877</v>
      </c>
      <c r="E344" s="0" t="s">
        <v>3878</v>
      </c>
      <c r="F344" s="0" t="s">
        <v>4577</v>
      </c>
      <c r="G344" s="0" t="s">
        <v>4578</v>
      </c>
      <c r="H344" s="0" t="s">
        <v>427</v>
      </c>
      <c r="I344" s="0" t="s">
        <v>3911</v>
      </c>
      <c r="K344" s="44" t="str">
        <f aca="false">INDEX(libraries!$B:$B, MATCH(B344, libraries!$A:$A, 0), 1)</f>
        <v>sam0580</v>
      </c>
      <c r="L344" s="44" t="str">
        <f aca="false">INDEX(samples!$F:$F, MATCH(K344, samples!$A:$A, 0), 1)</f>
        <v>nf1_lib88</v>
      </c>
      <c r="M344" s="55" t="str">
        <f aca="false">INDEX(samples!$C:$C, MATCH(K344, samples!$A:$A, 0), 1)</f>
        <v>2023-05-30</v>
      </c>
      <c r="N344" s="44" t="str">
        <f aca="false">INDEX(samples!$B:$B, MATCH(K344, samples!$A:$A, 0), 1)</f>
        <v>par0294</v>
      </c>
      <c r="O344" s="44" t="s">
        <v>1431</v>
      </c>
      <c r="P344" s="8" t="s">
        <v>3880</v>
      </c>
      <c r="Q344" s="8" t="s">
        <v>4579</v>
      </c>
      <c r="R344" s="8" t="s">
        <v>3893</v>
      </c>
      <c r="T344" s="8"/>
    </row>
    <row r="345" customFormat="false" ht="13.8" hidden="false" customHeight="false" outlineLevel="0" collapsed="false">
      <c r="A345" s="25" t="s">
        <v>4580</v>
      </c>
      <c r="B345" s="41" t="s">
        <v>3753</v>
      </c>
      <c r="C345" s="8" t="s">
        <v>3125</v>
      </c>
      <c r="D345" s="8" t="s">
        <v>3877</v>
      </c>
      <c r="E345" s="0" t="s">
        <v>3878</v>
      </c>
      <c r="F345" s="0" t="s">
        <v>4581</v>
      </c>
      <c r="G345" s="0" t="s">
        <v>4582</v>
      </c>
      <c r="H345" s="0" t="s">
        <v>427</v>
      </c>
      <c r="I345" s="0" t="s">
        <v>3911</v>
      </c>
      <c r="K345" s="44" t="str">
        <f aca="false">INDEX(libraries!$B:$B, MATCH(B345, libraries!$A:$A, 0), 1)</f>
        <v>sam0581</v>
      </c>
      <c r="L345" s="44" t="str">
        <f aca="false">INDEX(samples!$F:$F, MATCH(K345, samples!$A:$A, 0), 1)</f>
        <v>nf1_lib89</v>
      </c>
      <c r="M345" s="55" t="str">
        <f aca="false">INDEX(samples!$C:$C, MATCH(K345, samples!$A:$A, 0), 1)</f>
        <v>2022-12-20</v>
      </c>
      <c r="N345" s="44" t="str">
        <f aca="false">INDEX(samples!$B:$B, MATCH(K345, samples!$A:$A, 0), 1)</f>
        <v>par0257</v>
      </c>
      <c r="O345" s="44" t="s">
        <v>1307</v>
      </c>
      <c r="P345" s="8" t="s">
        <v>3880</v>
      </c>
      <c r="Q345" s="8" t="s">
        <v>4583</v>
      </c>
      <c r="R345" s="8" t="s">
        <v>3893</v>
      </c>
      <c r="T345" s="8"/>
    </row>
    <row r="346" customFormat="false" ht="13.8" hidden="false" customHeight="false" outlineLevel="0" collapsed="false">
      <c r="A346" s="25" t="s">
        <v>4584</v>
      </c>
      <c r="B346" s="41" t="s">
        <v>3249</v>
      </c>
      <c r="C346" s="8" t="s">
        <v>427</v>
      </c>
      <c r="D346" s="8" t="s">
        <v>3877</v>
      </c>
      <c r="E346" s="0" t="s">
        <v>3878</v>
      </c>
      <c r="F346" s="0" t="s">
        <v>427</v>
      </c>
      <c r="G346" s="0" t="s">
        <v>427</v>
      </c>
      <c r="H346" s="0" t="s">
        <v>427</v>
      </c>
      <c r="I346" s="0" t="s">
        <v>3879</v>
      </c>
      <c r="K346" s="44" t="str">
        <f aca="false">INDEX(libraries!$B:$B, MATCH(B346, libraries!$A:$A, 0), 1)</f>
        <v>sam0027</v>
      </c>
      <c r="L346" s="44" t="n">
        <f aca="false">INDEX(samples!$F:$F, MATCH(K346, samples!$A:$A, 0), 1)</f>
        <v>0</v>
      </c>
      <c r="M346" s="55" t="str">
        <f aca="false">INDEX(samples!$C:$C, MATCH(K346, samples!$A:$A, 0), 1)</f>
        <v>UNK</v>
      </c>
      <c r="N346" s="44" t="str">
        <f aca="false">INDEX(samples!$B:$B, MATCH(K346, samples!$A:$A, 0), 1)</f>
        <v>par0123</v>
      </c>
      <c r="O346" s="44" t="s">
        <v>868</v>
      </c>
      <c r="P346" s="8" t="s">
        <v>3880</v>
      </c>
      <c r="Q346" s="8" t="s">
        <v>36</v>
      </c>
      <c r="R346" s="33" t="s">
        <v>3881</v>
      </c>
      <c r="T346" s="8"/>
    </row>
    <row r="347" customFormat="false" ht="13.8" hidden="false" customHeight="false" outlineLevel="0" collapsed="false">
      <c r="A347" s="25" t="s">
        <v>4585</v>
      </c>
      <c r="B347" s="53" t="s">
        <v>3655</v>
      </c>
      <c r="C347" s="33" t="s">
        <v>3107</v>
      </c>
      <c r="D347" s="33" t="s">
        <v>3877</v>
      </c>
      <c r="E347" s="0" t="s">
        <v>3878</v>
      </c>
      <c r="F347" s="0" t="s">
        <v>4586</v>
      </c>
      <c r="G347" s="0" t="s">
        <v>4587</v>
      </c>
      <c r="H347" s="0" t="s">
        <v>427</v>
      </c>
      <c r="I347" s="0" t="s">
        <v>4588</v>
      </c>
      <c r="K347" s="44" t="str">
        <f aca="false">INDEX(libraries!$B:$B, MATCH(B347, libraries!$A:$A, 0), 1)</f>
        <v>sam0483</v>
      </c>
      <c r="L347" s="44" t="str">
        <f aca="false">INDEX(samples!$F:$F, MATCH(K347, samples!$A:$A, 0), 1)</f>
        <v>emseq_07</v>
      </c>
      <c r="M347" s="55" t="str">
        <f aca="false">INDEX(samples!$C:$C, MATCH(K347, samples!$A:$A, 0), 1)</f>
        <v>GET</v>
      </c>
      <c r="N347" s="44" t="str">
        <f aca="false">INDEX(samples!$B:$B, MATCH(K347, samples!$A:$A, 0), 1)</f>
        <v>par0292</v>
      </c>
      <c r="O347" s="44" t="s">
        <v>1425</v>
      </c>
      <c r="P347" s="8" t="s">
        <v>3880</v>
      </c>
      <c r="Q347" s="8" t="s">
        <v>36</v>
      </c>
      <c r="R347" s="8" t="s">
        <v>3893</v>
      </c>
      <c r="T347" s="8"/>
    </row>
    <row r="348" customFormat="false" ht="13.8" hidden="false" customHeight="false" outlineLevel="0" collapsed="false">
      <c r="A348" s="25" t="s">
        <v>4589</v>
      </c>
      <c r="B348" s="41" t="s">
        <v>3257</v>
      </c>
      <c r="C348" s="8" t="s">
        <v>427</v>
      </c>
      <c r="D348" s="8" t="s">
        <v>3877</v>
      </c>
      <c r="E348" s="0" t="s">
        <v>3878</v>
      </c>
      <c r="F348" s="0" t="s">
        <v>427</v>
      </c>
      <c r="G348" s="0" t="s">
        <v>427</v>
      </c>
      <c r="H348" s="0" t="s">
        <v>427</v>
      </c>
      <c r="I348" s="0" t="s">
        <v>3879</v>
      </c>
      <c r="K348" s="44" t="str">
        <f aca="false">INDEX(libraries!$B:$B, MATCH(B348, libraries!$A:$A, 0), 1)</f>
        <v>sam0036</v>
      </c>
      <c r="L348" s="44" t="n">
        <f aca="false">INDEX(samples!$F:$F, MATCH(K348, samples!$A:$A, 0), 1)</f>
        <v>0</v>
      </c>
      <c r="M348" s="55" t="str">
        <f aca="false">INDEX(samples!$C:$C, MATCH(K348, samples!$A:$A, 0), 1)</f>
        <v>2018-03-05</v>
      </c>
      <c r="N348" s="44" t="str">
        <f aca="false">INDEX(samples!$B:$B, MATCH(K348, samples!$A:$A, 0), 1)</f>
        <v>par0124</v>
      </c>
      <c r="O348" s="44" t="s">
        <v>871</v>
      </c>
      <c r="P348" s="8" t="s">
        <v>3880</v>
      </c>
      <c r="Q348" s="8" t="s">
        <v>36</v>
      </c>
      <c r="R348" s="33" t="s">
        <v>3881</v>
      </c>
      <c r="T348" s="8"/>
    </row>
    <row r="349" customFormat="false" ht="13.8" hidden="false" customHeight="false" outlineLevel="0" collapsed="false">
      <c r="A349" s="25" t="s">
        <v>4590</v>
      </c>
      <c r="B349" s="41" t="s">
        <v>3384</v>
      </c>
      <c r="C349" s="8" t="s">
        <v>427</v>
      </c>
      <c r="D349" s="8" t="s">
        <v>3877</v>
      </c>
      <c r="E349" s="0" t="s">
        <v>3878</v>
      </c>
      <c r="F349" s="0" t="s">
        <v>427</v>
      </c>
      <c r="G349" s="0" t="s">
        <v>427</v>
      </c>
      <c r="H349" s="0" t="s">
        <v>427</v>
      </c>
      <c r="I349" s="0" t="s">
        <v>3879</v>
      </c>
      <c r="K349" s="44" t="str">
        <f aca="false">INDEX(libraries!$B:$B, MATCH(B349, libraries!$A:$A, 0), 1)</f>
        <v>sam0244</v>
      </c>
      <c r="L349" s="44" t="n">
        <f aca="false">INDEX(samples!$F:$F, MATCH(K349, samples!$A:$A, 0), 1)</f>
        <v>0</v>
      </c>
      <c r="M349" s="55" t="str">
        <f aca="false">INDEX(samples!$C:$C, MATCH(K349, samples!$A:$A, 0), 1)</f>
        <v>2017-08-10</v>
      </c>
      <c r="N349" s="44" t="str">
        <f aca="false">INDEX(samples!$B:$B, MATCH(K349, samples!$A:$A, 0), 1)</f>
        <v>par0011</v>
      </c>
      <c r="O349" s="44" t="s">
        <v>520</v>
      </c>
      <c r="P349" s="8" t="s">
        <v>3880</v>
      </c>
      <c r="Q349" s="8" t="s">
        <v>36</v>
      </c>
      <c r="R349" s="33" t="s">
        <v>3881</v>
      </c>
      <c r="T349" s="8"/>
    </row>
    <row r="350" customFormat="false" ht="13.8" hidden="false" customHeight="false" outlineLevel="0" collapsed="false">
      <c r="A350" s="25" t="s">
        <v>4591</v>
      </c>
      <c r="B350" s="41" t="s">
        <v>3671</v>
      </c>
      <c r="C350" s="8" t="s">
        <v>3123</v>
      </c>
      <c r="D350" s="8" t="s">
        <v>3877</v>
      </c>
      <c r="E350" s="0" t="s">
        <v>3878</v>
      </c>
      <c r="F350" s="0" t="s">
        <v>4592</v>
      </c>
      <c r="G350" s="0" t="s">
        <v>4593</v>
      </c>
      <c r="H350" s="0" t="s">
        <v>427</v>
      </c>
      <c r="I350" s="0" t="s">
        <v>3891</v>
      </c>
      <c r="K350" s="44" t="str">
        <f aca="false">INDEX(libraries!$B:$B, MATCH(B350, libraries!$A:$A, 0), 1)</f>
        <v>sam0501</v>
      </c>
      <c r="L350" s="44" t="str">
        <f aca="false">INDEX(samples!$F:$F, MATCH(K350, samples!$A:$A, 0), 1)</f>
        <v>nf1_lib9</v>
      </c>
      <c r="M350" s="55" t="str">
        <f aca="false">INDEX(samples!$C:$C, MATCH(K350, samples!$A:$A, 0), 1)</f>
        <v>2024-10-15</v>
      </c>
      <c r="N350" s="44" t="str">
        <f aca="false">INDEX(samples!$B:$B, MATCH(K350, samples!$A:$A, 0), 1)</f>
        <v>par0295</v>
      </c>
      <c r="O350" s="44" t="s">
        <v>1434</v>
      </c>
      <c r="P350" s="8" t="s">
        <v>3880</v>
      </c>
      <c r="Q350" s="8" t="s">
        <v>4594</v>
      </c>
      <c r="R350" s="8" t="s">
        <v>3893</v>
      </c>
      <c r="T350" s="8"/>
    </row>
    <row r="351" customFormat="false" ht="13.8" hidden="false" customHeight="false" outlineLevel="0" collapsed="false">
      <c r="A351" s="25" t="s">
        <v>4595</v>
      </c>
      <c r="B351" s="41" t="s">
        <v>3548</v>
      </c>
      <c r="C351" s="8" t="s">
        <v>3118</v>
      </c>
      <c r="D351" s="8" t="s">
        <v>427</v>
      </c>
      <c r="E351" s="0" t="s">
        <v>427</v>
      </c>
      <c r="F351" s="0" t="s">
        <v>427</v>
      </c>
      <c r="G351" s="0" t="s">
        <v>427</v>
      </c>
      <c r="H351" s="0" t="s">
        <v>427</v>
      </c>
      <c r="I351" s="0" t="s">
        <v>3895</v>
      </c>
      <c r="K351" s="44" t="str">
        <f aca="false">INDEX(libraries!$B:$B, MATCH(B351, libraries!$A:$A, 0), 1)</f>
        <v>sam0343</v>
      </c>
      <c r="L351" s="44" t="n">
        <f aca="false">INDEX(samples!$F:$F, MATCH(K351, samples!$A:$A, 0), 1)</f>
        <v>0</v>
      </c>
      <c r="M351" s="55" t="str">
        <f aca="false">INDEX(samples!$C:$C, MATCH(K351, samples!$A:$A, 0), 1)</f>
        <v>2021-06-22</v>
      </c>
      <c r="N351" s="44" t="str">
        <f aca="false">INDEX(samples!$B:$B, MATCH(K351, samples!$A:$A, 0), 1)</f>
        <v>par0238</v>
      </c>
      <c r="O351" s="44" t="s">
        <v>1236</v>
      </c>
      <c r="P351" s="8" t="s">
        <v>427</v>
      </c>
      <c r="Q351" s="8" t="s">
        <v>36</v>
      </c>
      <c r="R351" s="33" t="s">
        <v>3881</v>
      </c>
      <c r="T351" s="8"/>
    </row>
    <row r="352" customFormat="false" ht="13.8" hidden="false" customHeight="false" outlineLevel="0" collapsed="false">
      <c r="A352" s="25" t="s">
        <v>4596</v>
      </c>
      <c r="B352" s="41" t="s">
        <v>3754</v>
      </c>
      <c r="C352" s="8" t="s">
        <v>3125</v>
      </c>
      <c r="D352" s="8" t="s">
        <v>3877</v>
      </c>
      <c r="E352" s="0" t="s">
        <v>3878</v>
      </c>
      <c r="F352" s="0" t="s">
        <v>4597</v>
      </c>
      <c r="G352" s="0" t="s">
        <v>4598</v>
      </c>
      <c r="H352" s="0" t="s">
        <v>427</v>
      </c>
      <c r="I352" s="0" t="s">
        <v>3911</v>
      </c>
      <c r="K352" s="44" t="str">
        <f aca="false">INDEX(libraries!$B:$B, MATCH(B352, libraries!$A:$A, 0), 1)</f>
        <v>sam0582</v>
      </c>
      <c r="L352" s="44" t="str">
        <f aca="false">INDEX(samples!$F:$F, MATCH(K352, samples!$A:$A, 0), 1)</f>
        <v>nf1_lib90</v>
      </c>
      <c r="M352" s="55" t="n">
        <f aca="false">INDEX(samples!$C:$C, MATCH(K352, samples!$A:$A, 0), 1)</f>
        <v>44361</v>
      </c>
      <c r="N352" s="44" t="str">
        <f aca="false">INDEX(samples!$B:$B, MATCH(K352, samples!$A:$A, 0), 1)</f>
        <v>par0237</v>
      </c>
      <c r="O352" s="44" t="s">
        <v>1232</v>
      </c>
      <c r="P352" s="8" t="s">
        <v>3880</v>
      </c>
      <c r="Q352" s="8" t="s">
        <v>4599</v>
      </c>
      <c r="R352" s="8" t="s">
        <v>3893</v>
      </c>
      <c r="T352" s="8"/>
    </row>
    <row r="353" customFormat="false" ht="13.8" hidden="false" customHeight="false" outlineLevel="0" collapsed="false">
      <c r="A353" s="25" t="s">
        <v>4600</v>
      </c>
      <c r="B353" s="41" t="s">
        <v>3756</v>
      </c>
      <c r="C353" s="8" t="s">
        <v>3125</v>
      </c>
      <c r="D353" s="8" t="s">
        <v>3877</v>
      </c>
      <c r="E353" s="0" t="s">
        <v>3878</v>
      </c>
      <c r="F353" s="0" t="s">
        <v>4601</v>
      </c>
      <c r="G353" s="0" t="s">
        <v>4602</v>
      </c>
      <c r="H353" s="0" t="s">
        <v>427</v>
      </c>
      <c r="I353" s="0" t="s">
        <v>3911</v>
      </c>
      <c r="K353" s="44" t="str">
        <f aca="false">INDEX(libraries!$B:$B, MATCH(B353, libraries!$A:$A, 0), 1)</f>
        <v>sam0583</v>
      </c>
      <c r="L353" s="44" t="str">
        <f aca="false">INDEX(samples!$F:$F, MATCH(K353, samples!$A:$A, 0), 1)</f>
        <v>nf1_lib91</v>
      </c>
      <c r="M353" s="55" t="n">
        <f aca="false">INDEX(samples!$C:$C, MATCH(K353, samples!$A:$A, 0), 1)</f>
        <v>45062</v>
      </c>
      <c r="N353" s="44" t="str">
        <f aca="false">INDEX(samples!$B:$B, MATCH(K353, samples!$A:$A, 0), 1)</f>
        <v>par0237</v>
      </c>
      <c r="O353" s="44" t="s">
        <v>1232</v>
      </c>
      <c r="P353" s="8" t="s">
        <v>3880</v>
      </c>
      <c r="Q353" s="8" t="s">
        <v>4603</v>
      </c>
      <c r="R353" s="8" t="s">
        <v>3893</v>
      </c>
      <c r="T353" s="8"/>
    </row>
    <row r="354" customFormat="false" ht="13.8" hidden="false" customHeight="false" outlineLevel="0" collapsed="false">
      <c r="A354" s="25" t="s">
        <v>4604</v>
      </c>
      <c r="B354" s="41" t="s">
        <v>3757</v>
      </c>
      <c r="C354" s="8" t="s">
        <v>3125</v>
      </c>
      <c r="D354" s="8" t="s">
        <v>3877</v>
      </c>
      <c r="E354" s="0" t="s">
        <v>3878</v>
      </c>
      <c r="F354" s="0" t="s">
        <v>4605</v>
      </c>
      <c r="G354" s="0" t="s">
        <v>4606</v>
      </c>
      <c r="H354" s="0" t="s">
        <v>427</v>
      </c>
      <c r="I354" s="0" t="s">
        <v>3911</v>
      </c>
      <c r="K354" s="44" t="str">
        <f aca="false">INDEX(libraries!$B:$B, MATCH(B354, libraries!$A:$A, 0), 1)</f>
        <v>sam0584</v>
      </c>
      <c r="L354" s="44" t="str">
        <f aca="false">INDEX(samples!$F:$F, MATCH(K354, samples!$A:$A, 0), 1)</f>
        <v>nf1_lib92</v>
      </c>
      <c r="M354" s="55" t="str">
        <f aca="false">INDEX(samples!$C:$C, MATCH(K354, samples!$A:$A, 0), 1)</f>
        <v>2025-02-18</v>
      </c>
      <c r="N354" s="44" t="str">
        <f aca="false">INDEX(samples!$B:$B, MATCH(K354, samples!$A:$A, 0), 1)</f>
        <v>par0237</v>
      </c>
      <c r="O354" s="44" t="s">
        <v>1232</v>
      </c>
      <c r="P354" s="8" t="s">
        <v>3880</v>
      </c>
      <c r="Q354" s="8" t="s">
        <v>4607</v>
      </c>
      <c r="R354" s="8" t="s">
        <v>3893</v>
      </c>
      <c r="T354" s="8"/>
    </row>
    <row r="355" customFormat="false" ht="13.8" hidden="false" customHeight="false" outlineLevel="0" collapsed="false">
      <c r="A355" s="25" t="s">
        <v>4608</v>
      </c>
      <c r="B355" s="41" t="s">
        <v>3758</v>
      </c>
      <c r="C355" s="8" t="s">
        <v>3125</v>
      </c>
      <c r="D355" s="8" t="s">
        <v>3877</v>
      </c>
      <c r="E355" s="0" t="s">
        <v>3878</v>
      </c>
      <c r="F355" s="0" t="s">
        <v>4609</v>
      </c>
      <c r="G355" s="0" t="s">
        <v>4610</v>
      </c>
      <c r="H355" s="0" t="s">
        <v>427</v>
      </c>
      <c r="I355" s="0" t="s">
        <v>3911</v>
      </c>
      <c r="K355" s="44" t="str">
        <f aca="false">INDEX(libraries!$B:$B, MATCH(B355, libraries!$A:$A, 0), 1)</f>
        <v>sam0585</v>
      </c>
      <c r="L355" s="44" t="str">
        <f aca="false">INDEX(samples!$F:$F, MATCH(K355, samples!$A:$A, 0), 1)</f>
        <v>nf1_lib93</v>
      </c>
      <c r="M355" s="55" t="str">
        <f aca="false">INDEX(samples!$C:$C, MATCH(K355, samples!$A:$A, 0), 1)</f>
        <v>2023-10-17</v>
      </c>
      <c r="N355" s="44" t="str">
        <f aca="false">INDEX(samples!$B:$B, MATCH(K355, samples!$A:$A, 0), 1)</f>
        <v>par0257</v>
      </c>
      <c r="O355" s="44" t="s">
        <v>1307</v>
      </c>
      <c r="P355" s="8" t="s">
        <v>3880</v>
      </c>
      <c r="Q355" s="8" t="s">
        <v>4611</v>
      </c>
      <c r="R355" s="8" t="s">
        <v>3893</v>
      </c>
      <c r="T355" s="8"/>
    </row>
    <row r="356" customFormat="false" ht="13.8" hidden="false" customHeight="false" outlineLevel="0" collapsed="false">
      <c r="A356" s="25" t="s">
        <v>4612</v>
      </c>
      <c r="B356" s="41" t="s">
        <v>3759</v>
      </c>
      <c r="C356" s="8" t="s">
        <v>3125</v>
      </c>
      <c r="D356" s="8" t="s">
        <v>3877</v>
      </c>
      <c r="E356" s="0" t="s">
        <v>3878</v>
      </c>
      <c r="F356" s="0" t="s">
        <v>4613</v>
      </c>
      <c r="G356" s="0" t="s">
        <v>4614</v>
      </c>
      <c r="H356" s="0" t="s">
        <v>427</v>
      </c>
      <c r="I356" s="0" t="s">
        <v>3911</v>
      </c>
      <c r="K356" s="44" t="str">
        <f aca="false">INDEX(libraries!$B:$B, MATCH(B356, libraries!$A:$A, 0), 1)</f>
        <v>sam0586</v>
      </c>
      <c r="L356" s="44" t="str">
        <f aca="false">INDEX(samples!$F:$F, MATCH(K356, samples!$A:$A, 0), 1)</f>
        <v>nf1_lib94</v>
      </c>
      <c r="M356" s="55" t="str">
        <f aca="false">INDEX(samples!$C:$C, MATCH(K356, samples!$A:$A, 0), 1)</f>
        <v>2023-02-28</v>
      </c>
      <c r="N356" s="44" t="str">
        <f aca="false">INDEX(samples!$B:$B, MATCH(K356, samples!$A:$A, 0), 1)</f>
        <v>par0295</v>
      </c>
      <c r="O356" s="44" t="s">
        <v>1434</v>
      </c>
      <c r="P356" s="8" t="s">
        <v>3880</v>
      </c>
      <c r="Q356" s="8" t="s">
        <v>4615</v>
      </c>
      <c r="R356" s="8" t="s">
        <v>3893</v>
      </c>
      <c r="T356" s="8"/>
    </row>
    <row r="357" customFormat="false" ht="13.8" hidden="false" customHeight="false" outlineLevel="0" collapsed="false">
      <c r="A357" s="25" t="s">
        <v>4616</v>
      </c>
      <c r="B357" s="41" t="s">
        <v>3760</v>
      </c>
      <c r="C357" s="8" t="s">
        <v>3125</v>
      </c>
      <c r="D357" s="8" t="s">
        <v>3877</v>
      </c>
      <c r="E357" s="0" t="s">
        <v>3878</v>
      </c>
      <c r="F357" s="0" t="s">
        <v>4617</v>
      </c>
      <c r="G357" s="0" t="s">
        <v>4618</v>
      </c>
      <c r="H357" s="0" t="s">
        <v>427</v>
      </c>
      <c r="I357" s="0" t="s">
        <v>3911</v>
      </c>
      <c r="K357" s="44" t="str">
        <f aca="false">INDEX(libraries!$B:$B, MATCH(B357, libraries!$A:$A, 0), 1)</f>
        <v>sam0587</v>
      </c>
      <c r="L357" s="44" t="str">
        <f aca="false">INDEX(samples!$F:$F, MATCH(K357, samples!$A:$A, 0), 1)</f>
        <v>nf1_lib95</v>
      </c>
      <c r="M357" s="55" t="str">
        <f aca="false">INDEX(samples!$C:$C, MATCH(K357, samples!$A:$A, 0), 1)</f>
        <v>2024-08-20</v>
      </c>
      <c r="N357" s="44" t="str">
        <f aca="false">INDEX(samples!$B:$B, MATCH(K357, samples!$A:$A, 0), 1)</f>
        <v>ms001</v>
      </c>
      <c r="O357" s="44" t="s">
        <v>4619</v>
      </c>
      <c r="P357" s="8" t="s">
        <v>3880</v>
      </c>
      <c r="Q357" s="8" t="s">
        <v>4620</v>
      </c>
      <c r="R357" s="8" t="s">
        <v>3893</v>
      </c>
      <c r="T357" s="8"/>
    </row>
    <row r="358" customFormat="false" ht="13.8" hidden="false" customHeight="false" outlineLevel="0" collapsed="false">
      <c r="A358" s="25" t="s">
        <v>4621</v>
      </c>
      <c r="B358" s="41" t="s">
        <v>3762</v>
      </c>
      <c r="C358" s="8" t="s">
        <v>3125</v>
      </c>
      <c r="D358" s="8" t="s">
        <v>3877</v>
      </c>
      <c r="E358" s="0" t="s">
        <v>3878</v>
      </c>
      <c r="F358" s="0" t="s">
        <v>4622</v>
      </c>
      <c r="G358" s="0" t="s">
        <v>4623</v>
      </c>
      <c r="H358" s="0" t="s">
        <v>427</v>
      </c>
      <c r="I358" s="0" t="s">
        <v>3911</v>
      </c>
      <c r="K358" s="44" t="str">
        <f aca="false">INDEX(libraries!$B:$B, MATCH(B358, libraries!$A:$A, 0), 1)</f>
        <v>sam0589</v>
      </c>
      <c r="L358" s="44" t="str">
        <f aca="false">INDEX(samples!$F:$F, MATCH(K358, samples!$A:$A, 0), 1)</f>
        <v>nf1_lib97</v>
      </c>
      <c r="M358" s="55" t="str">
        <f aca="false">INDEX(samples!$C:$C, MATCH(K358, samples!$A:$A, 0), 1)</f>
        <v>2024-08-20</v>
      </c>
      <c r="N358" s="44" t="str">
        <f aca="false">INDEX(samples!$B:$B, MATCH(K358, samples!$A:$A, 0), 1)</f>
        <v>ms003</v>
      </c>
      <c r="O358" s="44" t="s">
        <v>4624</v>
      </c>
      <c r="P358" s="8" t="s">
        <v>3880</v>
      </c>
      <c r="Q358" s="8" t="s">
        <v>4625</v>
      </c>
      <c r="R358" s="8" t="s">
        <v>3893</v>
      </c>
      <c r="T358" s="8"/>
    </row>
    <row r="359" customFormat="false" ht="13.8" hidden="false" customHeight="false" outlineLevel="0" collapsed="false">
      <c r="A359" s="25" t="s">
        <v>4626</v>
      </c>
      <c r="B359" s="41" t="s">
        <v>3763</v>
      </c>
      <c r="C359" s="8" t="s">
        <v>3125</v>
      </c>
      <c r="D359" s="8" t="s">
        <v>3877</v>
      </c>
      <c r="E359" s="0" t="s">
        <v>3878</v>
      </c>
      <c r="F359" s="0" t="s">
        <v>4627</v>
      </c>
      <c r="G359" s="0" t="s">
        <v>4628</v>
      </c>
      <c r="H359" s="0" t="s">
        <v>427</v>
      </c>
      <c r="I359" s="0" t="s">
        <v>3911</v>
      </c>
      <c r="K359" s="44" t="str">
        <f aca="false">INDEX(libraries!$B:$B, MATCH(B359, libraries!$A:$A, 0), 1)</f>
        <v>sam0590</v>
      </c>
      <c r="L359" s="44" t="str">
        <f aca="false">INDEX(samples!$F:$F, MATCH(K359, samples!$A:$A, 0), 1)</f>
        <v>nf1_lib98</v>
      </c>
      <c r="M359" s="55" t="str">
        <f aca="false">INDEX(samples!$C:$C, MATCH(K359, samples!$A:$A, 0), 1)</f>
        <v>2024-08-30</v>
      </c>
      <c r="N359" s="44" t="str">
        <f aca="false">INDEX(samples!$B:$B, MATCH(K359, samples!$A:$A, 0), 1)</f>
        <v>ms004</v>
      </c>
      <c r="O359" s="44" t="s">
        <v>4629</v>
      </c>
      <c r="P359" s="8" t="s">
        <v>3880</v>
      </c>
      <c r="Q359" s="8" t="s">
        <v>4630</v>
      </c>
      <c r="R359" s="8" t="s">
        <v>3893</v>
      </c>
      <c r="T359" s="8"/>
    </row>
    <row r="360" customFormat="false" ht="13.8" hidden="false" customHeight="false" outlineLevel="0" collapsed="false">
      <c r="A360" s="25" t="s">
        <v>4631</v>
      </c>
      <c r="B360" s="41" t="s">
        <v>3764</v>
      </c>
      <c r="C360" s="8" t="s">
        <v>3125</v>
      </c>
      <c r="D360" s="8" t="s">
        <v>3877</v>
      </c>
      <c r="E360" s="0" t="s">
        <v>3878</v>
      </c>
      <c r="F360" s="0" t="s">
        <v>4632</v>
      </c>
      <c r="G360" s="0" t="s">
        <v>4633</v>
      </c>
      <c r="H360" s="0" t="s">
        <v>427</v>
      </c>
      <c r="I360" s="0" t="s">
        <v>3911</v>
      </c>
      <c r="K360" s="44" t="str">
        <f aca="false">INDEX(libraries!$B:$B, MATCH(B360, libraries!$A:$A, 0), 1)</f>
        <v>sam0591</v>
      </c>
      <c r="L360" s="44" t="str">
        <f aca="false">INDEX(samples!$F:$F, MATCH(K360, samples!$A:$A, 0), 1)</f>
        <v>nf1_lib99</v>
      </c>
      <c r="M360" s="55" t="str">
        <f aca="false">INDEX(samples!$C:$C, MATCH(K360, samples!$A:$A, 0), 1)</f>
        <v>2024-08-30</v>
      </c>
      <c r="N360" s="44" t="str">
        <f aca="false">INDEX(samples!$B:$B, MATCH(K360, samples!$A:$A, 0), 1)</f>
        <v>ms005</v>
      </c>
      <c r="O360" s="44" t="s">
        <v>4634</v>
      </c>
      <c r="P360" s="8" t="s">
        <v>3880</v>
      </c>
      <c r="Q360" s="8" t="s">
        <v>4635</v>
      </c>
      <c r="R360" s="8" t="s">
        <v>3893</v>
      </c>
      <c r="T360" s="8"/>
    </row>
    <row r="361" customFormat="false" ht="13.8" hidden="false" customHeight="false" outlineLevel="0" collapsed="false">
      <c r="A361" s="25" t="s">
        <v>4636</v>
      </c>
      <c r="B361" s="41" t="s">
        <v>3765</v>
      </c>
      <c r="C361" s="8" t="s">
        <v>3125</v>
      </c>
      <c r="D361" s="8" t="s">
        <v>3877</v>
      </c>
      <c r="E361" s="0" t="s">
        <v>3878</v>
      </c>
      <c r="F361" s="0" t="s">
        <v>4637</v>
      </c>
      <c r="G361" s="0" t="s">
        <v>4638</v>
      </c>
      <c r="H361" s="0" t="s">
        <v>427</v>
      </c>
      <c r="I361" s="0" t="s">
        <v>3911</v>
      </c>
      <c r="K361" s="44" t="str">
        <f aca="false">INDEX(libraries!$B:$B, MATCH(B361, libraries!$A:$A, 0), 1)</f>
        <v>sam0592</v>
      </c>
      <c r="L361" s="44" t="str">
        <f aca="false">INDEX(samples!$F:$F, MATCH(K361, samples!$A:$A, 0), 1)</f>
        <v>nf1_lib100</v>
      </c>
      <c r="M361" s="55" t="str">
        <f aca="false">INDEX(samples!$C:$C, MATCH(K361, samples!$A:$A, 0), 1)</f>
        <v>2024-08-30</v>
      </c>
      <c r="N361" s="44" t="str">
        <f aca="false">INDEX(samples!$B:$B, MATCH(K361, samples!$A:$A, 0), 1)</f>
        <v>ms006</v>
      </c>
      <c r="O361" s="44" t="s">
        <v>4639</v>
      </c>
      <c r="P361" s="8" t="s">
        <v>3880</v>
      </c>
      <c r="Q361" s="8" t="s">
        <v>4640</v>
      </c>
      <c r="R361" s="8" t="s">
        <v>3893</v>
      </c>
      <c r="T361" s="8"/>
    </row>
    <row r="362" customFormat="false" ht="13.8" hidden="false" customHeight="false" outlineLevel="0" collapsed="false">
      <c r="A362" s="25" t="s">
        <v>4641</v>
      </c>
      <c r="B362" s="41" t="s">
        <v>3625</v>
      </c>
      <c r="C362" s="8" t="s">
        <v>427</v>
      </c>
      <c r="D362" s="8" t="s">
        <v>3877</v>
      </c>
      <c r="E362" s="0" t="s">
        <v>3878</v>
      </c>
      <c r="F362" s="0" t="s">
        <v>427</v>
      </c>
      <c r="G362" s="0" t="s">
        <v>427</v>
      </c>
      <c r="H362" s="0" t="s">
        <v>427</v>
      </c>
      <c r="I362" s="0" t="s">
        <v>3879</v>
      </c>
      <c r="K362" s="44" t="str">
        <f aca="false">INDEX(libraries!$B:$B, MATCH(B362, libraries!$A:$A, 0), 1)</f>
        <v>sam0423</v>
      </c>
      <c r="L362" s="44" t="n">
        <f aca="false">INDEX(samples!$F:$F, MATCH(K362, samples!$A:$A, 0), 1)</f>
        <v>0</v>
      </c>
      <c r="M362" s="55" t="str">
        <f aca="false">INDEX(samples!$C:$C, MATCH(K362, samples!$A:$A, 0), 1)</f>
        <v>2022-09-26</v>
      </c>
      <c r="N362" s="44" t="str">
        <f aca="false">INDEX(samples!$B:$B, MATCH(K362, samples!$A:$A, 0), 1)</f>
        <v>par0283</v>
      </c>
      <c r="O362" s="44" t="s">
        <v>1397</v>
      </c>
      <c r="P362" s="8" t="s">
        <v>3880</v>
      </c>
      <c r="Q362" s="8" t="s">
        <v>36</v>
      </c>
      <c r="R362" s="33" t="s">
        <v>3881</v>
      </c>
      <c r="T362" s="8"/>
    </row>
    <row r="363" customFormat="false" ht="13.8" hidden="false" customHeight="false" outlineLevel="0" collapsed="false">
      <c r="A363" s="25" t="s">
        <v>4642</v>
      </c>
      <c r="B363" s="41" t="s">
        <v>3622</v>
      </c>
      <c r="C363" s="8" t="s">
        <v>427</v>
      </c>
      <c r="D363" s="8" t="s">
        <v>3877</v>
      </c>
      <c r="E363" s="0" t="s">
        <v>3878</v>
      </c>
      <c r="F363" s="0" t="s">
        <v>427</v>
      </c>
      <c r="G363" s="0" t="s">
        <v>427</v>
      </c>
      <c r="H363" s="0" t="s">
        <v>427</v>
      </c>
      <c r="I363" s="0" t="s">
        <v>3879</v>
      </c>
      <c r="K363" s="44" t="str">
        <f aca="false">INDEX(libraries!$B:$B, MATCH(B363, libraries!$A:$A, 0), 1)</f>
        <v>sam0420</v>
      </c>
      <c r="L363" s="44" t="n">
        <f aca="false">INDEX(samples!$F:$F, MATCH(K363, samples!$A:$A, 0), 1)</f>
        <v>0</v>
      </c>
      <c r="M363" s="55" t="str">
        <f aca="false">INDEX(samples!$C:$C, MATCH(K363, samples!$A:$A, 0), 1)</f>
        <v>2022-09-26</v>
      </c>
      <c r="N363" s="44" t="str">
        <f aca="false">INDEX(samples!$B:$B, MATCH(K363, samples!$A:$A, 0), 1)</f>
        <v>par0280</v>
      </c>
      <c r="O363" s="44" t="s">
        <v>1388</v>
      </c>
      <c r="P363" s="8" t="s">
        <v>3880</v>
      </c>
      <c r="Q363" s="8" t="s">
        <v>36</v>
      </c>
      <c r="R363" s="33" t="s">
        <v>3881</v>
      </c>
      <c r="T363" s="8"/>
    </row>
    <row r="364" customFormat="false" ht="13.8" hidden="false" customHeight="false" outlineLevel="0" collapsed="false">
      <c r="A364" s="25" t="s">
        <v>4643</v>
      </c>
      <c r="B364" s="41" t="s">
        <v>3628</v>
      </c>
      <c r="C364" s="8" t="s">
        <v>427</v>
      </c>
      <c r="D364" s="8" t="s">
        <v>3877</v>
      </c>
      <c r="E364" s="0" t="s">
        <v>3878</v>
      </c>
      <c r="F364" s="0" t="s">
        <v>427</v>
      </c>
      <c r="G364" s="0" t="s">
        <v>427</v>
      </c>
      <c r="H364" s="0" t="s">
        <v>427</v>
      </c>
      <c r="I364" s="0" t="s">
        <v>3879</v>
      </c>
      <c r="K364" s="44" t="str">
        <f aca="false">INDEX(libraries!$B:$B, MATCH(B364, libraries!$A:$A, 0), 1)</f>
        <v>sam0426</v>
      </c>
      <c r="L364" s="44" t="n">
        <f aca="false">INDEX(samples!$F:$F, MATCH(K364, samples!$A:$A, 0), 1)</f>
        <v>0</v>
      </c>
      <c r="M364" s="55" t="str">
        <f aca="false">INDEX(samples!$C:$C, MATCH(K364, samples!$A:$A, 0), 1)</f>
        <v>2022-09-26</v>
      </c>
      <c r="N364" s="44" t="str">
        <f aca="false">INDEX(samples!$B:$B, MATCH(K364, samples!$A:$A, 0), 1)</f>
        <v>par0286</v>
      </c>
      <c r="O364" s="44" t="s">
        <v>1406</v>
      </c>
      <c r="P364" s="8" t="s">
        <v>3880</v>
      </c>
      <c r="Q364" s="8" t="s">
        <v>36</v>
      </c>
      <c r="R364" s="33" t="s">
        <v>3881</v>
      </c>
      <c r="T364" s="8"/>
    </row>
    <row r="365" customFormat="false" ht="13.8" hidden="false" customHeight="false" outlineLevel="0" collapsed="false">
      <c r="A365" s="25" t="s">
        <v>4644</v>
      </c>
      <c r="B365" s="41" t="s">
        <v>3482</v>
      </c>
      <c r="C365" s="8" t="s">
        <v>3115</v>
      </c>
      <c r="D365" s="8" t="s">
        <v>427</v>
      </c>
      <c r="E365" s="0" t="s">
        <v>427</v>
      </c>
      <c r="F365" s="0" t="s">
        <v>427</v>
      </c>
      <c r="G365" s="0" t="s">
        <v>427</v>
      </c>
      <c r="H365" s="0" t="s">
        <v>427</v>
      </c>
      <c r="I365" s="0" t="s">
        <v>4645</v>
      </c>
      <c r="K365" s="44" t="str">
        <f aca="false">INDEX(libraries!$B:$B, MATCH(B365, libraries!$A:$A, 0), 1)</f>
        <v>sam0097</v>
      </c>
      <c r="L365" s="44" t="n">
        <f aca="false">INDEX(samples!$F:$F, MATCH(K365, samples!$A:$A, 0), 1)</f>
        <v>0</v>
      </c>
      <c r="M365" s="55" t="str">
        <f aca="false">INDEX(samples!$C:$C, MATCH(K365, samples!$A:$A, 0), 1)</f>
        <v>2019-05-08</v>
      </c>
      <c r="N365" s="44" t="str">
        <f aca="false">INDEX(samples!$B:$B, MATCH(K365, samples!$A:$A, 0), 1)</f>
        <v>par0079</v>
      </c>
      <c r="O365" s="44" t="s">
        <v>692</v>
      </c>
      <c r="P365" s="8" t="s">
        <v>427</v>
      </c>
      <c r="Q365" s="8" t="s">
        <v>36</v>
      </c>
      <c r="R365" s="33" t="s">
        <v>4646</v>
      </c>
      <c r="T365" s="8"/>
    </row>
    <row r="366" customFormat="false" ht="13.8" hidden="false" customHeight="false" outlineLevel="0" collapsed="false">
      <c r="A366" s="25" t="s">
        <v>4647</v>
      </c>
      <c r="B366" s="41" t="s">
        <v>3483</v>
      </c>
      <c r="C366" s="8" t="s">
        <v>3115</v>
      </c>
      <c r="D366" s="8" t="s">
        <v>427</v>
      </c>
      <c r="E366" s="0" t="s">
        <v>427</v>
      </c>
      <c r="F366" s="0" t="s">
        <v>427</v>
      </c>
      <c r="G366" s="0" t="s">
        <v>427</v>
      </c>
      <c r="H366" s="0" t="s">
        <v>427</v>
      </c>
      <c r="I366" s="0" t="s">
        <v>4645</v>
      </c>
      <c r="K366" s="44" t="str">
        <f aca="false">INDEX(libraries!$B:$B, MATCH(B366, libraries!$A:$A, 0), 1)</f>
        <v>sam0096</v>
      </c>
      <c r="L366" s="44" t="n">
        <f aca="false">INDEX(samples!$F:$F, MATCH(K366, samples!$A:$A, 0), 1)</f>
        <v>0</v>
      </c>
      <c r="M366" s="55" t="str">
        <f aca="false">INDEX(samples!$C:$C, MATCH(K366, samples!$A:$A, 0), 1)</f>
        <v>2019-05-14</v>
      </c>
      <c r="N366" s="44" t="str">
        <f aca="false">INDEX(samples!$B:$B, MATCH(K366, samples!$A:$A, 0), 1)</f>
        <v>par0079</v>
      </c>
      <c r="O366" s="44" t="s">
        <v>692</v>
      </c>
      <c r="P366" s="8" t="s">
        <v>427</v>
      </c>
      <c r="Q366" s="8" t="s">
        <v>36</v>
      </c>
      <c r="R366" s="33" t="s">
        <v>4646</v>
      </c>
      <c r="T366" s="8"/>
    </row>
    <row r="367" customFormat="false" ht="13.8" hidden="false" customHeight="false" outlineLevel="0" collapsed="false">
      <c r="A367" s="25" t="s">
        <v>4648</v>
      </c>
      <c r="B367" s="41" t="s">
        <v>3484</v>
      </c>
      <c r="C367" s="8" t="s">
        <v>3115</v>
      </c>
      <c r="D367" s="8" t="s">
        <v>427</v>
      </c>
      <c r="E367" s="0" t="s">
        <v>427</v>
      </c>
      <c r="F367" s="0" t="s">
        <v>427</v>
      </c>
      <c r="G367" s="0" t="s">
        <v>427</v>
      </c>
      <c r="H367" s="0" t="s">
        <v>427</v>
      </c>
      <c r="I367" s="0" t="s">
        <v>4645</v>
      </c>
      <c r="K367" s="44" t="str">
        <f aca="false">INDEX(libraries!$B:$B, MATCH(B367, libraries!$A:$A, 0), 1)</f>
        <v>sam0257</v>
      </c>
      <c r="L367" s="44" t="n">
        <f aca="false">INDEX(samples!$F:$F, MATCH(K367, samples!$A:$A, 0), 1)</f>
        <v>0</v>
      </c>
      <c r="M367" s="55" t="str">
        <f aca="false">INDEX(samples!$C:$C, MATCH(K367, samples!$A:$A, 0), 1)</f>
        <v>2019-06-25</v>
      </c>
      <c r="N367" s="44" t="str">
        <f aca="false">INDEX(samples!$B:$B, MATCH(K367, samples!$A:$A, 0), 1)</f>
        <v>par0079</v>
      </c>
      <c r="O367" s="44" t="s">
        <v>692</v>
      </c>
      <c r="P367" s="8" t="s">
        <v>427</v>
      </c>
      <c r="Q367" s="8" t="s">
        <v>36</v>
      </c>
      <c r="R367" s="33" t="s">
        <v>4646</v>
      </c>
      <c r="T367" s="8"/>
    </row>
    <row r="368" customFormat="false" ht="13.8" hidden="false" customHeight="false" outlineLevel="0" collapsed="false">
      <c r="A368" s="25" t="s">
        <v>4649</v>
      </c>
      <c r="B368" s="41" t="s">
        <v>3486</v>
      </c>
      <c r="C368" s="8" t="s">
        <v>3115</v>
      </c>
      <c r="D368" s="8" t="s">
        <v>427</v>
      </c>
      <c r="E368" s="0" t="s">
        <v>427</v>
      </c>
      <c r="F368" s="0" t="s">
        <v>427</v>
      </c>
      <c r="G368" s="0" t="s">
        <v>427</v>
      </c>
      <c r="H368" s="0" t="s">
        <v>427</v>
      </c>
      <c r="I368" s="0" t="s">
        <v>4645</v>
      </c>
      <c r="K368" s="44" t="str">
        <f aca="false">INDEX(libraries!$B:$B, MATCH(B368, libraries!$A:$A, 0), 1)</f>
        <v>sam0108</v>
      </c>
      <c r="L368" s="44" t="n">
        <f aca="false">INDEX(samples!$F:$F, MATCH(K368, samples!$A:$A, 0), 1)</f>
        <v>0</v>
      </c>
      <c r="M368" s="55" t="str">
        <f aca="false">INDEX(samples!$C:$C, MATCH(K368, samples!$A:$A, 0), 1)</f>
        <v>2019-05-29</v>
      </c>
      <c r="N368" s="44" t="str">
        <f aca="false">INDEX(samples!$B:$B, MATCH(K368, samples!$A:$A, 0), 1)</f>
        <v>par0080</v>
      </c>
      <c r="O368" s="44" t="s">
        <v>696</v>
      </c>
      <c r="P368" s="8" t="s">
        <v>427</v>
      </c>
      <c r="Q368" s="8" t="s">
        <v>36</v>
      </c>
      <c r="R368" s="33" t="s">
        <v>4646</v>
      </c>
      <c r="T368" s="8"/>
    </row>
    <row r="369" customFormat="false" ht="13.8" hidden="false" customHeight="false" outlineLevel="0" collapsed="false">
      <c r="A369" s="25" t="s">
        <v>4650</v>
      </c>
      <c r="B369" s="41" t="s">
        <v>3487</v>
      </c>
      <c r="C369" s="8" t="s">
        <v>3115</v>
      </c>
      <c r="D369" s="8" t="s">
        <v>427</v>
      </c>
      <c r="E369" s="0" t="s">
        <v>427</v>
      </c>
      <c r="F369" s="0" t="s">
        <v>427</v>
      </c>
      <c r="G369" s="0" t="s">
        <v>427</v>
      </c>
      <c r="H369" s="0" t="s">
        <v>427</v>
      </c>
      <c r="I369" s="0" t="s">
        <v>4645</v>
      </c>
      <c r="K369" s="44" t="str">
        <f aca="false">INDEX(libraries!$B:$B, MATCH(B369, libraries!$A:$A, 0), 1)</f>
        <v>sam0109</v>
      </c>
      <c r="L369" s="44" t="n">
        <f aca="false">INDEX(samples!$F:$F, MATCH(K369, samples!$A:$A, 0), 1)</f>
        <v>0</v>
      </c>
      <c r="M369" s="55" t="str">
        <f aca="false">INDEX(samples!$C:$C, MATCH(K369, samples!$A:$A, 0), 1)</f>
        <v>2019-07-25</v>
      </c>
      <c r="N369" s="44" t="str">
        <f aca="false">INDEX(samples!$B:$B, MATCH(K369, samples!$A:$A, 0), 1)</f>
        <v>par0080</v>
      </c>
      <c r="O369" s="44" t="s">
        <v>696</v>
      </c>
      <c r="P369" s="8" t="s">
        <v>427</v>
      </c>
      <c r="Q369" s="8" t="s">
        <v>36</v>
      </c>
      <c r="R369" s="33" t="s">
        <v>4646</v>
      </c>
      <c r="T369" s="8"/>
    </row>
    <row r="370" customFormat="false" ht="13.8" hidden="false" customHeight="false" outlineLevel="0" collapsed="false">
      <c r="A370" s="25" t="s">
        <v>4651</v>
      </c>
      <c r="B370" s="41" t="s">
        <v>3488</v>
      </c>
      <c r="C370" s="8" t="s">
        <v>3115</v>
      </c>
      <c r="D370" s="8" t="s">
        <v>427</v>
      </c>
      <c r="E370" s="0" t="s">
        <v>427</v>
      </c>
      <c r="F370" s="0" t="s">
        <v>427</v>
      </c>
      <c r="G370" s="0" t="s">
        <v>427</v>
      </c>
      <c r="H370" s="0" t="s">
        <v>427</v>
      </c>
      <c r="I370" s="0" t="s">
        <v>4645</v>
      </c>
      <c r="K370" s="44" t="str">
        <f aca="false">INDEX(libraries!$B:$B, MATCH(B370, libraries!$A:$A, 0), 1)</f>
        <v>sam0110</v>
      </c>
      <c r="L370" s="44" t="n">
        <f aca="false">INDEX(samples!$F:$F, MATCH(K370, samples!$A:$A, 0), 1)</f>
        <v>0</v>
      </c>
      <c r="M370" s="55" t="str">
        <f aca="false">INDEX(samples!$C:$C, MATCH(K370, samples!$A:$A, 0), 1)</f>
        <v>2019-09-05</v>
      </c>
      <c r="N370" s="44" t="str">
        <f aca="false">INDEX(samples!$B:$B, MATCH(K370, samples!$A:$A, 0), 1)</f>
        <v>par0080</v>
      </c>
      <c r="O370" s="44" t="s">
        <v>696</v>
      </c>
      <c r="P370" s="8" t="s">
        <v>427</v>
      </c>
      <c r="Q370" s="8" t="s">
        <v>36</v>
      </c>
      <c r="R370" s="33" t="s">
        <v>4646</v>
      </c>
      <c r="T370" s="8"/>
    </row>
    <row r="371" customFormat="false" ht="13.8" hidden="false" customHeight="false" outlineLevel="0" collapsed="false">
      <c r="A371" s="25" t="s">
        <v>4652</v>
      </c>
      <c r="B371" s="41" t="s">
        <v>3489</v>
      </c>
      <c r="C371" s="8" t="s">
        <v>3115</v>
      </c>
      <c r="D371" s="8" t="s">
        <v>427</v>
      </c>
      <c r="E371" s="0" t="s">
        <v>427</v>
      </c>
      <c r="F371" s="0" t="s">
        <v>427</v>
      </c>
      <c r="G371" s="0" t="s">
        <v>427</v>
      </c>
      <c r="H371" s="0" t="s">
        <v>427</v>
      </c>
      <c r="I371" s="0" t="s">
        <v>4645</v>
      </c>
      <c r="K371" s="44" t="str">
        <f aca="false">INDEX(libraries!$B:$B, MATCH(B371, libraries!$A:$A, 0), 1)</f>
        <v>sam0111</v>
      </c>
      <c r="L371" s="44" t="n">
        <f aca="false">INDEX(samples!$F:$F, MATCH(K371, samples!$A:$A, 0), 1)</f>
        <v>0</v>
      </c>
      <c r="M371" s="55" t="str">
        <f aca="false">INDEX(samples!$C:$C, MATCH(K371, samples!$A:$A, 0), 1)</f>
        <v>2019-10-04</v>
      </c>
      <c r="N371" s="44" t="str">
        <f aca="false">INDEX(samples!$B:$B, MATCH(K371, samples!$A:$A, 0), 1)</f>
        <v>par0080</v>
      </c>
      <c r="O371" s="44" t="s">
        <v>696</v>
      </c>
      <c r="P371" s="8" t="s">
        <v>427</v>
      </c>
      <c r="Q371" s="8" t="s">
        <v>36</v>
      </c>
      <c r="R371" s="33" t="s">
        <v>4646</v>
      </c>
      <c r="T371" s="8"/>
    </row>
    <row r="372" customFormat="false" ht="13.8" hidden="false" customHeight="false" outlineLevel="0" collapsed="false">
      <c r="A372" s="25" t="s">
        <v>4653</v>
      </c>
      <c r="B372" s="41" t="s">
        <v>3491</v>
      </c>
      <c r="C372" s="8" t="s">
        <v>3115</v>
      </c>
      <c r="D372" s="8" t="s">
        <v>427</v>
      </c>
      <c r="E372" s="0" t="s">
        <v>427</v>
      </c>
      <c r="F372" s="0" t="s">
        <v>427</v>
      </c>
      <c r="G372" s="0" t="s">
        <v>427</v>
      </c>
      <c r="H372" s="0" t="s">
        <v>427</v>
      </c>
      <c r="I372" s="0" t="s">
        <v>4645</v>
      </c>
      <c r="K372" s="44" t="str">
        <f aca="false">INDEX(libraries!$B:$B, MATCH(B372, libraries!$A:$A, 0), 1)</f>
        <v>sam0115</v>
      </c>
      <c r="L372" s="44" t="n">
        <f aca="false">INDEX(samples!$F:$F, MATCH(K372, samples!$A:$A, 0), 1)</f>
        <v>0</v>
      </c>
      <c r="M372" s="55" t="str">
        <f aca="false">INDEX(samples!$C:$C, MATCH(K372, samples!$A:$A, 0), 1)</f>
        <v>2019-04-17</v>
      </c>
      <c r="N372" s="44" t="str">
        <f aca="false">INDEX(samples!$B:$B, MATCH(K372, samples!$A:$A, 0), 1)</f>
        <v>par0081</v>
      </c>
      <c r="O372" s="44" t="s">
        <v>702</v>
      </c>
      <c r="P372" s="8" t="s">
        <v>427</v>
      </c>
      <c r="Q372" s="8" t="s">
        <v>36</v>
      </c>
      <c r="R372" s="33" t="s">
        <v>4646</v>
      </c>
      <c r="T372" s="8"/>
    </row>
    <row r="373" customFormat="false" ht="13.8" hidden="false" customHeight="false" outlineLevel="0" collapsed="false">
      <c r="A373" s="25" t="s">
        <v>4654</v>
      </c>
      <c r="B373" s="41" t="s">
        <v>3536</v>
      </c>
      <c r="C373" s="8" t="s">
        <v>3115</v>
      </c>
      <c r="D373" s="8" t="s">
        <v>427</v>
      </c>
      <c r="E373" s="0" t="s">
        <v>427</v>
      </c>
      <c r="F373" s="0" t="s">
        <v>427</v>
      </c>
      <c r="G373" s="0" t="s">
        <v>427</v>
      </c>
      <c r="H373" s="0" t="s">
        <v>427</v>
      </c>
      <c r="I373" s="0" t="s">
        <v>4645</v>
      </c>
      <c r="K373" s="44" t="str">
        <f aca="false">INDEX(libraries!$B:$B, MATCH(B373, libraries!$A:$A, 0), 1)</f>
        <v>sam0246</v>
      </c>
      <c r="L373" s="44" t="n">
        <f aca="false">INDEX(samples!$F:$F, MATCH(K373, samples!$A:$A, 0), 1)</f>
        <v>0</v>
      </c>
      <c r="M373" s="55" t="str">
        <f aca="false">INDEX(samples!$C:$C, MATCH(K373, samples!$A:$A, 0), 1)</f>
        <v>2020-05-05</v>
      </c>
      <c r="N373" s="44" t="str">
        <f aca="false">INDEX(samples!$B:$B, MATCH(K373, samples!$A:$A, 0), 1)</f>
        <v>par0146</v>
      </c>
      <c r="O373" s="44" t="s">
        <v>941</v>
      </c>
      <c r="P373" s="8" t="s">
        <v>427</v>
      </c>
      <c r="Q373" s="8" t="s">
        <v>36</v>
      </c>
      <c r="R373" s="33" t="s">
        <v>4646</v>
      </c>
      <c r="T373" s="8"/>
    </row>
    <row r="374" customFormat="false" ht="13.8" hidden="false" customHeight="false" outlineLevel="0" collapsed="false">
      <c r="A374" s="25" t="s">
        <v>4655</v>
      </c>
      <c r="B374" s="41" t="s">
        <v>3509</v>
      </c>
      <c r="C374" s="8" t="s">
        <v>3115</v>
      </c>
      <c r="D374" s="8" t="s">
        <v>427</v>
      </c>
      <c r="E374" s="0" t="s">
        <v>427</v>
      </c>
      <c r="F374" s="0" t="s">
        <v>427</v>
      </c>
      <c r="G374" s="0" t="s">
        <v>427</v>
      </c>
      <c r="H374" s="0" t="s">
        <v>427</v>
      </c>
      <c r="I374" s="0" t="s">
        <v>4645</v>
      </c>
      <c r="K374" s="44" t="str">
        <f aca="false">INDEX(libraries!$B:$B, MATCH(B374, libraries!$A:$A, 0), 1)</f>
        <v>sam0100</v>
      </c>
      <c r="L374" s="44" t="n">
        <f aca="false">INDEX(samples!$F:$F, MATCH(K374, samples!$A:$A, 0), 1)</f>
        <v>0</v>
      </c>
      <c r="M374" s="55" t="str">
        <f aca="false">INDEX(samples!$C:$C, MATCH(K374, samples!$A:$A, 0), 1)</f>
        <v>2019-07-17</v>
      </c>
      <c r="N374" s="44" t="str">
        <f aca="false">INDEX(samples!$B:$B, MATCH(K374, samples!$A:$A, 0), 1)</f>
        <v>par0090</v>
      </c>
      <c r="O374" s="44" t="s">
        <v>736</v>
      </c>
      <c r="P374" s="8" t="s">
        <v>427</v>
      </c>
      <c r="Q374" s="8" t="s">
        <v>36</v>
      </c>
      <c r="R374" s="33" t="s">
        <v>4646</v>
      </c>
      <c r="T374" s="8"/>
    </row>
    <row r="375" customFormat="false" ht="13.8" hidden="false" customHeight="false" outlineLevel="0" collapsed="false">
      <c r="A375" s="25" t="s">
        <v>4656</v>
      </c>
      <c r="B375" s="41" t="s">
        <v>3510</v>
      </c>
      <c r="C375" s="8" t="s">
        <v>3115</v>
      </c>
      <c r="D375" s="8" t="s">
        <v>427</v>
      </c>
      <c r="E375" s="0" t="s">
        <v>427</v>
      </c>
      <c r="F375" s="0" t="s">
        <v>427</v>
      </c>
      <c r="G375" s="0" t="s">
        <v>427</v>
      </c>
      <c r="H375" s="0" t="s">
        <v>427</v>
      </c>
      <c r="I375" s="0" t="s">
        <v>4645</v>
      </c>
      <c r="K375" s="44" t="str">
        <f aca="false">INDEX(libraries!$B:$B, MATCH(B375, libraries!$A:$A, 0), 1)</f>
        <v>sam0101</v>
      </c>
      <c r="L375" s="44" t="n">
        <f aca="false">INDEX(samples!$F:$F, MATCH(K375, samples!$A:$A, 0), 1)</f>
        <v>0</v>
      </c>
      <c r="M375" s="55" t="str">
        <f aca="false">INDEX(samples!$C:$C, MATCH(K375, samples!$A:$A, 0), 1)</f>
        <v>2019-09-10</v>
      </c>
      <c r="N375" s="44" t="str">
        <f aca="false">INDEX(samples!$B:$B, MATCH(K375, samples!$A:$A, 0), 1)</f>
        <v>par0091</v>
      </c>
      <c r="O375" s="44" t="s">
        <v>741</v>
      </c>
      <c r="P375" s="8" t="s">
        <v>427</v>
      </c>
      <c r="Q375" s="8" t="s">
        <v>36</v>
      </c>
      <c r="R375" s="33" t="s">
        <v>4646</v>
      </c>
      <c r="T375" s="8"/>
    </row>
    <row r="376" customFormat="false" ht="13.8" hidden="false" customHeight="false" outlineLevel="0" collapsed="false">
      <c r="A376" s="25" t="s">
        <v>4657</v>
      </c>
      <c r="B376" s="41" t="s">
        <v>3511</v>
      </c>
      <c r="C376" s="8" t="s">
        <v>3115</v>
      </c>
      <c r="D376" s="8" t="s">
        <v>427</v>
      </c>
      <c r="E376" s="0" t="s">
        <v>427</v>
      </c>
      <c r="F376" s="0" t="s">
        <v>427</v>
      </c>
      <c r="G376" s="0" t="s">
        <v>427</v>
      </c>
      <c r="H376" s="0" t="s">
        <v>427</v>
      </c>
      <c r="I376" s="0" t="s">
        <v>4645</v>
      </c>
      <c r="K376" s="44" t="str">
        <f aca="false">INDEX(libraries!$B:$B, MATCH(B376, libraries!$A:$A, 0), 1)</f>
        <v>sam0102</v>
      </c>
      <c r="L376" s="44" t="n">
        <f aca="false">INDEX(samples!$F:$F, MATCH(K376, samples!$A:$A, 0), 1)</f>
        <v>0</v>
      </c>
      <c r="M376" s="55" t="str">
        <f aca="false">INDEX(samples!$C:$C, MATCH(K376, samples!$A:$A, 0), 1)</f>
        <v>2019-06-13</v>
      </c>
      <c r="N376" s="44" t="str">
        <f aca="false">INDEX(samples!$B:$B, MATCH(K376, samples!$A:$A, 0), 1)</f>
        <v>par0092</v>
      </c>
      <c r="O376" s="44" t="s">
        <v>745</v>
      </c>
      <c r="P376" s="8" t="s">
        <v>427</v>
      </c>
      <c r="Q376" s="8" t="s">
        <v>36</v>
      </c>
      <c r="R376" s="33" t="s">
        <v>4646</v>
      </c>
      <c r="T376" s="8"/>
    </row>
    <row r="377" customFormat="false" ht="13.8" hidden="false" customHeight="false" outlineLevel="0" collapsed="false">
      <c r="A377" s="25" t="s">
        <v>4658</v>
      </c>
      <c r="B377" s="41" t="s">
        <v>3512</v>
      </c>
      <c r="C377" s="8" t="s">
        <v>3115</v>
      </c>
      <c r="D377" s="8" t="s">
        <v>427</v>
      </c>
      <c r="E377" s="0" t="s">
        <v>427</v>
      </c>
      <c r="F377" s="0" t="s">
        <v>427</v>
      </c>
      <c r="G377" s="0" t="s">
        <v>427</v>
      </c>
      <c r="H377" s="0" t="s">
        <v>427</v>
      </c>
      <c r="I377" s="0" t="s">
        <v>4645</v>
      </c>
      <c r="K377" s="44" t="e">
        <f aca="false">INDEX(libraries!$B:$B, MATCH(B377, libraries!$A:$A, 0), 1)</f>
        <v>#N/A</v>
      </c>
      <c r="L377" s="44" t="e">
        <f aca="false">INDEX(samples!$F:$F, MATCH(K377, samples!$A:$A, 0), 1)</f>
        <v>#N/A</v>
      </c>
      <c r="M377" s="55" t="e">
        <f aca="false">INDEX(samples!$C:$C, MATCH(K377, samples!$A:$A, 0), 1)</f>
        <v>#N/A</v>
      </c>
      <c r="N377" s="44" t="e">
        <f aca="false">INDEX(samples!$B:$B, MATCH(K377, samples!$A:$A, 0), 1)</f>
        <v>#N/A</v>
      </c>
      <c r="O377" s="44" t="s">
        <v>750</v>
      </c>
      <c r="P377" s="8" t="s">
        <v>427</v>
      </c>
      <c r="Q377" s="8" t="s">
        <v>36</v>
      </c>
      <c r="R377" s="33" t="s">
        <v>4646</v>
      </c>
      <c r="T377" s="8"/>
    </row>
    <row r="378" customFormat="false" ht="13.8" hidden="false" customHeight="false" outlineLevel="0" collapsed="false">
      <c r="A378" s="25" t="s">
        <v>4659</v>
      </c>
      <c r="B378" s="41" t="s">
        <v>3513</v>
      </c>
      <c r="C378" s="8" t="s">
        <v>3115</v>
      </c>
      <c r="D378" s="8" t="s">
        <v>427</v>
      </c>
      <c r="E378" s="0" t="s">
        <v>427</v>
      </c>
      <c r="F378" s="0" t="s">
        <v>427</v>
      </c>
      <c r="G378" s="0" t="s">
        <v>427</v>
      </c>
      <c r="H378" s="0" t="s">
        <v>427</v>
      </c>
      <c r="I378" s="0" t="s">
        <v>4645</v>
      </c>
      <c r="K378" s="44" t="str">
        <f aca="false">INDEX(libraries!$B:$B, MATCH(B378, libraries!$A:$A, 0), 1)</f>
        <v>sam0104</v>
      </c>
      <c r="L378" s="44" t="n">
        <f aca="false">INDEX(samples!$F:$F, MATCH(K378, samples!$A:$A, 0), 1)</f>
        <v>0</v>
      </c>
      <c r="M378" s="55" t="str">
        <f aca="false">INDEX(samples!$C:$C, MATCH(K378, samples!$A:$A, 0), 1)</f>
        <v>2019-08-13</v>
      </c>
      <c r="N378" s="44" t="str">
        <f aca="false">INDEX(samples!$B:$B, MATCH(K378, samples!$A:$A, 0), 1)</f>
        <v>par0094</v>
      </c>
      <c r="O378" s="44" t="s">
        <v>756</v>
      </c>
      <c r="P378" s="8" t="s">
        <v>427</v>
      </c>
      <c r="Q378" s="8" t="s">
        <v>36</v>
      </c>
      <c r="R378" s="33" t="s">
        <v>4646</v>
      </c>
      <c r="T378" s="8"/>
    </row>
    <row r="379" customFormat="false" ht="13.8" hidden="false" customHeight="false" outlineLevel="0" collapsed="false">
      <c r="A379" s="25" t="s">
        <v>4660</v>
      </c>
      <c r="B379" s="41" t="s">
        <v>3514</v>
      </c>
      <c r="C379" s="8" t="s">
        <v>3115</v>
      </c>
      <c r="D379" s="8" t="s">
        <v>427</v>
      </c>
      <c r="E379" s="0" t="s">
        <v>427</v>
      </c>
      <c r="F379" s="0" t="s">
        <v>427</v>
      </c>
      <c r="G379" s="0" t="s">
        <v>427</v>
      </c>
      <c r="H379" s="0" t="s">
        <v>427</v>
      </c>
      <c r="I379" s="0" t="s">
        <v>4645</v>
      </c>
      <c r="K379" s="44" t="str">
        <f aca="false">INDEX(libraries!$B:$B, MATCH(B379, libraries!$A:$A, 0), 1)</f>
        <v>sam0106</v>
      </c>
      <c r="L379" s="44" t="n">
        <f aca="false">INDEX(samples!$F:$F, MATCH(K379, samples!$A:$A, 0), 1)</f>
        <v>0</v>
      </c>
      <c r="M379" s="55" t="str">
        <f aca="false">INDEX(samples!$C:$C, MATCH(K379, samples!$A:$A, 0), 1)</f>
        <v>2019-07-25</v>
      </c>
      <c r="N379" s="44" t="str">
        <f aca="false">INDEX(samples!$B:$B, MATCH(K379, samples!$A:$A, 0), 1)</f>
        <v>par0095</v>
      </c>
      <c r="O379" s="44" t="s">
        <v>761</v>
      </c>
      <c r="P379" s="8" t="s">
        <v>427</v>
      </c>
      <c r="Q379" s="8" t="s">
        <v>36</v>
      </c>
      <c r="R379" s="33" t="s">
        <v>4646</v>
      </c>
      <c r="T379" s="8"/>
    </row>
    <row r="380" customFormat="false" ht="13.8" hidden="false" customHeight="false" outlineLevel="0" collapsed="false">
      <c r="A380" s="25" t="s">
        <v>4661</v>
      </c>
      <c r="B380" s="41" t="s">
        <v>3515</v>
      </c>
      <c r="C380" s="8" t="s">
        <v>3115</v>
      </c>
      <c r="D380" s="8" t="s">
        <v>427</v>
      </c>
      <c r="E380" s="0" t="s">
        <v>427</v>
      </c>
      <c r="F380" s="0" t="s">
        <v>427</v>
      </c>
      <c r="G380" s="0" t="s">
        <v>427</v>
      </c>
      <c r="H380" s="0" t="s">
        <v>427</v>
      </c>
      <c r="I380" s="0" t="s">
        <v>4645</v>
      </c>
      <c r="K380" s="44" t="str">
        <f aca="false">INDEX(libraries!$B:$B, MATCH(B380, libraries!$A:$A, 0), 1)</f>
        <v>sam0126</v>
      </c>
      <c r="L380" s="44" t="n">
        <f aca="false">INDEX(samples!$F:$F, MATCH(K380, samples!$A:$A, 0), 1)</f>
        <v>0</v>
      </c>
      <c r="M380" s="55" t="str">
        <f aca="false">INDEX(samples!$C:$C, MATCH(K380, samples!$A:$A, 0), 1)</f>
        <v>2019-06-27</v>
      </c>
      <c r="N380" s="44" t="str">
        <f aca="false">INDEX(samples!$B:$B, MATCH(K380, samples!$A:$A, 0), 1)</f>
        <v>par0098</v>
      </c>
      <c r="O380" s="44" t="s">
        <v>774</v>
      </c>
      <c r="P380" s="8" t="s">
        <v>427</v>
      </c>
      <c r="Q380" s="8" t="s">
        <v>36</v>
      </c>
      <c r="R380" s="33" t="s">
        <v>4646</v>
      </c>
      <c r="T380" s="8"/>
    </row>
    <row r="381" customFormat="false" ht="13.8" hidden="false" customHeight="false" outlineLevel="0" collapsed="false">
      <c r="A381" s="25" t="s">
        <v>4662</v>
      </c>
      <c r="B381" s="41" t="s">
        <v>3492</v>
      </c>
      <c r="C381" s="8" t="s">
        <v>3115</v>
      </c>
      <c r="D381" s="8" t="s">
        <v>427</v>
      </c>
      <c r="E381" s="0" t="s">
        <v>427</v>
      </c>
      <c r="F381" s="0" t="s">
        <v>427</v>
      </c>
      <c r="G381" s="0" t="s">
        <v>427</v>
      </c>
      <c r="H381" s="0" t="s">
        <v>427</v>
      </c>
      <c r="I381" s="0" t="s">
        <v>4645</v>
      </c>
      <c r="K381" s="44" t="str">
        <f aca="false">INDEX(libraries!$B:$B, MATCH(B381, libraries!$A:$A, 0), 1)</f>
        <v>sam0116</v>
      </c>
      <c r="L381" s="44" t="n">
        <f aca="false">INDEX(samples!$F:$F, MATCH(K381, samples!$A:$A, 0), 1)</f>
        <v>0</v>
      </c>
      <c r="M381" s="55" t="str">
        <f aca="false">INDEX(samples!$C:$C, MATCH(K381, samples!$A:$A, 0), 1)</f>
        <v>2019-05-08</v>
      </c>
      <c r="N381" s="44" t="str">
        <f aca="false">INDEX(samples!$B:$B, MATCH(K381, samples!$A:$A, 0), 1)</f>
        <v>par0081</v>
      </c>
      <c r="O381" s="44" t="s">
        <v>702</v>
      </c>
      <c r="P381" s="8" t="s">
        <v>427</v>
      </c>
      <c r="Q381" s="8" t="s">
        <v>36</v>
      </c>
      <c r="R381" s="33" t="s">
        <v>4646</v>
      </c>
      <c r="T381" s="8"/>
    </row>
    <row r="382" customFormat="false" ht="13.8" hidden="false" customHeight="false" outlineLevel="0" collapsed="false">
      <c r="A382" s="25" t="s">
        <v>4663</v>
      </c>
      <c r="B382" s="41" t="s">
        <v>3493</v>
      </c>
      <c r="C382" s="8" t="s">
        <v>3115</v>
      </c>
      <c r="D382" s="8" t="s">
        <v>427</v>
      </c>
      <c r="E382" s="0" t="s">
        <v>427</v>
      </c>
      <c r="F382" s="0" t="s">
        <v>427</v>
      </c>
      <c r="G382" s="0" t="s">
        <v>427</v>
      </c>
      <c r="H382" s="0" t="s">
        <v>427</v>
      </c>
      <c r="I382" s="0" t="s">
        <v>4645</v>
      </c>
      <c r="K382" s="44" t="str">
        <f aca="false">INDEX(libraries!$B:$B, MATCH(B382, libraries!$A:$A, 0), 1)</f>
        <v>sam0118</v>
      </c>
      <c r="L382" s="44" t="n">
        <f aca="false">INDEX(samples!$F:$F, MATCH(K382, samples!$A:$A, 0), 1)</f>
        <v>0</v>
      </c>
      <c r="M382" s="55" t="str">
        <f aca="false">INDEX(samples!$C:$C, MATCH(K382, samples!$A:$A, 0), 1)</f>
        <v>2019-07-23</v>
      </c>
      <c r="N382" s="44" t="str">
        <f aca="false">INDEX(samples!$B:$B, MATCH(K382, samples!$A:$A, 0), 1)</f>
        <v>par0081</v>
      </c>
      <c r="O382" s="44" t="s">
        <v>702</v>
      </c>
      <c r="P382" s="8" t="s">
        <v>427</v>
      </c>
      <c r="Q382" s="8" t="s">
        <v>36</v>
      </c>
      <c r="R382" s="33" t="s">
        <v>4646</v>
      </c>
      <c r="T382" s="8"/>
    </row>
    <row r="383" customFormat="false" ht="13.8" hidden="false" customHeight="false" outlineLevel="0" collapsed="false">
      <c r="A383" s="25" t="s">
        <v>4664</v>
      </c>
      <c r="B383" s="41" t="s">
        <v>3494</v>
      </c>
      <c r="C383" s="8" t="s">
        <v>3115</v>
      </c>
      <c r="D383" s="8" t="s">
        <v>427</v>
      </c>
      <c r="E383" s="0" t="s">
        <v>427</v>
      </c>
      <c r="F383" s="0" t="s">
        <v>427</v>
      </c>
      <c r="G383" s="0" t="s">
        <v>427</v>
      </c>
      <c r="H383" s="0" t="s">
        <v>427</v>
      </c>
      <c r="I383" s="0" t="s">
        <v>4645</v>
      </c>
      <c r="K383" s="44" t="str">
        <f aca="false">INDEX(libraries!$B:$B, MATCH(B383, libraries!$A:$A, 0), 1)</f>
        <v>sam0119</v>
      </c>
      <c r="L383" s="44" t="n">
        <f aca="false">INDEX(samples!$F:$F, MATCH(K383, samples!$A:$A, 0), 1)</f>
        <v>0</v>
      </c>
      <c r="M383" s="55" t="str">
        <f aca="false">INDEX(samples!$C:$C, MATCH(K383, samples!$A:$A, 0), 1)</f>
        <v>2019-08-06</v>
      </c>
      <c r="N383" s="44" t="str">
        <f aca="false">INDEX(samples!$B:$B, MATCH(K383, samples!$A:$A, 0), 1)</f>
        <v>par0081</v>
      </c>
      <c r="O383" s="44" t="s">
        <v>702</v>
      </c>
      <c r="P383" s="8" t="s">
        <v>427</v>
      </c>
      <c r="Q383" s="8" t="s">
        <v>36</v>
      </c>
      <c r="R383" s="33" t="s">
        <v>4646</v>
      </c>
      <c r="T383" s="8"/>
    </row>
    <row r="384" customFormat="false" ht="13.8" hidden="false" customHeight="false" outlineLevel="0" collapsed="false">
      <c r="A384" s="25" t="s">
        <v>4665</v>
      </c>
      <c r="B384" s="41" t="s">
        <v>3496</v>
      </c>
      <c r="C384" s="8" t="s">
        <v>3115</v>
      </c>
      <c r="D384" s="8" t="s">
        <v>427</v>
      </c>
      <c r="E384" s="0" t="s">
        <v>427</v>
      </c>
      <c r="F384" s="0" t="s">
        <v>427</v>
      </c>
      <c r="G384" s="0" t="s">
        <v>427</v>
      </c>
      <c r="H384" s="0" t="s">
        <v>427</v>
      </c>
      <c r="I384" s="0" t="s">
        <v>4645</v>
      </c>
      <c r="K384" s="44" t="str">
        <f aca="false">INDEX(libraries!$B:$B, MATCH(B384, libraries!$A:$A, 0), 1)</f>
        <v>sam0123</v>
      </c>
      <c r="L384" s="44" t="n">
        <f aca="false">INDEX(samples!$F:$F, MATCH(K384, samples!$A:$A, 0), 1)</f>
        <v>0</v>
      </c>
      <c r="M384" s="55" t="str">
        <f aca="false">INDEX(samples!$C:$C, MATCH(K384, samples!$A:$A, 0), 1)</f>
        <v>2019-06-11</v>
      </c>
      <c r="N384" s="44" t="str">
        <f aca="false">INDEX(samples!$B:$B, MATCH(K384, samples!$A:$A, 0), 1)</f>
        <v>par0082</v>
      </c>
      <c r="O384" s="44" t="s">
        <v>707</v>
      </c>
      <c r="P384" s="8" t="s">
        <v>427</v>
      </c>
      <c r="Q384" s="8" t="s">
        <v>36</v>
      </c>
      <c r="R384" s="33" t="s">
        <v>4646</v>
      </c>
      <c r="T384" s="8"/>
    </row>
    <row r="385" customFormat="false" ht="13.8" hidden="false" customHeight="false" outlineLevel="0" collapsed="false">
      <c r="A385" s="25" t="s">
        <v>4666</v>
      </c>
      <c r="B385" s="41" t="s">
        <v>3497</v>
      </c>
      <c r="C385" s="8" t="s">
        <v>3115</v>
      </c>
      <c r="D385" s="8" t="s">
        <v>427</v>
      </c>
      <c r="E385" s="0" t="s">
        <v>427</v>
      </c>
      <c r="F385" s="0" t="s">
        <v>427</v>
      </c>
      <c r="G385" s="0" t="s">
        <v>427</v>
      </c>
      <c r="H385" s="0" t="s">
        <v>427</v>
      </c>
      <c r="I385" s="0" t="s">
        <v>4645</v>
      </c>
      <c r="K385" s="44" t="str">
        <f aca="false">INDEX(libraries!$B:$B, MATCH(B385, libraries!$A:$A, 0), 1)</f>
        <v>sam0124</v>
      </c>
      <c r="L385" s="44" t="n">
        <f aca="false">INDEX(samples!$F:$F, MATCH(K385, samples!$A:$A, 0), 1)</f>
        <v>0</v>
      </c>
      <c r="M385" s="55" t="str">
        <f aca="false">INDEX(samples!$C:$C, MATCH(K385, samples!$A:$A, 0), 1)</f>
        <v>2019-07-23</v>
      </c>
      <c r="N385" s="44" t="str">
        <f aca="false">INDEX(samples!$B:$B, MATCH(K385, samples!$A:$A, 0), 1)</f>
        <v>par0082</v>
      </c>
      <c r="O385" s="44" t="s">
        <v>707</v>
      </c>
      <c r="P385" s="8" t="s">
        <v>427</v>
      </c>
      <c r="Q385" s="8" t="s">
        <v>36</v>
      </c>
      <c r="R385" s="33" t="s">
        <v>4646</v>
      </c>
      <c r="T385" s="8"/>
    </row>
    <row r="386" customFormat="false" ht="13.8" hidden="false" customHeight="false" outlineLevel="0" collapsed="false">
      <c r="A386" s="25" t="s">
        <v>4667</v>
      </c>
      <c r="B386" s="41" t="s">
        <v>3498</v>
      </c>
      <c r="C386" s="8" t="s">
        <v>3115</v>
      </c>
      <c r="D386" s="8" t="s">
        <v>427</v>
      </c>
      <c r="E386" s="0" t="s">
        <v>427</v>
      </c>
      <c r="F386" s="0" t="s">
        <v>427</v>
      </c>
      <c r="G386" s="0" t="s">
        <v>427</v>
      </c>
      <c r="H386" s="0" t="s">
        <v>427</v>
      </c>
      <c r="I386" s="0" t="s">
        <v>4645</v>
      </c>
      <c r="K386" s="44" t="str">
        <f aca="false">INDEX(libraries!$B:$B, MATCH(B386, libraries!$A:$A, 0), 1)</f>
        <v>sam0125</v>
      </c>
      <c r="L386" s="44" t="n">
        <f aca="false">INDEX(samples!$F:$F, MATCH(K386, samples!$A:$A, 0), 1)</f>
        <v>0</v>
      </c>
      <c r="M386" s="55" t="str">
        <f aca="false">INDEX(samples!$C:$C, MATCH(K386, samples!$A:$A, 0), 1)</f>
        <v>2019-08-06</v>
      </c>
      <c r="N386" s="44" t="str">
        <f aca="false">INDEX(samples!$B:$B, MATCH(K386, samples!$A:$A, 0), 1)</f>
        <v>par0082</v>
      </c>
      <c r="O386" s="44" t="s">
        <v>707</v>
      </c>
      <c r="P386" s="8" t="s">
        <v>427</v>
      </c>
      <c r="Q386" s="8" t="s">
        <v>36</v>
      </c>
      <c r="R386" s="33" t="s">
        <v>4646</v>
      </c>
      <c r="T386" s="8"/>
    </row>
    <row r="387" customFormat="false" ht="13.8" hidden="false" customHeight="false" outlineLevel="0" collapsed="false">
      <c r="A387" s="25" t="s">
        <v>4668</v>
      </c>
      <c r="B387" s="41" t="s">
        <v>3520</v>
      </c>
      <c r="C387" s="8" t="s">
        <v>3115</v>
      </c>
      <c r="D387" s="8" t="s">
        <v>427</v>
      </c>
      <c r="E387" s="0" t="s">
        <v>427</v>
      </c>
      <c r="F387" s="0" t="s">
        <v>427</v>
      </c>
      <c r="G387" s="0" t="s">
        <v>427</v>
      </c>
      <c r="H387" s="0" t="s">
        <v>427</v>
      </c>
      <c r="I387" s="0" t="s">
        <v>4645</v>
      </c>
      <c r="K387" s="44" t="str">
        <f aca="false">INDEX(libraries!$B:$B, MATCH(B387, libraries!$A:$A, 0), 1)</f>
        <v>sam0131</v>
      </c>
      <c r="L387" s="44" t="n">
        <f aca="false">INDEX(samples!$F:$F, MATCH(K387, samples!$A:$A, 0), 1)</f>
        <v>0</v>
      </c>
      <c r="M387" s="55" t="str">
        <f aca="false">INDEX(samples!$C:$C, MATCH(K387, samples!$A:$A, 0), 1)</f>
        <v>2019-09-12</v>
      </c>
      <c r="N387" s="44" t="str">
        <f aca="false">INDEX(samples!$B:$B, MATCH(K387, samples!$A:$A, 0), 1)</f>
        <v>par0102</v>
      </c>
      <c r="O387" s="44" t="s">
        <v>793</v>
      </c>
      <c r="P387" s="8" t="s">
        <v>427</v>
      </c>
      <c r="Q387" s="8" t="s">
        <v>36</v>
      </c>
      <c r="R387" s="33" t="s">
        <v>4646</v>
      </c>
      <c r="T387" s="8"/>
    </row>
    <row r="388" customFormat="false" ht="13.8" hidden="false" customHeight="false" outlineLevel="0" collapsed="false">
      <c r="A388" s="25" t="s">
        <v>4669</v>
      </c>
      <c r="B388" s="41" t="s">
        <v>3521</v>
      </c>
      <c r="C388" s="8" t="s">
        <v>3115</v>
      </c>
      <c r="D388" s="8" t="s">
        <v>427</v>
      </c>
      <c r="E388" s="0" t="s">
        <v>427</v>
      </c>
      <c r="F388" s="0" t="s">
        <v>427</v>
      </c>
      <c r="G388" s="0" t="s">
        <v>427</v>
      </c>
      <c r="H388" s="0" t="s">
        <v>427</v>
      </c>
      <c r="I388" s="0" t="s">
        <v>4645</v>
      </c>
      <c r="K388" s="44" t="str">
        <f aca="false">INDEX(libraries!$B:$B, MATCH(B388, libraries!$A:$A, 0), 1)</f>
        <v>sam0132</v>
      </c>
      <c r="L388" s="44" t="n">
        <f aca="false">INDEX(samples!$F:$F, MATCH(K388, samples!$A:$A, 0), 1)</f>
        <v>0</v>
      </c>
      <c r="M388" s="55" t="str">
        <f aca="false">INDEX(samples!$C:$C, MATCH(K388, samples!$A:$A, 0), 1)</f>
        <v>2019-10-31</v>
      </c>
      <c r="N388" s="44" t="str">
        <f aca="false">INDEX(samples!$B:$B, MATCH(K388, samples!$A:$A, 0), 1)</f>
        <v>par0102</v>
      </c>
      <c r="O388" s="44" t="s">
        <v>793</v>
      </c>
      <c r="P388" s="8" t="s">
        <v>427</v>
      </c>
      <c r="Q388" s="8" t="s">
        <v>36</v>
      </c>
      <c r="R388" s="33" t="s">
        <v>4646</v>
      </c>
      <c r="T388" s="8"/>
    </row>
    <row r="389" customFormat="false" ht="13.8" hidden="false" customHeight="false" outlineLevel="0" collapsed="false">
      <c r="A389" s="25" t="s">
        <v>4670</v>
      </c>
      <c r="B389" s="41" t="s">
        <v>3517</v>
      </c>
      <c r="C389" s="8" t="s">
        <v>3115</v>
      </c>
      <c r="D389" s="8" t="s">
        <v>427</v>
      </c>
      <c r="E389" s="0" t="s">
        <v>427</v>
      </c>
      <c r="F389" s="0" t="s">
        <v>427</v>
      </c>
      <c r="G389" s="0" t="s">
        <v>427</v>
      </c>
      <c r="H389" s="0" t="s">
        <v>427</v>
      </c>
      <c r="I389" s="0" t="s">
        <v>4645</v>
      </c>
      <c r="K389" s="44" t="str">
        <f aca="false">INDEX(libraries!$B:$B, MATCH(B389, libraries!$A:$A, 0), 1)</f>
        <v>sam0127</v>
      </c>
      <c r="L389" s="44" t="n">
        <f aca="false">INDEX(samples!$F:$F, MATCH(K389, samples!$A:$A, 0), 1)</f>
        <v>0</v>
      </c>
      <c r="M389" s="55" t="str">
        <f aca="false">INDEX(samples!$C:$C, MATCH(K389, samples!$A:$A, 0), 1)</f>
        <v>2019-07-25</v>
      </c>
      <c r="N389" s="44" t="str">
        <f aca="false">INDEX(samples!$B:$B, MATCH(K389, samples!$A:$A, 0), 1)</f>
        <v>par0099</v>
      </c>
      <c r="O389" s="44" t="s">
        <v>778</v>
      </c>
      <c r="P389" s="8" t="s">
        <v>427</v>
      </c>
      <c r="Q389" s="8" t="s">
        <v>36</v>
      </c>
      <c r="R389" s="33" t="s">
        <v>4646</v>
      </c>
      <c r="T389" s="8"/>
    </row>
    <row r="390" customFormat="false" ht="13.8" hidden="false" customHeight="false" outlineLevel="0" collapsed="false">
      <c r="A390" s="25" t="s">
        <v>4671</v>
      </c>
      <c r="B390" s="41" t="s">
        <v>3518</v>
      </c>
      <c r="C390" s="8" t="s">
        <v>3115</v>
      </c>
      <c r="D390" s="8" t="s">
        <v>427</v>
      </c>
      <c r="E390" s="0" t="s">
        <v>427</v>
      </c>
      <c r="F390" s="0" t="s">
        <v>427</v>
      </c>
      <c r="G390" s="0" t="s">
        <v>427</v>
      </c>
      <c r="H390" s="0" t="s">
        <v>427</v>
      </c>
      <c r="I390" s="0" t="s">
        <v>4645</v>
      </c>
      <c r="K390" s="44" t="str">
        <f aca="false">INDEX(libraries!$B:$B, MATCH(B390, libraries!$A:$A, 0), 1)</f>
        <v>sam0128</v>
      </c>
      <c r="L390" s="44" t="n">
        <f aca="false">INDEX(samples!$F:$F, MATCH(K390, samples!$A:$A, 0), 1)</f>
        <v>0</v>
      </c>
      <c r="M390" s="55" t="str">
        <f aca="false">INDEX(samples!$C:$C, MATCH(K390, samples!$A:$A, 0), 1)</f>
        <v>2019-07-30</v>
      </c>
      <c r="N390" s="44" t="str">
        <f aca="false">INDEX(samples!$B:$B, MATCH(K390, samples!$A:$A, 0), 1)</f>
        <v>par0100</v>
      </c>
      <c r="O390" s="44" t="s">
        <v>782</v>
      </c>
      <c r="P390" s="8" t="s">
        <v>427</v>
      </c>
      <c r="Q390" s="8" t="s">
        <v>36</v>
      </c>
      <c r="R390" s="33" t="s">
        <v>4646</v>
      </c>
      <c r="T390" s="8"/>
    </row>
    <row r="391" customFormat="false" ht="13.8" hidden="false" customHeight="false" outlineLevel="0" collapsed="false">
      <c r="A391" s="25" t="s">
        <v>4672</v>
      </c>
      <c r="B391" s="41" t="s">
        <v>3519</v>
      </c>
      <c r="C391" s="8" t="s">
        <v>3115</v>
      </c>
      <c r="D391" s="8" t="s">
        <v>427</v>
      </c>
      <c r="E391" s="0" t="s">
        <v>427</v>
      </c>
      <c r="F391" s="0" t="s">
        <v>427</v>
      </c>
      <c r="G391" s="0" t="s">
        <v>427</v>
      </c>
      <c r="H391" s="0" t="s">
        <v>427</v>
      </c>
      <c r="I391" s="0" t="s">
        <v>4645</v>
      </c>
      <c r="K391" s="44" t="str">
        <f aca="false">INDEX(libraries!$B:$B, MATCH(B391, libraries!$A:$A, 0), 1)</f>
        <v>sam0129</v>
      </c>
      <c r="L391" s="44" t="n">
        <f aca="false">INDEX(samples!$F:$F, MATCH(K391, samples!$A:$A, 0), 1)</f>
        <v>0</v>
      </c>
      <c r="M391" s="55" t="str">
        <f aca="false">INDEX(samples!$C:$C, MATCH(K391, samples!$A:$A, 0), 1)</f>
        <v>2019-08-20</v>
      </c>
      <c r="N391" s="44" t="str">
        <f aca="false">INDEX(samples!$B:$B, MATCH(K391, samples!$A:$A, 0), 1)</f>
        <v>par0101</v>
      </c>
      <c r="O391" s="44" t="s">
        <v>787</v>
      </c>
      <c r="P391" s="8" t="s">
        <v>427</v>
      </c>
      <c r="Q391" s="8" t="s">
        <v>36</v>
      </c>
      <c r="R391" s="33" t="s">
        <v>4646</v>
      </c>
      <c r="T391" s="8"/>
    </row>
    <row r="392" customFormat="false" ht="13.8" hidden="false" customHeight="false" outlineLevel="0" collapsed="false">
      <c r="A392" s="25" t="s">
        <v>4673</v>
      </c>
      <c r="B392" s="41" t="s">
        <v>3481</v>
      </c>
      <c r="C392" s="8" t="s">
        <v>3115</v>
      </c>
      <c r="D392" s="8" t="s">
        <v>427</v>
      </c>
      <c r="E392" s="0" t="s">
        <v>427</v>
      </c>
      <c r="F392" s="0" t="s">
        <v>427</v>
      </c>
      <c r="G392" s="0" t="s">
        <v>427</v>
      </c>
      <c r="H392" s="0" t="s">
        <v>427</v>
      </c>
      <c r="I392" s="0" t="s">
        <v>4645</v>
      </c>
      <c r="K392" s="44" t="e">
        <f aca="false">INDEX(libraries!$B:$B, MATCH(B392, libraries!$A:$A, 0), 1)</f>
        <v>#N/A</v>
      </c>
      <c r="L392" s="44" t="e">
        <f aca="false">INDEX(samples!$F:$F, MATCH(K392, samples!$A:$A, 0), 1)</f>
        <v>#N/A</v>
      </c>
      <c r="M392" s="55" t="e">
        <f aca="false">INDEX(samples!$C:$C, MATCH(K392, samples!$A:$A, 0), 1)</f>
        <v>#N/A</v>
      </c>
      <c r="N392" s="44" t="e">
        <f aca="false">INDEX(samples!$B:$B, MATCH(K392, samples!$A:$A, 0), 1)</f>
        <v>#N/A</v>
      </c>
      <c r="O392" s="44" t="s">
        <v>662</v>
      </c>
      <c r="P392" s="8" t="s">
        <v>427</v>
      </c>
      <c r="Q392" s="8" t="s">
        <v>36</v>
      </c>
      <c r="R392" s="33" t="s">
        <v>4646</v>
      </c>
      <c r="T392" s="8"/>
    </row>
    <row r="393" customFormat="false" ht="13.8" hidden="false" customHeight="false" outlineLevel="0" collapsed="false">
      <c r="A393" s="25" t="s">
        <v>4674</v>
      </c>
      <c r="B393" s="41" t="s">
        <v>3525</v>
      </c>
      <c r="C393" s="8" t="s">
        <v>3115</v>
      </c>
      <c r="D393" s="8" t="s">
        <v>427</v>
      </c>
      <c r="E393" s="0" t="s">
        <v>427</v>
      </c>
      <c r="F393" s="0" t="s">
        <v>427</v>
      </c>
      <c r="G393" s="0" t="s">
        <v>427</v>
      </c>
      <c r="H393" s="0" t="s">
        <v>427</v>
      </c>
      <c r="I393" s="0" t="s">
        <v>4645</v>
      </c>
      <c r="K393" s="44" t="str">
        <f aca="false">INDEX(libraries!$B:$B, MATCH(B393, libraries!$A:$A, 0), 1)</f>
        <v>sam0138</v>
      </c>
      <c r="L393" s="44" t="n">
        <f aca="false">INDEX(samples!$F:$F, MATCH(K393, samples!$A:$A, 0), 1)</f>
        <v>0</v>
      </c>
      <c r="M393" s="55" t="str">
        <f aca="false">INDEX(samples!$C:$C, MATCH(K393, samples!$A:$A, 0), 1)</f>
        <v>2019-10-10</v>
      </c>
      <c r="N393" s="44" t="str">
        <f aca="false">INDEX(samples!$B:$B, MATCH(K393, samples!$A:$A, 0), 1)</f>
        <v>par0104</v>
      </c>
      <c r="O393" s="44" t="s">
        <v>802</v>
      </c>
      <c r="P393" s="8" t="s">
        <v>427</v>
      </c>
      <c r="Q393" s="8" t="s">
        <v>36</v>
      </c>
      <c r="R393" s="33" t="s">
        <v>4646</v>
      </c>
      <c r="T393" s="8"/>
    </row>
    <row r="394" customFormat="false" ht="13.8" hidden="false" customHeight="false" outlineLevel="0" collapsed="false">
      <c r="A394" s="25" t="s">
        <v>4675</v>
      </c>
      <c r="B394" s="41" t="s">
        <v>3526</v>
      </c>
      <c r="C394" s="8" t="s">
        <v>3115</v>
      </c>
      <c r="D394" s="8" t="s">
        <v>427</v>
      </c>
      <c r="E394" s="0" t="s">
        <v>427</v>
      </c>
      <c r="F394" s="0" t="s">
        <v>427</v>
      </c>
      <c r="G394" s="0" t="s">
        <v>427</v>
      </c>
      <c r="H394" s="0" t="s">
        <v>427</v>
      </c>
      <c r="I394" s="0" t="s">
        <v>4645</v>
      </c>
      <c r="K394" s="44" t="str">
        <f aca="false">INDEX(libraries!$B:$B, MATCH(B394, libraries!$A:$A, 0), 1)</f>
        <v>sam0143</v>
      </c>
      <c r="L394" s="44" t="n">
        <f aca="false">INDEX(samples!$F:$F, MATCH(K394, samples!$A:$A, 0), 1)</f>
        <v>0</v>
      </c>
      <c r="M394" s="55" t="str">
        <f aca="false">INDEX(samples!$C:$C, MATCH(K394, samples!$A:$A, 0), 1)</f>
        <v>2019-11-05</v>
      </c>
      <c r="N394" s="44" t="str">
        <f aca="false">INDEX(samples!$B:$B, MATCH(K394, samples!$A:$A, 0), 1)</f>
        <v>par0105</v>
      </c>
      <c r="O394" s="44" t="s">
        <v>806</v>
      </c>
      <c r="P394" s="8" t="s">
        <v>427</v>
      </c>
      <c r="Q394" s="8" t="s">
        <v>36</v>
      </c>
      <c r="R394" s="33" t="s">
        <v>4646</v>
      </c>
      <c r="T394" s="8"/>
    </row>
    <row r="395" customFormat="false" ht="13.8" hidden="false" customHeight="false" outlineLevel="0" collapsed="false">
      <c r="A395" s="25" t="s">
        <v>4676</v>
      </c>
      <c r="B395" s="41" t="s">
        <v>3527</v>
      </c>
      <c r="C395" s="8" t="s">
        <v>3115</v>
      </c>
      <c r="D395" s="8" t="s">
        <v>427</v>
      </c>
      <c r="E395" s="0" t="s">
        <v>427</v>
      </c>
      <c r="F395" s="0" t="s">
        <v>427</v>
      </c>
      <c r="G395" s="0" t="s">
        <v>427</v>
      </c>
      <c r="H395" s="0" t="s">
        <v>427</v>
      </c>
      <c r="I395" s="0" t="s">
        <v>4645</v>
      </c>
      <c r="K395" s="44" t="str">
        <f aca="false">INDEX(libraries!$B:$B, MATCH(B395, libraries!$A:$A, 0), 1)</f>
        <v>sam0144</v>
      </c>
      <c r="L395" s="44" t="n">
        <f aca="false">INDEX(samples!$F:$F, MATCH(K395, samples!$A:$A, 0), 1)</f>
        <v>0</v>
      </c>
      <c r="M395" s="55" t="str">
        <f aca="false">INDEX(samples!$C:$C, MATCH(K395, samples!$A:$A, 0), 1)</f>
        <v>2019-11-21</v>
      </c>
      <c r="N395" s="44" t="str">
        <f aca="false">INDEX(samples!$B:$B, MATCH(K395, samples!$A:$A, 0), 1)</f>
        <v>par0106</v>
      </c>
      <c r="O395" s="44" t="s">
        <v>811</v>
      </c>
      <c r="P395" s="8" t="s">
        <v>427</v>
      </c>
      <c r="Q395" s="8" t="s">
        <v>36</v>
      </c>
      <c r="R395" s="33" t="s">
        <v>4646</v>
      </c>
      <c r="T395" s="8"/>
    </row>
    <row r="396" customFormat="false" ht="13.8" hidden="false" customHeight="false" outlineLevel="0" collapsed="false">
      <c r="A396" s="25" t="s">
        <v>4677</v>
      </c>
      <c r="B396" s="41" t="s">
        <v>3531</v>
      </c>
      <c r="C396" s="8" t="s">
        <v>3115</v>
      </c>
      <c r="D396" s="8" t="s">
        <v>427</v>
      </c>
      <c r="E396" s="0" t="s">
        <v>427</v>
      </c>
      <c r="F396" s="0" t="s">
        <v>427</v>
      </c>
      <c r="G396" s="0" t="s">
        <v>427</v>
      </c>
      <c r="H396" s="0" t="s">
        <v>427</v>
      </c>
      <c r="I396" s="0" t="s">
        <v>4645</v>
      </c>
      <c r="K396" s="44" t="e">
        <f aca="false">INDEX(libraries!$B:$B, MATCH(B396, libraries!$A:$A, 0), 1)</f>
        <v>#N/A</v>
      </c>
      <c r="L396" s="44" t="e">
        <f aca="false">INDEX(samples!$F:$F, MATCH(K396, samples!$A:$A, 0), 1)</f>
        <v>#N/A</v>
      </c>
      <c r="M396" s="55" t="e">
        <f aca="false">INDEX(samples!$C:$C, MATCH(K396, samples!$A:$A, 0), 1)</f>
        <v>#N/A</v>
      </c>
      <c r="N396" s="44" t="e">
        <f aca="false">INDEX(samples!$B:$B, MATCH(K396, samples!$A:$A, 0), 1)</f>
        <v>#N/A</v>
      </c>
      <c r="O396" s="44" t="s">
        <v>823</v>
      </c>
      <c r="P396" s="8" t="s">
        <v>427</v>
      </c>
      <c r="Q396" s="8" t="s">
        <v>36</v>
      </c>
      <c r="R396" s="33" t="s">
        <v>4646</v>
      </c>
      <c r="T396" s="8"/>
    </row>
    <row r="397" customFormat="false" ht="13.8" hidden="false" customHeight="false" outlineLevel="0" collapsed="false">
      <c r="A397" s="25" t="s">
        <v>4678</v>
      </c>
      <c r="B397" s="41" t="s">
        <v>3522</v>
      </c>
      <c r="C397" s="8" t="s">
        <v>3115</v>
      </c>
      <c r="D397" s="8" t="s">
        <v>427</v>
      </c>
      <c r="E397" s="0" t="s">
        <v>427</v>
      </c>
      <c r="F397" s="0" t="s">
        <v>427</v>
      </c>
      <c r="G397" s="0" t="s">
        <v>427</v>
      </c>
      <c r="H397" s="0" t="s">
        <v>427</v>
      </c>
      <c r="I397" s="0" t="s">
        <v>4645</v>
      </c>
      <c r="K397" s="44" t="str">
        <f aca="false">INDEX(libraries!$B:$B, MATCH(B397, libraries!$A:$A, 0), 1)</f>
        <v>sam0180</v>
      </c>
      <c r="L397" s="44" t="n">
        <f aca="false">INDEX(samples!$F:$F, MATCH(K397, samples!$A:$A, 0), 1)</f>
        <v>0</v>
      </c>
      <c r="M397" s="55" t="str">
        <f aca="false">INDEX(samples!$C:$C, MATCH(K397, samples!$A:$A, 0), 1)</f>
        <v>GET</v>
      </c>
      <c r="N397" s="44" t="str">
        <f aca="false">INDEX(samples!$B:$B, MATCH(K397, samples!$A:$A, 0), 1)</f>
        <v>par0102</v>
      </c>
      <c r="O397" s="44" t="s">
        <v>793</v>
      </c>
      <c r="P397" s="8" t="s">
        <v>427</v>
      </c>
      <c r="Q397" s="8" t="s">
        <v>36</v>
      </c>
      <c r="R397" s="33" t="s">
        <v>4646</v>
      </c>
      <c r="T397" s="8"/>
    </row>
    <row r="398" customFormat="false" ht="13.8" hidden="false" customHeight="false" outlineLevel="0" collapsed="false">
      <c r="A398" s="25" t="s">
        <v>4679</v>
      </c>
      <c r="B398" s="41" t="s">
        <v>3523</v>
      </c>
      <c r="C398" s="8" t="s">
        <v>3115</v>
      </c>
      <c r="D398" s="8" t="s">
        <v>427</v>
      </c>
      <c r="E398" s="0" t="s">
        <v>427</v>
      </c>
      <c r="F398" s="0" t="s">
        <v>427</v>
      </c>
      <c r="G398" s="0" t="s">
        <v>427</v>
      </c>
      <c r="H398" s="0" t="s">
        <v>427</v>
      </c>
      <c r="I398" s="0" t="s">
        <v>4645</v>
      </c>
      <c r="K398" s="44" t="str">
        <f aca="false">INDEX(libraries!$B:$B, MATCH(B398, libraries!$A:$A, 0), 1)</f>
        <v>sam0253</v>
      </c>
      <c r="L398" s="44" t="n">
        <f aca="false">INDEX(samples!$F:$F, MATCH(K398, samples!$A:$A, 0), 1)</f>
        <v>0</v>
      </c>
      <c r="M398" s="55" t="str">
        <f aca="false">INDEX(samples!$C:$C, MATCH(K398, samples!$A:$A, 0), 1)</f>
        <v>2020-03-31</v>
      </c>
      <c r="N398" s="44" t="str">
        <f aca="false">INDEX(samples!$B:$B, MATCH(K398, samples!$A:$A, 0), 1)</f>
        <v>par0102</v>
      </c>
      <c r="O398" s="44" t="s">
        <v>793</v>
      </c>
      <c r="P398" s="8" t="s">
        <v>427</v>
      </c>
      <c r="Q398" s="8" t="s">
        <v>36</v>
      </c>
      <c r="R398" s="33" t="s">
        <v>4646</v>
      </c>
      <c r="T398" s="8"/>
    </row>
    <row r="399" customFormat="false" ht="13.8" hidden="false" customHeight="false" outlineLevel="0" collapsed="false">
      <c r="A399" s="25" t="s">
        <v>4680</v>
      </c>
      <c r="B399" s="41" t="s">
        <v>3524</v>
      </c>
      <c r="C399" s="8" t="s">
        <v>3115</v>
      </c>
      <c r="D399" s="8" t="s">
        <v>427</v>
      </c>
      <c r="E399" s="0" t="s">
        <v>427</v>
      </c>
      <c r="F399" s="0" t="s">
        <v>427</v>
      </c>
      <c r="G399" s="0" t="s">
        <v>427</v>
      </c>
      <c r="H399" s="0" t="s">
        <v>427</v>
      </c>
      <c r="I399" s="0" t="s">
        <v>4645</v>
      </c>
      <c r="K399" s="44" t="str">
        <f aca="false">INDEX(libraries!$B:$B, MATCH(B399, libraries!$A:$A, 0), 1)</f>
        <v>sam0254</v>
      </c>
      <c r="L399" s="44" t="n">
        <f aca="false">INDEX(samples!$F:$F, MATCH(K399, samples!$A:$A, 0), 1)</f>
        <v>0</v>
      </c>
      <c r="M399" s="55" t="str">
        <f aca="false">INDEX(samples!$C:$C, MATCH(K399, samples!$A:$A, 0), 1)</f>
        <v>2020-04-21</v>
      </c>
      <c r="N399" s="44" t="str">
        <f aca="false">INDEX(samples!$B:$B, MATCH(K399, samples!$A:$A, 0), 1)</f>
        <v>par0102</v>
      </c>
      <c r="O399" s="44" t="s">
        <v>793</v>
      </c>
      <c r="P399" s="8" t="s">
        <v>427</v>
      </c>
      <c r="Q399" s="8" t="s">
        <v>36</v>
      </c>
      <c r="R399" s="33" t="s">
        <v>4646</v>
      </c>
      <c r="T399" s="8"/>
    </row>
    <row r="400" customFormat="false" ht="13.8" hidden="false" customHeight="false" outlineLevel="0" collapsed="false">
      <c r="A400" s="25" t="s">
        <v>4681</v>
      </c>
      <c r="B400" s="41" t="s">
        <v>3499</v>
      </c>
      <c r="C400" s="8" t="s">
        <v>3115</v>
      </c>
      <c r="D400" s="8" t="s">
        <v>427</v>
      </c>
      <c r="E400" s="0" t="s">
        <v>427</v>
      </c>
      <c r="F400" s="0" t="s">
        <v>427</v>
      </c>
      <c r="G400" s="0" t="s">
        <v>427</v>
      </c>
      <c r="H400" s="0" t="s">
        <v>427</v>
      </c>
      <c r="I400" s="0" t="s">
        <v>4645</v>
      </c>
      <c r="K400" s="44" t="str">
        <f aca="false">INDEX(libraries!$B:$B, MATCH(B400, libraries!$A:$A, 0), 1)</f>
        <v>sam0134</v>
      </c>
      <c r="L400" s="44" t="n">
        <f aca="false">INDEX(samples!$F:$F, MATCH(K400, samples!$A:$A, 0), 1)</f>
        <v>0</v>
      </c>
      <c r="M400" s="55" t="str">
        <f aca="false">INDEX(samples!$C:$C, MATCH(K400, samples!$A:$A, 0), 1)</f>
        <v>2019-10-08</v>
      </c>
      <c r="N400" s="44" t="str">
        <f aca="false">INDEX(samples!$B:$B, MATCH(K400, samples!$A:$A, 0), 1)</f>
        <v>par0084</v>
      </c>
      <c r="O400" s="44" t="s">
        <v>719</v>
      </c>
      <c r="P400" s="8" t="s">
        <v>427</v>
      </c>
      <c r="Q400" s="8" t="s">
        <v>36</v>
      </c>
      <c r="R400" s="33" t="s">
        <v>4646</v>
      </c>
      <c r="T400" s="8"/>
    </row>
    <row r="401" customFormat="false" ht="13.8" hidden="false" customHeight="false" outlineLevel="0" collapsed="false">
      <c r="A401" s="25" t="s">
        <v>4682</v>
      </c>
      <c r="B401" s="41" t="s">
        <v>3500</v>
      </c>
      <c r="C401" s="8" t="s">
        <v>3115</v>
      </c>
      <c r="D401" s="8" t="s">
        <v>427</v>
      </c>
      <c r="E401" s="0" t="s">
        <v>427</v>
      </c>
      <c r="F401" s="0" t="s">
        <v>427</v>
      </c>
      <c r="G401" s="0" t="s">
        <v>427</v>
      </c>
      <c r="H401" s="0" t="s">
        <v>427</v>
      </c>
      <c r="I401" s="0" t="s">
        <v>4645</v>
      </c>
      <c r="K401" s="44" t="str">
        <f aca="false">INDEX(libraries!$B:$B, MATCH(B401, libraries!$A:$A, 0), 1)</f>
        <v>sam0135</v>
      </c>
      <c r="L401" s="44" t="n">
        <f aca="false">INDEX(samples!$F:$F, MATCH(K401, samples!$A:$A, 0), 1)</f>
        <v>0</v>
      </c>
      <c r="M401" s="55" t="str">
        <f aca="false">INDEX(samples!$C:$C, MATCH(K401, samples!$A:$A, 0), 1)</f>
        <v>2019-12-10</v>
      </c>
      <c r="N401" s="44" t="str">
        <f aca="false">INDEX(samples!$B:$B, MATCH(K401, samples!$A:$A, 0), 1)</f>
        <v>par0084</v>
      </c>
      <c r="O401" s="44" t="s">
        <v>719</v>
      </c>
      <c r="P401" s="8" t="s">
        <v>427</v>
      </c>
      <c r="Q401" s="8" t="s">
        <v>36</v>
      </c>
      <c r="R401" s="33" t="s">
        <v>4646</v>
      </c>
      <c r="T401" s="8"/>
    </row>
    <row r="402" customFormat="false" ht="13.8" hidden="false" customHeight="false" outlineLevel="0" collapsed="false">
      <c r="A402" s="25" t="s">
        <v>4683</v>
      </c>
      <c r="B402" s="41" t="s">
        <v>3501</v>
      </c>
      <c r="C402" s="8" t="s">
        <v>3115</v>
      </c>
      <c r="D402" s="8" t="s">
        <v>427</v>
      </c>
      <c r="E402" s="0" t="s">
        <v>427</v>
      </c>
      <c r="F402" s="0" t="s">
        <v>427</v>
      </c>
      <c r="G402" s="0" t="s">
        <v>427</v>
      </c>
      <c r="H402" s="0" t="s">
        <v>427</v>
      </c>
      <c r="I402" s="0" t="s">
        <v>4645</v>
      </c>
      <c r="K402" s="44" t="str">
        <f aca="false">INDEX(libraries!$B:$B, MATCH(B402, libraries!$A:$A, 0), 1)</f>
        <v>sam0136</v>
      </c>
      <c r="L402" s="44" t="n">
        <f aca="false">INDEX(samples!$F:$F, MATCH(K402, samples!$A:$A, 0), 1)</f>
        <v>0</v>
      </c>
      <c r="M402" s="55" t="str">
        <f aca="false">INDEX(samples!$C:$C, MATCH(K402, samples!$A:$A, 0), 1)</f>
        <v>2019-12-31</v>
      </c>
      <c r="N402" s="44" t="str">
        <f aca="false">INDEX(samples!$B:$B, MATCH(K402, samples!$A:$A, 0), 1)</f>
        <v>par0084</v>
      </c>
      <c r="O402" s="44" t="s">
        <v>719</v>
      </c>
      <c r="P402" s="8" t="s">
        <v>427</v>
      </c>
      <c r="Q402" s="8" t="s">
        <v>36</v>
      </c>
      <c r="R402" s="33" t="s">
        <v>4646</v>
      </c>
      <c r="T402" s="8"/>
    </row>
    <row r="403" customFormat="false" ht="13.8" hidden="false" customHeight="false" outlineLevel="0" collapsed="false">
      <c r="A403" s="25" t="s">
        <v>4684</v>
      </c>
      <c r="B403" s="41" t="s">
        <v>3502</v>
      </c>
      <c r="C403" s="8" t="s">
        <v>3115</v>
      </c>
      <c r="D403" s="8" t="s">
        <v>427</v>
      </c>
      <c r="E403" s="0" t="s">
        <v>427</v>
      </c>
      <c r="F403" s="0" t="s">
        <v>427</v>
      </c>
      <c r="G403" s="0" t="s">
        <v>427</v>
      </c>
      <c r="H403" s="0" t="s">
        <v>427</v>
      </c>
      <c r="I403" s="0" t="s">
        <v>4645</v>
      </c>
      <c r="K403" s="44" t="str">
        <f aca="false">INDEX(libraries!$B:$B, MATCH(B403, libraries!$A:$A, 0), 1)</f>
        <v>sam0137</v>
      </c>
      <c r="L403" s="44" t="n">
        <f aca="false">INDEX(samples!$F:$F, MATCH(K403, samples!$A:$A, 0), 1)</f>
        <v>0</v>
      </c>
      <c r="M403" s="55" t="str">
        <f aca="false">INDEX(samples!$C:$C, MATCH(K403, samples!$A:$A, 0), 1)</f>
        <v>2020-02-25</v>
      </c>
      <c r="N403" s="44" t="str">
        <f aca="false">INDEX(samples!$B:$B, MATCH(K403, samples!$A:$A, 0), 1)</f>
        <v>par0084</v>
      </c>
      <c r="O403" s="44" t="s">
        <v>719</v>
      </c>
      <c r="P403" s="8" t="s">
        <v>427</v>
      </c>
      <c r="Q403" s="8" t="s">
        <v>36</v>
      </c>
      <c r="R403" s="33" t="s">
        <v>4646</v>
      </c>
      <c r="T403" s="8"/>
    </row>
    <row r="404" customFormat="false" ht="13.8" hidden="false" customHeight="false" outlineLevel="0" collapsed="false">
      <c r="A404" s="25" t="s">
        <v>4685</v>
      </c>
      <c r="B404" s="41" t="s">
        <v>3503</v>
      </c>
      <c r="C404" s="8" t="s">
        <v>3115</v>
      </c>
      <c r="D404" s="8" t="s">
        <v>427</v>
      </c>
      <c r="E404" s="0" t="s">
        <v>427</v>
      </c>
      <c r="F404" s="0" t="s">
        <v>427</v>
      </c>
      <c r="G404" s="0" t="s">
        <v>427</v>
      </c>
      <c r="H404" s="0" t="s">
        <v>427</v>
      </c>
      <c r="I404" s="0" t="s">
        <v>4645</v>
      </c>
      <c r="K404" s="44" t="str">
        <f aca="false">INDEX(libraries!$B:$B, MATCH(B404, libraries!$A:$A, 0), 1)</f>
        <v>sam0139</v>
      </c>
      <c r="L404" s="44" t="n">
        <f aca="false">INDEX(samples!$F:$F, MATCH(K404, samples!$A:$A, 0), 1)</f>
        <v>0</v>
      </c>
      <c r="M404" s="55" t="str">
        <f aca="false">INDEX(samples!$C:$C, MATCH(K404, samples!$A:$A, 0), 1)</f>
        <v>2019-10-25</v>
      </c>
      <c r="N404" s="44" t="str">
        <f aca="false">INDEX(samples!$B:$B, MATCH(K404, samples!$A:$A, 0), 1)</f>
        <v>par0085</v>
      </c>
      <c r="O404" s="44" t="s">
        <v>724</v>
      </c>
      <c r="P404" s="8" t="s">
        <v>427</v>
      </c>
      <c r="Q404" s="8" t="s">
        <v>36</v>
      </c>
      <c r="R404" s="33" t="s">
        <v>4646</v>
      </c>
      <c r="T404" s="8"/>
    </row>
    <row r="405" customFormat="false" ht="13.8" hidden="false" customHeight="false" outlineLevel="0" collapsed="false">
      <c r="A405" s="25" t="s">
        <v>4686</v>
      </c>
      <c r="B405" s="41" t="s">
        <v>3504</v>
      </c>
      <c r="C405" s="8" t="s">
        <v>3115</v>
      </c>
      <c r="D405" s="8" t="s">
        <v>427</v>
      </c>
      <c r="E405" s="0" t="s">
        <v>427</v>
      </c>
      <c r="F405" s="0" t="s">
        <v>427</v>
      </c>
      <c r="G405" s="0" t="s">
        <v>427</v>
      </c>
      <c r="H405" s="0" t="s">
        <v>427</v>
      </c>
      <c r="I405" s="0" t="s">
        <v>4645</v>
      </c>
      <c r="K405" s="44" t="str">
        <f aca="false">INDEX(libraries!$B:$B, MATCH(B405, libraries!$A:$A, 0), 1)</f>
        <v>sam0140</v>
      </c>
      <c r="L405" s="44" t="n">
        <f aca="false">INDEX(samples!$F:$F, MATCH(K405, samples!$A:$A, 0), 1)</f>
        <v>0</v>
      </c>
      <c r="M405" s="55" t="str">
        <f aca="false">INDEX(samples!$C:$C, MATCH(K405, samples!$A:$A, 0), 1)</f>
        <v>2019-12-26</v>
      </c>
      <c r="N405" s="44" t="str">
        <f aca="false">INDEX(samples!$B:$B, MATCH(K405, samples!$A:$A, 0), 1)</f>
        <v>par0085</v>
      </c>
      <c r="O405" s="44" t="s">
        <v>724</v>
      </c>
      <c r="P405" s="8" t="s">
        <v>427</v>
      </c>
      <c r="Q405" s="8" t="s">
        <v>36</v>
      </c>
      <c r="R405" s="33" t="s">
        <v>4646</v>
      </c>
      <c r="T405" s="8"/>
    </row>
    <row r="406" customFormat="false" ht="13.8" hidden="false" customHeight="false" outlineLevel="0" collapsed="false">
      <c r="A406" s="25" t="s">
        <v>4687</v>
      </c>
      <c r="B406" s="41" t="s">
        <v>3534</v>
      </c>
      <c r="C406" s="8" t="s">
        <v>3115</v>
      </c>
      <c r="D406" s="8" t="s">
        <v>427</v>
      </c>
      <c r="E406" s="0" t="s">
        <v>427</v>
      </c>
      <c r="F406" s="0" t="s">
        <v>427</v>
      </c>
      <c r="G406" s="0" t="s">
        <v>427</v>
      </c>
      <c r="H406" s="0" t="s">
        <v>427</v>
      </c>
      <c r="I406" s="0" t="s">
        <v>4645</v>
      </c>
      <c r="K406" s="44" t="str">
        <f aca="false">INDEX(libraries!$B:$B, MATCH(B406, libraries!$A:$A, 0), 1)</f>
        <v>sam0155</v>
      </c>
      <c r="L406" s="44" t="n">
        <f aca="false">INDEX(samples!$F:$F, MATCH(K406, samples!$A:$A, 0), 1)</f>
        <v>0</v>
      </c>
      <c r="M406" s="55" t="str">
        <f aca="false">INDEX(samples!$C:$C, MATCH(K406, samples!$A:$A, 0), 1)</f>
        <v>2020-02-18</v>
      </c>
      <c r="N406" s="44" t="str">
        <f aca="false">INDEX(samples!$B:$B, MATCH(K406, samples!$A:$A, 0), 1)</f>
        <v>par0132</v>
      </c>
      <c r="O406" s="44" t="s">
        <v>895</v>
      </c>
      <c r="P406" s="8" t="s">
        <v>427</v>
      </c>
      <c r="Q406" s="8" t="s">
        <v>36</v>
      </c>
      <c r="R406" s="33" t="s">
        <v>4646</v>
      </c>
      <c r="T406" s="8"/>
    </row>
    <row r="407" customFormat="false" ht="13.8" hidden="false" customHeight="false" outlineLevel="0" collapsed="false">
      <c r="A407" s="25" t="s">
        <v>4688</v>
      </c>
      <c r="B407" s="41" t="s">
        <v>3537</v>
      </c>
      <c r="C407" s="8" t="s">
        <v>3115</v>
      </c>
      <c r="D407" s="8" t="s">
        <v>427</v>
      </c>
      <c r="E407" s="0" t="s">
        <v>427</v>
      </c>
      <c r="F407" s="0" t="s">
        <v>427</v>
      </c>
      <c r="G407" s="0" t="s">
        <v>427</v>
      </c>
      <c r="H407" s="0" t="s">
        <v>427</v>
      </c>
      <c r="I407" s="0" t="s">
        <v>4645</v>
      </c>
      <c r="K407" s="44" t="str">
        <f aca="false">INDEX(libraries!$B:$B, MATCH(B407, libraries!$A:$A, 0), 1)</f>
        <v>sam0312</v>
      </c>
      <c r="L407" s="44" t="n">
        <f aca="false">INDEX(samples!$F:$F, MATCH(K407, samples!$A:$A, 0), 1)</f>
        <v>0</v>
      </c>
      <c r="M407" s="55" t="str">
        <f aca="false">INDEX(samples!$C:$C, MATCH(K407, samples!$A:$A, 0), 1)</f>
        <v>2020-03-12</v>
      </c>
      <c r="N407" s="44" t="str">
        <f aca="false">INDEX(samples!$B:$B, MATCH(K407, samples!$A:$A, 0), 1)</f>
        <v>par0195</v>
      </c>
      <c r="O407" s="44" t="s">
        <v>1060</v>
      </c>
      <c r="P407" s="8" t="s">
        <v>427</v>
      </c>
      <c r="Q407" s="8" t="s">
        <v>36</v>
      </c>
      <c r="R407" s="33" t="s">
        <v>4646</v>
      </c>
      <c r="T407" s="8"/>
    </row>
    <row r="408" customFormat="false" ht="13.8" hidden="false" customHeight="false" outlineLevel="0" collapsed="false">
      <c r="A408" s="25" t="s">
        <v>4689</v>
      </c>
      <c r="B408" s="41" t="s">
        <v>3535</v>
      </c>
      <c r="C408" s="8" t="s">
        <v>3115</v>
      </c>
      <c r="D408" s="8" t="s">
        <v>427</v>
      </c>
      <c r="E408" s="0" t="s">
        <v>427</v>
      </c>
      <c r="F408" s="0" t="s">
        <v>427</v>
      </c>
      <c r="G408" s="0" t="s">
        <v>427</v>
      </c>
      <c r="H408" s="0" t="s">
        <v>427</v>
      </c>
      <c r="I408" s="0" t="s">
        <v>4645</v>
      </c>
      <c r="K408" s="44" t="str">
        <f aca="false">INDEX(libraries!$B:$B, MATCH(B408, libraries!$A:$A, 0), 1)</f>
        <v>sam0161</v>
      </c>
      <c r="L408" s="44" t="n">
        <f aca="false">INDEX(samples!$F:$F, MATCH(K408, samples!$A:$A, 0), 1)</f>
        <v>0</v>
      </c>
      <c r="M408" s="55" t="str">
        <f aca="false">INDEX(samples!$C:$C, MATCH(K408, samples!$A:$A, 0), 1)</f>
        <v>2020-03-12</v>
      </c>
      <c r="N408" s="44" t="str">
        <f aca="false">INDEX(samples!$B:$B, MATCH(K408, samples!$A:$A, 0), 1)</f>
        <v>par0136</v>
      </c>
      <c r="O408" s="44" t="s">
        <v>908</v>
      </c>
      <c r="P408" s="8" t="s">
        <v>427</v>
      </c>
      <c r="Q408" s="8" t="s">
        <v>36</v>
      </c>
      <c r="R408" s="33" t="s">
        <v>4646</v>
      </c>
      <c r="T408" s="8"/>
    </row>
    <row r="409" customFormat="false" ht="13.8" hidden="false" customHeight="false" outlineLevel="0" collapsed="false">
      <c r="A409" s="25" t="s">
        <v>4690</v>
      </c>
      <c r="B409" s="41" t="s">
        <v>3538</v>
      </c>
      <c r="C409" s="8" t="s">
        <v>3115</v>
      </c>
      <c r="D409" s="8" t="s">
        <v>427</v>
      </c>
      <c r="E409" s="0" t="s">
        <v>427</v>
      </c>
      <c r="F409" s="0" t="s">
        <v>427</v>
      </c>
      <c r="G409" s="0" t="s">
        <v>427</v>
      </c>
      <c r="H409" s="0" t="s">
        <v>427</v>
      </c>
      <c r="I409" s="0" t="s">
        <v>4645</v>
      </c>
      <c r="K409" s="44" t="e">
        <f aca="false">INDEX(libraries!$B:$B, MATCH(B409, libraries!$A:$A, 0), 1)</f>
        <v>#N/A</v>
      </c>
      <c r="L409" s="44" t="e">
        <f aca="false">INDEX(samples!$F:$F, MATCH(K409, samples!$A:$A, 0), 1)</f>
        <v>#N/A</v>
      </c>
      <c r="M409" s="55" t="e">
        <f aca="false">INDEX(samples!$C:$C, MATCH(K409, samples!$A:$A, 0), 1)</f>
        <v>#N/A</v>
      </c>
      <c r="N409" s="44" t="e">
        <f aca="false">INDEX(samples!$B:$B, MATCH(K409, samples!$A:$A, 0), 1)</f>
        <v>#N/A</v>
      </c>
      <c r="O409" s="44" t="s">
        <v>1091</v>
      </c>
      <c r="P409" s="8" t="s">
        <v>427</v>
      </c>
      <c r="Q409" s="8" t="s">
        <v>36</v>
      </c>
      <c r="R409" s="33" t="s">
        <v>4646</v>
      </c>
      <c r="T409" s="8"/>
    </row>
    <row r="410" customFormat="false" ht="13.8" hidden="false" customHeight="false" outlineLevel="0" collapsed="false">
      <c r="A410" s="25" t="s">
        <v>4691</v>
      </c>
      <c r="B410" s="41" t="s">
        <v>3550</v>
      </c>
      <c r="C410" s="8" t="s">
        <v>3115</v>
      </c>
      <c r="D410" s="8" t="s">
        <v>427</v>
      </c>
      <c r="E410" s="0" t="s">
        <v>427</v>
      </c>
      <c r="F410" s="0" t="s">
        <v>427</v>
      </c>
      <c r="G410" s="0" t="s">
        <v>427</v>
      </c>
      <c r="H410" s="0" t="s">
        <v>427</v>
      </c>
      <c r="I410" s="0" t="s">
        <v>4645</v>
      </c>
      <c r="K410" s="44" t="str">
        <f aca="false">INDEX(libraries!$B:$B, MATCH(B410, libraries!$A:$A, 0), 1)</f>
        <v>sam0349</v>
      </c>
      <c r="L410" s="44" t="n">
        <f aca="false">INDEX(samples!$F:$F, MATCH(K410, samples!$A:$A, 0), 1)</f>
        <v>0</v>
      </c>
      <c r="M410" s="55" t="str">
        <f aca="false">INDEX(samples!$C:$C, MATCH(K410, samples!$A:$A, 0), 1)</f>
        <v>UNK</v>
      </c>
      <c r="N410" s="44" t="str">
        <f aca="false">INDEX(samples!$B:$B, MATCH(K410, samples!$A:$A, 0), 1)</f>
        <v>par0232</v>
      </c>
      <c r="O410" s="44" t="s">
        <v>1209</v>
      </c>
      <c r="P410" s="8" t="s">
        <v>427</v>
      </c>
      <c r="Q410" s="8" t="s">
        <v>36</v>
      </c>
      <c r="R410" s="33" t="s">
        <v>4646</v>
      </c>
      <c r="T410" s="8"/>
    </row>
    <row r="411" customFormat="false" ht="13.8" hidden="false" customHeight="false" outlineLevel="0" collapsed="false">
      <c r="A411" s="25" t="s">
        <v>4692</v>
      </c>
      <c r="B411" s="41" t="s">
        <v>3539</v>
      </c>
      <c r="C411" s="8" t="s">
        <v>3115</v>
      </c>
      <c r="D411" s="8" t="s">
        <v>427</v>
      </c>
      <c r="E411" s="0" t="s">
        <v>427</v>
      </c>
      <c r="F411" s="0" t="s">
        <v>427</v>
      </c>
      <c r="G411" s="0" t="s">
        <v>427</v>
      </c>
      <c r="H411" s="0" t="s">
        <v>427</v>
      </c>
      <c r="I411" s="0" t="s">
        <v>4645</v>
      </c>
      <c r="K411" s="44" t="e">
        <f aca="false">INDEX(libraries!$B:$B, MATCH(B411, libraries!$A:$A, 0), 1)</f>
        <v>#N/A</v>
      </c>
      <c r="L411" s="44" t="e">
        <f aca="false">INDEX(samples!$F:$F, MATCH(K411, samples!$A:$A, 0), 1)</f>
        <v>#N/A</v>
      </c>
      <c r="M411" s="55" t="e">
        <f aca="false">INDEX(samples!$C:$C, MATCH(K411, samples!$A:$A, 0), 1)</f>
        <v>#N/A</v>
      </c>
      <c r="N411" s="44" t="e">
        <f aca="false">INDEX(samples!$B:$B, MATCH(K411, samples!$A:$A, 0), 1)</f>
        <v>#N/A</v>
      </c>
      <c r="O411" s="44" t="s">
        <v>1095</v>
      </c>
      <c r="P411" s="8" t="s">
        <v>427</v>
      </c>
      <c r="Q411" s="8" t="s">
        <v>36</v>
      </c>
      <c r="R411" s="33" t="s">
        <v>4646</v>
      </c>
      <c r="T411" s="8"/>
    </row>
    <row r="412" customFormat="false" ht="13.8" hidden="false" customHeight="false" outlineLevel="0" collapsed="false">
      <c r="A412" s="25" t="s">
        <v>4693</v>
      </c>
      <c r="B412" s="41" t="s">
        <v>3505</v>
      </c>
      <c r="C412" s="8" t="s">
        <v>3115</v>
      </c>
      <c r="D412" s="8" t="s">
        <v>427</v>
      </c>
      <c r="E412" s="0" t="s">
        <v>427</v>
      </c>
      <c r="F412" s="0" t="s">
        <v>427</v>
      </c>
      <c r="G412" s="0" t="s">
        <v>427</v>
      </c>
      <c r="H412" s="0" t="s">
        <v>427</v>
      </c>
      <c r="I412" s="0" t="s">
        <v>4645</v>
      </c>
      <c r="K412" s="44" t="str">
        <f aca="false">INDEX(libraries!$B:$B, MATCH(B412, libraries!$A:$A, 0), 1)</f>
        <v>sam0141</v>
      </c>
      <c r="L412" s="44" t="n">
        <f aca="false">INDEX(samples!$F:$F, MATCH(K412, samples!$A:$A, 0), 1)</f>
        <v>0</v>
      </c>
      <c r="M412" s="55" t="str">
        <f aca="false">INDEX(samples!$C:$C, MATCH(K412, samples!$A:$A, 0), 1)</f>
        <v>2020-01-02</v>
      </c>
      <c r="N412" s="44" t="str">
        <f aca="false">INDEX(samples!$B:$B, MATCH(K412, samples!$A:$A, 0), 1)</f>
        <v>par0085</v>
      </c>
      <c r="O412" s="44" t="s">
        <v>724</v>
      </c>
      <c r="P412" s="8" t="s">
        <v>427</v>
      </c>
      <c r="Q412" s="8" t="s">
        <v>36</v>
      </c>
      <c r="R412" s="33" t="s">
        <v>4646</v>
      </c>
      <c r="T412" s="8"/>
    </row>
    <row r="413" customFormat="false" ht="13.8" hidden="false" customHeight="false" outlineLevel="0" collapsed="false">
      <c r="A413" s="25" t="s">
        <v>4694</v>
      </c>
      <c r="B413" s="41" t="s">
        <v>3506</v>
      </c>
      <c r="C413" s="8" t="s">
        <v>3115</v>
      </c>
      <c r="D413" s="8" t="s">
        <v>427</v>
      </c>
      <c r="E413" s="0" t="s">
        <v>427</v>
      </c>
      <c r="F413" s="0" t="s">
        <v>427</v>
      </c>
      <c r="G413" s="0" t="s">
        <v>427</v>
      </c>
      <c r="H413" s="0" t="s">
        <v>427</v>
      </c>
      <c r="I413" s="0" t="s">
        <v>4645</v>
      </c>
      <c r="K413" s="44" t="str">
        <f aca="false">INDEX(libraries!$B:$B, MATCH(B413, libraries!$A:$A, 0), 1)</f>
        <v>sam0142</v>
      </c>
      <c r="L413" s="44" t="n">
        <f aca="false">INDEX(samples!$F:$F, MATCH(K413, samples!$A:$A, 0), 1)</f>
        <v>0</v>
      </c>
      <c r="M413" s="55" t="str">
        <f aca="false">INDEX(samples!$C:$C, MATCH(K413, samples!$A:$A, 0), 1)</f>
        <v>2020-02-20</v>
      </c>
      <c r="N413" s="44" t="str">
        <f aca="false">INDEX(samples!$B:$B, MATCH(K413, samples!$A:$A, 0), 1)</f>
        <v>par0085</v>
      </c>
      <c r="O413" s="44" t="s">
        <v>724</v>
      </c>
      <c r="P413" s="8" t="s">
        <v>427</v>
      </c>
      <c r="Q413" s="8" t="s">
        <v>36</v>
      </c>
      <c r="R413" s="33" t="s">
        <v>4646</v>
      </c>
      <c r="T413" s="8"/>
    </row>
    <row r="414" customFormat="false" ht="13.8" hidden="false" customHeight="false" outlineLevel="0" collapsed="false">
      <c r="A414" s="25" t="s">
        <v>4695</v>
      </c>
      <c r="B414" s="41" t="s">
        <v>3507</v>
      </c>
      <c r="C414" s="8" t="s">
        <v>3115</v>
      </c>
      <c r="D414" s="8" t="s">
        <v>427</v>
      </c>
      <c r="E414" s="0" t="s">
        <v>427</v>
      </c>
      <c r="F414" s="0" t="s">
        <v>427</v>
      </c>
      <c r="G414" s="0" t="s">
        <v>427</v>
      </c>
      <c r="H414" s="0" t="s">
        <v>427</v>
      </c>
      <c r="I414" s="0" t="s">
        <v>4645</v>
      </c>
      <c r="K414" s="44" t="str">
        <f aca="false">INDEX(libraries!$B:$B, MATCH(B414, libraries!$A:$A, 0), 1)</f>
        <v>sam0176</v>
      </c>
      <c r="L414" s="44" t="n">
        <f aca="false">INDEX(samples!$F:$F, MATCH(K414, samples!$A:$A, 0), 1)</f>
        <v>0</v>
      </c>
      <c r="M414" s="55" t="str">
        <f aca="false">INDEX(samples!$C:$C, MATCH(K414, samples!$A:$A, 0), 1)</f>
        <v>GET</v>
      </c>
      <c r="N414" s="44" t="str">
        <f aca="false">INDEX(samples!$B:$B, MATCH(K414, samples!$A:$A, 0), 1)</f>
        <v>par0085</v>
      </c>
      <c r="O414" s="44" t="s">
        <v>724</v>
      </c>
      <c r="P414" s="8" t="s">
        <v>427</v>
      </c>
      <c r="Q414" s="8" t="s">
        <v>36</v>
      </c>
      <c r="R414" s="33" t="s">
        <v>4646</v>
      </c>
      <c r="T414" s="8"/>
    </row>
    <row r="415" customFormat="false" ht="13.8" hidden="false" customHeight="false" outlineLevel="0" collapsed="false">
      <c r="A415" s="25" t="s">
        <v>4696</v>
      </c>
      <c r="B415" s="41" t="s">
        <v>3528</v>
      </c>
      <c r="C415" s="8" t="s">
        <v>3115</v>
      </c>
      <c r="D415" s="8" t="s">
        <v>427</v>
      </c>
      <c r="E415" s="0" t="s">
        <v>427</v>
      </c>
      <c r="F415" s="0" t="s">
        <v>427</v>
      </c>
      <c r="G415" s="0" t="s">
        <v>427</v>
      </c>
      <c r="H415" s="0" t="s">
        <v>427</v>
      </c>
      <c r="I415" s="0" t="s">
        <v>4645</v>
      </c>
      <c r="K415" s="44" t="str">
        <f aca="false">INDEX(libraries!$B:$B, MATCH(B415, libraries!$A:$A, 0), 1)</f>
        <v>sam0145</v>
      </c>
      <c r="L415" s="44" t="n">
        <f aca="false">INDEX(samples!$F:$F, MATCH(K415, samples!$A:$A, 0), 1)</f>
        <v>0</v>
      </c>
      <c r="M415" s="55" t="str">
        <f aca="false">INDEX(samples!$C:$C, MATCH(K415, samples!$A:$A, 0), 1)</f>
        <v>2019-11-25</v>
      </c>
      <c r="N415" s="44" t="str">
        <f aca="false">INDEX(samples!$B:$B, MATCH(K415, samples!$A:$A, 0), 1)</f>
        <v>par0107</v>
      </c>
      <c r="O415" s="44" t="s">
        <v>815</v>
      </c>
      <c r="P415" s="8" t="s">
        <v>427</v>
      </c>
      <c r="Q415" s="8" t="s">
        <v>36</v>
      </c>
      <c r="R415" s="33" t="s">
        <v>4646</v>
      </c>
      <c r="T415" s="8"/>
    </row>
    <row r="416" customFormat="false" ht="13.8" hidden="false" customHeight="false" outlineLevel="0" collapsed="false">
      <c r="A416" s="25" t="s">
        <v>4697</v>
      </c>
      <c r="B416" s="41" t="s">
        <v>3529</v>
      </c>
      <c r="C416" s="8" t="s">
        <v>3115</v>
      </c>
      <c r="D416" s="8" t="s">
        <v>427</v>
      </c>
      <c r="E416" s="0" t="s">
        <v>427</v>
      </c>
      <c r="F416" s="0" t="s">
        <v>427</v>
      </c>
      <c r="G416" s="0" t="s">
        <v>427</v>
      </c>
      <c r="H416" s="0" t="s">
        <v>427</v>
      </c>
      <c r="I416" s="0" t="s">
        <v>4645</v>
      </c>
      <c r="K416" s="44" t="str">
        <f aca="false">INDEX(libraries!$B:$B, MATCH(B416, libraries!$A:$A, 0), 1)</f>
        <v>sam0146</v>
      </c>
      <c r="L416" s="44" t="n">
        <f aca="false">INDEX(samples!$F:$F, MATCH(K416, samples!$A:$A, 0), 1)</f>
        <v>0</v>
      </c>
      <c r="M416" s="55" t="str">
        <f aca="false">INDEX(samples!$C:$C, MATCH(K416, samples!$A:$A, 0), 1)</f>
        <v>2020-02-25</v>
      </c>
      <c r="N416" s="44" t="str">
        <f aca="false">INDEX(samples!$B:$B, MATCH(K416, samples!$A:$A, 0), 1)</f>
        <v>par0107</v>
      </c>
      <c r="O416" s="44" t="s">
        <v>815</v>
      </c>
      <c r="P416" s="8" t="s">
        <v>427</v>
      </c>
      <c r="Q416" s="8" t="s">
        <v>36</v>
      </c>
      <c r="R416" s="33" t="s">
        <v>4646</v>
      </c>
      <c r="T416" s="8"/>
    </row>
    <row r="417" customFormat="false" ht="13.8" hidden="false" customHeight="false" outlineLevel="0" collapsed="false">
      <c r="A417" s="25" t="s">
        <v>4698</v>
      </c>
      <c r="B417" s="41" t="s">
        <v>3530</v>
      </c>
      <c r="C417" s="8" t="s">
        <v>3115</v>
      </c>
      <c r="D417" s="8" t="s">
        <v>427</v>
      </c>
      <c r="E417" s="0" t="s">
        <v>427</v>
      </c>
      <c r="F417" s="0" t="s">
        <v>427</v>
      </c>
      <c r="G417" s="0" t="s">
        <v>427</v>
      </c>
      <c r="H417" s="0" t="s">
        <v>427</v>
      </c>
      <c r="I417" s="0" t="s">
        <v>4645</v>
      </c>
      <c r="K417" s="44" t="str">
        <f aca="false">INDEX(libraries!$B:$B, MATCH(B417, libraries!$A:$A, 0), 1)</f>
        <v>sam0252</v>
      </c>
      <c r="L417" s="44" t="n">
        <f aca="false">INDEX(samples!$F:$F, MATCH(K417, samples!$A:$A, 0), 1)</f>
        <v>0</v>
      </c>
      <c r="M417" s="55" t="str">
        <f aca="false">INDEX(samples!$C:$C, MATCH(K417, samples!$A:$A, 0), 1)</f>
        <v>2020-04-18</v>
      </c>
      <c r="N417" s="44" t="str">
        <f aca="false">INDEX(samples!$B:$B, MATCH(K417, samples!$A:$A, 0), 1)</f>
        <v>par0107</v>
      </c>
      <c r="O417" s="44" t="s">
        <v>815</v>
      </c>
      <c r="P417" s="8" t="s">
        <v>427</v>
      </c>
      <c r="Q417" s="8" t="s">
        <v>36</v>
      </c>
      <c r="R417" s="33" t="s">
        <v>4646</v>
      </c>
      <c r="T417" s="8"/>
    </row>
    <row r="418" customFormat="false" ht="13.8" hidden="false" customHeight="false" outlineLevel="0" collapsed="false">
      <c r="A418" s="25" t="s">
        <v>4699</v>
      </c>
      <c r="B418" s="41" t="s">
        <v>3532</v>
      </c>
      <c r="C418" s="8" t="s">
        <v>3115</v>
      </c>
      <c r="D418" s="8" t="s">
        <v>427</v>
      </c>
      <c r="E418" s="0" t="s">
        <v>427</v>
      </c>
      <c r="F418" s="0" t="s">
        <v>427</v>
      </c>
      <c r="G418" s="0" t="s">
        <v>427</v>
      </c>
      <c r="H418" s="0" t="s">
        <v>427</v>
      </c>
      <c r="I418" s="0" t="s">
        <v>4645</v>
      </c>
      <c r="K418" s="44" t="str">
        <f aca="false">INDEX(libraries!$B:$B, MATCH(B418, libraries!$A:$A, 0), 1)</f>
        <v>sam0157</v>
      </c>
      <c r="L418" s="44" t="n">
        <f aca="false">INDEX(samples!$F:$F, MATCH(K418, samples!$A:$A, 0), 1)</f>
        <v>0</v>
      </c>
      <c r="M418" s="55" t="str">
        <f aca="false">INDEX(samples!$C:$C, MATCH(K418, samples!$A:$A, 0), 1)</f>
        <v>2020-02-20</v>
      </c>
      <c r="N418" s="44" t="str">
        <f aca="false">INDEX(samples!$B:$B, MATCH(K418, samples!$A:$A, 0), 1)</f>
        <v>par0133</v>
      </c>
      <c r="O418" s="44" t="s">
        <v>899</v>
      </c>
      <c r="P418" s="8" t="s">
        <v>427</v>
      </c>
      <c r="Q418" s="8" t="s">
        <v>36</v>
      </c>
      <c r="R418" s="33" t="s">
        <v>4646</v>
      </c>
      <c r="T418" s="8"/>
    </row>
    <row r="419" customFormat="false" ht="13.8" hidden="false" customHeight="false" outlineLevel="0" collapsed="false">
      <c r="A419" s="25" t="s">
        <v>4700</v>
      </c>
      <c r="B419" s="41" t="s">
        <v>3485</v>
      </c>
      <c r="C419" s="8" t="s">
        <v>3115</v>
      </c>
      <c r="D419" s="8" t="s">
        <v>427</v>
      </c>
      <c r="E419" s="0" t="s">
        <v>427</v>
      </c>
      <c r="F419" s="0" t="s">
        <v>427</v>
      </c>
      <c r="G419" s="0" t="s">
        <v>427</v>
      </c>
      <c r="H419" s="0" t="s">
        <v>427</v>
      </c>
      <c r="I419" s="0" t="s">
        <v>4645</v>
      </c>
      <c r="K419" s="44" t="str">
        <f aca="false">INDEX(libraries!$B:$B, MATCH(B419, libraries!$A:$A, 0), 1)</f>
        <v>sam0098</v>
      </c>
      <c r="L419" s="44" t="n">
        <f aca="false">INDEX(samples!$F:$F, MATCH(K419, samples!$A:$A, 0), 1)</f>
        <v>0</v>
      </c>
      <c r="M419" s="55" t="str">
        <f aca="false">INDEX(samples!$C:$C, MATCH(K419, samples!$A:$A, 0), 1)</f>
        <v>2019-10-22</v>
      </c>
      <c r="N419" s="44" t="str">
        <f aca="false">INDEX(samples!$B:$B, MATCH(K419, samples!$A:$A, 0), 1)</f>
        <v>par0079</v>
      </c>
      <c r="O419" s="44" t="s">
        <v>692</v>
      </c>
      <c r="P419" s="8" t="s">
        <v>427</v>
      </c>
      <c r="Q419" s="8" t="s">
        <v>36</v>
      </c>
      <c r="R419" s="33" t="s">
        <v>4646</v>
      </c>
      <c r="T419" s="8"/>
    </row>
    <row r="420" customFormat="false" ht="13.8" hidden="false" customHeight="false" outlineLevel="0" collapsed="false">
      <c r="A420" s="25" t="s">
        <v>4701</v>
      </c>
      <c r="B420" s="41" t="s">
        <v>3490</v>
      </c>
      <c r="C420" s="8" t="s">
        <v>3115</v>
      </c>
      <c r="D420" s="8" t="s">
        <v>427</v>
      </c>
      <c r="E420" s="0" t="s">
        <v>427</v>
      </c>
      <c r="F420" s="0" t="s">
        <v>427</v>
      </c>
      <c r="G420" s="0" t="s">
        <v>427</v>
      </c>
      <c r="H420" s="0" t="s">
        <v>427</v>
      </c>
      <c r="I420" s="0" t="s">
        <v>4645</v>
      </c>
      <c r="K420" s="44" t="str">
        <f aca="false">INDEX(libraries!$B:$B, MATCH(B420, libraries!$A:$A, 0), 1)</f>
        <v>sam0112</v>
      </c>
      <c r="L420" s="44" t="n">
        <f aca="false">INDEX(samples!$F:$F, MATCH(K420, samples!$A:$A, 0), 1)</f>
        <v>0</v>
      </c>
      <c r="M420" s="55" t="str">
        <f aca="false">INDEX(samples!$C:$C, MATCH(K420, samples!$A:$A, 0), 1)</f>
        <v>2019-12-05</v>
      </c>
      <c r="N420" s="44" t="str">
        <f aca="false">INDEX(samples!$B:$B, MATCH(K420, samples!$A:$A, 0), 1)</f>
        <v>par0080</v>
      </c>
      <c r="O420" s="44" t="s">
        <v>696</v>
      </c>
      <c r="P420" s="8" t="s">
        <v>427</v>
      </c>
      <c r="Q420" s="8" t="s">
        <v>36</v>
      </c>
      <c r="R420" s="33" t="s">
        <v>4646</v>
      </c>
      <c r="T420" s="8"/>
    </row>
    <row r="421" customFormat="false" ht="13.8" hidden="false" customHeight="false" outlineLevel="0" collapsed="false">
      <c r="A421" s="25" t="s">
        <v>4702</v>
      </c>
      <c r="B421" s="41" t="s">
        <v>3495</v>
      </c>
      <c r="C421" s="8" t="s">
        <v>3115</v>
      </c>
      <c r="D421" s="8" t="s">
        <v>427</v>
      </c>
      <c r="E421" s="0" t="s">
        <v>427</v>
      </c>
      <c r="F421" s="0" t="s">
        <v>427</v>
      </c>
      <c r="G421" s="0" t="s">
        <v>427</v>
      </c>
      <c r="H421" s="0" t="s">
        <v>427</v>
      </c>
      <c r="I421" s="0" t="s">
        <v>4645</v>
      </c>
      <c r="K421" s="44" t="str">
        <f aca="false">INDEX(libraries!$B:$B, MATCH(B421, libraries!$A:$A, 0), 1)</f>
        <v>sam0216</v>
      </c>
      <c r="L421" s="44" t="n">
        <f aca="false">INDEX(samples!$F:$F, MATCH(K421, samples!$A:$A, 0), 1)</f>
        <v>0</v>
      </c>
      <c r="M421" s="55" t="str">
        <f aca="false">INDEX(samples!$C:$C, MATCH(K421, samples!$A:$A, 0), 1)</f>
        <v>GET</v>
      </c>
      <c r="N421" s="44" t="str">
        <f aca="false">INDEX(samples!$B:$B, MATCH(K421, samples!$A:$A, 0), 1)</f>
        <v>par0081</v>
      </c>
      <c r="O421" s="44" t="s">
        <v>702</v>
      </c>
      <c r="P421" s="8" t="s">
        <v>427</v>
      </c>
      <c r="Q421" s="8" t="s">
        <v>36</v>
      </c>
      <c r="R421" s="33" t="s">
        <v>4646</v>
      </c>
      <c r="T421" s="8"/>
    </row>
    <row r="422" customFormat="false" ht="13.8" hidden="false" customHeight="false" outlineLevel="0" collapsed="false">
      <c r="A422" s="25" t="s">
        <v>4703</v>
      </c>
      <c r="B422" s="41" t="s">
        <v>3516</v>
      </c>
      <c r="C422" s="8" t="s">
        <v>3115</v>
      </c>
      <c r="D422" s="8" t="s">
        <v>427</v>
      </c>
      <c r="E422" s="0" t="s">
        <v>427</v>
      </c>
      <c r="F422" s="0" t="s">
        <v>427</v>
      </c>
      <c r="G422" s="0" t="s">
        <v>427</v>
      </c>
      <c r="H422" s="0" t="s">
        <v>427</v>
      </c>
      <c r="I422" s="0" t="s">
        <v>4645</v>
      </c>
      <c r="K422" s="44" t="e">
        <f aca="false">INDEX(libraries!$B:$B, MATCH(B422, libraries!$A:$A, 0), 1)</f>
        <v>#N/A</v>
      </c>
      <c r="L422" s="44" t="e">
        <f aca="false">INDEX(samples!$F:$F, MATCH(K422, samples!$A:$A, 0), 1)</f>
        <v>#N/A</v>
      </c>
      <c r="M422" s="55" t="e">
        <f aca="false">INDEX(samples!$C:$C, MATCH(K422, samples!$A:$A, 0), 1)</f>
        <v>#N/A</v>
      </c>
      <c r="N422" s="44" t="e">
        <f aca="false">INDEX(samples!$B:$B, MATCH(K422, samples!$A:$A, 0), 1)</f>
        <v>#N/A</v>
      </c>
      <c r="O422" s="44" t="s">
        <v>793</v>
      </c>
      <c r="P422" s="8" t="s">
        <v>427</v>
      </c>
      <c r="Q422" s="8" t="s">
        <v>36</v>
      </c>
      <c r="R422" s="33" t="s">
        <v>4646</v>
      </c>
      <c r="T422" s="8"/>
    </row>
    <row r="423" customFormat="false" ht="13.8" hidden="false" customHeight="false" outlineLevel="0" collapsed="false">
      <c r="A423" s="25" t="s">
        <v>4704</v>
      </c>
      <c r="B423" s="41" t="s">
        <v>3508</v>
      </c>
      <c r="C423" s="8" t="s">
        <v>3115</v>
      </c>
      <c r="D423" s="8" t="s">
        <v>427</v>
      </c>
      <c r="E423" s="0" t="s">
        <v>427</v>
      </c>
      <c r="F423" s="0" t="s">
        <v>427</v>
      </c>
      <c r="G423" s="0" t="s">
        <v>427</v>
      </c>
      <c r="H423" s="0" t="s">
        <v>427</v>
      </c>
      <c r="I423" s="0" t="s">
        <v>4645</v>
      </c>
      <c r="K423" s="44" t="e">
        <f aca="false">INDEX(libraries!$B:$B, MATCH(B423, libraries!$A:$A, 0), 1)</f>
        <v>#N/A</v>
      </c>
      <c r="L423" s="44" t="e">
        <f aca="false">INDEX(samples!$F:$F, MATCH(K423, samples!$A:$A, 0), 1)</f>
        <v>#N/A</v>
      </c>
      <c r="M423" s="55" t="e">
        <f aca="false">INDEX(samples!$C:$C, MATCH(K423, samples!$A:$A, 0), 1)</f>
        <v>#N/A</v>
      </c>
      <c r="N423" s="44" t="e">
        <f aca="false">INDEX(samples!$B:$B, MATCH(K423, samples!$A:$A, 0), 1)</f>
        <v>#N/A</v>
      </c>
      <c r="O423" s="44" t="s">
        <v>724</v>
      </c>
      <c r="P423" s="8" t="s">
        <v>427</v>
      </c>
      <c r="Q423" s="8" t="s">
        <v>36</v>
      </c>
      <c r="R423" s="33" t="s">
        <v>4646</v>
      </c>
      <c r="T423" s="8"/>
    </row>
    <row r="424" customFormat="false" ht="13.8" hidden="false" customHeight="false" outlineLevel="0" collapsed="false">
      <c r="A424" s="25" t="s">
        <v>4705</v>
      </c>
      <c r="B424" s="41" t="s">
        <v>3533</v>
      </c>
      <c r="C424" s="8" t="s">
        <v>3115</v>
      </c>
      <c r="D424" s="8" t="s">
        <v>427</v>
      </c>
      <c r="E424" s="0" t="s">
        <v>427</v>
      </c>
      <c r="F424" s="0" t="s">
        <v>427</v>
      </c>
      <c r="G424" s="0" t="s">
        <v>427</v>
      </c>
      <c r="H424" s="0" t="s">
        <v>427</v>
      </c>
      <c r="I424" s="0" t="s">
        <v>4645</v>
      </c>
      <c r="K424" s="44" t="e">
        <f aca="false">INDEX(libraries!$B:$B, MATCH(B424, libraries!$A:$A, 0), 1)</f>
        <v>#N/A</v>
      </c>
      <c r="L424" s="44" t="e">
        <f aca="false">INDEX(samples!$F:$F, MATCH(K424, samples!$A:$A, 0), 1)</f>
        <v>#N/A</v>
      </c>
      <c r="M424" s="55" t="e">
        <f aca="false">INDEX(samples!$C:$C, MATCH(K424, samples!$A:$A, 0), 1)</f>
        <v>#N/A</v>
      </c>
      <c r="N424" s="44" t="e">
        <f aca="false">INDEX(samples!$B:$B, MATCH(K424, samples!$A:$A, 0), 1)</f>
        <v>#N/A</v>
      </c>
      <c r="O424" s="44" t="s">
        <v>899</v>
      </c>
      <c r="P424" s="8" t="s">
        <v>427</v>
      </c>
      <c r="Q424" s="8" t="s">
        <v>36</v>
      </c>
      <c r="R424" s="33" t="s">
        <v>4646</v>
      </c>
      <c r="T424" s="8"/>
    </row>
    <row r="425" customFormat="false" ht="13.8" hidden="false" customHeight="false" outlineLevel="0" collapsed="false">
      <c r="A425" s="25" t="s">
        <v>4706</v>
      </c>
      <c r="B425" s="41" t="s">
        <v>3630</v>
      </c>
      <c r="C425" s="8" t="s">
        <v>427</v>
      </c>
      <c r="D425" s="8" t="s">
        <v>3877</v>
      </c>
      <c r="E425" s="0" t="s">
        <v>3878</v>
      </c>
      <c r="F425" s="0" t="s">
        <v>427</v>
      </c>
      <c r="G425" s="0" t="s">
        <v>427</v>
      </c>
      <c r="H425" s="0" t="s">
        <v>427</v>
      </c>
      <c r="I425" s="0" t="s">
        <v>3879</v>
      </c>
      <c r="K425" s="44" t="str">
        <f aca="false">INDEX(libraries!$B:$B, MATCH(B425, libraries!$A:$A, 0), 1)</f>
        <v>sam0428</v>
      </c>
      <c r="L425" s="44" t="n">
        <f aca="false">INDEX(samples!$F:$F, MATCH(K425, samples!$A:$A, 0), 1)</f>
        <v>0</v>
      </c>
      <c r="M425" s="55" t="str">
        <f aca="false">INDEX(samples!$C:$C, MATCH(K425, samples!$A:$A, 0), 1)</f>
        <v>2022-09-26</v>
      </c>
      <c r="N425" s="44" t="str">
        <f aca="false">INDEX(samples!$B:$B, MATCH(K425, samples!$A:$A, 0), 1)</f>
        <v>par0288</v>
      </c>
      <c r="O425" s="44" t="s">
        <v>1412</v>
      </c>
      <c r="P425" s="8" t="s">
        <v>3880</v>
      </c>
      <c r="Q425" s="8" t="s">
        <v>36</v>
      </c>
      <c r="R425" s="33" t="s">
        <v>3881</v>
      </c>
      <c r="T425" s="8"/>
    </row>
    <row r="426" customFormat="false" ht="13.8" hidden="false" customHeight="false" outlineLevel="0" collapsed="false">
      <c r="A426" s="25" t="s">
        <v>4707</v>
      </c>
      <c r="B426" s="41" t="s">
        <v>3627</v>
      </c>
      <c r="C426" s="8" t="s">
        <v>427</v>
      </c>
      <c r="D426" s="8" t="s">
        <v>3877</v>
      </c>
      <c r="E426" s="0" t="s">
        <v>3878</v>
      </c>
      <c r="F426" s="0" t="s">
        <v>427</v>
      </c>
      <c r="G426" s="0" t="s">
        <v>427</v>
      </c>
      <c r="H426" s="0" t="s">
        <v>427</v>
      </c>
      <c r="I426" s="0" t="s">
        <v>3879</v>
      </c>
      <c r="K426" s="44" t="str">
        <f aca="false">INDEX(libraries!$B:$B, MATCH(B426, libraries!$A:$A, 0), 1)</f>
        <v>sam0425</v>
      </c>
      <c r="L426" s="44" t="n">
        <f aca="false">INDEX(samples!$F:$F, MATCH(K426, samples!$A:$A, 0), 1)</f>
        <v>0</v>
      </c>
      <c r="M426" s="55" t="str">
        <f aca="false">INDEX(samples!$C:$C, MATCH(K426, samples!$A:$A, 0), 1)</f>
        <v>2022-09-26</v>
      </c>
      <c r="N426" s="44" t="str">
        <f aca="false">INDEX(samples!$B:$B, MATCH(K426, samples!$A:$A, 0), 1)</f>
        <v>par0285</v>
      </c>
      <c r="O426" s="44" t="s">
        <v>1403</v>
      </c>
      <c r="P426" s="8" t="s">
        <v>3880</v>
      </c>
      <c r="Q426" s="8" t="s">
        <v>36</v>
      </c>
      <c r="R426" s="33" t="s">
        <v>3881</v>
      </c>
      <c r="T426" s="8"/>
    </row>
    <row r="427" customFormat="false" ht="13.8" hidden="false" customHeight="false" outlineLevel="0" collapsed="false">
      <c r="A427" s="25" t="s">
        <v>4708</v>
      </c>
      <c r="B427" s="41" t="s">
        <v>3624</v>
      </c>
      <c r="C427" s="8" t="s">
        <v>427</v>
      </c>
      <c r="D427" s="8" t="s">
        <v>3877</v>
      </c>
      <c r="E427" s="0" t="s">
        <v>3878</v>
      </c>
      <c r="F427" s="0" t="s">
        <v>427</v>
      </c>
      <c r="G427" s="0" t="s">
        <v>427</v>
      </c>
      <c r="H427" s="0" t="s">
        <v>427</v>
      </c>
      <c r="I427" s="0" t="s">
        <v>3879</v>
      </c>
      <c r="K427" s="44" t="str">
        <f aca="false">INDEX(libraries!$B:$B, MATCH(B427, libraries!$A:$A, 0), 1)</f>
        <v>sam0422</v>
      </c>
      <c r="L427" s="44" t="n">
        <f aca="false">INDEX(samples!$F:$F, MATCH(K427, samples!$A:$A, 0), 1)</f>
        <v>0</v>
      </c>
      <c r="M427" s="55" t="str">
        <f aca="false">INDEX(samples!$C:$C, MATCH(K427, samples!$A:$A, 0), 1)</f>
        <v>2022-09-26</v>
      </c>
      <c r="N427" s="44" t="str">
        <f aca="false">INDEX(samples!$B:$B, MATCH(K427, samples!$A:$A, 0), 1)</f>
        <v>par0282</v>
      </c>
      <c r="O427" s="44" t="s">
        <v>1394</v>
      </c>
      <c r="P427" s="8" t="s">
        <v>3880</v>
      </c>
      <c r="Q427" s="8" t="s">
        <v>36</v>
      </c>
      <c r="R427" s="33" t="s">
        <v>3881</v>
      </c>
      <c r="T427" s="8"/>
    </row>
    <row r="428" customFormat="false" ht="13.8" hidden="false" customHeight="false" outlineLevel="0" collapsed="false">
      <c r="A428" s="25" t="s">
        <v>4709</v>
      </c>
      <c r="B428" s="41" t="s">
        <v>3642</v>
      </c>
      <c r="C428" s="8" t="s">
        <v>427</v>
      </c>
      <c r="D428" s="8" t="s">
        <v>3877</v>
      </c>
      <c r="E428" s="0" t="s">
        <v>3878</v>
      </c>
      <c r="F428" s="0" t="s">
        <v>427</v>
      </c>
      <c r="G428" s="0" t="s">
        <v>427</v>
      </c>
      <c r="H428" s="0" t="s">
        <v>427</v>
      </c>
      <c r="I428" s="0" t="s">
        <v>3879</v>
      </c>
      <c r="K428" s="44" t="str">
        <f aca="false">INDEX(libraries!$B:$B, MATCH(B428, libraries!$A:$A, 0), 1)</f>
        <v>sam0440</v>
      </c>
      <c r="L428" s="44" t="n">
        <f aca="false">INDEX(samples!$F:$F, MATCH(K428, samples!$A:$A, 0), 1)</f>
        <v>0</v>
      </c>
      <c r="M428" s="55" t="str">
        <f aca="false">INDEX(samples!$C:$C, MATCH(K428, samples!$A:$A, 0), 1)</f>
        <v>2022-03-21</v>
      </c>
      <c r="N428" s="44" t="str">
        <f aca="false">INDEX(samples!$B:$B, MATCH(K428, samples!$A:$A, 0), 1)</f>
        <v>par0011</v>
      </c>
      <c r="O428" s="44" t="s">
        <v>520</v>
      </c>
      <c r="P428" s="8" t="s">
        <v>3880</v>
      </c>
      <c r="Q428" s="8" t="s">
        <v>36</v>
      </c>
      <c r="R428" s="33" t="s">
        <v>3881</v>
      </c>
      <c r="T428" s="8"/>
    </row>
    <row r="429" customFormat="false" ht="13.8" hidden="false" customHeight="false" outlineLevel="0" collapsed="false">
      <c r="A429" s="25" t="s">
        <v>4710</v>
      </c>
      <c r="B429" s="41" t="s">
        <v>3643</v>
      </c>
      <c r="C429" s="8" t="s">
        <v>427</v>
      </c>
      <c r="D429" s="8" t="s">
        <v>3877</v>
      </c>
      <c r="E429" s="0" t="s">
        <v>3878</v>
      </c>
      <c r="F429" s="0" t="s">
        <v>427</v>
      </c>
      <c r="G429" s="0" t="s">
        <v>427</v>
      </c>
      <c r="H429" s="0" t="s">
        <v>427</v>
      </c>
      <c r="I429" s="0" t="s">
        <v>3879</v>
      </c>
      <c r="K429" s="44" t="str">
        <f aca="false">INDEX(libraries!$B:$B, MATCH(B429, libraries!$A:$A, 0), 1)</f>
        <v>sam0441</v>
      </c>
      <c r="L429" s="44" t="n">
        <f aca="false">INDEX(samples!$F:$F, MATCH(K429, samples!$A:$A, 0), 1)</f>
        <v>0</v>
      </c>
      <c r="M429" s="55" t="str">
        <f aca="false">INDEX(samples!$C:$C, MATCH(K429, samples!$A:$A, 0), 1)</f>
        <v>2022-03-08</v>
      </c>
      <c r="N429" s="44" t="str">
        <f aca="false">INDEX(samples!$B:$B, MATCH(K429, samples!$A:$A, 0), 1)</f>
        <v>par0011</v>
      </c>
      <c r="O429" s="44" t="s">
        <v>520</v>
      </c>
      <c r="P429" s="8" t="s">
        <v>3880</v>
      </c>
      <c r="Q429" s="8" t="s">
        <v>36</v>
      </c>
      <c r="R429" s="33" t="s">
        <v>3881</v>
      </c>
      <c r="T429" s="8"/>
    </row>
    <row r="430" customFormat="false" ht="13.8" hidden="false" customHeight="false" outlineLevel="0" collapsed="false">
      <c r="A430" s="25" t="s">
        <v>4711</v>
      </c>
      <c r="B430" s="41" t="s">
        <v>3641</v>
      </c>
      <c r="C430" s="8" t="s">
        <v>427</v>
      </c>
      <c r="D430" s="8" t="s">
        <v>3877</v>
      </c>
      <c r="E430" s="0" t="s">
        <v>3878</v>
      </c>
      <c r="F430" s="0" t="s">
        <v>427</v>
      </c>
      <c r="G430" s="0" t="s">
        <v>427</v>
      </c>
      <c r="H430" s="0" t="s">
        <v>427</v>
      </c>
      <c r="I430" s="0" t="s">
        <v>3879</v>
      </c>
      <c r="K430" s="44" t="str">
        <f aca="false">INDEX(libraries!$B:$B, MATCH(B430, libraries!$A:$A, 0), 1)</f>
        <v>sam0439</v>
      </c>
      <c r="L430" s="44" t="n">
        <f aca="false">INDEX(samples!$F:$F, MATCH(K430, samples!$A:$A, 0), 1)</f>
        <v>0</v>
      </c>
      <c r="M430" s="55" t="str">
        <f aca="false">INDEX(samples!$C:$C, MATCH(K430, samples!$A:$A, 0), 1)</f>
        <v>2022-05-09</v>
      </c>
      <c r="N430" s="44" t="str">
        <f aca="false">INDEX(samples!$B:$B, MATCH(K430, samples!$A:$A, 0), 1)</f>
        <v>par0011</v>
      </c>
      <c r="O430" s="44" t="s">
        <v>520</v>
      </c>
      <c r="P430" s="8" t="s">
        <v>3880</v>
      </c>
      <c r="Q430" s="8" t="s">
        <v>36</v>
      </c>
      <c r="R430" s="33" t="s">
        <v>3881</v>
      </c>
      <c r="T430" s="8"/>
    </row>
    <row r="431" customFormat="false" ht="13.8" hidden="false" customHeight="false" outlineLevel="0" collapsed="false">
      <c r="A431" s="25" t="s">
        <v>4712</v>
      </c>
      <c r="B431" s="41" t="s">
        <v>3640</v>
      </c>
      <c r="C431" s="8" t="s">
        <v>427</v>
      </c>
      <c r="D431" s="8" t="s">
        <v>3877</v>
      </c>
      <c r="E431" s="0" t="s">
        <v>3878</v>
      </c>
      <c r="F431" s="0" t="s">
        <v>427</v>
      </c>
      <c r="G431" s="0" t="s">
        <v>427</v>
      </c>
      <c r="H431" s="0" t="s">
        <v>427</v>
      </c>
      <c r="I431" s="0" t="s">
        <v>3879</v>
      </c>
      <c r="K431" s="44" t="str">
        <f aca="false">INDEX(libraries!$B:$B, MATCH(B431, libraries!$A:$A, 0), 1)</f>
        <v>sam0438</v>
      </c>
      <c r="L431" s="44" t="n">
        <f aca="false">INDEX(samples!$F:$F, MATCH(K431, samples!$A:$A, 0), 1)</f>
        <v>0</v>
      </c>
      <c r="M431" s="55" t="str">
        <f aca="false">INDEX(samples!$C:$C, MATCH(K431, samples!$A:$A, 0), 1)</f>
        <v>2022-08-10</v>
      </c>
      <c r="N431" s="44" t="str">
        <f aca="false">INDEX(samples!$B:$B, MATCH(K431, samples!$A:$A, 0), 1)</f>
        <v>par0011</v>
      </c>
      <c r="O431" s="44" t="s">
        <v>520</v>
      </c>
      <c r="P431" s="8" t="s">
        <v>3880</v>
      </c>
      <c r="Q431" s="8" t="s">
        <v>36</v>
      </c>
      <c r="R431" s="33" t="s">
        <v>3881</v>
      </c>
      <c r="T431" s="8"/>
    </row>
    <row r="432" customFormat="false" ht="13.8" hidden="false" customHeight="false" outlineLevel="0" collapsed="false">
      <c r="A432" s="25" t="s">
        <v>4713</v>
      </c>
      <c r="B432" s="41" t="s">
        <v>3649</v>
      </c>
      <c r="C432" s="8" t="s">
        <v>427</v>
      </c>
      <c r="D432" s="8" t="s">
        <v>3877</v>
      </c>
      <c r="E432" s="0" t="s">
        <v>3878</v>
      </c>
      <c r="F432" s="0" t="s">
        <v>427</v>
      </c>
      <c r="G432" s="0" t="s">
        <v>427</v>
      </c>
      <c r="H432" s="0" t="s">
        <v>427</v>
      </c>
      <c r="I432" s="0" t="s">
        <v>3879</v>
      </c>
      <c r="K432" s="44" t="str">
        <f aca="false">INDEX(libraries!$B:$B, MATCH(B432, libraries!$A:$A, 0), 1)</f>
        <v>sam0447</v>
      </c>
      <c r="L432" s="44" t="n">
        <f aca="false">INDEX(samples!$F:$F, MATCH(K432, samples!$A:$A, 0), 1)</f>
        <v>0</v>
      </c>
      <c r="M432" s="55" t="str">
        <f aca="false">INDEX(samples!$C:$C, MATCH(K432, samples!$A:$A, 0), 1)</f>
        <v>2020-01-10</v>
      </c>
      <c r="N432" s="44" t="str">
        <f aca="false">INDEX(samples!$B:$B, MATCH(K432, samples!$A:$A, 0), 1)</f>
        <v>par0289</v>
      </c>
      <c r="O432" s="44" t="s">
        <v>1415</v>
      </c>
      <c r="P432" s="8" t="s">
        <v>3880</v>
      </c>
      <c r="Q432" s="8" t="s">
        <v>36</v>
      </c>
      <c r="R432" s="33" t="s">
        <v>3881</v>
      </c>
      <c r="T432" s="8"/>
    </row>
    <row r="433" customFormat="false" ht="13.8" hidden="false" customHeight="false" outlineLevel="0" collapsed="false">
      <c r="A433" s="25" t="s">
        <v>4714</v>
      </c>
      <c r="B433" s="41" t="s">
        <v>3633</v>
      </c>
      <c r="C433" s="8" t="s">
        <v>427</v>
      </c>
      <c r="D433" s="8" t="s">
        <v>3877</v>
      </c>
      <c r="E433" s="0" t="s">
        <v>3878</v>
      </c>
      <c r="F433" s="0" t="s">
        <v>427</v>
      </c>
      <c r="G433" s="0" t="s">
        <v>427</v>
      </c>
      <c r="H433" s="0" t="s">
        <v>427</v>
      </c>
      <c r="I433" s="0" t="s">
        <v>3879</v>
      </c>
      <c r="K433" s="44" t="str">
        <f aca="false">INDEX(libraries!$B:$B, MATCH(B433, libraries!$A:$A, 0), 1)</f>
        <v>sam0431</v>
      </c>
      <c r="L433" s="44" t="n">
        <f aca="false">INDEX(samples!$F:$F, MATCH(K433, samples!$A:$A, 0), 1)</f>
        <v>0</v>
      </c>
      <c r="M433" s="55" t="str">
        <f aca="false">INDEX(samples!$C:$C, MATCH(K433, samples!$A:$A, 0), 1)</f>
        <v>2020-01-13</v>
      </c>
      <c r="N433" s="44" t="str">
        <f aca="false">INDEX(samples!$B:$B, MATCH(K433, samples!$A:$A, 0), 1)</f>
        <v>par0289</v>
      </c>
      <c r="O433" s="44" t="s">
        <v>1415</v>
      </c>
      <c r="P433" s="8" t="s">
        <v>3880</v>
      </c>
      <c r="Q433" s="8" t="s">
        <v>36</v>
      </c>
      <c r="R433" s="33" t="s">
        <v>3881</v>
      </c>
      <c r="T433" s="8"/>
    </row>
    <row r="434" customFormat="false" ht="13.8" hidden="false" customHeight="false" outlineLevel="0" collapsed="false">
      <c r="A434" s="25" t="s">
        <v>4715</v>
      </c>
      <c r="B434" s="41" t="s">
        <v>3648</v>
      </c>
      <c r="C434" s="8" t="s">
        <v>427</v>
      </c>
      <c r="D434" s="8" t="s">
        <v>3877</v>
      </c>
      <c r="E434" s="0" t="s">
        <v>3878</v>
      </c>
      <c r="F434" s="0" t="s">
        <v>427</v>
      </c>
      <c r="G434" s="0" t="s">
        <v>427</v>
      </c>
      <c r="H434" s="0" t="s">
        <v>427</v>
      </c>
      <c r="I434" s="0" t="s">
        <v>3879</v>
      </c>
      <c r="K434" s="44" t="str">
        <f aca="false">INDEX(libraries!$B:$B, MATCH(B434, libraries!$A:$A, 0), 1)</f>
        <v>sam0446</v>
      </c>
      <c r="L434" s="44" t="n">
        <f aca="false">INDEX(samples!$F:$F, MATCH(K434, samples!$A:$A, 0), 1)</f>
        <v>0</v>
      </c>
      <c r="M434" s="55" t="str">
        <f aca="false">INDEX(samples!$C:$C, MATCH(K434, samples!$A:$A, 0), 1)</f>
        <v>2020-01-09</v>
      </c>
      <c r="N434" s="44" t="str">
        <f aca="false">INDEX(samples!$B:$B, MATCH(K434, samples!$A:$A, 0), 1)</f>
        <v>par0289</v>
      </c>
      <c r="O434" s="44" t="s">
        <v>1415</v>
      </c>
      <c r="P434" s="8" t="s">
        <v>3880</v>
      </c>
      <c r="Q434" s="8" t="s">
        <v>36</v>
      </c>
      <c r="R434" s="33" t="s">
        <v>3881</v>
      </c>
      <c r="T434" s="8"/>
    </row>
    <row r="435" customFormat="false" ht="13.8" hidden="false" customHeight="false" outlineLevel="0" collapsed="false">
      <c r="A435" s="25" t="s">
        <v>4716</v>
      </c>
      <c r="B435" s="41" t="s">
        <v>3647</v>
      </c>
      <c r="C435" s="8" t="s">
        <v>427</v>
      </c>
      <c r="D435" s="8" t="s">
        <v>3877</v>
      </c>
      <c r="E435" s="0" t="s">
        <v>3878</v>
      </c>
      <c r="F435" s="0" t="s">
        <v>427</v>
      </c>
      <c r="G435" s="0" t="s">
        <v>427</v>
      </c>
      <c r="H435" s="0" t="s">
        <v>427</v>
      </c>
      <c r="I435" s="0" t="s">
        <v>3879</v>
      </c>
      <c r="K435" s="44" t="str">
        <f aca="false">INDEX(libraries!$B:$B, MATCH(B435, libraries!$A:$A, 0), 1)</f>
        <v>sam0445</v>
      </c>
      <c r="L435" s="44" t="n">
        <f aca="false">INDEX(samples!$F:$F, MATCH(K435, samples!$A:$A, 0), 1)</f>
        <v>0</v>
      </c>
      <c r="M435" s="55" t="str">
        <f aca="false">INDEX(samples!$C:$C, MATCH(K435, samples!$A:$A, 0), 1)</f>
        <v>2017-10-23</v>
      </c>
      <c r="N435" s="44" t="str">
        <f aca="false">INDEX(samples!$B:$B, MATCH(K435, samples!$A:$A, 0), 1)</f>
        <v>par0289</v>
      </c>
      <c r="O435" s="44" t="s">
        <v>1415</v>
      </c>
      <c r="P435" s="8" t="s">
        <v>3880</v>
      </c>
      <c r="Q435" s="8" t="s">
        <v>36</v>
      </c>
      <c r="R435" s="33" t="s">
        <v>3881</v>
      </c>
      <c r="T435" s="8"/>
    </row>
    <row r="436" customFormat="false" ht="13.8" hidden="false" customHeight="false" outlineLevel="0" collapsed="false">
      <c r="A436" s="25" t="s">
        <v>4717</v>
      </c>
      <c r="B436" s="41" t="s">
        <v>3620</v>
      </c>
      <c r="C436" s="8" t="s">
        <v>427</v>
      </c>
      <c r="D436" s="8" t="s">
        <v>3877</v>
      </c>
      <c r="E436" s="0" t="s">
        <v>3878</v>
      </c>
      <c r="F436" s="0" t="s">
        <v>427</v>
      </c>
      <c r="G436" s="0" t="s">
        <v>427</v>
      </c>
      <c r="H436" s="0" t="s">
        <v>427</v>
      </c>
      <c r="I436" s="0" t="s">
        <v>3879</v>
      </c>
      <c r="K436" s="44" t="str">
        <f aca="false">INDEX(libraries!$B:$B, MATCH(B436, libraries!$A:$A, 0), 1)</f>
        <v>sam0418</v>
      </c>
      <c r="L436" s="44" t="n">
        <f aca="false">INDEX(samples!$F:$F, MATCH(K436, samples!$A:$A, 0), 1)</f>
        <v>0</v>
      </c>
      <c r="M436" s="55" t="str">
        <f aca="false">INDEX(samples!$C:$C, MATCH(K436, samples!$A:$A, 0), 1)</f>
        <v>2022-09-26</v>
      </c>
      <c r="N436" s="44" t="str">
        <f aca="false">INDEX(samples!$B:$B, MATCH(K436, samples!$A:$A, 0), 1)</f>
        <v>par0278</v>
      </c>
      <c r="O436" s="44" t="s">
        <v>1381</v>
      </c>
      <c r="P436" s="8" t="s">
        <v>3880</v>
      </c>
      <c r="Q436" s="8" t="s">
        <v>36</v>
      </c>
      <c r="R436" s="33" t="s">
        <v>3881</v>
      </c>
      <c r="T436" s="8"/>
    </row>
    <row r="437" customFormat="false" ht="13.8" hidden="false" customHeight="false" outlineLevel="0" collapsed="false">
      <c r="A437" s="25" t="s">
        <v>4718</v>
      </c>
      <c r="B437" s="41" t="s">
        <v>3638</v>
      </c>
      <c r="C437" s="8" t="s">
        <v>427</v>
      </c>
      <c r="D437" s="8" t="s">
        <v>3877</v>
      </c>
      <c r="E437" s="0" t="s">
        <v>3878</v>
      </c>
      <c r="F437" s="0" t="s">
        <v>427</v>
      </c>
      <c r="G437" s="0" t="s">
        <v>427</v>
      </c>
      <c r="H437" s="0" t="s">
        <v>427</v>
      </c>
      <c r="I437" s="0" t="s">
        <v>3879</v>
      </c>
      <c r="K437" s="44" t="str">
        <f aca="false">INDEX(libraries!$B:$B, MATCH(B437, libraries!$A:$A, 0), 1)</f>
        <v>sam0436</v>
      </c>
      <c r="L437" s="44" t="n">
        <f aca="false">INDEX(samples!$F:$F, MATCH(K437, samples!$A:$A, 0), 1)</f>
        <v>0</v>
      </c>
      <c r="M437" s="55" t="str">
        <f aca="false">INDEX(samples!$C:$C, MATCH(K437, samples!$A:$A, 0), 1)</f>
        <v>2021-09-13</v>
      </c>
      <c r="N437" s="44" t="str">
        <f aca="false">INDEX(samples!$B:$B, MATCH(K437, samples!$A:$A, 0), 1)</f>
        <v>par0138</v>
      </c>
      <c r="O437" s="44" t="s">
        <v>915</v>
      </c>
      <c r="P437" s="8" t="s">
        <v>3880</v>
      </c>
      <c r="Q437" s="8" t="s">
        <v>36</v>
      </c>
      <c r="R437" s="33" t="s">
        <v>3881</v>
      </c>
      <c r="T437" s="8"/>
    </row>
    <row r="438" customFormat="false" ht="13.8" hidden="false" customHeight="false" outlineLevel="0" collapsed="false">
      <c r="A438" s="25" t="s">
        <v>4719</v>
      </c>
      <c r="B438" s="41" t="s">
        <v>3639</v>
      </c>
      <c r="C438" s="8" t="s">
        <v>427</v>
      </c>
      <c r="D438" s="8" t="s">
        <v>3877</v>
      </c>
      <c r="E438" s="0" t="s">
        <v>3878</v>
      </c>
      <c r="F438" s="0" t="s">
        <v>427</v>
      </c>
      <c r="G438" s="0" t="s">
        <v>427</v>
      </c>
      <c r="H438" s="0" t="s">
        <v>427</v>
      </c>
      <c r="I438" s="0" t="s">
        <v>3879</v>
      </c>
      <c r="K438" s="44" t="str">
        <f aca="false">INDEX(libraries!$B:$B, MATCH(B438, libraries!$A:$A, 0), 1)</f>
        <v>sam0437</v>
      </c>
      <c r="L438" s="44" t="n">
        <f aca="false">INDEX(samples!$F:$F, MATCH(K438, samples!$A:$A, 0), 1)</f>
        <v>0</v>
      </c>
      <c r="M438" s="55" t="str">
        <f aca="false">INDEX(samples!$C:$C, MATCH(K438, samples!$A:$A, 0), 1)</f>
        <v>2022-09-13</v>
      </c>
      <c r="N438" s="44" t="str">
        <f aca="false">INDEX(samples!$B:$B, MATCH(K438, samples!$A:$A, 0), 1)</f>
        <v>par0138</v>
      </c>
      <c r="O438" s="44" t="s">
        <v>915</v>
      </c>
      <c r="P438" s="8" t="s">
        <v>3880</v>
      </c>
      <c r="Q438" s="8" t="s">
        <v>36</v>
      </c>
      <c r="R438" s="33" t="s">
        <v>3881</v>
      </c>
      <c r="T438" s="8"/>
    </row>
    <row r="439" customFormat="false" ht="13.8" hidden="false" customHeight="false" outlineLevel="0" collapsed="false">
      <c r="A439" s="25" t="s">
        <v>4720</v>
      </c>
      <c r="B439" s="41" t="s">
        <v>3637</v>
      </c>
      <c r="C439" s="8" t="s">
        <v>427</v>
      </c>
      <c r="D439" s="8" t="s">
        <v>3877</v>
      </c>
      <c r="E439" s="0" t="s">
        <v>3878</v>
      </c>
      <c r="F439" s="0" t="s">
        <v>427</v>
      </c>
      <c r="G439" s="0" t="s">
        <v>427</v>
      </c>
      <c r="H439" s="0" t="s">
        <v>427</v>
      </c>
      <c r="I439" s="0" t="s">
        <v>3879</v>
      </c>
      <c r="K439" s="44" t="str">
        <f aca="false">INDEX(libraries!$B:$B, MATCH(B439, libraries!$A:$A, 0), 1)</f>
        <v>sam0435</v>
      </c>
      <c r="L439" s="44" t="n">
        <f aca="false">INDEX(samples!$F:$F, MATCH(K439, samples!$A:$A, 0), 1)</f>
        <v>0</v>
      </c>
      <c r="M439" s="55" t="str">
        <f aca="false">INDEX(samples!$C:$C, MATCH(K439, samples!$A:$A, 0), 1)</f>
        <v>2021-09-09</v>
      </c>
      <c r="N439" s="44" t="str">
        <f aca="false">INDEX(samples!$B:$B, MATCH(K439, samples!$A:$A, 0), 1)</f>
        <v>par0138</v>
      </c>
      <c r="O439" s="44" t="s">
        <v>915</v>
      </c>
      <c r="P439" s="8" t="s">
        <v>3880</v>
      </c>
      <c r="Q439" s="8" t="s">
        <v>36</v>
      </c>
      <c r="R439" s="33" t="s">
        <v>3881</v>
      </c>
      <c r="T439" s="8"/>
    </row>
    <row r="440" customFormat="false" ht="13.8" hidden="false" customHeight="false" outlineLevel="0" collapsed="false">
      <c r="A440" s="25" t="s">
        <v>4721</v>
      </c>
      <c r="B440" s="41" t="s">
        <v>3621</v>
      </c>
      <c r="C440" s="8" t="s">
        <v>427</v>
      </c>
      <c r="D440" s="8" t="s">
        <v>3877</v>
      </c>
      <c r="E440" s="0" t="s">
        <v>3878</v>
      </c>
      <c r="F440" s="0" t="s">
        <v>427</v>
      </c>
      <c r="G440" s="0" t="s">
        <v>427</v>
      </c>
      <c r="H440" s="0" t="s">
        <v>427</v>
      </c>
      <c r="I440" s="0" t="s">
        <v>3879</v>
      </c>
      <c r="K440" s="44" t="str">
        <f aca="false">INDEX(libraries!$B:$B, MATCH(B440, libraries!$A:$A, 0), 1)</f>
        <v>sam0419</v>
      </c>
      <c r="L440" s="44" t="n">
        <f aca="false">INDEX(samples!$F:$F, MATCH(K440, samples!$A:$A, 0), 1)</f>
        <v>0</v>
      </c>
      <c r="M440" s="55" t="str">
        <f aca="false">INDEX(samples!$C:$C, MATCH(K440, samples!$A:$A, 0), 1)</f>
        <v>2022-09-26</v>
      </c>
      <c r="N440" s="44" t="str">
        <f aca="false">INDEX(samples!$B:$B, MATCH(K440, samples!$A:$A, 0), 1)</f>
        <v>par0279</v>
      </c>
      <c r="O440" s="44" t="s">
        <v>1385</v>
      </c>
      <c r="P440" s="8" t="s">
        <v>3880</v>
      </c>
      <c r="Q440" s="8" t="s">
        <v>36</v>
      </c>
      <c r="R440" s="33" t="s">
        <v>3881</v>
      </c>
      <c r="T440" s="8"/>
    </row>
    <row r="441" customFormat="false" ht="13.8" hidden="false" customHeight="false" outlineLevel="0" collapsed="false">
      <c r="A441" s="25" t="s">
        <v>4722</v>
      </c>
      <c r="B441" s="41" t="s">
        <v>3629</v>
      </c>
      <c r="C441" s="8" t="s">
        <v>427</v>
      </c>
      <c r="D441" s="8" t="s">
        <v>3877</v>
      </c>
      <c r="E441" s="0" t="s">
        <v>3878</v>
      </c>
      <c r="F441" s="0" t="s">
        <v>427</v>
      </c>
      <c r="G441" s="0" t="s">
        <v>427</v>
      </c>
      <c r="H441" s="0" t="s">
        <v>427</v>
      </c>
      <c r="I441" s="0" t="s">
        <v>3879</v>
      </c>
      <c r="K441" s="44" t="str">
        <f aca="false">INDEX(libraries!$B:$B, MATCH(B441, libraries!$A:$A, 0), 1)</f>
        <v>sam0427</v>
      </c>
      <c r="L441" s="44" t="n">
        <f aca="false">INDEX(samples!$F:$F, MATCH(K441, samples!$A:$A, 0), 1)</f>
        <v>0</v>
      </c>
      <c r="M441" s="55" t="str">
        <f aca="false">INDEX(samples!$C:$C, MATCH(K441, samples!$A:$A, 0), 1)</f>
        <v>2022-09-26</v>
      </c>
      <c r="N441" s="44" t="str">
        <f aca="false">INDEX(samples!$B:$B, MATCH(K441, samples!$A:$A, 0), 1)</f>
        <v>par0287</v>
      </c>
      <c r="O441" s="44" t="s">
        <v>1409</v>
      </c>
      <c r="P441" s="8" t="s">
        <v>3880</v>
      </c>
      <c r="Q441" s="8" t="s">
        <v>36</v>
      </c>
      <c r="R441" s="33" t="s">
        <v>3881</v>
      </c>
      <c r="T441" s="8"/>
    </row>
    <row r="442" customFormat="false" ht="13.8" hidden="false" customHeight="false" outlineLevel="0" collapsed="false">
      <c r="A442" s="25" t="s">
        <v>4723</v>
      </c>
      <c r="B442" s="41" t="s">
        <v>3626</v>
      </c>
      <c r="C442" s="8" t="s">
        <v>427</v>
      </c>
      <c r="D442" s="8" t="s">
        <v>3877</v>
      </c>
      <c r="E442" s="0" t="s">
        <v>3878</v>
      </c>
      <c r="F442" s="0" t="s">
        <v>427</v>
      </c>
      <c r="G442" s="0" t="s">
        <v>427</v>
      </c>
      <c r="H442" s="0" t="s">
        <v>427</v>
      </c>
      <c r="I442" s="0" t="s">
        <v>3879</v>
      </c>
      <c r="K442" s="44" t="str">
        <f aca="false">INDEX(libraries!$B:$B, MATCH(B442, libraries!$A:$A, 0), 1)</f>
        <v>sam0424</v>
      </c>
      <c r="L442" s="44" t="n">
        <f aca="false">INDEX(samples!$F:$F, MATCH(K442, samples!$A:$A, 0), 1)</f>
        <v>0</v>
      </c>
      <c r="M442" s="55" t="str">
        <f aca="false">INDEX(samples!$C:$C, MATCH(K442, samples!$A:$A, 0), 1)</f>
        <v>2022-09-26</v>
      </c>
      <c r="N442" s="44" t="str">
        <f aca="false">INDEX(samples!$B:$B, MATCH(K442, samples!$A:$A, 0), 1)</f>
        <v>par0284</v>
      </c>
      <c r="O442" s="44" t="s">
        <v>1400</v>
      </c>
      <c r="P442" s="8" t="s">
        <v>3880</v>
      </c>
      <c r="Q442" s="8" t="s">
        <v>36</v>
      </c>
      <c r="R442" s="33" t="s">
        <v>3881</v>
      </c>
      <c r="T442" s="8"/>
    </row>
    <row r="443" customFormat="false" ht="13.8" hidden="false" customHeight="false" outlineLevel="0" collapsed="false">
      <c r="A443" s="25" t="s">
        <v>4724</v>
      </c>
      <c r="B443" s="41" t="s">
        <v>3397</v>
      </c>
      <c r="C443" s="8"/>
      <c r="D443" s="8" t="s">
        <v>3877</v>
      </c>
      <c r="E443" s="0" t="s">
        <v>3878</v>
      </c>
      <c r="F443" s="0" t="s">
        <v>427</v>
      </c>
      <c r="G443" s="0" t="s">
        <v>427</v>
      </c>
      <c r="H443" s="0" t="s">
        <v>427</v>
      </c>
      <c r="I443" s="0" t="s">
        <v>3879</v>
      </c>
      <c r="K443" s="44" t="str">
        <f aca="false">INDEX(libraries!$B:$B, MATCH(B443, libraries!$A:$A, 0), 1)</f>
        <v>sam0257</v>
      </c>
      <c r="L443" s="44" t="n">
        <f aca="false">INDEX(samples!$F:$F, MATCH(K443, samples!$A:$A, 0), 1)</f>
        <v>0</v>
      </c>
      <c r="M443" s="55" t="str">
        <f aca="false">INDEX(samples!$C:$C, MATCH(K443, samples!$A:$A, 0), 1)</f>
        <v>2019-06-25</v>
      </c>
      <c r="N443" s="44" t="str">
        <f aca="false">INDEX(samples!$B:$B, MATCH(K443, samples!$A:$A, 0), 1)</f>
        <v>par0079</v>
      </c>
      <c r="O443" s="44" t="s">
        <v>959</v>
      </c>
      <c r="P443" s="8" t="s">
        <v>3880</v>
      </c>
      <c r="Q443" s="8" t="s">
        <v>36</v>
      </c>
      <c r="R443" s="33" t="s">
        <v>3881</v>
      </c>
      <c r="T443" s="8"/>
    </row>
    <row r="444" customFormat="false" ht="13.8" hidden="false" customHeight="false" outlineLevel="0" collapsed="false">
      <c r="A444" s="25" t="s">
        <v>4725</v>
      </c>
      <c r="B444" s="41" t="s">
        <v>3399</v>
      </c>
      <c r="C444" s="8"/>
      <c r="D444" s="8" t="s">
        <v>3877</v>
      </c>
      <c r="E444" s="0" t="s">
        <v>3878</v>
      </c>
      <c r="F444" s="0" t="s">
        <v>427</v>
      </c>
      <c r="G444" s="0" t="s">
        <v>427</v>
      </c>
      <c r="H444" s="0" t="s">
        <v>427</v>
      </c>
      <c r="I444" s="0" t="s">
        <v>3879</v>
      </c>
      <c r="K444" s="44" t="str">
        <f aca="false">INDEX(libraries!$B:$B, MATCH(B444, libraries!$A:$A, 0), 1)</f>
        <v>sam0258</v>
      </c>
      <c r="L444" s="44" t="n">
        <f aca="false">INDEX(samples!$F:$F, MATCH(K444, samples!$A:$A, 0), 1)</f>
        <v>0</v>
      </c>
      <c r="M444" s="55" t="str">
        <f aca="false">INDEX(samples!$C:$C, MATCH(K444, samples!$A:$A, 0), 1)</f>
        <v>2019-10-25</v>
      </c>
      <c r="N444" s="44" t="str">
        <f aca="false">INDEX(samples!$B:$B, MATCH(K444, samples!$A:$A, 0), 1)</f>
        <v>par0154</v>
      </c>
      <c r="O444" s="44" t="s">
        <v>964</v>
      </c>
      <c r="P444" s="8" t="s">
        <v>3880</v>
      </c>
      <c r="Q444" s="8" t="s">
        <v>36</v>
      </c>
      <c r="R444" s="33" t="s">
        <v>3881</v>
      </c>
      <c r="T444" s="8"/>
    </row>
    <row r="445" customFormat="false" ht="13.8" hidden="false" customHeight="false" outlineLevel="0" collapsed="false">
      <c r="A445" s="25" t="s">
        <v>4726</v>
      </c>
      <c r="B445" s="41" t="s">
        <v>3400</v>
      </c>
      <c r="C445" s="8"/>
      <c r="D445" s="8" t="s">
        <v>3877</v>
      </c>
      <c r="E445" s="0" t="s">
        <v>3878</v>
      </c>
      <c r="F445" s="0" t="s">
        <v>427</v>
      </c>
      <c r="G445" s="0" t="s">
        <v>427</v>
      </c>
      <c r="H445" s="0" t="s">
        <v>427</v>
      </c>
      <c r="I445" s="0" t="s">
        <v>3879</v>
      </c>
      <c r="K445" s="44" t="str">
        <f aca="false">INDEX(libraries!$B:$B, MATCH(B445, libraries!$A:$A, 0), 1)</f>
        <v>sam0259</v>
      </c>
      <c r="L445" s="44" t="n">
        <f aca="false">INDEX(samples!$F:$F, MATCH(K445, samples!$A:$A, 0), 1)</f>
        <v>0</v>
      </c>
      <c r="M445" s="55" t="str">
        <f aca="false">INDEX(samples!$C:$C, MATCH(K445, samples!$A:$A, 0), 1)</f>
        <v>2019-09-26</v>
      </c>
      <c r="N445" s="44" t="str">
        <f aca="false">INDEX(samples!$B:$B, MATCH(K445, samples!$A:$A, 0), 1)</f>
        <v>par0155</v>
      </c>
      <c r="O445" s="44" t="s">
        <v>968</v>
      </c>
      <c r="P445" s="8" t="s">
        <v>3880</v>
      </c>
      <c r="Q445" s="8" t="s">
        <v>36</v>
      </c>
      <c r="R445" s="33" t="s">
        <v>3881</v>
      </c>
      <c r="T445" s="8"/>
    </row>
    <row r="446" customFormat="false" ht="13.8" hidden="false" customHeight="false" outlineLevel="0" collapsed="false">
      <c r="A446" s="25" t="s">
        <v>4727</v>
      </c>
      <c r="B446" s="41" t="s">
        <v>3401</v>
      </c>
      <c r="C446" s="8"/>
      <c r="D446" s="8" t="s">
        <v>3877</v>
      </c>
      <c r="E446" s="0" t="s">
        <v>3878</v>
      </c>
      <c r="F446" s="0" t="s">
        <v>427</v>
      </c>
      <c r="G446" s="0" t="s">
        <v>427</v>
      </c>
      <c r="H446" s="0" t="s">
        <v>427</v>
      </c>
      <c r="I446" s="0" t="s">
        <v>3879</v>
      </c>
      <c r="K446" s="44" t="str">
        <f aca="false">INDEX(libraries!$B:$B, MATCH(B446, libraries!$A:$A, 0), 1)</f>
        <v>sam0261</v>
      </c>
      <c r="L446" s="44" t="n">
        <f aca="false">INDEX(samples!$F:$F, MATCH(K446, samples!$A:$A, 0), 1)</f>
        <v>0</v>
      </c>
      <c r="M446" s="55" t="str">
        <f aca="false">INDEX(samples!$C:$C, MATCH(K446, samples!$A:$A, 0), 1)</f>
        <v>2021-08-31</v>
      </c>
      <c r="N446" s="44" t="str">
        <f aca="false">INDEX(samples!$B:$B, MATCH(K446, samples!$A:$A, 0), 1)</f>
        <v>par0157</v>
      </c>
      <c r="O446" s="44" t="s">
        <v>972</v>
      </c>
      <c r="P446" s="8" t="s">
        <v>3880</v>
      </c>
      <c r="Q446" s="8" t="s">
        <v>36</v>
      </c>
      <c r="R446" s="33" t="s">
        <v>3881</v>
      </c>
      <c r="T446" s="8"/>
    </row>
    <row r="447" customFormat="false" ht="13.8" hidden="false" customHeight="false" outlineLevel="0" collapsed="false">
      <c r="A447" s="25" t="s">
        <v>4728</v>
      </c>
      <c r="B447" s="41" t="s">
        <v>3402</v>
      </c>
      <c r="C447" s="8"/>
      <c r="D447" s="8" t="s">
        <v>3877</v>
      </c>
      <c r="E447" s="0" t="s">
        <v>3878</v>
      </c>
      <c r="F447" s="0" t="s">
        <v>427</v>
      </c>
      <c r="G447" s="0" t="s">
        <v>427</v>
      </c>
      <c r="H447" s="0" t="s">
        <v>427</v>
      </c>
      <c r="I447" s="0" t="s">
        <v>3879</v>
      </c>
      <c r="K447" s="44" t="str">
        <f aca="false">INDEX(libraries!$B:$B, MATCH(B447, libraries!$A:$A, 0), 1)</f>
        <v>sam0262</v>
      </c>
      <c r="L447" s="44" t="n">
        <f aca="false">INDEX(samples!$F:$F, MATCH(K447, samples!$A:$A, 0), 1)</f>
        <v>0</v>
      </c>
      <c r="M447" s="55" t="str">
        <f aca="false">INDEX(samples!$C:$C, MATCH(K447, samples!$A:$A, 0), 1)</f>
        <v>2021-03-16</v>
      </c>
      <c r="N447" s="44" t="str">
        <f aca="false">INDEX(samples!$B:$B, MATCH(K447, samples!$A:$A, 0), 1)</f>
        <v>par0213</v>
      </c>
      <c r="O447" s="44" t="s">
        <v>1130</v>
      </c>
      <c r="P447" s="8" t="s">
        <v>3880</v>
      </c>
      <c r="Q447" s="8" t="s">
        <v>36</v>
      </c>
      <c r="R447" s="33" t="s">
        <v>3881</v>
      </c>
      <c r="T447" s="8"/>
    </row>
    <row r="448" customFormat="false" ht="13.8" hidden="false" customHeight="false" outlineLevel="0" collapsed="false">
      <c r="A448" s="25" t="s">
        <v>4729</v>
      </c>
      <c r="B448" s="41" t="s">
        <v>3403</v>
      </c>
      <c r="C448" s="8"/>
      <c r="D448" s="8" t="s">
        <v>3877</v>
      </c>
      <c r="E448" s="0" t="s">
        <v>3878</v>
      </c>
      <c r="F448" s="0" t="s">
        <v>427</v>
      </c>
      <c r="G448" s="0" t="s">
        <v>427</v>
      </c>
      <c r="H448" s="0" t="s">
        <v>427</v>
      </c>
      <c r="I448" s="0" t="s">
        <v>3879</v>
      </c>
      <c r="K448" s="44" t="str">
        <f aca="false">INDEX(libraries!$B:$B, MATCH(B448, libraries!$A:$A, 0), 1)</f>
        <v>sam0263</v>
      </c>
      <c r="L448" s="44" t="n">
        <f aca="false">INDEX(samples!$F:$F, MATCH(K448, samples!$A:$A, 0), 1)</f>
        <v>0</v>
      </c>
      <c r="M448" s="55" t="str">
        <f aca="false">INDEX(samples!$C:$C, MATCH(K448, samples!$A:$A, 0), 1)</f>
        <v>2021-11-15</v>
      </c>
      <c r="N448" s="44" t="str">
        <f aca="false">INDEX(samples!$B:$B, MATCH(K448, samples!$A:$A, 0), 1)</f>
        <v>par0159</v>
      </c>
      <c r="O448" s="44" t="s">
        <v>976</v>
      </c>
      <c r="P448" s="8" t="s">
        <v>3880</v>
      </c>
      <c r="Q448" s="8" t="s">
        <v>36</v>
      </c>
      <c r="R448" s="33" t="s">
        <v>3881</v>
      </c>
      <c r="T448" s="8"/>
    </row>
    <row r="449" customFormat="false" ht="13.8" hidden="false" customHeight="false" outlineLevel="0" collapsed="false">
      <c r="A449" s="25" t="s">
        <v>4730</v>
      </c>
      <c r="B449" s="41" t="s">
        <v>3404</v>
      </c>
      <c r="C449" s="8"/>
      <c r="D449" s="8" t="s">
        <v>3877</v>
      </c>
      <c r="E449" s="0" t="s">
        <v>3878</v>
      </c>
      <c r="F449" s="0" t="s">
        <v>427</v>
      </c>
      <c r="G449" s="0" t="s">
        <v>427</v>
      </c>
      <c r="H449" s="0" t="s">
        <v>427</v>
      </c>
      <c r="I449" s="0" t="s">
        <v>3879</v>
      </c>
      <c r="K449" s="44" t="str">
        <f aca="false">INDEX(libraries!$B:$B, MATCH(B449, libraries!$A:$A, 0), 1)</f>
        <v>sam0264</v>
      </c>
      <c r="L449" s="44" t="n">
        <f aca="false">INDEX(samples!$F:$F, MATCH(K449, samples!$A:$A, 0), 1)</f>
        <v>0</v>
      </c>
      <c r="M449" s="55" t="str">
        <f aca="false">INDEX(samples!$C:$C, MATCH(K449, samples!$A:$A, 0), 1)</f>
        <v>2022-04-14</v>
      </c>
      <c r="N449" s="44" t="str">
        <f aca="false">INDEX(samples!$B:$B, MATCH(K449, samples!$A:$A, 0), 1)</f>
        <v>par0011</v>
      </c>
      <c r="O449" s="44" t="s">
        <v>520</v>
      </c>
      <c r="P449" s="8" t="s">
        <v>3880</v>
      </c>
      <c r="Q449" s="8" t="s">
        <v>36</v>
      </c>
      <c r="R449" s="33" t="s">
        <v>3881</v>
      </c>
      <c r="T449" s="8"/>
    </row>
    <row r="450" customFormat="false" ht="13.8" hidden="false" customHeight="false" outlineLevel="0" collapsed="false">
      <c r="A450" s="25" t="s">
        <v>4731</v>
      </c>
      <c r="B450" s="41" t="s">
        <v>3405</v>
      </c>
      <c r="C450" s="8"/>
      <c r="D450" s="8" t="s">
        <v>3877</v>
      </c>
      <c r="E450" s="0" t="s">
        <v>3878</v>
      </c>
      <c r="F450" s="0" t="s">
        <v>427</v>
      </c>
      <c r="G450" s="0" t="s">
        <v>427</v>
      </c>
      <c r="H450" s="0" t="s">
        <v>427</v>
      </c>
      <c r="I450" s="0" t="s">
        <v>3879</v>
      </c>
      <c r="K450" s="44" t="str">
        <f aca="false">INDEX(libraries!$B:$B, MATCH(B450, libraries!$A:$A, 0), 1)</f>
        <v>sam0265</v>
      </c>
      <c r="L450" s="44" t="n">
        <f aca="false">INDEX(samples!$F:$F, MATCH(K450, samples!$A:$A, 0), 1)</f>
        <v>0</v>
      </c>
      <c r="M450" s="55" t="str">
        <f aca="false">INDEX(samples!$C:$C, MATCH(K450, samples!$A:$A, 0), 1)</f>
        <v>2020-12-11</v>
      </c>
      <c r="N450" s="44" t="str">
        <f aca="false">INDEX(samples!$B:$B, MATCH(K450, samples!$A:$A, 0), 1)</f>
        <v>par0161</v>
      </c>
      <c r="O450" s="44" t="s">
        <v>980</v>
      </c>
      <c r="P450" s="8" t="s">
        <v>3880</v>
      </c>
      <c r="Q450" s="8" t="s">
        <v>36</v>
      </c>
      <c r="R450" s="33" t="s">
        <v>3881</v>
      </c>
      <c r="T450" s="8"/>
    </row>
    <row r="451" customFormat="false" ht="13.8" hidden="false" customHeight="false" outlineLevel="0" collapsed="false">
      <c r="A451" s="25" t="s">
        <v>4732</v>
      </c>
      <c r="B451" s="41" t="s">
        <v>3406</v>
      </c>
      <c r="C451" s="8"/>
      <c r="D451" s="8" t="s">
        <v>3877</v>
      </c>
      <c r="E451" s="0" t="s">
        <v>3878</v>
      </c>
      <c r="F451" s="0" t="s">
        <v>427</v>
      </c>
      <c r="G451" s="0" t="s">
        <v>427</v>
      </c>
      <c r="H451" s="0" t="s">
        <v>427</v>
      </c>
      <c r="I451" s="0" t="s">
        <v>3879</v>
      </c>
      <c r="K451" s="44" t="str">
        <f aca="false">INDEX(libraries!$B:$B, MATCH(B451, libraries!$A:$A, 0), 1)</f>
        <v>sam0266</v>
      </c>
      <c r="L451" s="44" t="n">
        <f aca="false">INDEX(samples!$F:$F, MATCH(K451, samples!$A:$A, 0), 1)</f>
        <v>0</v>
      </c>
      <c r="M451" s="55" t="str">
        <f aca="false">INDEX(samples!$C:$C, MATCH(K451, samples!$A:$A, 0), 1)</f>
        <v>2020-01-14</v>
      </c>
      <c r="N451" s="44" t="str">
        <f aca="false">INDEX(samples!$B:$B, MATCH(K451, samples!$A:$A, 0), 1)</f>
        <v>par0162</v>
      </c>
      <c r="O451" s="44" t="s">
        <v>984</v>
      </c>
      <c r="P451" s="8" t="s">
        <v>3880</v>
      </c>
      <c r="Q451" s="8" t="s">
        <v>36</v>
      </c>
      <c r="R451" s="33" t="s">
        <v>3881</v>
      </c>
      <c r="T451" s="8"/>
    </row>
    <row r="452" customFormat="false" ht="13.8" hidden="false" customHeight="false" outlineLevel="0" collapsed="false">
      <c r="A452" s="25" t="s">
        <v>4733</v>
      </c>
      <c r="B452" s="41" t="s">
        <v>3407</v>
      </c>
      <c r="C452" s="8"/>
      <c r="D452" s="8" t="s">
        <v>3877</v>
      </c>
      <c r="E452" s="0" t="s">
        <v>3878</v>
      </c>
      <c r="F452" s="0" t="s">
        <v>427</v>
      </c>
      <c r="G452" s="0" t="s">
        <v>427</v>
      </c>
      <c r="H452" s="0" t="s">
        <v>427</v>
      </c>
      <c r="I452" s="0" t="s">
        <v>3879</v>
      </c>
      <c r="K452" s="44" t="str">
        <f aca="false">INDEX(libraries!$B:$B, MATCH(B452, libraries!$A:$A, 0), 1)</f>
        <v>sam0267</v>
      </c>
      <c r="L452" s="44" t="n">
        <f aca="false">INDEX(samples!$F:$F, MATCH(K452, samples!$A:$A, 0), 1)</f>
        <v>0</v>
      </c>
      <c r="M452" s="55" t="str">
        <f aca="false">INDEX(samples!$C:$C, MATCH(K452, samples!$A:$A, 0), 1)</f>
        <v>2021-03-09</v>
      </c>
      <c r="N452" s="44" t="str">
        <f aca="false">INDEX(samples!$B:$B, MATCH(K452, samples!$A:$A, 0), 1)</f>
        <v>par0211</v>
      </c>
      <c r="O452" s="44" t="s">
        <v>1121</v>
      </c>
      <c r="P452" s="8" t="s">
        <v>3880</v>
      </c>
      <c r="Q452" s="8" t="s">
        <v>36</v>
      </c>
      <c r="R452" s="33" t="s">
        <v>3881</v>
      </c>
      <c r="T452" s="8"/>
    </row>
    <row r="453" customFormat="false" ht="13.8" hidden="false" customHeight="false" outlineLevel="0" collapsed="false">
      <c r="A453" s="25" t="s">
        <v>4734</v>
      </c>
      <c r="B453" s="41" t="s">
        <v>3408</v>
      </c>
      <c r="C453" s="8"/>
      <c r="D453" s="8" t="s">
        <v>3877</v>
      </c>
      <c r="E453" s="0" t="s">
        <v>3878</v>
      </c>
      <c r="F453" s="0" t="s">
        <v>427</v>
      </c>
      <c r="G453" s="0" t="s">
        <v>427</v>
      </c>
      <c r="H453" s="0" t="s">
        <v>427</v>
      </c>
      <c r="I453" s="0" t="s">
        <v>3879</v>
      </c>
      <c r="K453" s="44" t="str">
        <f aca="false">INDEX(libraries!$B:$B, MATCH(B453, libraries!$A:$A, 0), 1)</f>
        <v>sam0268</v>
      </c>
      <c r="L453" s="44" t="n">
        <f aca="false">INDEX(samples!$F:$F, MATCH(K453, samples!$A:$A, 0), 1)</f>
        <v>0</v>
      </c>
      <c r="M453" s="55" t="str">
        <f aca="false">INDEX(samples!$C:$C, MATCH(K453, samples!$A:$A, 0), 1)</f>
        <v>2020-09-15</v>
      </c>
      <c r="N453" s="44" t="str">
        <f aca="false">INDEX(samples!$B:$B, MATCH(K453, samples!$A:$A, 0), 1)</f>
        <v>par0164</v>
      </c>
      <c r="O453" s="44" t="s">
        <v>988</v>
      </c>
      <c r="P453" s="8" t="s">
        <v>3880</v>
      </c>
      <c r="Q453" s="8" t="s">
        <v>36</v>
      </c>
      <c r="R453" s="33" t="s">
        <v>3881</v>
      </c>
      <c r="T453" s="8"/>
    </row>
    <row r="454" customFormat="false" ht="13.8" hidden="false" customHeight="false" outlineLevel="0" collapsed="false">
      <c r="A454" s="25" t="s">
        <v>4735</v>
      </c>
      <c r="B454" s="41" t="s">
        <v>3410</v>
      </c>
      <c r="C454" s="8"/>
      <c r="D454" s="8" t="s">
        <v>3877</v>
      </c>
      <c r="E454" s="0" t="s">
        <v>3878</v>
      </c>
      <c r="F454" s="0" t="s">
        <v>427</v>
      </c>
      <c r="G454" s="0" t="s">
        <v>427</v>
      </c>
      <c r="H454" s="0" t="s">
        <v>427</v>
      </c>
      <c r="I454" s="0" t="s">
        <v>3879</v>
      </c>
      <c r="K454" s="44" t="str">
        <f aca="false">INDEX(libraries!$B:$B, MATCH(B454, libraries!$A:$A, 0), 1)</f>
        <v>sam0269</v>
      </c>
      <c r="L454" s="44" t="n">
        <f aca="false">INDEX(samples!$F:$F, MATCH(K454, samples!$A:$A, 0), 1)</f>
        <v>0</v>
      </c>
      <c r="M454" s="55" t="str">
        <f aca="false">INDEX(samples!$C:$C, MATCH(K454, samples!$A:$A, 0), 1)</f>
        <v>2021-02-01</v>
      </c>
      <c r="N454" s="44" t="str">
        <f aca="false">INDEX(samples!$B:$B, MATCH(K454, samples!$A:$A, 0), 1)</f>
        <v>par0129</v>
      </c>
      <c r="O454" s="44" t="s">
        <v>884</v>
      </c>
      <c r="P454" s="8" t="s">
        <v>3880</v>
      </c>
      <c r="Q454" s="8" t="s">
        <v>36</v>
      </c>
      <c r="R454" s="33" t="s">
        <v>3881</v>
      </c>
      <c r="T454" s="8"/>
    </row>
    <row r="455" customFormat="false" ht="13.8" hidden="false" customHeight="false" outlineLevel="0" collapsed="false">
      <c r="A455" s="25" t="s">
        <v>4736</v>
      </c>
      <c r="B455" s="41" t="s">
        <v>3411</v>
      </c>
      <c r="C455" s="8"/>
      <c r="D455" s="8" t="s">
        <v>3877</v>
      </c>
      <c r="E455" s="0" t="s">
        <v>3878</v>
      </c>
      <c r="F455" s="0" t="s">
        <v>427</v>
      </c>
      <c r="G455" s="0" t="s">
        <v>427</v>
      </c>
      <c r="H455" s="0" t="s">
        <v>427</v>
      </c>
      <c r="I455" s="0" t="s">
        <v>3879</v>
      </c>
      <c r="K455" s="44" t="str">
        <f aca="false">INDEX(libraries!$B:$B, MATCH(B455, libraries!$A:$A, 0), 1)</f>
        <v>sam0270</v>
      </c>
      <c r="L455" s="44" t="n">
        <f aca="false">INDEX(samples!$F:$F, MATCH(K455, samples!$A:$A, 0), 1)</f>
        <v>0</v>
      </c>
      <c r="M455" s="55" t="str">
        <f aca="false">INDEX(samples!$C:$C, MATCH(K455, samples!$A:$A, 0), 1)</f>
        <v>2021-10-18</v>
      </c>
      <c r="N455" s="44" t="str">
        <f aca="false">INDEX(samples!$B:$B, MATCH(K455, samples!$A:$A, 0), 1)</f>
        <v>par0166</v>
      </c>
      <c r="O455" s="44" t="s">
        <v>991</v>
      </c>
      <c r="P455" s="8" t="s">
        <v>3880</v>
      </c>
      <c r="Q455" s="8" t="s">
        <v>36</v>
      </c>
      <c r="R455" s="33" t="s">
        <v>3881</v>
      </c>
      <c r="T455" s="8"/>
    </row>
    <row r="456" customFormat="false" ht="13.8" hidden="false" customHeight="false" outlineLevel="0" collapsed="false">
      <c r="A456" s="25" t="s">
        <v>4737</v>
      </c>
      <c r="B456" s="41" t="s">
        <v>3412</v>
      </c>
      <c r="C456" s="8"/>
      <c r="D456" s="8" t="s">
        <v>3877</v>
      </c>
      <c r="E456" s="0" t="s">
        <v>3878</v>
      </c>
      <c r="F456" s="0" t="s">
        <v>427</v>
      </c>
      <c r="G456" s="0" t="s">
        <v>427</v>
      </c>
      <c r="H456" s="0" t="s">
        <v>427</v>
      </c>
      <c r="I456" s="0" t="s">
        <v>3879</v>
      </c>
      <c r="K456" s="44" t="str">
        <f aca="false">INDEX(libraries!$B:$B, MATCH(B456, libraries!$A:$A, 0), 1)</f>
        <v>sam0271</v>
      </c>
      <c r="L456" s="44" t="n">
        <f aca="false">INDEX(samples!$F:$F, MATCH(K456, samples!$A:$A, 0), 1)</f>
        <v>0</v>
      </c>
      <c r="M456" s="55" t="str">
        <f aca="false">INDEX(samples!$C:$C, MATCH(K456, samples!$A:$A, 0), 1)</f>
        <v>2022-03-17</v>
      </c>
      <c r="N456" s="44" t="str">
        <f aca="false">INDEX(samples!$B:$B, MATCH(K456, samples!$A:$A, 0), 1)</f>
        <v>par0167</v>
      </c>
      <c r="O456" s="44" t="s">
        <v>995</v>
      </c>
      <c r="P456" s="8" t="s">
        <v>3880</v>
      </c>
      <c r="Q456" s="8" t="s">
        <v>36</v>
      </c>
      <c r="R456" s="33" t="s">
        <v>3881</v>
      </c>
      <c r="T456" s="8"/>
    </row>
    <row r="457" customFormat="false" ht="13.8" hidden="false" customHeight="false" outlineLevel="0" collapsed="false">
      <c r="A457" s="25" t="s">
        <v>4738</v>
      </c>
      <c r="B457" s="41" t="s">
        <v>3413</v>
      </c>
      <c r="C457" s="8"/>
      <c r="D457" s="8" t="s">
        <v>3877</v>
      </c>
      <c r="E457" s="0" t="s">
        <v>3878</v>
      </c>
      <c r="F457" s="0" t="s">
        <v>427</v>
      </c>
      <c r="G457" s="0" t="s">
        <v>427</v>
      </c>
      <c r="H457" s="0" t="s">
        <v>427</v>
      </c>
      <c r="I457" s="0" t="s">
        <v>3879</v>
      </c>
      <c r="K457" s="44" t="str">
        <f aca="false">INDEX(libraries!$B:$B, MATCH(B457, libraries!$A:$A, 0), 1)</f>
        <v>sam0272</v>
      </c>
      <c r="L457" s="44" t="n">
        <f aca="false">INDEX(samples!$F:$F, MATCH(K457, samples!$A:$A, 0), 1)</f>
        <v>0</v>
      </c>
      <c r="M457" s="55" t="str">
        <f aca="false">INDEX(samples!$C:$C, MATCH(K457, samples!$A:$A, 0), 1)</f>
        <v>UNK</v>
      </c>
      <c r="N457" s="44" t="str">
        <f aca="false">INDEX(samples!$B:$B, MATCH(K457, samples!$A:$A, 0), 1)</f>
        <v>par0003</v>
      </c>
      <c r="O457" s="44" t="s">
        <v>490</v>
      </c>
      <c r="P457" s="8" t="s">
        <v>3880</v>
      </c>
      <c r="Q457" s="8" t="s">
        <v>36</v>
      </c>
      <c r="R457" s="33" t="s">
        <v>3881</v>
      </c>
      <c r="T457" s="8"/>
    </row>
    <row r="458" customFormat="false" ht="13.8" hidden="false" customHeight="false" outlineLevel="0" collapsed="false">
      <c r="A458" s="25" t="s">
        <v>4739</v>
      </c>
      <c r="B458" s="41" t="s">
        <v>3414</v>
      </c>
      <c r="C458" s="8"/>
      <c r="D458" s="8" t="s">
        <v>3877</v>
      </c>
      <c r="E458" s="0" t="s">
        <v>3878</v>
      </c>
      <c r="F458" s="0" t="s">
        <v>427</v>
      </c>
      <c r="G458" s="0" t="s">
        <v>427</v>
      </c>
      <c r="H458" s="0" t="s">
        <v>427</v>
      </c>
      <c r="I458" s="0" t="s">
        <v>3879</v>
      </c>
      <c r="K458" s="44" t="str">
        <f aca="false">INDEX(libraries!$B:$B, MATCH(B458, libraries!$A:$A, 0), 1)</f>
        <v>sam0273</v>
      </c>
      <c r="L458" s="44" t="n">
        <f aca="false">INDEX(samples!$F:$F, MATCH(K458, samples!$A:$A, 0), 1)</f>
        <v>0</v>
      </c>
      <c r="M458" s="55" t="str">
        <f aca="false">INDEX(samples!$C:$C, MATCH(K458, samples!$A:$A, 0), 1)</f>
        <v>2021-03-10</v>
      </c>
      <c r="N458" s="44" t="str">
        <f aca="false">INDEX(samples!$B:$B, MATCH(K458, samples!$A:$A, 0), 1)</f>
        <v>par0169</v>
      </c>
      <c r="O458" s="44" t="s">
        <v>999</v>
      </c>
      <c r="P458" s="8" t="s">
        <v>3880</v>
      </c>
      <c r="Q458" s="8" t="s">
        <v>36</v>
      </c>
      <c r="R458" s="33" t="s">
        <v>3881</v>
      </c>
      <c r="T458" s="8"/>
    </row>
    <row r="459" customFormat="false" ht="13.8" hidden="false" customHeight="false" outlineLevel="0" collapsed="false">
      <c r="A459" s="25" t="s">
        <v>4740</v>
      </c>
      <c r="B459" s="41" t="s">
        <v>3415</v>
      </c>
      <c r="C459" s="8"/>
      <c r="D459" s="8" t="s">
        <v>3877</v>
      </c>
      <c r="E459" s="0" t="s">
        <v>3878</v>
      </c>
      <c r="F459" s="0" t="s">
        <v>427</v>
      </c>
      <c r="G459" s="0" t="s">
        <v>427</v>
      </c>
      <c r="H459" s="0" t="s">
        <v>427</v>
      </c>
      <c r="I459" s="0" t="s">
        <v>3879</v>
      </c>
      <c r="K459" s="44" t="str">
        <f aca="false">INDEX(libraries!$B:$B, MATCH(B459, libraries!$A:$A, 0), 1)</f>
        <v>sam0274</v>
      </c>
      <c r="L459" s="44" t="n">
        <f aca="false">INDEX(samples!$F:$F, MATCH(K459, samples!$A:$A, 0), 1)</f>
        <v>0</v>
      </c>
      <c r="M459" s="55" t="str">
        <f aca="false">INDEX(samples!$C:$C, MATCH(K459, samples!$A:$A, 0), 1)</f>
        <v>2018-09-09</v>
      </c>
      <c r="N459" s="44" t="str">
        <f aca="false">INDEX(samples!$B:$B, MATCH(K459, samples!$A:$A, 0), 1)</f>
        <v>par0170</v>
      </c>
      <c r="O459" s="44" t="s">
        <v>1005</v>
      </c>
      <c r="P459" s="8" t="s">
        <v>3880</v>
      </c>
      <c r="Q459" s="8" t="s">
        <v>36</v>
      </c>
      <c r="R459" s="33" t="s">
        <v>3881</v>
      </c>
      <c r="T459" s="8"/>
    </row>
    <row r="460" customFormat="false" ht="13.8" hidden="false" customHeight="false" outlineLevel="0" collapsed="false">
      <c r="A460" s="25" t="s">
        <v>4741</v>
      </c>
      <c r="B460" s="41" t="s">
        <v>3416</v>
      </c>
      <c r="C460" s="8"/>
      <c r="D460" s="8" t="s">
        <v>3877</v>
      </c>
      <c r="E460" s="0" t="s">
        <v>3878</v>
      </c>
      <c r="F460" s="0" t="s">
        <v>427</v>
      </c>
      <c r="G460" s="0" t="s">
        <v>427</v>
      </c>
      <c r="H460" s="0" t="s">
        <v>427</v>
      </c>
      <c r="I460" s="0" t="s">
        <v>3879</v>
      </c>
      <c r="K460" s="44" t="str">
        <f aca="false">INDEX(libraries!$B:$B, MATCH(B460, libraries!$A:$A, 0), 1)</f>
        <v>sam0275</v>
      </c>
      <c r="L460" s="44" t="n">
        <f aca="false">INDEX(samples!$F:$F, MATCH(K460, samples!$A:$A, 0), 1)</f>
        <v>0</v>
      </c>
      <c r="M460" s="55" t="str">
        <f aca="false">INDEX(samples!$C:$C, MATCH(K460, samples!$A:$A, 0), 1)</f>
        <v>2022-04-25</v>
      </c>
      <c r="N460" s="44" t="str">
        <f aca="false">INDEX(samples!$B:$B, MATCH(K460, samples!$A:$A, 0), 1)</f>
        <v>par0012</v>
      </c>
      <c r="O460" s="44" t="s">
        <v>524</v>
      </c>
      <c r="P460" s="8" t="s">
        <v>3880</v>
      </c>
      <c r="Q460" s="8" t="s">
        <v>36</v>
      </c>
      <c r="R460" s="33" t="s">
        <v>3881</v>
      </c>
      <c r="T460" s="8"/>
    </row>
    <row r="461" customFormat="false" ht="13.8" hidden="false" customHeight="false" outlineLevel="0" collapsed="false">
      <c r="A461" s="25" t="s">
        <v>4742</v>
      </c>
      <c r="B461" s="41" t="s">
        <v>3417</v>
      </c>
      <c r="C461" s="8"/>
      <c r="D461" s="8" t="s">
        <v>3877</v>
      </c>
      <c r="E461" s="0" t="s">
        <v>3878</v>
      </c>
      <c r="F461" s="0" t="s">
        <v>427</v>
      </c>
      <c r="G461" s="0" t="s">
        <v>427</v>
      </c>
      <c r="H461" s="0" t="s">
        <v>427</v>
      </c>
      <c r="I461" s="0" t="s">
        <v>3879</v>
      </c>
      <c r="K461" s="44" t="str">
        <f aca="false">INDEX(libraries!$B:$B, MATCH(B461, libraries!$A:$A, 0), 1)</f>
        <v>sam0276</v>
      </c>
      <c r="L461" s="44" t="n">
        <f aca="false">INDEX(samples!$F:$F, MATCH(K461, samples!$A:$A, 0), 1)</f>
        <v>0</v>
      </c>
      <c r="M461" s="55" t="str">
        <f aca="false">INDEX(samples!$C:$C, MATCH(K461, samples!$A:$A, 0), 1)</f>
        <v>UNK</v>
      </c>
      <c r="N461" s="44" t="str">
        <f aca="false">INDEX(samples!$B:$B, MATCH(K461, samples!$A:$A, 0), 1)</f>
        <v>par0172</v>
      </c>
      <c r="O461" s="44" t="s">
        <v>1008</v>
      </c>
      <c r="P461" s="8" t="s">
        <v>3880</v>
      </c>
      <c r="Q461" s="8" t="s">
        <v>36</v>
      </c>
      <c r="R461" s="33" t="s">
        <v>3881</v>
      </c>
      <c r="T461" s="8"/>
    </row>
    <row r="462" customFormat="false" ht="13.8" hidden="false" customHeight="false" outlineLevel="0" collapsed="false">
      <c r="A462" s="25" t="s">
        <v>4743</v>
      </c>
      <c r="B462" s="41" t="s">
        <v>3418</v>
      </c>
      <c r="C462" s="8"/>
      <c r="D462" s="8" t="s">
        <v>3877</v>
      </c>
      <c r="E462" s="0" t="s">
        <v>3878</v>
      </c>
      <c r="F462" s="0" t="s">
        <v>427</v>
      </c>
      <c r="G462" s="0" t="s">
        <v>427</v>
      </c>
      <c r="H462" s="0" t="s">
        <v>427</v>
      </c>
      <c r="I462" s="0" t="s">
        <v>3879</v>
      </c>
      <c r="K462" s="44" t="str">
        <f aca="false">INDEX(libraries!$B:$B, MATCH(B462, libraries!$A:$A, 0), 1)</f>
        <v>sam0277</v>
      </c>
      <c r="L462" s="44" t="n">
        <f aca="false">INDEX(samples!$F:$F, MATCH(K462, samples!$A:$A, 0), 1)</f>
        <v>0</v>
      </c>
      <c r="M462" s="55" t="str">
        <f aca="false">INDEX(samples!$C:$C, MATCH(K462, samples!$A:$A, 0), 1)</f>
        <v>2018-03-06</v>
      </c>
      <c r="N462" s="44" t="str">
        <f aca="false">INDEX(samples!$B:$B, MATCH(K462, samples!$A:$A, 0), 1)</f>
        <v>par0173</v>
      </c>
      <c r="O462" s="44" t="s">
        <v>1011</v>
      </c>
      <c r="P462" s="8" t="s">
        <v>3880</v>
      </c>
      <c r="Q462" s="8" t="s">
        <v>36</v>
      </c>
      <c r="R462" s="33" t="s">
        <v>3881</v>
      </c>
      <c r="T462" s="8"/>
    </row>
    <row r="463" customFormat="false" ht="13.8" hidden="false" customHeight="false" outlineLevel="0" collapsed="false">
      <c r="A463" s="25" t="s">
        <v>4744</v>
      </c>
      <c r="B463" s="41" t="s">
        <v>3419</v>
      </c>
      <c r="C463" s="8"/>
      <c r="D463" s="8" t="s">
        <v>3877</v>
      </c>
      <c r="E463" s="0" t="s">
        <v>3878</v>
      </c>
      <c r="F463" s="0" t="s">
        <v>427</v>
      </c>
      <c r="G463" s="0" t="s">
        <v>427</v>
      </c>
      <c r="H463" s="0" t="s">
        <v>427</v>
      </c>
      <c r="I463" s="0" t="s">
        <v>3879</v>
      </c>
      <c r="K463" s="44" t="str">
        <f aca="false">INDEX(libraries!$B:$B, MATCH(B463, libraries!$A:$A, 0), 1)</f>
        <v>sam0278</v>
      </c>
      <c r="L463" s="44" t="n">
        <f aca="false">INDEX(samples!$F:$F, MATCH(K463, samples!$A:$A, 0), 1)</f>
        <v>0</v>
      </c>
      <c r="M463" s="55" t="str">
        <f aca="false">INDEX(samples!$C:$C, MATCH(K463, samples!$A:$A, 0), 1)</f>
        <v>2017-11-26</v>
      </c>
      <c r="N463" s="44" t="str">
        <f aca="false">INDEX(samples!$B:$B, MATCH(K463, samples!$A:$A, 0), 1)</f>
        <v>par0174</v>
      </c>
      <c r="O463" s="44" t="s">
        <v>1015</v>
      </c>
      <c r="P463" s="8" t="s">
        <v>3880</v>
      </c>
      <c r="Q463" s="8" t="s">
        <v>36</v>
      </c>
      <c r="R463" s="33" t="s">
        <v>3881</v>
      </c>
      <c r="T463" s="8"/>
    </row>
    <row r="464" customFormat="false" ht="13.8" hidden="false" customHeight="false" outlineLevel="0" collapsed="false">
      <c r="A464" s="25" t="s">
        <v>4745</v>
      </c>
      <c r="B464" s="41" t="s">
        <v>3420</v>
      </c>
      <c r="C464" s="8"/>
      <c r="D464" s="8" t="s">
        <v>3877</v>
      </c>
      <c r="E464" s="0" t="s">
        <v>3878</v>
      </c>
      <c r="F464" s="0" t="s">
        <v>427</v>
      </c>
      <c r="G464" s="0" t="s">
        <v>427</v>
      </c>
      <c r="H464" s="0" t="s">
        <v>427</v>
      </c>
      <c r="I464" s="0" t="s">
        <v>3879</v>
      </c>
      <c r="K464" s="44" t="str">
        <f aca="false">INDEX(libraries!$B:$B, MATCH(B464, libraries!$A:$A, 0), 1)</f>
        <v>sam0279</v>
      </c>
      <c r="L464" s="44" t="n">
        <f aca="false">INDEX(samples!$F:$F, MATCH(K464, samples!$A:$A, 0), 1)</f>
        <v>0</v>
      </c>
      <c r="M464" s="55" t="str">
        <f aca="false">INDEX(samples!$C:$C, MATCH(K464, samples!$A:$A, 0), 1)</f>
        <v>2019-10-08</v>
      </c>
      <c r="N464" s="44" t="str">
        <f aca="false">INDEX(samples!$B:$B, MATCH(K464, samples!$A:$A, 0), 1)</f>
        <v>par0175</v>
      </c>
      <c r="O464" s="44" t="s">
        <v>1018</v>
      </c>
      <c r="P464" s="8" t="s">
        <v>3880</v>
      </c>
      <c r="Q464" s="8" t="s">
        <v>36</v>
      </c>
      <c r="R464" s="33" t="s">
        <v>3881</v>
      </c>
      <c r="T464" s="8"/>
    </row>
    <row r="465" customFormat="false" ht="13.8" hidden="false" customHeight="false" outlineLevel="0" collapsed="false">
      <c r="A465" s="25" t="s">
        <v>4746</v>
      </c>
      <c r="B465" s="41" t="s">
        <v>3421</v>
      </c>
      <c r="C465" s="8"/>
      <c r="D465" s="8" t="s">
        <v>3877</v>
      </c>
      <c r="E465" s="0" t="s">
        <v>3878</v>
      </c>
      <c r="F465" s="0" t="s">
        <v>427</v>
      </c>
      <c r="G465" s="0" t="s">
        <v>427</v>
      </c>
      <c r="H465" s="0" t="s">
        <v>427</v>
      </c>
      <c r="I465" s="0" t="s">
        <v>3879</v>
      </c>
      <c r="K465" s="44" t="str">
        <f aca="false">INDEX(libraries!$B:$B, MATCH(B465, libraries!$A:$A, 0), 1)</f>
        <v>sam0280</v>
      </c>
      <c r="L465" s="44" t="n">
        <f aca="false">INDEX(samples!$F:$F, MATCH(K465, samples!$A:$A, 0), 1)</f>
        <v>0</v>
      </c>
      <c r="M465" s="55" t="str">
        <f aca="false">INDEX(samples!$C:$C, MATCH(K465, samples!$A:$A, 0), 1)</f>
        <v>2018-02-22</v>
      </c>
      <c r="N465" s="44" t="str">
        <f aca="false">INDEX(samples!$B:$B, MATCH(K465, samples!$A:$A, 0), 1)</f>
        <v>par0176</v>
      </c>
      <c r="O465" s="44" t="s">
        <v>1021</v>
      </c>
      <c r="P465" s="8" t="s">
        <v>3880</v>
      </c>
      <c r="Q465" s="8" t="s">
        <v>36</v>
      </c>
      <c r="R465" s="33" t="s">
        <v>3881</v>
      </c>
      <c r="T465" s="8"/>
    </row>
    <row r="466" customFormat="false" ht="13.8" hidden="false" customHeight="false" outlineLevel="0" collapsed="false">
      <c r="A466" s="25" t="s">
        <v>4747</v>
      </c>
      <c r="B466" s="41" t="s">
        <v>3422</v>
      </c>
      <c r="C466" s="8"/>
      <c r="D466" s="8" t="s">
        <v>3877</v>
      </c>
      <c r="E466" s="0" t="s">
        <v>3878</v>
      </c>
      <c r="F466" s="0" t="s">
        <v>427</v>
      </c>
      <c r="G466" s="0" t="s">
        <v>427</v>
      </c>
      <c r="H466" s="0" t="s">
        <v>427</v>
      </c>
      <c r="I466" s="0" t="s">
        <v>3879</v>
      </c>
      <c r="K466" s="44" t="str">
        <f aca="false">INDEX(libraries!$B:$B, MATCH(B466, libraries!$A:$A, 0), 1)</f>
        <v>sam0281</v>
      </c>
      <c r="L466" s="44" t="n">
        <f aca="false">INDEX(samples!$F:$F, MATCH(K466, samples!$A:$A, 0), 1)</f>
        <v>0</v>
      </c>
      <c r="M466" s="55" t="str">
        <f aca="false">INDEX(samples!$C:$C, MATCH(K466, samples!$A:$A, 0), 1)</f>
        <v>2019-01-13</v>
      </c>
      <c r="N466" s="44" t="str">
        <f aca="false">INDEX(samples!$B:$B, MATCH(K466, samples!$A:$A, 0), 1)</f>
        <v>par0177</v>
      </c>
      <c r="O466" s="44" t="s">
        <v>1024</v>
      </c>
      <c r="P466" s="8" t="s">
        <v>3880</v>
      </c>
      <c r="Q466" s="8" t="s">
        <v>36</v>
      </c>
      <c r="R466" s="33" t="s">
        <v>3881</v>
      </c>
      <c r="T466" s="8"/>
    </row>
    <row r="467" customFormat="false" ht="13.8" hidden="false" customHeight="false" outlineLevel="0" collapsed="false">
      <c r="A467" s="25" t="s">
        <v>4748</v>
      </c>
      <c r="B467" s="41" t="s">
        <v>3423</v>
      </c>
      <c r="C467" s="8"/>
      <c r="D467" s="8" t="s">
        <v>3877</v>
      </c>
      <c r="E467" s="0" t="s">
        <v>3878</v>
      </c>
      <c r="F467" s="0" t="s">
        <v>427</v>
      </c>
      <c r="G467" s="0" t="s">
        <v>427</v>
      </c>
      <c r="H467" s="0" t="s">
        <v>427</v>
      </c>
      <c r="I467" s="0" t="s">
        <v>3879</v>
      </c>
      <c r="K467" s="44" t="str">
        <f aca="false">INDEX(libraries!$B:$B, MATCH(B467, libraries!$A:$A, 0), 1)</f>
        <v>sam0282</v>
      </c>
      <c r="L467" s="44" t="n">
        <f aca="false">INDEX(samples!$F:$F, MATCH(K467, samples!$A:$A, 0), 1)</f>
        <v>0</v>
      </c>
      <c r="M467" s="55" t="str">
        <f aca="false">INDEX(samples!$C:$C, MATCH(K467, samples!$A:$A, 0), 1)</f>
        <v>2021-03-08</v>
      </c>
      <c r="N467" s="44" t="str">
        <f aca="false">INDEX(samples!$B:$B, MATCH(K467, samples!$A:$A, 0), 1)</f>
        <v>par0178</v>
      </c>
      <c r="O467" s="44" t="s">
        <v>1027</v>
      </c>
      <c r="P467" s="8" t="s">
        <v>3880</v>
      </c>
      <c r="Q467" s="8" t="s">
        <v>36</v>
      </c>
      <c r="R467" s="33" t="s">
        <v>3881</v>
      </c>
      <c r="T467" s="8"/>
    </row>
    <row r="468" customFormat="false" ht="13.8" hidden="false" customHeight="false" outlineLevel="0" collapsed="false">
      <c r="A468" s="25" t="s">
        <v>4749</v>
      </c>
      <c r="B468" s="41" t="s">
        <v>3424</v>
      </c>
      <c r="C468" s="8"/>
      <c r="D468" s="8" t="s">
        <v>3877</v>
      </c>
      <c r="E468" s="0" t="s">
        <v>3878</v>
      </c>
      <c r="F468" s="0" t="s">
        <v>427</v>
      </c>
      <c r="G468" s="0" t="s">
        <v>427</v>
      </c>
      <c r="H468" s="0" t="s">
        <v>427</v>
      </c>
      <c r="I468" s="0" t="s">
        <v>3879</v>
      </c>
      <c r="K468" s="44" t="str">
        <f aca="false">INDEX(libraries!$B:$B, MATCH(B468, libraries!$A:$A, 0), 1)</f>
        <v>sam0284</v>
      </c>
      <c r="L468" s="44" t="n">
        <f aca="false">INDEX(samples!$F:$F, MATCH(K468, samples!$A:$A, 0), 1)</f>
        <v>0</v>
      </c>
      <c r="M468" s="55" t="str">
        <f aca="false">INDEX(samples!$C:$C, MATCH(K468, samples!$A:$A, 0), 1)</f>
        <v>2018-09-26</v>
      </c>
      <c r="N468" s="44" t="str">
        <f aca="false">INDEX(samples!$B:$B, MATCH(K468, samples!$A:$A, 0), 1)</f>
        <v>par0180</v>
      </c>
      <c r="O468" s="44" t="s">
        <v>1030</v>
      </c>
      <c r="P468" s="8" t="s">
        <v>3880</v>
      </c>
      <c r="Q468" s="8" t="s">
        <v>36</v>
      </c>
      <c r="R468" s="33" t="s">
        <v>3881</v>
      </c>
      <c r="T468" s="8"/>
    </row>
    <row r="469" customFormat="false" ht="13.8" hidden="false" customHeight="false" outlineLevel="0" collapsed="false">
      <c r="A469" s="25" t="s">
        <v>4750</v>
      </c>
      <c r="B469" s="41" t="s">
        <v>3425</v>
      </c>
      <c r="C469" s="8"/>
      <c r="D469" s="8" t="s">
        <v>3877</v>
      </c>
      <c r="E469" s="0" t="s">
        <v>3878</v>
      </c>
      <c r="F469" s="0" t="s">
        <v>427</v>
      </c>
      <c r="G469" s="0" t="s">
        <v>427</v>
      </c>
      <c r="H469" s="0" t="s">
        <v>427</v>
      </c>
      <c r="I469" s="0" t="s">
        <v>3879</v>
      </c>
      <c r="K469" s="44" t="str">
        <f aca="false">INDEX(libraries!$B:$B, MATCH(B469, libraries!$A:$A, 0), 1)</f>
        <v>sam0285</v>
      </c>
      <c r="L469" s="44" t="n">
        <f aca="false">INDEX(samples!$F:$F, MATCH(K469, samples!$A:$A, 0), 1)</f>
        <v>0</v>
      </c>
      <c r="M469" s="55" t="str">
        <f aca="false">INDEX(samples!$C:$C, MATCH(K469, samples!$A:$A, 0), 1)</f>
        <v>2015-05-15</v>
      </c>
      <c r="N469" s="44" t="str">
        <f aca="false">INDEX(samples!$B:$B, MATCH(K469, samples!$A:$A, 0), 1)</f>
        <v>par0181</v>
      </c>
      <c r="O469" s="44" t="s">
        <v>1033</v>
      </c>
      <c r="P469" s="8" t="s">
        <v>3880</v>
      </c>
      <c r="Q469" s="8" t="s">
        <v>36</v>
      </c>
      <c r="R469" s="33" t="s">
        <v>3881</v>
      </c>
      <c r="T469" s="8"/>
    </row>
    <row r="470" customFormat="false" ht="13.8" hidden="false" customHeight="false" outlineLevel="0" collapsed="false">
      <c r="A470" s="25" t="s">
        <v>4751</v>
      </c>
      <c r="B470" s="41" t="s">
        <v>3426</v>
      </c>
      <c r="C470" s="8"/>
      <c r="D470" s="8" t="s">
        <v>3877</v>
      </c>
      <c r="E470" s="0" t="s">
        <v>3878</v>
      </c>
      <c r="F470" s="0" t="s">
        <v>427</v>
      </c>
      <c r="G470" s="0" t="s">
        <v>427</v>
      </c>
      <c r="H470" s="0" t="s">
        <v>427</v>
      </c>
      <c r="I470" s="0" t="s">
        <v>3879</v>
      </c>
      <c r="K470" s="44" t="str">
        <f aca="false">INDEX(libraries!$B:$B, MATCH(B470, libraries!$A:$A, 0), 1)</f>
        <v>sam0286</v>
      </c>
      <c r="L470" s="44" t="n">
        <f aca="false">INDEX(samples!$F:$F, MATCH(K470, samples!$A:$A, 0), 1)</f>
        <v>0</v>
      </c>
      <c r="M470" s="55" t="str">
        <f aca="false">INDEX(samples!$C:$C, MATCH(K470, samples!$A:$A, 0), 1)</f>
        <v>2017-05-09</v>
      </c>
      <c r="N470" s="44" t="str">
        <f aca="false">INDEX(samples!$B:$B, MATCH(K470, samples!$A:$A, 0), 1)</f>
        <v>par0182</v>
      </c>
      <c r="O470" s="44" t="s">
        <v>1036</v>
      </c>
      <c r="P470" s="8" t="s">
        <v>3880</v>
      </c>
      <c r="Q470" s="8" t="s">
        <v>36</v>
      </c>
      <c r="R470" s="33" t="s">
        <v>3881</v>
      </c>
      <c r="T470" s="8"/>
    </row>
    <row r="471" customFormat="false" ht="13.8" hidden="false" customHeight="false" outlineLevel="0" collapsed="false">
      <c r="A471" s="25" t="s">
        <v>4752</v>
      </c>
      <c r="B471" s="41" t="s">
        <v>3427</v>
      </c>
      <c r="C471" s="8"/>
      <c r="D471" s="8" t="s">
        <v>3877</v>
      </c>
      <c r="E471" s="0" t="s">
        <v>3878</v>
      </c>
      <c r="F471" s="0" t="s">
        <v>427</v>
      </c>
      <c r="G471" s="0" t="s">
        <v>427</v>
      </c>
      <c r="H471" s="0" t="s">
        <v>427</v>
      </c>
      <c r="I471" s="0" t="s">
        <v>3879</v>
      </c>
      <c r="K471" s="44" t="str">
        <f aca="false">INDEX(libraries!$B:$B, MATCH(B471, libraries!$A:$A, 0), 1)</f>
        <v>sam0287</v>
      </c>
      <c r="L471" s="44" t="n">
        <f aca="false">INDEX(samples!$F:$F, MATCH(K471, samples!$A:$A, 0), 1)</f>
        <v>0</v>
      </c>
      <c r="M471" s="55" t="str">
        <f aca="false">INDEX(samples!$C:$C, MATCH(K471, samples!$A:$A, 0), 1)</f>
        <v>2021-10-21</v>
      </c>
      <c r="N471" s="44" t="str">
        <f aca="false">INDEX(samples!$B:$B, MATCH(K471, samples!$A:$A, 0), 1)</f>
        <v>par0030</v>
      </c>
      <c r="O471" s="44" t="s">
        <v>594</v>
      </c>
      <c r="P471" s="8" t="s">
        <v>3880</v>
      </c>
      <c r="Q471" s="8" t="s">
        <v>36</v>
      </c>
      <c r="R471" s="33" t="s">
        <v>3881</v>
      </c>
      <c r="T471" s="8"/>
    </row>
    <row r="472" customFormat="false" ht="13.8" hidden="false" customHeight="false" outlineLevel="0" collapsed="false">
      <c r="A472" s="25" t="s">
        <v>4753</v>
      </c>
      <c r="B472" s="41" t="s">
        <v>3428</v>
      </c>
      <c r="C472" s="8"/>
      <c r="D472" s="8" t="s">
        <v>3877</v>
      </c>
      <c r="E472" s="0" t="s">
        <v>3878</v>
      </c>
      <c r="F472" s="0" t="s">
        <v>427</v>
      </c>
      <c r="G472" s="0" t="s">
        <v>427</v>
      </c>
      <c r="H472" s="0" t="s">
        <v>427</v>
      </c>
      <c r="I472" s="0" t="s">
        <v>3879</v>
      </c>
      <c r="K472" s="44" t="str">
        <f aca="false">INDEX(libraries!$B:$B, MATCH(B472, libraries!$A:$A, 0), 1)</f>
        <v>sam0288</v>
      </c>
      <c r="L472" s="44" t="n">
        <f aca="false">INDEX(samples!$F:$F, MATCH(K472, samples!$A:$A, 0), 1)</f>
        <v>0</v>
      </c>
      <c r="M472" s="55" t="str">
        <f aca="false">INDEX(samples!$C:$C, MATCH(K472, samples!$A:$A, 0), 1)</f>
        <v>2019-01-02</v>
      </c>
      <c r="N472" s="44" t="str">
        <f aca="false">INDEX(samples!$B:$B, MATCH(K472, samples!$A:$A, 0), 1)</f>
        <v>par0184</v>
      </c>
      <c r="O472" s="44" t="s">
        <v>1039</v>
      </c>
      <c r="P472" s="8" t="s">
        <v>3880</v>
      </c>
      <c r="Q472" s="8" t="s">
        <v>36</v>
      </c>
      <c r="R472" s="33" t="s">
        <v>3881</v>
      </c>
      <c r="T472" s="8"/>
    </row>
    <row r="473" customFormat="false" ht="13.8" hidden="false" customHeight="false" outlineLevel="0" collapsed="false">
      <c r="A473" s="25" t="s">
        <v>4754</v>
      </c>
      <c r="B473" s="41" t="s">
        <v>3429</v>
      </c>
      <c r="C473" s="8"/>
      <c r="D473" s="8" t="s">
        <v>3877</v>
      </c>
      <c r="E473" s="0" t="s">
        <v>3878</v>
      </c>
      <c r="F473" s="0" t="s">
        <v>427</v>
      </c>
      <c r="G473" s="0" t="s">
        <v>427</v>
      </c>
      <c r="H473" s="0" t="s">
        <v>427</v>
      </c>
      <c r="I473" s="0" t="s">
        <v>3879</v>
      </c>
      <c r="K473" s="44" t="str">
        <f aca="false">INDEX(libraries!$B:$B, MATCH(B473, libraries!$A:$A, 0), 1)</f>
        <v>sam0289</v>
      </c>
      <c r="L473" s="44" t="n">
        <f aca="false">INDEX(samples!$F:$F, MATCH(K473, samples!$A:$A, 0), 1)</f>
        <v>0</v>
      </c>
      <c r="M473" s="55" t="str">
        <f aca="false">INDEX(samples!$C:$C, MATCH(K473, samples!$A:$A, 0), 1)</f>
        <v>2022-03-16</v>
      </c>
      <c r="N473" s="44" t="str">
        <f aca="false">INDEX(samples!$B:$B, MATCH(K473, samples!$A:$A, 0), 1)</f>
        <v>par0185</v>
      </c>
      <c r="O473" s="44" t="s">
        <v>1042</v>
      </c>
      <c r="P473" s="8" t="s">
        <v>3880</v>
      </c>
      <c r="Q473" s="8" t="s">
        <v>36</v>
      </c>
      <c r="R473" s="33" t="s">
        <v>3881</v>
      </c>
      <c r="T473" s="8"/>
    </row>
    <row r="474" customFormat="false" ht="13.8" hidden="false" customHeight="false" outlineLevel="0" collapsed="false">
      <c r="A474" s="25" t="s">
        <v>4755</v>
      </c>
      <c r="B474" s="41" t="s">
        <v>3430</v>
      </c>
      <c r="C474" s="8"/>
      <c r="D474" s="8" t="s">
        <v>3877</v>
      </c>
      <c r="E474" s="0" t="s">
        <v>3878</v>
      </c>
      <c r="F474" s="0" t="s">
        <v>427</v>
      </c>
      <c r="G474" s="0" t="s">
        <v>427</v>
      </c>
      <c r="H474" s="0" t="s">
        <v>427</v>
      </c>
      <c r="I474" s="0" t="s">
        <v>3879</v>
      </c>
      <c r="K474" s="44" t="str">
        <f aca="false">INDEX(libraries!$B:$B, MATCH(B474, libraries!$A:$A, 0), 1)</f>
        <v>sam0290</v>
      </c>
      <c r="L474" s="44" t="n">
        <f aca="false">INDEX(samples!$F:$F, MATCH(K474, samples!$A:$A, 0), 1)</f>
        <v>0</v>
      </c>
      <c r="M474" s="55" t="str">
        <f aca="false">INDEX(samples!$C:$C, MATCH(K474, samples!$A:$A, 0), 1)</f>
        <v>2021-12-14</v>
      </c>
      <c r="N474" s="44" t="str">
        <f aca="false">INDEX(samples!$B:$B, MATCH(K474, samples!$A:$A, 0), 1)</f>
        <v>par0238</v>
      </c>
      <c r="O474" s="44" t="s">
        <v>1236</v>
      </c>
      <c r="P474" s="8" t="s">
        <v>3880</v>
      </c>
      <c r="Q474" s="8" t="s">
        <v>36</v>
      </c>
      <c r="R474" s="33" t="s">
        <v>3881</v>
      </c>
      <c r="T474" s="8"/>
    </row>
    <row r="475" customFormat="false" ht="13.8" hidden="false" customHeight="false" outlineLevel="0" collapsed="false">
      <c r="A475" s="25" t="s">
        <v>4756</v>
      </c>
      <c r="B475" s="41" t="s">
        <v>3431</v>
      </c>
      <c r="C475" s="8"/>
      <c r="D475" s="8" t="s">
        <v>3877</v>
      </c>
      <c r="E475" s="0" t="s">
        <v>3878</v>
      </c>
      <c r="F475" s="0" t="s">
        <v>427</v>
      </c>
      <c r="G475" s="0" t="s">
        <v>427</v>
      </c>
      <c r="H475" s="0" t="s">
        <v>427</v>
      </c>
      <c r="I475" s="0" t="s">
        <v>3879</v>
      </c>
      <c r="K475" s="44" t="str">
        <f aca="false">INDEX(libraries!$B:$B, MATCH(B475, libraries!$A:$A, 0), 1)</f>
        <v>sam0291</v>
      </c>
      <c r="L475" s="44" t="n">
        <f aca="false">INDEX(samples!$F:$F, MATCH(K475, samples!$A:$A, 0), 1)</f>
        <v>0</v>
      </c>
      <c r="M475" s="55" t="str">
        <f aca="false">INDEX(samples!$C:$C, MATCH(K475, samples!$A:$A, 0), 1)</f>
        <v>2021-05-04</v>
      </c>
      <c r="N475" s="44" t="str">
        <f aca="false">INDEX(samples!$B:$B, MATCH(K475, samples!$A:$A, 0), 1)</f>
        <v>par0027</v>
      </c>
      <c r="O475" s="44" t="s">
        <v>583</v>
      </c>
      <c r="P475" s="8" t="s">
        <v>3880</v>
      </c>
      <c r="Q475" s="8" t="s">
        <v>36</v>
      </c>
      <c r="R475" s="33" t="s">
        <v>3881</v>
      </c>
      <c r="T475" s="8"/>
    </row>
    <row r="476" customFormat="false" ht="13.8" hidden="false" customHeight="false" outlineLevel="0" collapsed="false">
      <c r="A476" s="25" t="s">
        <v>4757</v>
      </c>
      <c r="B476" s="41" t="s">
        <v>3432</v>
      </c>
      <c r="C476" s="8"/>
      <c r="D476" s="8" t="s">
        <v>3877</v>
      </c>
      <c r="E476" s="0" t="s">
        <v>3878</v>
      </c>
      <c r="F476" s="0" t="s">
        <v>427</v>
      </c>
      <c r="G476" s="0" t="s">
        <v>427</v>
      </c>
      <c r="H476" s="0" t="s">
        <v>427</v>
      </c>
      <c r="I476" s="0" t="s">
        <v>3879</v>
      </c>
      <c r="K476" s="44" t="str">
        <f aca="false">INDEX(libraries!$B:$B, MATCH(B476, libraries!$A:$A, 0), 1)</f>
        <v>sam0292</v>
      </c>
      <c r="L476" s="44" t="n">
        <f aca="false">INDEX(samples!$F:$F, MATCH(K476, samples!$A:$A, 0), 1)</f>
        <v>0</v>
      </c>
      <c r="M476" s="55" t="str">
        <f aca="false">INDEX(samples!$C:$C, MATCH(K476, samples!$A:$A, 0), 1)</f>
        <v>2016-01-08</v>
      </c>
      <c r="N476" s="44" t="str">
        <f aca="false">INDEX(samples!$B:$B, MATCH(K476, samples!$A:$A, 0), 1)</f>
        <v>par0035</v>
      </c>
      <c r="O476" s="44" t="s">
        <v>612</v>
      </c>
      <c r="P476" s="8" t="s">
        <v>3880</v>
      </c>
      <c r="Q476" s="8" t="s">
        <v>36</v>
      </c>
      <c r="R476" s="33" t="s">
        <v>3881</v>
      </c>
      <c r="T476" s="8"/>
    </row>
    <row r="477" customFormat="false" ht="13.8" hidden="false" customHeight="false" outlineLevel="0" collapsed="false">
      <c r="A477" s="25" t="s">
        <v>4758</v>
      </c>
      <c r="B477" s="41" t="s">
        <v>3433</v>
      </c>
      <c r="C477" s="8"/>
      <c r="D477" s="8" t="s">
        <v>3877</v>
      </c>
      <c r="E477" s="0" t="s">
        <v>3878</v>
      </c>
      <c r="F477" s="0" t="s">
        <v>427</v>
      </c>
      <c r="G477" s="0" t="s">
        <v>427</v>
      </c>
      <c r="H477" s="0" t="s">
        <v>427</v>
      </c>
      <c r="I477" s="0" t="s">
        <v>3879</v>
      </c>
      <c r="K477" s="44" t="str">
        <f aca="false">INDEX(libraries!$B:$B, MATCH(B477, libraries!$A:$A, 0), 1)</f>
        <v>sam0293</v>
      </c>
      <c r="L477" s="44" t="n">
        <f aca="false">INDEX(samples!$F:$F, MATCH(K477, samples!$A:$A, 0), 1)</f>
        <v>0</v>
      </c>
      <c r="M477" s="55" t="str">
        <f aca="false">INDEX(samples!$C:$C, MATCH(K477, samples!$A:$A, 0), 1)</f>
        <v>2022-01-24</v>
      </c>
      <c r="N477" s="44" t="str">
        <f aca="false">INDEX(samples!$B:$B, MATCH(K477, samples!$A:$A, 0), 1)</f>
        <v>par0189</v>
      </c>
      <c r="O477" s="44" t="s">
        <v>1045</v>
      </c>
      <c r="P477" s="8" t="s">
        <v>3880</v>
      </c>
      <c r="Q477" s="8" t="s">
        <v>36</v>
      </c>
      <c r="R477" s="33" t="s">
        <v>3881</v>
      </c>
      <c r="T477" s="8"/>
    </row>
    <row r="478" customFormat="false" ht="13.8" hidden="false" customHeight="false" outlineLevel="0" collapsed="false">
      <c r="A478" s="25" t="s">
        <v>4759</v>
      </c>
      <c r="B478" s="41" t="s">
        <v>3434</v>
      </c>
      <c r="C478" s="8"/>
      <c r="D478" s="8" t="s">
        <v>3877</v>
      </c>
      <c r="E478" s="0" t="s">
        <v>3878</v>
      </c>
      <c r="F478" s="0" t="s">
        <v>427</v>
      </c>
      <c r="G478" s="0" t="s">
        <v>427</v>
      </c>
      <c r="H478" s="0" t="s">
        <v>427</v>
      </c>
      <c r="I478" s="0" t="s">
        <v>3879</v>
      </c>
      <c r="K478" s="44" t="str">
        <f aca="false">INDEX(libraries!$B:$B, MATCH(B478, libraries!$A:$A, 0), 1)</f>
        <v>sam0294</v>
      </c>
      <c r="L478" s="44" t="n">
        <f aca="false">INDEX(samples!$F:$F, MATCH(K478, samples!$A:$A, 0), 1)</f>
        <v>0</v>
      </c>
      <c r="M478" s="55" t="str">
        <f aca="false">INDEX(samples!$C:$C, MATCH(K478, samples!$A:$A, 0), 1)</f>
        <v>2017-12-11</v>
      </c>
      <c r="N478" s="44" t="str">
        <f aca="false">INDEX(samples!$B:$B, MATCH(K478, samples!$A:$A, 0), 1)</f>
        <v>par0190</v>
      </c>
      <c r="O478" s="44" t="s">
        <v>1048</v>
      </c>
      <c r="P478" s="8" t="s">
        <v>3880</v>
      </c>
      <c r="Q478" s="8" t="s">
        <v>36</v>
      </c>
      <c r="R478" s="33" t="s">
        <v>3881</v>
      </c>
      <c r="T478" s="8"/>
    </row>
    <row r="479" customFormat="false" ht="13.8" hidden="false" customHeight="false" outlineLevel="0" collapsed="false">
      <c r="A479" s="25" t="s">
        <v>4760</v>
      </c>
      <c r="B479" s="41" t="s">
        <v>3435</v>
      </c>
      <c r="C479" s="8"/>
      <c r="D479" s="8" t="s">
        <v>3877</v>
      </c>
      <c r="E479" s="0" t="s">
        <v>3878</v>
      </c>
      <c r="F479" s="0" t="s">
        <v>427</v>
      </c>
      <c r="G479" s="0" t="s">
        <v>427</v>
      </c>
      <c r="H479" s="0" t="s">
        <v>427</v>
      </c>
      <c r="I479" s="0" t="s">
        <v>3879</v>
      </c>
      <c r="K479" s="44" t="str">
        <f aca="false">INDEX(libraries!$B:$B, MATCH(B479, libraries!$A:$A, 0), 1)</f>
        <v>sam0295</v>
      </c>
      <c r="L479" s="44" t="n">
        <f aca="false">INDEX(samples!$F:$F, MATCH(K479, samples!$A:$A, 0), 1)</f>
        <v>0</v>
      </c>
      <c r="M479" s="55" t="str">
        <f aca="false">INDEX(samples!$C:$C, MATCH(K479, samples!$A:$A, 0), 1)</f>
        <v>2020-01-13</v>
      </c>
      <c r="N479" s="44" t="str">
        <f aca="false">INDEX(samples!$B:$B, MATCH(K479, samples!$A:$A, 0), 1)</f>
        <v>par0191</v>
      </c>
      <c r="O479" s="44" t="s">
        <v>1052</v>
      </c>
      <c r="P479" s="8" t="s">
        <v>3880</v>
      </c>
      <c r="Q479" s="8" t="s">
        <v>36</v>
      </c>
      <c r="R479" s="33" t="s">
        <v>3881</v>
      </c>
      <c r="T479" s="8"/>
    </row>
    <row r="480" customFormat="false" ht="13.8" hidden="false" customHeight="false" outlineLevel="0" collapsed="false">
      <c r="A480" s="25" t="s">
        <v>4761</v>
      </c>
      <c r="B480" s="41" t="s">
        <v>3436</v>
      </c>
      <c r="C480" s="8"/>
      <c r="D480" s="8" t="s">
        <v>3877</v>
      </c>
      <c r="E480" s="0" t="s">
        <v>3878</v>
      </c>
      <c r="F480" s="0" t="s">
        <v>427</v>
      </c>
      <c r="G480" s="0" t="s">
        <v>427</v>
      </c>
      <c r="H480" s="0" t="s">
        <v>427</v>
      </c>
      <c r="I480" s="0" t="s">
        <v>3879</v>
      </c>
      <c r="K480" s="44" t="str">
        <f aca="false">INDEX(libraries!$B:$B, MATCH(B480, libraries!$A:$A, 0), 1)</f>
        <v>sam0296</v>
      </c>
      <c r="L480" s="44" t="n">
        <f aca="false">INDEX(samples!$F:$F, MATCH(K480, samples!$A:$A, 0), 1)</f>
        <v>0</v>
      </c>
      <c r="M480" s="55" t="str">
        <f aca="false">INDEX(samples!$C:$C, MATCH(K480, samples!$A:$A, 0), 1)</f>
        <v>2021-03-30</v>
      </c>
      <c r="N480" s="44" t="str">
        <f aca="false">INDEX(samples!$B:$B, MATCH(K480, samples!$A:$A, 0), 1)</f>
        <v>par0080</v>
      </c>
      <c r="O480" s="44" t="s">
        <v>696</v>
      </c>
      <c r="P480" s="8" t="s">
        <v>3880</v>
      </c>
      <c r="Q480" s="8" t="s">
        <v>36</v>
      </c>
      <c r="R480" s="33" t="s">
        <v>3881</v>
      </c>
      <c r="T480" s="8"/>
    </row>
    <row r="481" customFormat="false" ht="13.8" hidden="false" customHeight="false" outlineLevel="0" collapsed="false">
      <c r="A481" s="25" t="s">
        <v>4762</v>
      </c>
      <c r="B481" s="41" t="s">
        <v>3437</v>
      </c>
      <c r="C481" s="8"/>
      <c r="D481" s="8" t="s">
        <v>3877</v>
      </c>
      <c r="E481" s="0" t="s">
        <v>3878</v>
      </c>
      <c r="F481" s="0" t="s">
        <v>427</v>
      </c>
      <c r="G481" s="0" t="s">
        <v>427</v>
      </c>
      <c r="H481" s="0" t="s">
        <v>427</v>
      </c>
      <c r="I481" s="0" t="s">
        <v>3879</v>
      </c>
      <c r="K481" s="44" t="str">
        <f aca="false">INDEX(libraries!$B:$B, MATCH(B481, libraries!$A:$A, 0), 1)</f>
        <v>sam0297</v>
      </c>
      <c r="L481" s="44" t="n">
        <f aca="false">INDEX(samples!$F:$F, MATCH(K481, samples!$A:$A, 0), 1)</f>
        <v>0</v>
      </c>
      <c r="M481" s="55" t="str">
        <f aca="false">INDEX(samples!$C:$C, MATCH(K481, samples!$A:$A, 0), 1)</f>
        <v>2021-08-24</v>
      </c>
      <c r="N481" s="44" t="str">
        <f aca="false">INDEX(samples!$B:$B, MATCH(K481, samples!$A:$A, 0), 1)</f>
        <v>par0193</v>
      </c>
      <c r="O481" s="44" t="s">
        <v>1056</v>
      </c>
      <c r="P481" s="8" t="s">
        <v>3880</v>
      </c>
      <c r="Q481" s="8" t="s">
        <v>36</v>
      </c>
      <c r="R481" s="33" t="s">
        <v>3881</v>
      </c>
      <c r="T481" s="8"/>
    </row>
    <row r="482" customFormat="false" ht="13.8" hidden="false" customHeight="false" outlineLevel="0" collapsed="false">
      <c r="A482" s="25" t="s">
        <v>4763</v>
      </c>
      <c r="B482" s="41" t="s">
        <v>3438</v>
      </c>
      <c r="C482" s="8"/>
      <c r="D482" s="8" t="s">
        <v>3877</v>
      </c>
      <c r="E482" s="0" t="s">
        <v>3878</v>
      </c>
      <c r="F482" s="0" t="s">
        <v>427</v>
      </c>
      <c r="G482" s="0" t="s">
        <v>427</v>
      </c>
      <c r="H482" s="0" t="s">
        <v>427</v>
      </c>
      <c r="I482" s="0" t="s">
        <v>3879</v>
      </c>
      <c r="K482" s="44" t="str">
        <f aca="false">INDEX(libraries!$B:$B, MATCH(B482, libraries!$A:$A, 0), 1)</f>
        <v>sam0298</v>
      </c>
      <c r="L482" s="44" t="n">
        <f aca="false">INDEX(samples!$F:$F, MATCH(K482, samples!$A:$A, 0), 1)</f>
        <v>0</v>
      </c>
      <c r="M482" s="55" t="str">
        <f aca="false">INDEX(samples!$C:$C, MATCH(K482, samples!$A:$A, 0), 1)</f>
        <v>2021-10-26</v>
      </c>
      <c r="N482" s="44" t="str">
        <f aca="false">INDEX(samples!$B:$B, MATCH(K482, samples!$A:$A, 0), 1)</f>
        <v>par0218</v>
      </c>
      <c r="O482" s="44" t="s">
        <v>1151</v>
      </c>
      <c r="P482" s="8" t="s">
        <v>3880</v>
      </c>
      <c r="Q482" s="8" t="s">
        <v>36</v>
      </c>
      <c r="R482" s="33" t="s">
        <v>3881</v>
      </c>
      <c r="T482" s="8"/>
    </row>
    <row r="483" customFormat="false" ht="13.8" hidden="false" customHeight="false" outlineLevel="0" collapsed="false">
      <c r="A483" s="25" t="s">
        <v>4764</v>
      </c>
      <c r="B483" s="41" t="s">
        <v>3326</v>
      </c>
      <c r="C483" s="8" t="s">
        <v>427</v>
      </c>
      <c r="D483" s="8" t="s">
        <v>3877</v>
      </c>
      <c r="E483" s="0" t="s">
        <v>3878</v>
      </c>
      <c r="F483" s="0" t="s">
        <v>427</v>
      </c>
      <c r="G483" s="0" t="s">
        <v>427</v>
      </c>
      <c r="H483" s="0" t="s">
        <v>427</v>
      </c>
      <c r="I483" s="0" t="s">
        <v>4765</v>
      </c>
      <c r="K483" s="44" t="str">
        <f aca="false">INDEX(libraries!$B:$B, MATCH(B483, libraries!$A:$A, 0), 1)</f>
        <v>sam0185</v>
      </c>
      <c r="L483" s="44" t="n">
        <f aca="false">INDEX(samples!$F:$F, MATCH(K483, samples!$A:$A, 0), 1)</f>
        <v>0</v>
      </c>
      <c r="M483" s="55" t="str">
        <f aca="false">INDEX(samples!$C:$C, MATCH(K483, samples!$A:$A, 0), 1)</f>
        <v>2019-06-25</v>
      </c>
      <c r="N483" s="44" t="str">
        <f aca="false">INDEX(samples!$B:$B, MATCH(K483, samples!$A:$A, 0), 1)</f>
        <v>par0096</v>
      </c>
      <c r="O483" s="44" t="s">
        <v>765</v>
      </c>
      <c r="P483" s="8" t="s">
        <v>3880</v>
      </c>
      <c r="Q483" s="8" t="s">
        <v>36</v>
      </c>
      <c r="R483" s="33" t="s">
        <v>3881</v>
      </c>
      <c r="T483" s="8"/>
    </row>
    <row r="484" customFormat="false" ht="13.8" hidden="false" customHeight="false" outlineLevel="0" collapsed="false">
      <c r="A484" s="25" t="s">
        <v>4766</v>
      </c>
      <c r="B484" s="41" t="s">
        <v>3342</v>
      </c>
      <c r="C484" s="8" t="s">
        <v>427</v>
      </c>
      <c r="D484" s="8" t="s">
        <v>3877</v>
      </c>
      <c r="E484" s="0" t="s">
        <v>3878</v>
      </c>
      <c r="F484" s="0" t="s">
        <v>427</v>
      </c>
      <c r="G484" s="0" t="s">
        <v>427</v>
      </c>
      <c r="H484" s="0" t="s">
        <v>427</v>
      </c>
      <c r="I484" s="0" t="s">
        <v>4765</v>
      </c>
      <c r="K484" s="44" t="str">
        <f aca="false">INDEX(libraries!$B:$B, MATCH(B484, libraries!$A:$A, 0), 1)</f>
        <v>sam0188</v>
      </c>
      <c r="L484" s="44" t="n">
        <f aca="false">INDEX(samples!$F:$F, MATCH(K484, samples!$A:$A, 0), 1)</f>
        <v>0</v>
      </c>
      <c r="M484" s="55" t="str">
        <f aca="false">INDEX(samples!$C:$C, MATCH(K484, samples!$A:$A, 0), 1)</f>
        <v>GET</v>
      </c>
      <c r="N484" s="44" t="str">
        <f aca="false">INDEX(samples!$B:$B, MATCH(K484, samples!$A:$A, 0), 1)</f>
        <v>par0082</v>
      </c>
      <c r="O484" s="44" t="s">
        <v>707</v>
      </c>
      <c r="P484" s="8" t="s">
        <v>3880</v>
      </c>
      <c r="Q484" s="8" t="s">
        <v>36</v>
      </c>
      <c r="R484" s="33" t="s">
        <v>3881</v>
      </c>
      <c r="T484" s="8"/>
    </row>
    <row r="485" customFormat="false" ht="13.8" hidden="false" customHeight="false" outlineLevel="0" collapsed="false">
      <c r="A485" s="25" t="s">
        <v>4767</v>
      </c>
      <c r="B485" s="41" t="s">
        <v>3300</v>
      </c>
      <c r="C485" s="8" t="s">
        <v>427</v>
      </c>
      <c r="D485" s="8" t="s">
        <v>3877</v>
      </c>
      <c r="E485" s="0" t="s">
        <v>3878</v>
      </c>
      <c r="F485" s="0" t="s">
        <v>427</v>
      </c>
      <c r="G485" s="0" t="s">
        <v>427</v>
      </c>
      <c r="H485" s="0" t="s">
        <v>427</v>
      </c>
      <c r="I485" s="0" t="s">
        <v>4765</v>
      </c>
      <c r="K485" s="44" t="str">
        <f aca="false">INDEX(libraries!$B:$B, MATCH(B485, libraries!$A:$A, 0), 1)</f>
        <v>sam0178</v>
      </c>
      <c r="L485" s="44" t="n">
        <f aca="false">INDEX(samples!$F:$F, MATCH(K485, samples!$A:$A, 0), 1)</f>
        <v>0</v>
      </c>
      <c r="M485" s="55" t="str">
        <f aca="false">INDEX(samples!$C:$C, MATCH(K485, samples!$A:$A, 0), 1)</f>
        <v>GET</v>
      </c>
      <c r="N485" s="44" t="str">
        <f aca="false">INDEX(samples!$B:$B, MATCH(K485, samples!$A:$A, 0), 1)</f>
        <v>par0083</v>
      </c>
      <c r="O485" s="44" t="s">
        <v>713</v>
      </c>
      <c r="P485" s="8" t="s">
        <v>3880</v>
      </c>
      <c r="Q485" s="8" t="s">
        <v>36</v>
      </c>
      <c r="R485" s="33" t="s">
        <v>3881</v>
      </c>
      <c r="T485" s="8"/>
    </row>
    <row r="486" customFormat="false" ht="13.8" hidden="false" customHeight="false" outlineLevel="0" collapsed="false">
      <c r="A486" s="25" t="s">
        <v>4768</v>
      </c>
      <c r="B486" s="41" t="s">
        <v>3357</v>
      </c>
      <c r="C486" s="8" t="s">
        <v>427</v>
      </c>
      <c r="D486" s="8" t="s">
        <v>3877</v>
      </c>
      <c r="E486" s="0" t="s">
        <v>3878</v>
      </c>
      <c r="F486" s="0" t="s">
        <v>427</v>
      </c>
      <c r="G486" s="0" t="s">
        <v>427</v>
      </c>
      <c r="H486" s="0" t="s">
        <v>427</v>
      </c>
      <c r="I486" s="0" t="s">
        <v>4765</v>
      </c>
      <c r="K486" s="44" t="str">
        <f aca="false">INDEX(libraries!$B:$B, MATCH(B486, libraries!$A:$A, 0), 1)</f>
        <v>sam0189</v>
      </c>
      <c r="L486" s="44" t="n">
        <f aca="false">INDEX(samples!$F:$F, MATCH(K486, samples!$A:$A, 0), 1)</f>
        <v>0</v>
      </c>
      <c r="M486" s="55" t="str">
        <f aca="false">INDEX(samples!$C:$C, MATCH(K486, samples!$A:$A, 0), 1)</f>
        <v>2019-07-30</v>
      </c>
      <c r="N486" s="44" t="str">
        <f aca="false">INDEX(samples!$B:$B, MATCH(K486, samples!$A:$A, 0), 1)</f>
        <v>par0100</v>
      </c>
      <c r="O486" s="44" t="s">
        <v>782</v>
      </c>
      <c r="P486" s="8" t="s">
        <v>3880</v>
      </c>
      <c r="Q486" s="8" t="s">
        <v>36</v>
      </c>
      <c r="R486" s="33" t="s">
        <v>3881</v>
      </c>
      <c r="T486" s="8"/>
    </row>
    <row r="487" customFormat="false" ht="13.8" hidden="false" customHeight="false" outlineLevel="0" collapsed="false">
      <c r="A487" s="25" t="s">
        <v>4769</v>
      </c>
      <c r="B487" s="41" t="s">
        <v>3304</v>
      </c>
      <c r="C487" s="8" t="s">
        <v>427</v>
      </c>
      <c r="D487" s="8" t="s">
        <v>3877</v>
      </c>
      <c r="E487" s="0" t="s">
        <v>3878</v>
      </c>
      <c r="F487" s="0" t="s">
        <v>427</v>
      </c>
      <c r="G487" s="0" t="s">
        <v>427</v>
      </c>
      <c r="H487" s="0" t="s">
        <v>427</v>
      </c>
      <c r="I487" s="0" t="s">
        <v>4765</v>
      </c>
      <c r="K487" s="44" t="str">
        <f aca="false">INDEX(libraries!$B:$B, MATCH(B487, libraries!$A:$A, 0), 1)</f>
        <v>sam0180</v>
      </c>
      <c r="L487" s="44" t="n">
        <f aca="false">INDEX(samples!$F:$F, MATCH(K487, samples!$A:$A, 0), 1)</f>
        <v>0</v>
      </c>
      <c r="M487" s="55" t="str">
        <f aca="false">INDEX(samples!$C:$C, MATCH(K487, samples!$A:$A, 0), 1)</f>
        <v>GET</v>
      </c>
      <c r="N487" s="44" t="str">
        <f aca="false">INDEX(samples!$B:$B, MATCH(K487, samples!$A:$A, 0), 1)</f>
        <v>par0102</v>
      </c>
      <c r="O487" s="44" t="s">
        <v>793</v>
      </c>
      <c r="P487" s="8" t="s">
        <v>3880</v>
      </c>
      <c r="Q487" s="8" t="s">
        <v>36</v>
      </c>
      <c r="R487" s="33" t="s">
        <v>3881</v>
      </c>
      <c r="T487" s="8"/>
    </row>
    <row r="488" customFormat="false" ht="13.8" hidden="false" customHeight="false" outlineLevel="0" collapsed="false">
      <c r="A488" s="25" t="s">
        <v>4770</v>
      </c>
      <c r="B488" s="41" t="s">
        <v>3341</v>
      </c>
      <c r="C488" s="8" t="s">
        <v>427</v>
      </c>
      <c r="D488" s="8" t="s">
        <v>3877</v>
      </c>
      <c r="E488" s="0" t="s">
        <v>3878</v>
      </c>
      <c r="F488" s="0" t="s">
        <v>427</v>
      </c>
      <c r="G488" s="0" t="s">
        <v>427</v>
      </c>
      <c r="H488" s="0" t="s">
        <v>427</v>
      </c>
      <c r="I488" s="0" t="s">
        <v>4765</v>
      </c>
      <c r="K488" s="44" t="str">
        <f aca="false">INDEX(libraries!$B:$B, MATCH(B488, libraries!$A:$A, 0), 1)</f>
        <v>sam0187</v>
      </c>
      <c r="L488" s="44" t="n">
        <f aca="false">INDEX(samples!$F:$F, MATCH(K488, samples!$A:$A, 0), 1)</f>
        <v>0</v>
      </c>
      <c r="M488" s="55" t="str">
        <f aca="false">INDEX(samples!$C:$C, MATCH(K488, samples!$A:$A, 0), 1)</f>
        <v>GET</v>
      </c>
      <c r="N488" s="44" t="str">
        <f aca="false">INDEX(samples!$B:$B, MATCH(K488, samples!$A:$A, 0), 1)</f>
        <v>par0084</v>
      </c>
      <c r="O488" s="44" t="s">
        <v>719</v>
      </c>
      <c r="P488" s="8" t="s">
        <v>3880</v>
      </c>
      <c r="Q488" s="8" t="s">
        <v>36</v>
      </c>
      <c r="R488" s="33" t="s">
        <v>3881</v>
      </c>
      <c r="T488" s="8"/>
    </row>
    <row r="489" customFormat="false" ht="13.8" hidden="false" customHeight="false" outlineLevel="0" collapsed="false">
      <c r="A489" s="25" t="s">
        <v>4771</v>
      </c>
      <c r="B489" s="41" t="s">
        <v>3301</v>
      </c>
      <c r="C489" s="8" t="s">
        <v>427</v>
      </c>
      <c r="D489" s="8" t="s">
        <v>3877</v>
      </c>
      <c r="E489" s="0" t="s">
        <v>3878</v>
      </c>
      <c r="F489" s="0" t="s">
        <v>427</v>
      </c>
      <c r="G489" s="0" t="s">
        <v>427</v>
      </c>
      <c r="H489" s="0" t="s">
        <v>427</v>
      </c>
      <c r="I489" s="0" t="s">
        <v>4765</v>
      </c>
      <c r="K489" s="44" t="str">
        <f aca="false">INDEX(libraries!$B:$B, MATCH(B489, libraries!$A:$A, 0), 1)</f>
        <v>sam0179</v>
      </c>
      <c r="L489" s="44" t="n">
        <f aca="false">INDEX(samples!$F:$F, MATCH(K489, samples!$A:$A, 0), 1)</f>
        <v>0</v>
      </c>
      <c r="M489" s="55" t="str">
        <f aca="false">INDEX(samples!$C:$C, MATCH(K489, samples!$A:$A, 0), 1)</f>
        <v>2019-07-30</v>
      </c>
      <c r="N489" s="44" t="str">
        <f aca="false">INDEX(samples!$B:$B, MATCH(K489, samples!$A:$A, 0), 1)</f>
        <v>par0100</v>
      </c>
      <c r="O489" s="44" t="s">
        <v>782</v>
      </c>
      <c r="P489" s="8" t="s">
        <v>3880</v>
      </c>
      <c r="Q489" s="8" t="s">
        <v>36</v>
      </c>
      <c r="R489" s="33" t="s">
        <v>3881</v>
      </c>
      <c r="T489" s="8"/>
    </row>
    <row r="490" customFormat="false" ht="13.8" hidden="false" customHeight="false" outlineLevel="0" collapsed="false">
      <c r="A490" s="25" t="s">
        <v>4772</v>
      </c>
      <c r="B490" s="41" t="s">
        <v>3340</v>
      </c>
      <c r="C490" s="8" t="s">
        <v>427</v>
      </c>
      <c r="D490" s="8" t="s">
        <v>3877</v>
      </c>
      <c r="E490" s="0" t="s">
        <v>3878</v>
      </c>
      <c r="F490" s="0" t="s">
        <v>427</v>
      </c>
      <c r="G490" s="0" t="s">
        <v>427</v>
      </c>
      <c r="H490" s="0" t="s">
        <v>427</v>
      </c>
      <c r="I490" s="0" t="s">
        <v>4765</v>
      </c>
      <c r="K490" s="44" t="str">
        <f aca="false">INDEX(libraries!$B:$B, MATCH(B490, libraries!$A:$A, 0), 1)</f>
        <v>sam0186</v>
      </c>
      <c r="L490" s="44" t="n">
        <f aca="false">INDEX(samples!$F:$F, MATCH(K490, samples!$A:$A, 0), 1)</f>
        <v>0</v>
      </c>
      <c r="M490" s="55" t="str">
        <f aca="false">INDEX(samples!$C:$C, MATCH(K490, samples!$A:$A, 0), 1)</f>
        <v>GET</v>
      </c>
      <c r="N490" s="44" t="str">
        <f aca="false">INDEX(samples!$B:$B, MATCH(K490, samples!$A:$A, 0), 1)</f>
        <v>par0104</v>
      </c>
      <c r="O490" s="44" t="s">
        <v>802</v>
      </c>
      <c r="P490" s="8" t="s">
        <v>3880</v>
      </c>
      <c r="Q490" s="8" t="s">
        <v>36</v>
      </c>
      <c r="R490" s="33" t="s">
        <v>3881</v>
      </c>
      <c r="T490" s="8"/>
    </row>
    <row r="491" customFormat="false" ht="13.8" hidden="false" customHeight="false" outlineLevel="0" collapsed="false">
      <c r="A491" s="25" t="s">
        <v>4773</v>
      </c>
      <c r="B491" s="41" t="s">
        <v>3308</v>
      </c>
      <c r="C491" s="8" t="s">
        <v>427</v>
      </c>
      <c r="D491" s="8" t="s">
        <v>3877</v>
      </c>
      <c r="E491" s="0" t="s">
        <v>3878</v>
      </c>
      <c r="F491" s="0" t="s">
        <v>427</v>
      </c>
      <c r="G491" s="0" t="s">
        <v>427</v>
      </c>
      <c r="H491" s="0" t="s">
        <v>427</v>
      </c>
      <c r="I491" s="0" t="s">
        <v>4765</v>
      </c>
      <c r="K491" s="44" t="str">
        <f aca="false">INDEX(libraries!$B:$B, MATCH(B491, libraries!$A:$A, 0), 1)</f>
        <v>sam0182</v>
      </c>
      <c r="L491" s="44" t="n">
        <f aca="false">INDEX(samples!$F:$F, MATCH(K491, samples!$A:$A, 0), 1)</f>
        <v>0</v>
      </c>
      <c r="M491" s="55" t="str">
        <f aca="false">INDEX(samples!$C:$C, MATCH(K491, samples!$A:$A, 0), 1)</f>
        <v>2019-06-27</v>
      </c>
      <c r="N491" s="44" t="str">
        <f aca="false">INDEX(samples!$B:$B, MATCH(K491, samples!$A:$A, 0), 1)</f>
        <v>par0098</v>
      </c>
      <c r="O491" s="44" t="s">
        <v>774</v>
      </c>
      <c r="P491" s="8" t="s">
        <v>3880</v>
      </c>
      <c r="Q491" s="8" t="s">
        <v>36</v>
      </c>
      <c r="R491" s="33" t="s">
        <v>3881</v>
      </c>
      <c r="T491" s="8"/>
    </row>
    <row r="492" customFormat="false" ht="13.8" hidden="false" customHeight="false" outlineLevel="0" collapsed="false">
      <c r="A492" s="25" t="s">
        <v>4774</v>
      </c>
      <c r="B492" s="41" t="s">
        <v>3297</v>
      </c>
      <c r="C492" s="8" t="s">
        <v>427</v>
      </c>
      <c r="D492" s="8" t="s">
        <v>3877</v>
      </c>
      <c r="E492" s="0" t="s">
        <v>3878</v>
      </c>
      <c r="F492" s="0" t="s">
        <v>427</v>
      </c>
      <c r="G492" s="0" t="s">
        <v>427</v>
      </c>
      <c r="H492" s="0" t="s">
        <v>427</v>
      </c>
      <c r="I492" s="0" t="s">
        <v>4765</v>
      </c>
      <c r="K492" s="44" t="str">
        <f aca="false">INDEX(libraries!$B:$B, MATCH(B492, libraries!$A:$A, 0), 1)</f>
        <v>sam0176</v>
      </c>
      <c r="L492" s="44" t="n">
        <f aca="false">INDEX(samples!$F:$F, MATCH(K492, samples!$A:$A, 0), 1)</f>
        <v>0</v>
      </c>
      <c r="M492" s="55" t="str">
        <f aca="false">INDEX(samples!$C:$C, MATCH(K492, samples!$A:$A, 0), 1)</f>
        <v>GET</v>
      </c>
      <c r="N492" s="44" t="str">
        <f aca="false">INDEX(samples!$B:$B, MATCH(K492, samples!$A:$A, 0), 1)</f>
        <v>par0085</v>
      </c>
      <c r="O492" s="44" t="s">
        <v>724</v>
      </c>
      <c r="P492" s="8" t="s">
        <v>3880</v>
      </c>
      <c r="Q492" s="8" t="s">
        <v>36</v>
      </c>
      <c r="R492" s="33" t="s">
        <v>3881</v>
      </c>
      <c r="T492" s="8"/>
    </row>
    <row r="493" customFormat="false" ht="13.8" hidden="false" customHeight="false" outlineLevel="0" collapsed="false">
      <c r="A493" s="25" t="s">
        <v>4775</v>
      </c>
      <c r="B493" s="41" t="s">
        <v>3319</v>
      </c>
      <c r="C493" s="8" t="s">
        <v>427</v>
      </c>
      <c r="D493" s="8" t="s">
        <v>3877</v>
      </c>
      <c r="E493" s="0" t="s">
        <v>3878</v>
      </c>
      <c r="F493" s="0" t="s">
        <v>427</v>
      </c>
      <c r="G493" s="0" t="s">
        <v>427</v>
      </c>
      <c r="H493" s="0" t="s">
        <v>427</v>
      </c>
      <c r="I493" s="0" t="s">
        <v>4765</v>
      </c>
      <c r="K493" s="44" t="str">
        <f aca="false">INDEX(libraries!$B:$B, MATCH(B493, libraries!$A:$A, 0), 1)</f>
        <v>sam0183</v>
      </c>
      <c r="L493" s="44" t="n">
        <f aca="false">INDEX(samples!$F:$F, MATCH(K493, samples!$A:$A, 0), 1)</f>
        <v>0</v>
      </c>
      <c r="M493" s="55" t="str">
        <f aca="false">INDEX(samples!$C:$C, MATCH(K493, samples!$A:$A, 0), 1)</f>
        <v>GET</v>
      </c>
      <c r="N493" s="44" t="str">
        <f aca="false">INDEX(samples!$B:$B, MATCH(K493, samples!$A:$A, 0), 1)</f>
        <v>par0093</v>
      </c>
      <c r="O493" s="44" t="s">
        <v>750</v>
      </c>
      <c r="P493" s="8" t="s">
        <v>3880</v>
      </c>
      <c r="Q493" s="8" t="s">
        <v>36</v>
      </c>
      <c r="R493" s="33" t="s">
        <v>3881</v>
      </c>
      <c r="T493" s="8"/>
    </row>
    <row r="494" customFormat="false" ht="13.8" hidden="false" customHeight="false" outlineLevel="0" collapsed="false">
      <c r="A494" s="25" t="s">
        <v>4776</v>
      </c>
      <c r="B494" s="41" t="s">
        <v>3285</v>
      </c>
      <c r="C494" s="8" t="s">
        <v>427</v>
      </c>
      <c r="D494" s="8" t="s">
        <v>3877</v>
      </c>
      <c r="E494" s="0" t="s">
        <v>3878</v>
      </c>
      <c r="F494" s="0" t="s">
        <v>427</v>
      </c>
      <c r="G494" s="0" t="s">
        <v>427</v>
      </c>
      <c r="H494" s="0" t="s">
        <v>427</v>
      </c>
      <c r="I494" s="0" t="s">
        <v>4765</v>
      </c>
      <c r="K494" s="44" t="str">
        <f aca="false">INDEX(libraries!$B:$B, MATCH(B494, libraries!$A:$A, 0), 1)</f>
        <v>sam0175</v>
      </c>
      <c r="L494" s="44" t="n">
        <f aca="false">INDEX(samples!$F:$F, MATCH(K494, samples!$A:$A, 0), 1)</f>
        <v>0</v>
      </c>
      <c r="M494" s="55" t="str">
        <f aca="false">INDEX(samples!$C:$C, MATCH(K494, samples!$A:$A, 0), 1)</f>
        <v>2019-07-25</v>
      </c>
      <c r="N494" s="44" t="str">
        <f aca="false">INDEX(samples!$B:$B, MATCH(K494, samples!$A:$A, 0), 1)</f>
        <v>par0095</v>
      </c>
      <c r="O494" s="44" t="s">
        <v>761</v>
      </c>
      <c r="P494" s="8" t="s">
        <v>3880</v>
      </c>
      <c r="Q494" s="8" t="s">
        <v>36</v>
      </c>
      <c r="R494" s="33" t="s">
        <v>3881</v>
      </c>
      <c r="T494" s="8"/>
    </row>
    <row r="495" customFormat="false" ht="13.8" hidden="false" customHeight="false" outlineLevel="0" collapsed="false">
      <c r="A495" s="25" t="s">
        <v>4777</v>
      </c>
      <c r="B495" s="41" t="s">
        <v>3320</v>
      </c>
      <c r="C495" s="8" t="s">
        <v>427</v>
      </c>
      <c r="D495" s="8" t="s">
        <v>3877</v>
      </c>
      <c r="E495" s="0" t="s">
        <v>3878</v>
      </c>
      <c r="F495" s="0" t="s">
        <v>427</v>
      </c>
      <c r="G495" s="0" t="s">
        <v>427</v>
      </c>
      <c r="H495" s="0" t="s">
        <v>427</v>
      </c>
      <c r="I495" s="0" t="s">
        <v>4765</v>
      </c>
      <c r="K495" s="44" t="str">
        <f aca="false">INDEX(libraries!$B:$B, MATCH(B495, libraries!$A:$A, 0), 1)</f>
        <v>sam0184</v>
      </c>
      <c r="L495" s="44" t="n">
        <f aca="false">INDEX(samples!$F:$F, MATCH(K495, samples!$A:$A, 0), 1)</f>
        <v>0</v>
      </c>
      <c r="M495" s="55" t="str">
        <f aca="false">INDEX(samples!$C:$C, MATCH(K495, samples!$A:$A, 0), 1)</f>
        <v>2019-11-21</v>
      </c>
      <c r="N495" s="44" t="str">
        <f aca="false">INDEX(samples!$B:$B, MATCH(K495, samples!$A:$A, 0), 1)</f>
        <v>par0106</v>
      </c>
      <c r="O495" s="44" t="s">
        <v>811</v>
      </c>
      <c r="P495" s="8" t="s">
        <v>3880</v>
      </c>
      <c r="Q495" s="8" t="s">
        <v>36</v>
      </c>
      <c r="R495" s="33" t="s">
        <v>3881</v>
      </c>
      <c r="T495" s="8"/>
    </row>
    <row r="496" customFormat="false" ht="13.8" hidden="false" customHeight="false" outlineLevel="0" collapsed="false">
      <c r="A496" s="25" t="s">
        <v>4778</v>
      </c>
      <c r="B496" s="41" t="s">
        <v>3277</v>
      </c>
      <c r="C496" s="8" t="s">
        <v>427</v>
      </c>
      <c r="D496" s="8" t="s">
        <v>3877</v>
      </c>
      <c r="E496" s="0" t="s">
        <v>3878</v>
      </c>
      <c r="F496" s="0" t="s">
        <v>427</v>
      </c>
      <c r="G496" s="0" t="s">
        <v>427</v>
      </c>
      <c r="H496" s="0" t="s">
        <v>427</v>
      </c>
      <c r="I496" s="0" t="s">
        <v>4765</v>
      </c>
      <c r="K496" s="44" t="str">
        <f aca="false">INDEX(libraries!$B:$B, MATCH(B496, libraries!$A:$A, 0), 1)</f>
        <v>sam0174</v>
      </c>
      <c r="L496" s="44" t="n">
        <f aca="false">INDEX(samples!$F:$F, MATCH(K496, samples!$A:$A, 0), 1)</f>
        <v>0</v>
      </c>
      <c r="M496" s="55" t="str">
        <f aca="false">INDEX(samples!$C:$C, MATCH(K496, samples!$A:$A, 0), 1)</f>
        <v>2019-10-01</v>
      </c>
      <c r="N496" s="44" t="str">
        <f aca="false">INDEX(samples!$B:$B, MATCH(K496, samples!$A:$A, 0), 1)</f>
        <v>par0094</v>
      </c>
      <c r="O496" s="44" t="s">
        <v>756</v>
      </c>
      <c r="P496" s="8" t="s">
        <v>3880</v>
      </c>
      <c r="Q496" s="8" t="s">
        <v>36</v>
      </c>
      <c r="R496" s="33" t="s">
        <v>3881</v>
      </c>
      <c r="T496" s="8"/>
    </row>
    <row r="497" customFormat="false" ht="13.8" hidden="false" customHeight="false" outlineLevel="0" collapsed="false">
      <c r="A497" s="25" t="s">
        <v>4779</v>
      </c>
      <c r="B497" s="41" t="s">
        <v>3307</v>
      </c>
      <c r="C497" s="8" t="s">
        <v>427</v>
      </c>
      <c r="D497" s="8" t="s">
        <v>3877</v>
      </c>
      <c r="E497" s="0" t="s">
        <v>3878</v>
      </c>
      <c r="F497" s="0" t="s">
        <v>427</v>
      </c>
      <c r="G497" s="0" t="s">
        <v>427</v>
      </c>
      <c r="H497" s="0" t="s">
        <v>427</v>
      </c>
      <c r="I497" s="0" t="s">
        <v>4765</v>
      </c>
      <c r="K497" s="44" t="str">
        <f aca="false">INDEX(libraries!$B:$B, MATCH(B497, libraries!$A:$A, 0), 1)</f>
        <v>sam0181</v>
      </c>
      <c r="L497" s="44" t="n">
        <f aca="false">INDEX(samples!$F:$F, MATCH(K497, samples!$A:$A, 0), 1)</f>
        <v>0</v>
      </c>
      <c r="M497" s="55" t="str">
        <f aca="false">INDEX(samples!$C:$C, MATCH(K497, samples!$A:$A, 0), 1)</f>
        <v>2019-12-31</v>
      </c>
      <c r="N497" s="44" t="str">
        <f aca="false">INDEX(samples!$B:$B, MATCH(K497, samples!$A:$A, 0), 1)</f>
        <v>par0108</v>
      </c>
      <c r="O497" s="44" t="s">
        <v>819</v>
      </c>
      <c r="P497" s="8" t="s">
        <v>3880</v>
      </c>
      <c r="Q497" s="8" t="s">
        <v>36</v>
      </c>
      <c r="R497" s="33" t="s">
        <v>3881</v>
      </c>
      <c r="T497" s="8"/>
    </row>
    <row r="498" customFormat="false" ht="13.8" hidden="false" customHeight="false" outlineLevel="0" collapsed="false">
      <c r="A498" s="25" t="s">
        <v>4780</v>
      </c>
      <c r="B498" s="41" t="s">
        <v>3298</v>
      </c>
      <c r="C498" s="8" t="s">
        <v>427</v>
      </c>
      <c r="D498" s="8" t="s">
        <v>3877</v>
      </c>
      <c r="E498" s="0" t="s">
        <v>3878</v>
      </c>
      <c r="F498" s="0" t="s">
        <v>427</v>
      </c>
      <c r="G498" s="0" t="s">
        <v>427</v>
      </c>
      <c r="H498" s="0" t="s">
        <v>427</v>
      </c>
      <c r="I498" s="0" t="s">
        <v>4765</v>
      </c>
      <c r="K498" s="44" t="str">
        <f aca="false">INDEX(libraries!$B:$B, MATCH(B498, libraries!$A:$A, 0), 1)</f>
        <v>sam0177</v>
      </c>
      <c r="L498" s="44" t="n">
        <f aca="false">INDEX(samples!$F:$F, MATCH(K498, samples!$A:$A, 0), 1)</f>
        <v>0</v>
      </c>
      <c r="M498" s="55" t="str">
        <f aca="false">INDEX(samples!$C:$C, MATCH(K498, samples!$A:$A, 0), 1)</f>
        <v>2019-07-17</v>
      </c>
      <c r="N498" s="44" t="str">
        <f aca="false">INDEX(samples!$B:$B, MATCH(K498, samples!$A:$A, 0), 1)</f>
        <v>par0090</v>
      </c>
      <c r="O498" s="44" t="s">
        <v>736</v>
      </c>
      <c r="P498" s="8" t="s">
        <v>3880</v>
      </c>
      <c r="Q498" s="8" t="s">
        <v>36</v>
      </c>
      <c r="R498" s="33" t="s">
        <v>3881</v>
      </c>
      <c r="T498" s="8"/>
    </row>
    <row r="499" customFormat="false" ht="13.8" hidden="false" customHeight="false" outlineLevel="0" collapsed="false">
      <c r="A499" s="25" t="s">
        <v>4781</v>
      </c>
      <c r="B499" s="41" t="s">
        <v>3278</v>
      </c>
      <c r="C499" s="8" t="s">
        <v>427</v>
      </c>
      <c r="D499" s="8" t="s">
        <v>3877</v>
      </c>
      <c r="E499" s="0" t="s">
        <v>3878</v>
      </c>
      <c r="F499" s="0" t="s">
        <v>427</v>
      </c>
      <c r="G499" s="0" t="s">
        <v>427</v>
      </c>
      <c r="H499" s="0" t="s">
        <v>427</v>
      </c>
      <c r="I499" s="0" t="s">
        <v>4765</v>
      </c>
      <c r="K499" s="44" t="str">
        <f aca="false">INDEX(libraries!$B:$B, MATCH(B499, libraries!$A:$A, 0), 1)</f>
        <v>sam0148</v>
      </c>
      <c r="L499" s="44" t="n">
        <f aca="false">INDEX(samples!$F:$F, MATCH(K499, samples!$A:$A, 0), 1)</f>
        <v>0</v>
      </c>
      <c r="M499" s="55" t="str">
        <f aca="false">INDEX(samples!$C:$C, MATCH(K499, samples!$A:$A, 0), 1)</f>
        <v>2019-12-10</v>
      </c>
      <c r="N499" s="44" t="str">
        <f aca="false">INDEX(samples!$B:$B, MATCH(K499, samples!$A:$A, 0), 1)</f>
        <v>par0086</v>
      </c>
      <c r="O499" s="44" t="s">
        <v>728</v>
      </c>
      <c r="P499" s="8" t="s">
        <v>3880</v>
      </c>
      <c r="Q499" s="8" t="s">
        <v>36</v>
      </c>
      <c r="R499" s="33" t="s">
        <v>3881</v>
      </c>
      <c r="T499" s="8"/>
    </row>
    <row r="500" customFormat="false" ht="13.8" hidden="false" customHeight="false" outlineLevel="0" collapsed="false">
      <c r="A500" s="25" t="s">
        <v>4782</v>
      </c>
      <c r="B500" s="41" t="s">
        <v>3280</v>
      </c>
      <c r="C500" s="8" t="s">
        <v>427</v>
      </c>
      <c r="D500" s="8" t="s">
        <v>3877</v>
      </c>
      <c r="E500" s="0" t="s">
        <v>3878</v>
      </c>
      <c r="F500" s="0" t="s">
        <v>427</v>
      </c>
      <c r="G500" s="0" t="s">
        <v>427</v>
      </c>
      <c r="H500" s="0" t="s">
        <v>427</v>
      </c>
      <c r="I500" s="0" t="s">
        <v>4765</v>
      </c>
      <c r="K500" s="44" t="str">
        <f aca="false">INDEX(libraries!$B:$B, MATCH(B500, libraries!$A:$A, 0), 1)</f>
        <v>sam0140</v>
      </c>
      <c r="L500" s="44" t="n">
        <f aca="false">INDEX(samples!$F:$F, MATCH(K500, samples!$A:$A, 0), 1)</f>
        <v>0</v>
      </c>
      <c r="M500" s="55" t="str">
        <f aca="false">INDEX(samples!$C:$C, MATCH(K500, samples!$A:$A, 0), 1)</f>
        <v>2019-12-26</v>
      </c>
      <c r="N500" s="44" t="str">
        <f aca="false">INDEX(samples!$B:$B, MATCH(K500, samples!$A:$A, 0), 1)</f>
        <v>par0085</v>
      </c>
      <c r="O500" s="44" t="s">
        <v>724</v>
      </c>
      <c r="P500" s="8" t="s">
        <v>3880</v>
      </c>
      <c r="Q500" s="8" t="s">
        <v>36</v>
      </c>
      <c r="R500" s="33" t="s">
        <v>3881</v>
      </c>
      <c r="T500" s="8"/>
    </row>
    <row r="501" customFormat="false" ht="13.8" hidden="false" customHeight="false" outlineLevel="0" collapsed="false">
      <c r="A501" s="25" t="s">
        <v>4783</v>
      </c>
      <c r="B501" s="41" t="s">
        <v>3313</v>
      </c>
      <c r="C501" s="8" t="s">
        <v>427</v>
      </c>
      <c r="D501" s="8" t="s">
        <v>3877</v>
      </c>
      <c r="E501" s="0" t="s">
        <v>3878</v>
      </c>
      <c r="F501" s="0" t="s">
        <v>427</v>
      </c>
      <c r="G501" s="0" t="s">
        <v>427</v>
      </c>
      <c r="H501" s="0" t="s">
        <v>427</v>
      </c>
      <c r="I501" s="0" t="s">
        <v>4765</v>
      </c>
      <c r="K501" s="44" t="str">
        <f aca="false">INDEX(libraries!$B:$B, MATCH(B501, libraries!$A:$A, 0), 1)</f>
        <v>sam0191</v>
      </c>
      <c r="L501" s="44" t="n">
        <f aca="false">INDEX(samples!$F:$F, MATCH(K501, samples!$A:$A, 0), 1)</f>
        <v>0</v>
      </c>
      <c r="M501" s="55" t="str">
        <f aca="false">INDEX(samples!$C:$C, MATCH(K501, samples!$A:$A, 0), 1)</f>
        <v>GET</v>
      </c>
      <c r="N501" s="44" t="str">
        <f aca="false">INDEX(samples!$B:$B, MATCH(K501, samples!$A:$A, 0), 1)</f>
        <v>par0103</v>
      </c>
      <c r="O501" s="44" t="s">
        <v>797</v>
      </c>
      <c r="P501" s="8" t="s">
        <v>3880</v>
      </c>
      <c r="Q501" s="8" t="s">
        <v>36</v>
      </c>
      <c r="R501" s="33" t="s">
        <v>3881</v>
      </c>
      <c r="T501" s="8"/>
    </row>
    <row r="502" customFormat="false" ht="13.8" hidden="false" customHeight="false" outlineLevel="0" collapsed="false">
      <c r="A502" s="25" t="s">
        <v>4784</v>
      </c>
      <c r="B502" s="41" t="s">
        <v>3333</v>
      </c>
      <c r="C502" s="8" t="s">
        <v>427</v>
      </c>
      <c r="D502" s="8" t="s">
        <v>3877</v>
      </c>
      <c r="E502" s="0" t="s">
        <v>3878</v>
      </c>
      <c r="F502" s="0" t="s">
        <v>427</v>
      </c>
      <c r="G502" s="0" t="s">
        <v>427</v>
      </c>
      <c r="H502" s="0" t="s">
        <v>427</v>
      </c>
      <c r="I502" s="0" t="s">
        <v>4765</v>
      </c>
      <c r="K502" s="44" t="str">
        <f aca="false">INDEX(libraries!$B:$B, MATCH(B502, libraries!$A:$A, 0), 1)</f>
        <v>sam0149</v>
      </c>
      <c r="L502" s="44" t="n">
        <f aca="false">INDEX(samples!$F:$F, MATCH(K502, samples!$A:$A, 0), 1)</f>
        <v>0</v>
      </c>
      <c r="M502" s="55" t="str">
        <f aca="false">INDEX(samples!$C:$C, MATCH(K502, samples!$A:$A, 0), 1)</f>
        <v>2019-12-31</v>
      </c>
      <c r="N502" s="44" t="str">
        <f aca="false">INDEX(samples!$B:$B, MATCH(K502, samples!$A:$A, 0), 1)</f>
        <v>par0108</v>
      </c>
      <c r="O502" s="44" t="s">
        <v>819</v>
      </c>
      <c r="P502" s="8" t="s">
        <v>3880</v>
      </c>
      <c r="Q502" s="8" t="s">
        <v>36</v>
      </c>
      <c r="R502" s="33" t="s">
        <v>3881</v>
      </c>
      <c r="T502" s="8"/>
    </row>
    <row r="503" customFormat="false" ht="13.8" hidden="false" customHeight="false" outlineLevel="0" collapsed="false">
      <c r="A503" s="25" t="s">
        <v>4785</v>
      </c>
      <c r="B503" s="41" t="s">
        <v>3351</v>
      </c>
      <c r="C503" s="8" t="s">
        <v>427</v>
      </c>
      <c r="D503" s="8" t="s">
        <v>3877</v>
      </c>
      <c r="E503" s="0" t="s">
        <v>3878</v>
      </c>
      <c r="F503" s="0" t="s">
        <v>427</v>
      </c>
      <c r="G503" s="0" t="s">
        <v>427</v>
      </c>
      <c r="H503" s="0" t="s">
        <v>427</v>
      </c>
      <c r="I503" s="0" t="s">
        <v>4765</v>
      </c>
      <c r="K503" s="44" t="str">
        <f aca="false">INDEX(libraries!$B:$B, MATCH(B503, libraries!$A:$A, 0), 1)</f>
        <v>sam0141</v>
      </c>
      <c r="L503" s="44" t="n">
        <f aca="false">INDEX(samples!$F:$F, MATCH(K503, samples!$A:$A, 0), 1)</f>
        <v>0</v>
      </c>
      <c r="M503" s="55" t="str">
        <f aca="false">INDEX(samples!$C:$C, MATCH(K503, samples!$A:$A, 0), 1)</f>
        <v>2020-01-02</v>
      </c>
      <c r="N503" s="44" t="str">
        <f aca="false">INDEX(samples!$B:$B, MATCH(K503, samples!$A:$A, 0), 1)</f>
        <v>par0085</v>
      </c>
      <c r="O503" s="44" t="s">
        <v>724</v>
      </c>
      <c r="P503" s="8" t="s">
        <v>3880</v>
      </c>
      <c r="Q503" s="8" t="s">
        <v>36</v>
      </c>
      <c r="R503" s="33" t="s">
        <v>3881</v>
      </c>
      <c r="T503" s="8"/>
    </row>
    <row r="504" customFormat="false" ht="13.8" hidden="false" customHeight="false" outlineLevel="0" collapsed="false">
      <c r="A504" s="25" t="s">
        <v>4786</v>
      </c>
      <c r="B504" s="41" t="s">
        <v>3294</v>
      </c>
      <c r="C504" s="8" t="s">
        <v>427</v>
      </c>
      <c r="D504" s="8" t="s">
        <v>3877</v>
      </c>
      <c r="E504" s="0" t="s">
        <v>3878</v>
      </c>
      <c r="F504" s="0" t="s">
        <v>427</v>
      </c>
      <c r="G504" s="0" t="s">
        <v>427</v>
      </c>
      <c r="H504" s="0" t="s">
        <v>427</v>
      </c>
      <c r="I504" s="0" t="s">
        <v>4765</v>
      </c>
      <c r="K504" s="44" t="str">
        <f aca="false">INDEX(libraries!$B:$B, MATCH(B504, libraries!$A:$A, 0), 1)</f>
        <v>sam0136</v>
      </c>
      <c r="L504" s="44" t="n">
        <f aca="false">INDEX(samples!$F:$F, MATCH(K504, samples!$A:$A, 0), 1)</f>
        <v>0</v>
      </c>
      <c r="M504" s="55" t="str">
        <f aca="false">INDEX(samples!$C:$C, MATCH(K504, samples!$A:$A, 0), 1)</f>
        <v>2019-12-31</v>
      </c>
      <c r="N504" s="44" t="str">
        <f aca="false">INDEX(samples!$B:$B, MATCH(K504, samples!$A:$A, 0), 1)</f>
        <v>par0084</v>
      </c>
      <c r="O504" s="44" t="s">
        <v>719</v>
      </c>
      <c r="P504" s="8" t="s">
        <v>3880</v>
      </c>
      <c r="Q504" s="8" t="s">
        <v>36</v>
      </c>
      <c r="R504" s="33" t="s">
        <v>3881</v>
      </c>
      <c r="T504" s="8"/>
    </row>
    <row r="505" customFormat="false" ht="13.8" hidden="false" customHeight="false" outlineLevel="0" collapsed="false">
      <c r="A505" s="25" t="s">
        <v>4787</v>
      </c>
      <c r="B505" s="41" t="s">
        <v>3324</v>
      </c>
      <c r="C505" s="8" t="s">
        <v>427</v>
      </c>
      <c r="D505" s="8" t="s">
        <v>3877</v>
      </c>
      <c r="E505" s="0" t="s">
        <v>3878</v>
      </c>
      <c r="F505" s="0" t="s">
        <v>427</v>
      </c>
      <c r="G505" s="0" t="s">
        <v>427</v>
      </c>
      <c r="H505" s="0" t="s">
        <v>427</v>
      </c>
      <c r="I505" s="0" t="s">
        <v>4765</v>
      </c>
      <c r="K505" s="44" t="str">
        <f aca="false">INDEX(libraries!$B:$B, MATCH(B505, libraries!$A:$A, 0), 1)</f>
        <v>sam0135</v>
      </c>
      <c r="L505" s="44" t="n">
        <f aca="false">INDEX(samples!$F:$F, MATCH(K505, samples!$A:$A, 0), 1)</f>
        <v>0</v>
      </c>
      <c r="M505" s="55" t="str">
        <f aca="false">INDEX(samples!$C:$C, MATCH(K505, samples!$A:$A, 0), 1)</f>
        <v>2019-12-10</v>
      </c>
      <c r="N505" s="44" t="str">
        <f aca="false">INDEX(samples!$B:$B, MATCH(K505, samples!$A:$A, 0), 1)</f>
        <v>par0084</v>
      </c>
      <c r="O505" s="44" t="s">
        <v>719</v>
      </c>
      <c r="P505" s="8" t="s">
        <v>3880</v>
      </c>
      <c r="Q505" s="8" t="s">
        <v>36</v>
      </c>
      <c r="R505" s="33" t="s">
        <v>3881</v>
      </c>
      <c r="T505" s="8"/>
    </row>
    <row r="506" customFormat="false" ht="13.8" hidden="false" customHeight="false" outlineLevel="0" collapsed="false">
      <c r="A506" s="25" t="s">
        <v>4788</v>
      </c>
      <c r="B506" s="41" t="s">
        <v>3358</v>
      </c>
      <c r="C506" s="8" t="s">
        <v>427</v>
      </c>
      <c r="D506" s="8" t="s">
        <v>3877</v>
      </c>
      <c r="E506" s="0" t="s">
        <v>3878</v>
      </c>
      <c r="F506" s="0" t="s">
        <v>427</v>
      </c>
      <c r="G506" s="0" t="s">
        <v>427</v>
      </c>
      <c r="H506" s="0" t="s">
        <v>427</v>
      </c>
      <c r="I506" s="0" t="s">
        <v>4765</v>
      </c>
      <c r="K506" s="44" t="str">
        <f aca="false">INDEX(libraries!$B:$B, MATCH(B506, libraries!$A:$A, 0), 1)</f>
        <v>sam0209</v>
      </c>
      <c r="L506" s="44" t="n">
        <f aca="false">INDEX(samples!$F:$F, MATCH(K506, samples!$A:$A, 0), 1)</f>
        <v>0</v>
      </c>
      <c r="M506" s="55" t="str">
        <f aca="false">INDEX(samples!$C:$C, MATCH(K506, samples!$A:$A, 0), 1)</f>
        <v>2018-11-21</v>
      </c>
      <c r="N506" s="44" t="str">
        <f aca="false">INDEX(samples!$B:$B, MATCH(K506, samples!$A:$A, 0), 1)</f>
        <v>par0066</v>
      </c>
      <c r="O506" s="44" t="n">
        <v>69</v>
      </c>
      <c r="P506" s="8" t="s">
        <v>3880</v>
      </c>
      <c r="Q506" s="8" t="s">
        <v>36</v>
      </c>
      <c r="R506" s="33" t="s">
        <v>4789</v>
      </c>
    </row>
    <row r="507" customFormat="false" ht="13.8" hidden="false" customHeight="false" outlineLevel="0" collapsed="false">
      <c r="A507" s="25" t="s">
        <v>4790</v>
      </c>
      <c r="B507" s="41" t="s">
        <v>3290</v>
      </c>
      <c r="C507" s="8" t="s">
        <v>427</v>
      </c>
      <c r="D507" s="8" t="s">
        <v>3877</v>
      </c>
      <c r="E507" s="0" t="s">
        <v>3878</v>
      </c>
      <c r="F507" s="0" t="s">
        <v>427</v>
      </c>
      <c r="G507" s="0" t="s">
        <v>427</v>
      </c>
      <c r="H507" s="0" t="s">
        <v>427</v>
      </c>
      <c r="I507" s="0" t="s">
        <v>4765</v>
      </c>
      <c r="K507" s="44" t="str">
        <f aca="false">INDEX(libraries!$B:$B, MATCH(B507, libraries!$A:$A, 0), 1)</f>
        <v>sam0018</v>
      </c>
      <c r="L507" s="44" t="n">
        <f aca="false">INDEX(samples!$F:$F, MATCH(K507, samples!$A:$A, 0), 1)</f>
        <v>0</v>
      </c>
      <c r="M507" s="55" t="str">
        <f aca="false">INDEX(samples!$C:$C, MATCH(K507, samples!$A:$A, 0), 1)</f>
        <v>2018-11-21</v>
      </c>
      <c r="N507" s="44" t="str">
        <f aca="false">INDEX(samples!$B:$B, MATCH(K507, samples!$A:$A, 0), 1)</f>
        <v>par0066</v>
      </c>
      <c r="O507" s="44" t="n">
        <v>69</v>
      </c>
      <c r="P507" s="8" t="s">
        <v>3880</v>
      </c>
      <c r="Q507" s="8" t="s">
        <v>36</v>
      </c>
      <c r="R507" s="33" t="s">
        <v>4789</v>
      </c>
    </row>
    <row r="508" customFormat="false" ht="13.8" hidden="false" customHeight="false" outlineLevel="0" collapsed="false">
      <c r="A508" s="25" t="s">
        <v>4791</v>
      </c>
      <c r="B508" s="41" t="s">
        <v>3274</v>
      </c>
      <c r="C508" s="8" t="s">
        <v>427</v>
      </c>
      <c r="D508" s="8" t="s">
        <v>3877</v>
      </c>
      <c r="E508" s="0" t="s">
        <v>3878</v>
      </c>
      <c r="F508" s="0" t="s">
        <v>427</v>
      </c>
      <c r="G508" s="0" t="s">
        <v>427</v>
      </c>
      <c r="H508" s="0" t="s">
        <v>427</v>
      </c>
      <c r="I508" s="0" t="s">
        <v>4765</v>
      </c>
      <c r="K508" s="44" t="str">
        <f aca="false">INDEX(libraries!$B:$B, MATCH(B508, libraries!$A:$A, 0), 1)</f>
        <v>sam0162</v>
      </c>
      <c r="L508" s="44" t="n">
        <f aca="false">INDEX(samples!$F:$F, MATCH(K508, samples!$A:$A, 0), 1)</f>
        <v>0</v>
      </c>
      <c r="M508" s="55" t="str">
        <f aca="false">INDEX(samples!$C:$C, MATCH(K508, samples!$A:$A, 0), 1)</f>
        <v>GET</v>
      </c>
      <c r="N508" s="44" t="str">
        <f aca="false">INDEX(samples!$B:$B, MATCH(K508, samples!$A:$A, 0), 1)</f>
        <v>par0073</v>
      </c>
      <c r="O508" s="44" t="s">
        <v>689</v>
      </c>
      <c r="P508" s="8" t="s">
        <v>3880</v>
      </c>
      <c r="Q508" s="8" t="s">
        <v>36</v>
      </c>
      <c r="R508" s="33" t="s">
        <v>4789</v>
      </c>
    </row>
    <row r="509" customFormat="false" ht="13.8" hidden="false" customHeight="false" outlineLevel="0" collapsed="false">
      <c r="A509" s="25" t="s">
        <v>4792</v>
      </c>
      <c r="B509" s="41" t="s">
        <v>3284</v>
      </c>
      <c r="C509" s="8" t="s">
        <v>427</v>
      </c>
      <c r="D509" s="8" t="s">
        <v>3877</v>
      </c>
      <c r="E509" s="0" t="s">
        <v>3878</v>
      </c>
      <c r="F509" s="0" t="s">
        <v>427</v>
      </c>
      <c r="G509" s="0" t="s">
        <v>427</v>
      </c>
      <c r="H509" s="0" t="s">
        <v>427</v>
      </c>
      <c r="I509" s="0" t="s">
        <v>4765</v>
      </c>
      <c r="K509" s="44" t="str">
        <f aca="false">INDEX(libraries!$B:$B, MATCH(B509, libraries!$A:$A, 0), 1)</f>
        <v>sam0106</v>
      </c>
      <c r="L509" s="44" t="n">
        <f aca="false">INDEX(samples!$F:$F, MATCH(K509, samples!$A:$A, 0), 1)</f>
        <v>0</v>
      </c>
      <c r="M509" s="55" t="str">
        <f aca="false">INDEX(samples!$C:$C, MATCH(K509, samples!$A:$A, 0), 1)</f>
        <v>2019-07-25</v>
      </c>
      <c r="N509" s="44" t="str">
        <f aca="false">INDEX(samples!$B:$B, MATCH(K509, samples!$A:$A, 0), 1)</f>
        <v>par0095</v>
      </c>
      <c r="O509" s="44" t="s">
        <v>761</v>
      </c>
      <c r="P509" s="8" t="s">
        <v>3880</v>
      </c>
      <c r="Q509" s="8" t="s">
        <v>36</v>
      </c>
      <c r="R509" s="33" t="s">
        <v>3881</v>
      </c>
    </row>
    <row r="510" customFormat="false" ht="13.8" hidden="false" customHeight="false" outlineLevel="0" collapsed="false">
      <c r="A510" s="25" t="s">
        <v>4793</v>
      </c>
      <c r="B510" s="41" t="s">
        <v>3286</v>
      </c>
      <c r="C510" s="8" t="s">
        <v>427</v>
      </c>
      <c r="D510" s="8" t="s">
        <v>3877</v>
      </c>
      <c r="E510" s="0" t="s">
        <v>3878</v>
      </c>
      <c r="F510" s="0" t="s">
        <v>427</v>
      </c>
      <c r="G510" s="0" t="s">
        <v>427</v>
      </c>
      <c r="H510" s="0" t="s">
        <v>427</v>
      </c>
      <c r="I510" s="0" t="s">
        <v>4765</v>
      </c>
      <c r="K510" s="44" t="str">
        <f aca="false">INDEX(libraries!$B:$B, MATCH(B510, libraries!$A:$A, 0), 1)</f>
        <v>sam0190</v>
      </c>
      <c r="L510" s="44" t="n">
        <f aca="false">INDEX(samples!$F:$F, MATCH(K510, samples!$A:$A, 0), 1)</f>
        <v>0</v>
      </c>
      <c r="M510" s="55" t="str">
        <f aca="false">INDEX(samples!$C:$C, MATCH(K510, samples!$A:$A, 0), 1)</f>
        <v>2019-06-13</v>
      </c>
      <c r="N510" s="44" t="str">
        <f aca="false">INDEX(samples!$B:$B, MATCH(K510, samples!$A:$A, 0), 1)</f>
        <v>par0097</v>
      </c>
      <c r="O510" s="44" t="s">
        <v>770</v>
      </c>
      <c r="P510" s="8" t="s">
        <v>3880</v>
      </c>
      <c r="Q510" s="8" t="s">
        <v>36</v>
      </c>
      <c r="R510" s="33" t="s">
        <v>3881</v>
      </c>
    </row>
    <row r="511" customFormat="false" ht="13.8" hidden="false" customHeight="false" outlineLevel="0" collapsed="false">
      <c r="A511" s="25" t="s">
        <v>4794</v>
      </c>
      <c r="B511" s="41" t="s">
        <v>3325</v>
      </c>
      <c r="C511" s="8" t="s">
        <v>427</v>
      </c>
      <c r="D511" s="8" t="s">
        <v>3877</v>
      </c>
      <c r="E511" s="0" t="s">
        <v>3878</v>
      </c>
      <c r="F511" s="0" t="s">
        <v>427</v>
      </c>
      <c r="G511" s="0" t="s">
        <v>427</v>
      </c>
      <c r="H511" s="0" t="s">
        <v>427</v>
      </c>
      <c r="I511" s="0" t="s">
        <v>4765</v>
      </c>
      <c r="K511" s="44" t="str">
        <f aca="false">INDEX(libraries!$B:$B, MATCH(B511, libraries!$A:$A, 0), 1)</f>
        <v>sam0096</v>
      </c>
      <c r="L511" s="44" t="n">
        <f aca="false">INDEX(samples!$F:$F, MATCH(K511, samples!$A:$A, 0), 1)</f>
        <v>0</v>
      </c>
      <c r="M511" s="55" t="str">
        <f aca="false">INDEX(samples!$C:$C, MATCH(K511, samples!$A:$A, 0), 1)</f>
        <v>2019-05-14</v>
      </c>
      <c r="N511" s="44" t="str">
        <f aca="false">INDEX(samples!$B:$B, MATCH(K511, samples!$A:$A, 0), 1)</f>
        <v>par0079</v>
      </c>
      <c r="O511" s="44" t="s">
        <v>692</v>
      </c>
      <c r="P511" s="8" t="s">
        <v>3880</v>
      </c>
      <c r="Q511" s="8" t="s">
        <v>36</v>
      </c>
      <c r="R511" s="33" t="s">
        <v>3881</v>
      </c>
    </row>
    <row r="512" customFormat="false" ht="13.8" hidden="false" customHeight="false" outlineLevel="0" collapsed="false">
      <c r="A512" s="25" t="s">
        <v>4795</v>
      </c>
      <c r="B512" s="41" t="s">
        <v>3289</v>
      </c>
      <c r="C512" s="8" t="s">
        <v>427</v>
      </c>
      <c r="D512" s="8" t="s">
        <v>3877</v>
      </c>
      <c r="E512" s="0" t="s">
        <v>3878</v>
      </c>
      <c r="F512" s="0" t="s">
        <v>427</v>
      </c>
      <c r="G512" s="0" t="s">
        <v>427</v>
      </c>
      <c r="H512" s="0" t="s">
        <v>427</v>
      </c>
      <c r="I512" s="0" t="s">
        <v>4765</v>
      </c>
      <c r="K512" s="44" t="str">
        <f aca="false">INDEX(libraries!$B:$B, MATCH(B512, libraries!$A:$A, 0), 1)</f>
        <v>sam0128</v>
      </c>
      <c r="L512" s="44" t="n">
        <f aca="false">INDEX(samples!$F:$F, MATCH(K512, samples!$A:$A, 0), 1)</f>
        <v>0</v>
      </c>
      <c r="M512" s="55" t="str">
        <f aca="false">INDEX(samples!$C:$C, MATCH(K512, samples!$A:$A, 0), 1)</f>
        <v>2019-07-30</v>
      </c>
      <c r="N512" s="44" t="str">
        <f aca="false">INDEX(samples!$B:$B, MATCH(K512, samples!$A:$A, 0), 1)</f>
        <v>par0100</v>
      </c>
      <c r="O512" s="44" t="s">
        <v>782</v>
      </c>
      <c r="P512" s="8" t="s">
        <v>3880</v>
      </c>
      <c r="Q512" s="8" t="s">
        <v>36</v>
      </c>
      <c r="R512" s="33" t="s">
        <v>3881</v>
      </c>
    </row>
    <row r="513" customFormat="false" ht="13.8" hidden="false" customHeight="false" outlineLevel="0" collapsed="false">
      <c r="A513" s="25" t="s">
        <v>4796</v>
      </c>
      <c r="B513" s="41" t="s">
        <v>3315</v>
      </c>
      <c r="C513" s="8" t="s">
        <v>427</v>
      </c>
      <c r="D513" s="8" t="s">
        <v>3877</v>
      </c>
      <c r="E513" s="0" t="s">
        <v>3878</v>
      </c>
      <c r="F513" s="0" t="s">
        <v>427</v>
      </c>
      <c r="G513" s="0" t="s">
        <v>427</v>
      </c>
      <c r="H513" s="0" t="s">
        <v>427</v>
      </c>
      <c r="I513" s="0" t="s">
        <v>4765</v>
      </c>
      <c r="K513" s="44" t="str">
        <f aca="false">INDEX(libraries!$B:$B, MATCH(B513, libraries!$A:$A, 0), 1)</f>
        <v>sam0102</v>
      </c>
      <c r="L513" s="44" t="n">
        <f aca="false">INDEX(samples!$F:$F, MATCH(K513, samples!$A:$A, 0), 1)</f>
        <v>0</v>
      </c>
      <c r="M513" s="55" t="str">
        <f aca="false">INDEX(samples!$C:$C, MATCH(K513, samples!$A:$A, 0), 1)</f>
        <v>2019-06-13</v>
      </c>
      <c r="N513" s="44" t="str">
        <f aca="false">INDEX(samples!$B:$B, MATCH(K513, samples!$A:$A, 0), 1)</f>
        <v>par0092</v>
      </c>
      <c r="O513" s="44" t="s">
        <v>745</v>
      </c>
      <c r="P513" s="8" t="s">
        <v>3880</v>
      </c>
      <c r="Q513" s="8" t="s">
        <v>36</v>
      </c>
      <c r="R513" s="33" t="s">
        <v>3881</v>
      </c>
    </row>
    <row r="514" customFormat="false" ht="13.8" hidden="false" customHeight="false" outlineLevel="0" collapsed="false">
      <c r="A514" s="25" t="s">
        <v>4797</v>
      </c>
      <c r="B514" s="41" t="s">
        <v>3318</v>
      </c>
      <c r="C514" s="8" t="s">
        <v>427</v>
      </c>
      <c r="D514" s="8" t="s">
        <v>3877</v>
      </c>
      <c r="E514" s="0" t="s">
        <v>3878</v>
      </c>
      <c r="F514" s="0" t="s">
        <v>427</v>
      </c>
      <c r="G514" s="0" t="s">
        <v>427</v>
      </c>
      <c r="H514" s="0" t="s">
        <v>427</v>
      </c>
      <c r="I514" s="0" t="s">
        <v>4765</v>
      </c>
      <c r="K514" s="44" t="str">
        <f aca="false">INDEX(libraries!$B:$B, MATCH(B514, libraries!$A:$A, 0), 1)</f>
        <v>sam0103</v>
      </c>
      <c r="L514" s="44" t="n">
        <f aca="false">INDEX(samples!$F:$F, MATCH(K514, samples!$A:$A, 0), 1)</f>
        <v>0</v>
      </c>
      <c r="M514" s="55" t="str">
        <f aca="false">INDEX(samples!$C:$C, MATCH(K514, samples!$A:$A, 0), 1)</f>
        <v>2019-06-26</v>
      </c>
      <c r="N514" s="44" t="str">
        <f aca="false">INDEX(samples!$B:$B, MATCH(K514, samples!$A:$A, 0), 1)</f>
        <v>par0093</v>
      </c>
      <c r="O514" s="44" t="s">
        <v>750</v>
      </c>
      <c r="P514" s="8" t="s">
        <v>3880</v>
      </c>
      <c r="Q514" s="8" t="s">
        <v>36</v>
      </c>
      <c r="R514" s="33" t="s">
        <v>3881</v>
      </c>
    </row>
    <row r="515" customFormat="false" ht="13.8" hidden="false" customHeight="false" outlineLevel="0" collapsed="false">
      <c r="A515" s="25" t="s">
        <v>4798</v>
      </c>
      <c r="B515" s="41" t="s">
        <v>3345</v>
      </c>
      <c r="C515" s="8" t="s">
        <v>427</v>
      </c>
      <c r="D515" s="8" t="s">
        <v>3877</v>
      </c>
      <c r="E515" s="0" t="s">
        <v>3878</v>
      </c>
      <c r="F515" s="0" t="s">
        <v>427</v>
      </c>
      <c r="G515" s="0" t="s">
        <v>427</v>
      </c>
      <c r="H515" s="0" t="s">
        <v>427</v>
      </c>
      <c r="I515" s="0" t="s">
        <v>4765</v>
      </c>
      <c r="K515" s="44" t="str">
        <f aca="false">INDEX(libraries!$B:$B, MATCH(B515, libraries!$A:$A, 0), 1)</f>
        <v>sam0127</v>
      </c>
      <c r="L515" s="44" t="n">
        <f aca="false">INDEX(samples!$F:$F, MATCH(K515, samples!$A:$A, 0), 1)</f>
        <v>0</v>
      </c>
      <c r="M515" s="55" t="str">
        <f aca="false">INDEX(samples!$C:$C, MATCH(K515, samples!$A:$A, 0), 1)</f>
        <v>2019-07-25</v>
      </c>
      <c r="N515" s="44" t="str">
        <f aca="false">INDEX(samples!$B:$B, MATCH(K515, samples!$A:$A, 0), 1)</f>
        <v>par0099</v>
      </c>
      <c r="O515" s="44" t="s">
        <v>778</v>
      </c>
      <c r="P515" s="8" t="s">
        <v>3880</v>
      </c>
      <c r="Q515" s="8" t="s">
        <v>36</v>
      </c>
      <c r="R515" s="33" t="s">
        <v>3881</v>
      </c>
    </row>
    <row r="516" customFormat="false" ht="13.8" hidden="false" customHeight="false" outlineLevel="0" collapsed="false">
      <c r="A516" s="25" t="s">
        <v>4799</v>
      </c>
      <c r="B516" s="41" t="s">
        <v>3339</v>
      </c>
      <c r="C516" s="8" t="s">
        <v>427</v>
      </c>
      <c r="D516" s="8" t="s">
        <v>3877</v>
      </c>
      <c r="E516" s="0" t="s">
        <v>3878</v>
      </c>
      <c r="F516" s="0" t="s">
        <v>427</v>
      </c>
      <c r="G516" s="0" t="s">
        <v>427</v>
      </c>
      <c r="H516" s="0" t="s">
        <v>427</v>
      </c>
      <c r="I516" s="0" t="s">
        <v>4765</v>
      </c>
      <c r="K516" s="44" t="str">
        <f aca="false">INDEX(libraries!$B:$B, MATCH(B516, libraries!$A:$A, 0), 1)</f>
        <v>sam0108</v>
      </c>
      <c r="L516" s="44" t="n">
        <f aca="false">INDEX(samples!$F:$F, MATCH(K516, samples!$A:$A, 0), 1)</f>
        <v>0</v>
      </c>
      <c r="M516" s="55" t="str">
        <f aca="false">INDEX(samples!$C:$C, MATCH(K516, samples!$A:$A, 0), 1)</f>
        <v>2019-05-29</v>
      </c>
      <c r="N516" s="44" t="str">
        <f aca="false">INDEX(samples!$B:$B, MATCH(K516, samples!$A:$A, 0), 1)</f>
        <v>par0080</v>
      </c>
      <c r="O516" s="44" t="s">
        <v>696</v>
      </c>
      <c r="P516" s="8" t="s">
        <v>3880</v>
      </c>
      <c r="Q516" s="8" t="s">
        <v>36</v>
      </c>
      <c r="R516" s="33" t="s">
        <v>3881</v>
      </c>
    </row>
    <row r="517" customFormat="false" ht="13.8" hidden="false" customHeight="false" outlineLevel="0" collapsed="false">
      <c r="A517" s="25" t="s">
        <v>4800</v>
      </c>
      <c r="B517" s="41" t="s">
        <v>3295</v>
      </c>
      <c r="C517" s="8" t="s">
        <v>427</v>
      </c>
      <c r="D517" s="8" t="s">
        <v>3877</v>
      </c>
      <c r="E517" s="0" t="s">
        <v>3878</v>
      </c>
      <c r="F517" s="0" t="s">
        <v>427</v>
      </c>
      <c r="G517" s="0" t="s">
        <v>427</v>
      </c>
      <c r="H517" s="0" t="s">
        <v>427</v>
      </c>
      <c r="I517" s="0" t="s">
        <v>4765</v>
      </c>
      <c r="K517" s="44" t="str">
        <f aca="false">INDEX(libraries!$B:$B, MATCH(B517, libraries!$A:$A, 0), 1)</f>
        <v>sam0097</v>
      </c>
      <c r="L517" s="44" t="n">
        <f aca="false">INDEX(samples!$F:$F, MATCH(K517, samples!$A:$A, 0), 1)</f>
        <v>0</v>
      </c>
      <c r="M517" s="55" t="str">
        <f aca="false">INDEX(samples!$C:$C, MATCH(K517, samples!$A:$A, 0), 1)</f>
        <v>2019-05-08</v>
      </c>
      <c r="N517" s="44" t="str">
        <f aca="false">INDEX(samples!$B:$B, MATCH(K517, samples!$A:$A, 0), 1)</f>
        <v>par0079</v>
      </c>
      <c r="O517" s="44" t="s">
        <v>692</v>
      </c>
      <c r="P517" s="8" t="s">
        <v>3880</v>
      </c>
      <c r="Q517" s="8" t="s">
        <v>36</v>
      </c>
      <c r="R517" s="33" t="s">
        <v>3881</v>
      </c>
    </row>
    <row r="518" customFormat="false" ht="13.8" hidden="false" customHeight="false" outlineLevel="0" collapsed="false">
      <c r="A518" s="25" t="s">
        <v>4801</v>
      </c>
      <c r="B518" s="41" t="s">
        <v>3309</v>
      </c>
      <c r="C518" s="8" t="s">
        <v>427</v>
      </c>
      <c r="D518" s="8" t="s">
        <v>3877</v>
      </c>
      <c r="E518" s="0" t="s">
        <v>3878</v>
      </c>
      <c r="F518" s="0" t="s">
        <v>427</v>
      </c>
      <c r="G518" s="0" t="s">
        <v>427</v>
      </c>
      <c r="H518" s="0" t="s">
        <v>427</v>
      </c>
      <c r="I518" s="0" t="s">
        <v>4765</v>
      </c>
      <c r="K518" s="44" t="str">
        <f aca="false">INDEX(libraries!$B:$B, MATCH(B518, libraries!$A:$A, 0), 1)</f>
        <v>sam0123</v>
      </c>
      <c r="L518" s="44" t="n">
        <f aca="false">INDEX(samples!$F:$F, MATCH(K518, samples!$A:$A, 0), 1)</f>
        <v>0</v>
      </c>
      <c r="M518" s="55" t="str">
        <f aca="false">INDEX(samples!$C:$C, MATCH(K518, samples!$A:$A, 0), 1)</f>
        <v>2019-06-11</v>
      </c>
      <c r="N518" s="44" t="str">
        <f aca="false">INDEX(samples!$B:$B, MATCH(K518, samples!$A:$A, 0), 1)</f>
        <v>par0082</v>
      </c>
      <c r="O518" s="44" t="s">
        <v>707</v>
      </c>
      <c r="P518" s="8" t="s">
        <v>3880</v>
      </c>
      <c r="Q518" s="8" t="s">
        <v>36</v>
      </c>
      <c r="R518" s="33" t="s">
        <v>3881</v>
      </c>
    </row>
    <row r="519" customFormat="false" ht="13.8" hidden="false" customHeight="false" outlineLevel="0" collapsed="false">
      <c r="A519" s="25" t="s">
        <v>4802</v>
      </c>
      <c r="B519" s="41" t="s">
        <v>3292</v>
      </c>
      <c r="C519" s="8" t="s">
        <v>427</v>
      </c>
      <c r="D519" s="8" t="s">
        <v>3877</v>
      </c>
      <c r="E519" s="0" t="s">
        <v>3878</v>
      </c>
      <c r="F519" s="0" t="s">
        <v>427</v>
      </c>
      <c r="G519" s="0" t="s">
        <v>427</v>
      </c>
      <c r="H519" s="0" t="s">
        <v>427</v>
      </c>
      <c r="I519" s="0" t="s">
        <v>4765</v>
      </c>
      <c r="K519" s="44" t="str">
        <f aca="false">INDEX(libraries!$B:$B, MATCH(B519, libraries!$A:$A, 0), 1)</f>
        <v>sam0126</v>
      </c>
      <c r="L519" s="44" t="n">
        <f aca="false">INDEX(samples!$F:$F, MATCH(K519, samples!$A:$A, 0), 1)</f>
        <v>0</v>
      </c>
      <c r="M519" s="55" t="str">
        <f aca="false">INDEX(samples!$C:$C, MATCH(K519, samples!$A:$A, 0), 1)</f>
        <v>2019-06-27</v>
      </c>
      <c r="N519" s="44" t="str">
        <f aca="false">INDEX(samples!$B:$B, MATCH(K519, samples!$A:$A, 0), 1)</f>
        <v>par0098</v>
      </c>
      <c r="O519" s="44" t="s">
        <v>774</v>
      </c>
      <c r="P519" s="8" t="s">
        <v>3880</v>
      </c>
      <c r="Q519" s="8" t="s">
        <v>36</v>
      </c>
      <c r="R519" s="33" t="s">
        <v>3881</v>
      </c>
    </row>
    <row r="520" customFormat="false" ht="13.8" hidden="false" customHeight="false" outlineLevel="0" collapsed="false">
      <c r="A520" s="25" t="s">
        <v>4803</v>
      </c>
      <c r="B520" s="41" t="s">
        <v>3312</v>
      </c>
      <c r="C520" s="8" t="s">
        <v>427</v>
      </c>
      <c r="D520" s="8" t="s">
        <v>3877</v>
      </c>
      <c r="E520" s="0" t="s">
        <v>3878</v>
      </c>
      <c r="F520" s="0" t="s">
        <v>427</v>
      </c>
      <c r="G520" s="0" t="s">
        <v>427</v>
      </c>
      <c r="H520" s="0" t="s">
        <v>427</v>
      </c>
      <c r="I520" s="0" t="s">
        <v>4765</v>
      </c>
      <c r="K520" s="44" t="str">
        <f aca="false">INDEX(libraries!$B:$B, MATCH(B520, libraries!$A:$A, 0), 1)</f>
        <v>sam0124</v>
      </c>
      <c r="L520" s="44" t="n">
        <f aca="false">INDEX(samples!$F:$F, MATCH(K520, samples!$A:$A, 0), 1)</f>
        <v>0</v>
      </c>
      <c r="M520" s="55" t="str">
        <f aca="false">INDEX(samples!$C:$C, MATCH(K520, samples!$A:$A, 0), 1)</f>
        <v>2019-07-23</v>
      </c>
      <c r="N520" s="44" t="str">
        <f aca="false">INDEX(samples!$B:$B, MATCH(K520, samples!$A:$A, 0), 1)</f>
        <v>par0082</v>
      </c>
      <c r="O520" s="44" t="s">
        <v>707</v>
      </c>
      <c r="P520" s="8" t="s">
        <v>3880</v>
      </c>
      <c r="Q520" s="8" t="s">
        <v>36</v>
      </c>
      <c r="R520" s="33" t="s">
        <v>3881</v>
      </c>
    </row>
    <row r="521" customFormat="false" ht="13.8" hidden="false" customHeight="false" outlineLevel="0" collapsed="false">
      <c r="A521" s="25" t="s">
        <v>4804</v>
      </c>
      <c r="B521" s="41" t="s">
        <v>3327</v>
      </c>
      <c r="C521" s="8" t="s">
        <v>427</v>
      </c>
      <c r="D521" s="8" t="s">
        <v>3877</v>
      </c>
      <c r="E521" s="0" t="s">
        <v>3878</v>
      </c>
      <c r="F521" s="0" t="s">
        <v>427</v>
      </c>
      <c r="G521" s="0" t="s">
        <v>427</v>
      </c>
      <c r="H521" s="0" t="s">
        <v>427</v>
      </c>
      <c r="I521" s="0" t="s">
        <v>4765</v>
      </c>
      <c r="K521" s="44" t="str">
        <f aca="false">INDEX(libraries!$B:$B, MATCH(B521, libraries!$A:$A, 0), 1)</f>
        <v>sam0115</v>
      </c>
      <c r="L521" s="44" t="n">
        <f aca="false">INDEX(samples!$F:$F, MATCH(K521, samples!$A:$A, 0), 1)</f>
        <v>0</v>
      </c>
      <c r="M521" s="55" t="str">
        <f aca="false">INDEX(samples!$C:$C, MATCH(K521, samples!$A:$A, 0), 1)</f>
        <v>2019-04-17</v>
      </c>
      <c r="N521" s="44" t="str">
        <f aca="false">INDEX(samples!$B:$B, MATCH(K521, samples!$A:$A, 0), 1)</f>
        <v>par0081</v>
      </c>
      <c r="O521" s="44" t="s">
        <v>702</v>
      </c>
      <c r="P521" s="8" t="s">
        <v>3880</v>
      </c>
      <c r="Q521" s="8" t="s">
        <v>36</v>
      </c>
      <c r="R521" s="33" t="s">
        <v>3881</v>
      </c>
    </row>
    <row r="522" customFormat="false" ht="13.8" hidden="false" customHeight="false" outlineLevel="0" collapsed="false">
      <c r="A522" s="25" t="s">
        <v>4805</v>
      </c>
      <c r="B522" s="41" t="s">
        <v>3343</v>
      </c>
      <c r="C522" s="8" t="s">
        <v>427</v>
      </c>
      <c r="D522" s="8" t="s">
        <v>3877</v>
      </c>
      <c r="E522" s="0" t="s">
        <v>3878</v>
      </c>
      <c r="F522" s="0" t="s">
        <v>427</v>
      </c>
      <c r="G522" s="0" t="s">
        <v>427</v>
      </c>
      <c r="H522" s="0" t="s">
        <v>427</v>
      </c>
      <c r="I522" s="0" t="s">
        <v>4765</v>
      </c>
      <c r="K522" s="44" t="str">
        <f aca="false">INDEX(libraries!$B:$B, MATCH(B522, libraries!$A:$A, 0), 1)</f>
        <v>sam0257</v>
      </c>
      <c r="L522" s="44" t="n">
        <f aca="false">INDEX(samples!$F:$F, MATCH(K522, samples!$A:$A, 0), 1)</f>
        <v>0</v>
      </c>
      <c r="M522" s="55" t="str">
        <f aca="false">INDEX(samples!$C:$C, MATCH(K522, samples!$A:$A, 0), 1)</f>
        <v>2019-06-25</v>
      </c>
      <c r="N522" s="44" t="str">
        <f aca="false">INDEX(samples!$B:$B, MATCH(K522, samples!$A:$A, 0), 1)</f>
        <v>par0079</v>
      </c>
      <c r="O522" s="44" t="s">
        <v>692</v>
      </c>
      <c r="P522" s="8" t="s">
        <v>3880</v>
      </c>
      <c r="Q522" s="8" t="s">
        <v>36</v>
      </c>
      <c r="R522" s="33" t="s">
        <v>3881</v>
      </c>
    </row>
    <row r="523" customFormat="false" ht="13.8" hidden="false" customHeight="false" outlineLevel="0" collapsed="false">
      <c r="A523" s="25" t="s">
        <v>4806</v>
      </c>
      <c r="B523" s="41" t="s">
        <v>3332</v>
      </c>
      <c r="C523" s="8" t="s">
        <v>427</v>
      </c>
      <c r="D523" s="8" t="s">
        <v>3877</v>
      </c>
      <c r="E523" s="0" t="s">
        <v>3878</v>
      </c>
      <c r="F523" s="0" t="s">
        <v>427</v>
      </c>
      <c r="G523" s="0" t="s">
        <v>427</v>
      </c>
      <c r="H523" s="0" t="s">
        <v>427</v>
      </c>
      <c r="I523" s="0" t="s">
        <v>4765</v>
      </c>
      <c r="K523" s="44" t="str">
        <f aca="false">INDEX(libraries!$B:$B, MATCH(B523, libraries!$A:$A, 0), 1)</f>
        <v>sam0109</v>
      </c>
      <c r="L523" s="44" t="n">
        <f aca="false">INDEX(samples!$F:$F, MATCH(K523, samples!$A:$A, 0), 1)</f>
        <v>0</v>
      </c>
      <c r="M523" s="55" t="str">
        <f aca="false">INDEX(samples!$C:$C, MATCH(K523, samples!$A:$A, 0), 1)</f>
        <v>2019-07-25</v>
      </c>
      <c r="N523" s="44" t="str">
        <f aca="false">INDEX(samples!$B:$B, MATCH(K523, samples!$A:$A, 0), 1)</f>
        <v>par0080</v>
      </c>
      <c r="O523" s="44" t="s">
        <v>696</v>
      </c>
      <c r="P523" s="8" t="s">
        <v>3880</v>
      </c>
      <c r="Q523" s="8" t="s">
        <v>36</v>
      </c>
      <c r="R523" s="33" t="s">
        <v>3881</v>
      </c>
    </row>
    <row r="524" customFormat="false" ht="13.8" hidden="false" customHeight="false" outlineLevel="0" collapsed="false">
      <c r="A524" s="25" t="s">
        <v>4807</v>
      </c>
      <c r="B524" s="41" t="s">
        <v>3331</v>
      </c>
      <c r="C524" s="8" t="s">
        <v>427</v>
      </c>
      <c r="D524" s="8" t="s">
        <v>3877</v>
      </c>
      <c r="E524" s="0" t="s">
        <v>3878</v>
      </c>
      <c r="F524" s="0" t="s">
        <v>427</v>
      </c>
      <c r="G524" s="0" t="s">
        <v>427</v>
      </c>
      <c r="H524" s="0" t="s">
        <v>427</v>
      </c>
      <c r="I524" s="0" t="s">
        <v>4765</v>
      </c>
      <c r="K524" s="44" t="str">
        <f aca="false">INDEX(libraries!$B:$B, MATCH(B524, libraries!$A:$A, 0), 1)</f>
        <v>sam0111</v>
      </c>
      <c r="L524" s="44" t="n">
        <f aca="false">INDEX(samples!$F:$F, MATCH(K524, samples!$A:$A, 0), 1)</f>
        <v>0</v>
      </c>
      <c r="M524" s="55" t="str">
        <f aca="false">INDEX(samples!$C:$C, MATCH(K524, samples!$A:$A, 0), 1)</f>
        <v>2019-10-04</v>
      </c>
      <c r="N524" s="44" t="str">
        <f aca="false">INDEX(samples!$B:$B, MATCH(K524, samples!$A:$A, 0), 1)</f>
        <v>par0080</v>
      </c>
      <c r="O524" s="44" t="s">
        <v>696</v>
      </c>
      <c r="P524" s="8" t="s">
        <v>3880</v>
      </c>
      <c r="Q524" s="8" t="s">
        <v>36</v>
      </c>
      <c r="R524" s="33" t="s">
        <v>3881</v>
      </c>
    </row>
    <row r="525" customFormat="false" ht="13.8" hidden="false" customHeight="false" outlineLevel="0" collapsed="false">
      <c r="A525" s="25" t="s">
        <v>4808</v>
      </c>
      <c r="B525" s="41" t="s">
        <v>3311</v>
      </c>
      <c r="C525" s="8" t="s">
        <v>427</v>
      </c>
      <c r="D525" s="8" t="s">
        <v>3877</v>
      </c>
      <c r="E525" s="0" t="s">
        <v>3878</v>
      </c>
      <c r="F525" s="0" t="s">
        <v>427</v>
      </c>
      <c r="G525" s="0" t="s">
        <v>427</v>
      </c>
      <c r="H525" s="0" t="s">
        <v>427</v>
      </c>
      <c r="I525" s="0" t="s">
        <v>4765</v>
      </c>
      <c r="K525" s="44" t="str">
        <f aca="false">INDEX(libraries!$B:$B, MATCH(B525, libraries!$A:$A, 0), 1)</f>
        <v>sam0132</v>
      </c>
      <c r="L525" s="44" t="n">
        <f aca="false">INDEX(samples!$F:$F, MATCH(K525, samples!$A:$A, 0), 1)</f>
        <v>0</v>
      </c>
      <c r="M525" s="55" t="str">
        <f aca="false">INDEX(samples!$C:$C, MATCH(K525, samples!$A:$A, 0), 1)</f>
        <v>2019-10-31</v>
      </c>
      <c r="N525" s="44" t="str">
        <f aca="false">INDEX(samples!$B:$B, MATCH(K525, samples!$A:$A, 0), 1)</f>
        <v>par0102</v>
      </c>
      <c r="O525" s="44" t="s">
        <v>793</v>
      </c>
      <c r="P525" s="8" t="s">
        <v>3880</v>
      </c>
      <c r="Q525" s="8" t="s">
        <v>36</v>
      </c>
      <c r="R525" s="33" t="s">
        <v>3881</v>
      </c>
    </row>
    <row r="526" customFormat="false" ht="13.8" hidden="false" customHeight="false" outlineLevel="0" collapsed="false">
      <c r="A526" s="25" t="s">
        <v>4809</v>
      </c>
      <c r="B526" s="41" t="s">
        <v>3291</v>
      </c>
      <c r="C526" s="8" t="s">
        <v>427</v>
      </c>
      <c r="D526" s="8" t="s">
        <v>3877</v>
      </c>
      <c r="E526" s="0" t="s">
        <v>3878</v>
      </c>
      <c r="F526" s="0" t="s">
        <v>427</v>
      </c>
      <c r="G526" s="0" t="s">
        <v>427</v>
      </c>
      <c r="H526" s="0" t="s">
        <v>427</v>
      </c>
      <c r="I526" s="0" t="s">
        <v>4765</v>
      </c>
      <c r="K526" s="44" t="str">
        <f aca="false">INDEX(libraries!$B:$B, MATCH(B526, libraries!$A:$A, 0), 1)</f>
        <v>sam0118</v>
      </c>
      <c r="L526" s="44" t="n">
        <f aca="false">INDEX(samples!$F:$F, MATCH(K526, samples!$A:$A, 0), 1)</f>
        <v>0</v>
      </c>
      <c r="M526" s="55" t="str">
        <f aca="false">INDEX(samples!$C:$C, MATCH(K526, samples!$A:$A, 0), 1)</f>
        <v>2019-07-23</v>
      </c>
      <c r="N526" s="44" t="str">
        <f aca="false">INDEX(samples!$B:$B, MATCH(K526, samples!$A:$A, 0), 1)</f>
        <v>par0081</v>
      </c>
      <c r="O526" s="44" t="s">
        <v>702</v>
      </c>
      <c r="P526" s="8" t="s">
        <v>3880</v>
      </c>
      <c r="Q526" s="8" t="s">
        <v>36</v>
      </c>
      <c r="R526" s="33" t="s">
        <v>3881</v>
      </c>
    </row>
    <row r="527" customFormat="false" ht="13.8" hidden="false" customHeight="false" outlineLevel="0" collapsed="false">
      <c r="A527" s="25" t="s">
        <v>4810</v>
      </c>
      <c r="B527" s="41" t="s">
        <v>3356</v>
      </c>
      <c r="C527" s="8" t="s">
        <v>427</v>
      </c>
      <c r="D527" s="8" t="s">
        <v>3877</v>
      </c>
      <c r="E527" s="0" t="s">
        <v>3878</v>
      </c>
      <c r="F527" s="0" t="s">
        <v>427</v>
      </c>
      <c r="G527" s="0" t="s">
        <v>427</v>
      </c>
      <c r="H527" s="0" t="s">
        <v>427</v>
      </c>
      <c r="I527" s="0" t="s">
        <v>4765</v>
      </c>
      <c r="K527" s="44" t="str">
        <f aca="false">INDEX(libraries!$B:$B, MATCH(B527, libraries!$A:$A, 0), 1)</f>
        <v>sam0125</v>
      </c>
      <c r="L527" s="44" t="n">
        <f aca="false">INDEX(samples!$F:$F, MATCH(K527, samples!$A:$A, 0), 1)</f>
        <v>0</v>
      </c>
      <c r="M527" s="55" t="str">
        <f aca="false">INDEX(samples!$C:$C, MATCH(K527, samples!$A:$A, 0), 1)</f>
        <v>2019-08-06</v>
      </c>
      <c r="N527" s="44" t="str">
        <f aca="false">INDEX(samples!$B:$B, MATCH(K527, samples!$A:$A, 0), 1)</f>
        <v>par0082</v>
      </c>
      <c r="O527" s="44" t="s">
        <v>707</v>
      </c>
      <c r="P527" s="8" t="s">
        <v>3880</v>
      </c>
      <c r="Q527" s="8" t="s">
        <v>36</v>
      </c>
      <c r="R527" s="33" t="s">
        <v>3881</v>
      </c>
    </row>
    <row r="528" customFormat="false" ht="13.8" hidden="false" customHeight="false" outlineLevel="0" collapsed="false">
      <c r="A528" s="25" t="s">
        <v>4811</v>
      </c>
      <c r="B528" s="41" t="s">
        <v>3354</v>
      </c>
      <c r="C528" s="8" t="s">
        <v>427</v>
      </c>
      <c r="D528" s="8" t="s">
        <v>3877</v>
      </c>
      <c r="E528" s="0" t="s">
        <v>3878</v>
      </c>
      <c r="F528" s="0" t="s">
        <v>427</v>
      </c>
      <c r="G528" s="0" t="s">
        <v>427</v>
      </c>
      <c r="H528" s="0" t="s">
        <v>427</v>
      </c>
      <c r="I528" s="0" t="s">
        <v>4765</v>
      </c>
      <c r="K528" s="44" t="str">
        <f aca="false">INDEX(libraries!$B:$B, MATCH(B528, libraries!$A:$A, 0), 1)</f>
        <v>sam0111</v>
      </c>
      <c r="L528" s="44" t="n">
        <f aca="false">INDEX(samples!$F:$F, MATCH(K528, samples!$A:$A, 0), 1)</f>
        <v>0</v>
      </c>
      <c r="M528" s="55" t="str">
        <f aca="false">INDEX(samples!$C:$C, MATCH(K528, samples!$A:$A, 0), 1)</f>
        <v>2019-10-04</v>
      </c>
      <c r="N528" s="44" t="str">
        <f aca="false">INDEX(samples!$B:$B, MATCH(K528, samples!$A:$A, 0), 1)</f>
        <v>par0080</v>
      </c>
      <c r="O528" s="44" t="s">
        <v>696</v>
      </c>
      <c r="P528" s="8" t="s">
        <v>3880</v>
      </c>
      <c r="Q528" s="8" t="s">
        <v>36</v>
      </c>
      <c r="R528" s="33" t="s">
        <v>3881</v>
      </c>
    </row>
    <row r="529" customFormat="false" ht="13.8" hidden="false" customHeight="false" outlineLevel="0" collapsed="false">
      <c r="A529" s="25" t="s">
        <v>4812</v>
      </c>
      <c r="B529" s="41" t="s">
        <v>3348</v>
      </c>
      <c r="C529" s="8" t="s">
        <v>427</v>
      </c>
      <c r="D529" s="8" t="s">
        <v>3877</v>
      </c>
      <c r="E529" s="0" t="s">
        <v>3878</v>
      </c>
      <c r="F529" s="0" t="s">
        <v>427</v>
      </c>
      <c r="G529" s="0" t="s">
        <v>427</v>
      </c>
      <c r="H529" s="0" t="s">
        <v>427</v>
      </c>
      <c r="I529" s="0" t="s">
        <v>4765</v>
      </c>
      <c r="K529" s="44" t="str">
        <f aca="false">INDEX(libraries!$B:$B, MATCH(B529, libraries!$A:$A, 0), 1)</f>
        <v>sam0145</v>
      </c>
      <c r="L529" s="44" t="n">
        <f aca="false">INDEX(samples!$F:$F, MATCH(K529, samples!$A:$A, 0), 1)</f>
        <v>0</v>
      </c>
      <c r="M529" s="55" t="str">
        <f aca="false">INDEX(samples!$C:$C, MATCH(K529, samples!$A:$A, 0), 1)</f>
        <v>2019-11-25</v>
      </c>
      <c r="N529" s="44" t="str">
        <f aca="false">INDEX(samples!$B:$B, MATCH(K529, samples!$A:$A, 0), 1)</f>
        <v>par0107</v>
      </c>
      <c r="O529" s="44" t="s">
        <v>815</v>
      </c>
      <c r="P529" s="8" t="s">
        <v>3880</v>
      </c>
      <c r="Q529" s="8" t="s">
        <v>36</v>
      </c>
      <c r="R529" s="33" t="s">
        <v>3881</v>
      </c>
    </row>
    <row r="530" customFormat="false" ht="13.8" hidden="false" customHeight="false" outlineLevel="0" collapsed="false">
      <c r="A530" s="25" t="s">
        <v>4813</v>
      </c>
      <c r="B530" s="41" t="s">
        <v>3335</v>
      </c>
      <c r="C530" s="8" t="s">
        <v>427</v>
      </c>
      <c r="D530" s="8" t="s">
        <v>3877</v>
      </c>
      <c r="E530" s="0" t="s">
        <v>3878</v>
      </c>
      <c r="F530" s="0" t="s">
        <v>427</v>
      </c>
      <c r="G530" s="0" t="s">
        <v>427</v>
      </c>
      <c r="H530" s="0" t="s">
        <v>427</v>
      </c>
      <c r="I530" s="0" t="s">
        <v>4765</v>
      </c>
      <c r="K530" s="44" t="str">
        <f aca="false">INDEX(libraries!$B:$B, MATCH(B530, libraries!$A:$A, 0), 1)</f>
        <v>sam0119</v>
      </c>
      <c r="L530" s="44" t="n">
        <f aca="false">INDEX(samples!$F:$F, MATCH(K530, samples!$A:$A, 0), 1)</f>
        <v>0</v>
      </c>
      <c r="M530" s="55" t="str">
        <f aca="false">INDEX(samples!$C:$C, MATCH(K530, samples!$A:$A, 0), 1)</f>
        <v>2019-08-06</v>
      </c>
      <c r="N530" s="44" t="str">
        <f aca="false">INDEX(samples!$B:$B, MATCH(K530, samples!$A:$A, 0), 1)</f>
        <v>par0081</v>
      </c>
      <c r="O530" s="44" t="s">
        <v>702</v>
      </c>
      <c r="P530" s="8" t="s">
        <v>3880</v>
      </c>
      <c r="Q530" s="8" t="s">
        <v>36</v>
      </c>
      <c r="R530" s="33" t="s">
        <v>3881</v>
      </c>
    </row>
    <row r="531" customFormat="false" ht="13.8" hidden="false" customHeight="false" outlineLevel="0" collapsed="false">
      <c r="A531" s="25" t="s">
        <v>4814</v>
      </c>
      <c r="B531" s="41" t="s">
        <v>3296</v>
      </c>
      <c r="C531" s="8" t="s">
        <v>427</v>
      </c>
      <c r="D531" s="8" t="s">
        <v>3877</v>
      </c>
      <c r="E531" s="0" t="s">
        <v>3878</v>
      </c>
      <c r="F531" s="0" t="s">
        <v>427</v>
      </c>
      <c r="G531" s="0" t="s">
        <v>427</v>
      </c>
      <c r="H531" s="0" t="s">
        <v>427</v>
      </c>
      <c r="I531" s="0" t="s">
        <v>4765</v>
      </c>
      <c r="K531" s="44" t="str">
        <f aca="false">INDEX(libraries!$B:$B, MATCH(B531, libraries!$A:$A, 0), 1)</f>
        <v>sam0110</v>
      </c>
      <c r="L531" s="44" t="n">
        <f aca="false">INDEX(samples!$F:$F, MATCH(K531, samples!$A:$A, 0), 1)</f>
        <v>0</v>
      </c>
      <c r="M531" s="55" t="str">
        <f aca="false">INDEX(samples!$C:$C, MATCH(K531, samples!$A:$A, 0), 1)</f>
        <v>2019-09-05</v>
      </c>
      <c r="N531" s="44" t="str">
        <f aca="false">INDEX(samples!$B:$B, MATCH(K531, samples!$A:$A, 0), 1)</f>
        <v>par0080</v>
      </c>
      <c r="O531" s="44" t="s">
        <v>696</v>
      </c>
      <c r="P531" s="8" t="s">
        <v>3880</v>
      </c>
      <c r="Q531" s="8" t="s">
        <v>36</v>
      </c>
      <c r="R531" s="33" t="s">
        <v>3881</v>
      </c>
    </row>
    <row r="532" customFormat="false" ht="13.8" hidden="false" customHeight="false" outlineLevel="0" collapsed="false">
      <c r="A532" s="25" t="s">
        <v>4815</v>
      </c>
      <c r="B532" s="41" t="s">
        <v>3349</v>
      </c>
      <c r="C532" s="8" t="s">
        <v>427</v>
      </c>
      <c r="D532" s="8" t="s">
        <v>3877</v>
      </c>
      <c r="E532" s="0" t="s">
        <v>3878</v>
      </c>
      <c r="F532" s="0" t="s">
        <v>427</v>
      </c>
      <c r="G532" s="0" t="s">
        <v>427</v>
      </c>
      <c r="H532" s="0" t="s">
        <v>427</v>
      </c>
      <c r="I532" s="0" t="s">
        <v>4765</v>
      </c>
      <c r="K532" s="44" t="str">
        <f aca="false">INDEX(libraries!$B:$B, MATCH(B532, libraries!$A:$A, 0), 1)</f>
        <v>sam0122</v>
      </c>
      <c r="L532" s="44" t="n">
        <f aca="false">INDEX(samples!$F:$F, MATCH(K532, samples!$A:$A, 0), 1)</f>
        <v>0</v>
      </c>
      <c r="M532" s="55" t="str">
        <f aca="false">INDEX(samples!$C:$C, MATCH(K532, samples!$A:$A, 0), 1)</f>
        <v>2019-06-25</v>
      </c>
      <c r="N532" s="44" t="str">
        <f aca="false">INDEX(samples!$B:$B, MATCH(K532, samples!$A:$A, 0), 1)</f>
        <v>par0096</v>
      </c>
      <c r="O532" s="44" t="s">
        <v>765</v>
      </c>
      <c r="P532" s="8" t="s">
        <v>3880</v>
      </c>
      <c r="Q532" s="8" t="s">
        <v>36</v>
      </c>
      <c r="R532" s="33" t="s">
        <v>3881</v>
      </c>
    </row>
    <row r="533" customFormat="false" ht="13.8" hidden="false" customHeight="false" outlineLevel="0" collapsed="false">
      <c r="A533" s="25" t="s">
        <v>4816</v>
      </c>
      <c r="B533" s="41" t="s">
        <v>3328</v>
      </c>
      <c r="C533" s="8" t="s">
        <v>427</v>
      </c>
      <c r="D533" s="8" t="s">
        <v>3877</v>
      </c>
      <c r="E533" s="0" t="s">
        <v>3878</v>
      </c>
      <c r="F533" s="0" t="s">
        <v>427</v>
      </c>
      <c r="G533" s="0" t="s">
        <v>427</v>
      </c>
      <c r="H533" s="0" t="s">
        <v>427</v>
      </c>
      <c r="I533" s="0" t="s">
        <v>4765</v>
      </c>
      <c r="K533" s="44" t="str">
        <f aca="false">INDEX(libraries!$B:$B, MATCH(B533, libraries!$A:$A, 0), 1)</f>
        <v>sam0144</v>
      </c>
      <c r="L533" s="44" t="n">
        <f aca="false">INDEX(samples!$F:$F, MATCH(K533, samples!$A:$A, 0), 1)</f>
        <v>0</v>
      </c>
      <c r="M533" s="55" t="str">
        <f aca="false">INDEX(samples!$C:$C, MATCH(K533, samples!$A:$A, 0), 1)</f>
        <v>2019-11-21</v>
      </c>
      <c r="N533" s="44" t="str">
        <f aca="false">INDEX(samples!$B:$B, MATCH(K533, samples!$A:$A, 0), 1)</f>
        <v>par0106</v>
      </c>
      <c r="O533" s="44" t="s">
        <v>811</v>
      </c>
      <c r="P533" s="8" t="s">
        <v>3880</v>
      </c>
      <c r="Q533" s="8" t="s">
        <v>36</v>
      </c>
      <c r="R533" s="33" t="s">
        <v>3881</v>
      </c>
    </row>
    <row r="534" customFormat="false" ht="13.8" hidden="false" customHeight="false" outlineLevel="0" collapsed="false">
      <c r="A534" s="25" t="s">
        <v>4817</v>
      </c>
      <c r="B534" s="41" t="s">
        <v>3275</v>
      </c>
      <c r="C534" s="8" t="s">
        <v>427</v>
      </c>
      <c r="D534" s="8" t="s">
        <v>3877</v>
      </c>
      <c r="E534" s="0" t="s">
        <v>3878</v>
      </c>
      <c r="F534" s="0" t="s">
        <v>427</v>
      </c>
      <c r="G534" s="0" t="s">
        <v>427</v>
      </c>
      <c r="H534" s="0" t="s">
        <v>427</v>
      </c>
      <c r="I534" s="0" t="s">
        <v>4765</v>
      </c>
      <c r="K534" s="44" t="str">
        <f aca="false">INDEX(libraries!$B:$B, MATCH(B534, libraries!$A:$A, 0), 1)</f>
        <v>sam0104</v>
      </c>
      <c r="L534" s="44" t="n">
        <f aca="false">INDEX(samples!$F:$F, MATCH(K534, samples!$A:$A, 0), 1)</f>
        <v>0</v>
      </c>
      <c r="M534" s="55" t="str">
        <f aca="false">INDEX(samples!$C:$C, MATCH(K534, samples!$A:$A, 0), 1)</f>
        <v>2019-08-13</v>
      </c>
      <c r="N534" s="44" t="str">
        <f aca="false">INDEX(samples!$B:$B, MATCH(K534, samples!$A:$A, 0), 1)</f>
        <v>par0094</v>
      </c>
      <c r="O534" s="44" t="s">
        <v>756</v>
      </c>
      <c r="P534" s="8" t="s">
        <v>3880</v>
      </c>
      <c r="Q534" s="8" t="s">
        <v>36</v>
      </c>
      <c r="R534" s="33" t="s">
        <v>3881</v>
      </c>
    </row>
    <row r="535" customFormat="false" ht="13.8" hidden="false" customHeight="false" outlineLevel="0" collapsed="false">
      <c r="A535" s="25" t="s">
        <v>4818</v>
      </c>
      <c r="B535" s="41" t="s">
        <v>3281</v>
      </c>
      <c r="C535" s="8" t="s">
        <v>427</v>
      </c>
      <c r="D535" s="8" t="s">
        <v>3877</v>
      </c>
      <c r="E535" s="0" t="s">
        <v>3878</v>
      </c>
      <c r="F535" s="0" t="s">
        <v>427</v>
      </c>
      <c r="G535" s="0" t="s">
        <v>427</v>
      </c>
      <c r="H535" s="0" t="s">
        <v>427</v>
      </c>
      <c r="I535" s="0" t="s">
        <v>4765</v>
      </c>
      <c r="K535" s="44" t="str">
        <f aca="false">INDEX(libraries!$B:$B, MATCH(B535, libraries!$A:$A, 0), 1)</f>
        <v>sam0105</v>
      </c>
      <c r="L535" s="44" t="n">
        <f aca="false">INDEX(samples!$F:$F, MATCH(K535, samples!$A:$A, 0), 1)</f>
        <v>0</v>
      </c>
      <c r="M535" s="55" t="str">
        <f aca="false">INDEX(samples!$C:$C, MATCH(K535, samples!$A:$A, 0), 1)</f>
        <v>2019-10-01</v>
      </c>
      <c r="N535" s="44" t="str">
        <f aca="false">INDEX(samples!$B:$B, MATCH(K535, samples!$A:$A, 0), 1)</f>
        <v>par0094</v>
      </c>
      <c r="O535" s="44" t="s">
        <v>756</v>
      </c>
      <c r="P535" s="8" t="s">
        <v>3880</v>
      </c>
      <c r="Q535" s="8" t="s">
        <v>36</v>
      </c>
      <c r="R535" s="33" t="s">
        <v>3881</v>
      </c>
    </row>
    <row r="536" customFormat="false" ht="13.8" hidden="false" customHeight="false" outlineLevel="0" collapsed="false">
      <c r="A536" s="25" t="s">
        <v>4819</v>
      </c>
      <c r="B536" s="41" t="s">
        <v>3346</v>
      </c>
      <c r="C536" s="8" t="s">
        <v>427</v>
      </c>
      <c r="D536" s="8" t="s">
        <v>3877</v>
      </c>
      <c r="E536" s="0" t="s">
        <v>3878</v>
      </c>
      <c r="F536" s="0" t="s">
        <v>427</v>
      </c>
      <c r="G536" s="0" t="s">
        <v>427</v>
      </c>
      <c r="H536" s="0" t="s">
        <v>427</v>
      </c>
      <c r="I536" s="0" t="s">
        <v>4765</v>
      </c>
      <c r="K536" s="44" t="str">
        <f aca="false">INDEX(libraries!$B:$B, MATCH(B536, libraries!$A:$A, 0), 1)</f>
        <v>sam0143</v>
      </c>
      <c r="L536" s="44" t="n">
        <f aca="false">INDEX(samples!$F:$F, MATCH(K536, samples!$A:$A, 0), 1)</f>
        <v>0</v>
      </c>
      <c r="M536" s="55" t="str">
        <f aca="false">INDEX(samples!$C:$C, MATCH(K536, samples!$A:$A, 0), 1)</f>
        <v>2019-11-05</v>
      </c>
      <c r="N536" s="44" t="str">
        <f aca="false">INDEX(samples!$B:$B, MATCH(K536, samples!$A:$A, 0), 1)</f>
        <v>par0105</v>
      </c>
      <c r="O536" s="44" t="s">
        <v>806</v>
      </c>
      <c r="P536" s="8" t="s">
        <v>3880</v>
      </c>
      <c r="Q536" s="8" t="s">
        <v>36</v>
      </c>
      <c r="R536" s="33" t="s">
        <v>3881</v>
      </c>
    </row>
    <row r="537" customFormat="false" ht="13.8" hidden="false" customHeight="false" outlineLevel="0" collapsed="false">
      <c r="A537" s="25" t="s">
        <v>4820</v>
      </c>
      <c r="B537" s="41" t="s">
        <v>3350</v>
      </c>
      <c r="C537" s="8" t="s">
        <v>427</v>
      </c>
      <c r="D537" s="8" t="s">
        <v>3877</v>
      </c>
      <c r="E537" s="0" t="s">
        <v>3878</v>
      </c>
      <c r="F537" s="0" t="s">
        <v>427</v>
      </c>
      <c r="G537" s="0" t="s">
        <v>427</v>
      </c>
      <c r="H537" s="0" t="s">
        <v>427</v>
      </c>
      <c r="I537" s="0" t="s">
        <v>4765</v>
      </c>
      <c r="K537" s="44" t="str">
        <f aca="false">INDEX(libraries!$B:$B, MATCH(B537, libraries!$A:$A, 0), 1)</f>
        <v>sam0116</v>
      </c>
      <c r="L537" s="44" t="n">
        <f aca="false">INDEX(samples!$F:$F, MATCH(K537, samples!$A:$A, 0), 1)</f>
        <v>0</v>
      </c>
      <c r="M537" s="55" t="str">
        <f aca="false">INDEX(samples!$C:$C, MATCH(K537, samples!$A:$A, 0), 1)</f>
        <v>2019-05-08</v>
      </c>
      <c r="N537" s="44" t="str">
        <f aca="false">INDEX(samples!$B:$B, MATCH(K537, samples!$A:$A, 0), 1)</f>
        <v>par0081</v>
      </c>
      <c r="O537" s="44" t="s">
        <v>702</v>
      </c>
      <c r="P537" s="8" t="s">
        <v>3880</v>
      </c>
      <c r="Q537" s="8" t="s">
        <v>36</v>
      </c>
      <c r="R537" s="33" t="s">
        <v>3881</v>
      </c>
    </row>
    <row r="538" customFormat="false" ht="13.8" hidden="false" customHeight="false" outlineLevel="0" collapsed="false">
      <c r="A538" s="25" t="s">
        <v>4821</v>
      </c>
      <c r="B538" s="41" t="s">
        <v>3323</v>
      </c>
      <c r="C538" s="8" t="s">
        <v>427</v>
      </c>
      <c r="D538" s="8" t="s">
        <v>3877</v>
      </c>
      <c r="E538" s="0" t="s">
        <v>3878</v>
      </c>
      <c r="F538" s="0" t="s">
        <v>427</v>
      </c>
      <c r="G538" s="0" t="s">
        <v>427</v>
      </c>
      <c r="H538" s="0" t="s">
        <v>427</v>
      </c>
      <c r="I538" s="0" t="s">
        <v>4765</v>
      </c>
      <c r="K538" s="44" t="str">
        <f aca="false">INDEX(libraries!$B:$B, MATCH(B538, libraries!$A:$A, 0), 1)</f>
        <v>sam0123</v>
      </c>
      <c r="L538" s="44" t="n">
        <f aca="false">INDEX(samples!$F:$F, MATCH(K538, samples!$A:$A, 0), 1)</f>
        <v>0</v>
      </c>
      <c r="M538" s="55" t="str">
        <f aca="false">INDEX(samples!$C:$C, MATCH(K538, samples!$A:$A, 0), 1)</f>
        <v>2019-06-11</v>
      </c>
      <c r="N538" s="44" t="str">
        <f aca="false">INDEX(samples!$B:$B, MATCH(K538, samples!$A:$A, 0), 1)</f>
        <v>par0082</v>
      </c>
      <c r="O538" s="44" t="s">
        <v>707</v>
      </c>
      <c r="P538" s="8" t="s">
        <v>3880</v>
      </c>
      <c r="Q538" s="8" t="s">
        <v>36</v>
      </c>
      <c r="R538" s="33" t="s">
        <v>3881</v>
      </c>
    </row>
    <row r="539" customFormat="false" ht="13.8" hidden="false" customHeight="false" outlineLevel="0" collapsed="false">
      <c r="A539" s="25" t="s">
        <v>4822</v>
      </c>
      <c r="B539" s="41" t="s">
        <v>3303</v>
      </c>
      <c r="C539" s="8" t="s">
        <v>427</v>
      </c>
      <c r="D539" s="8" t="s">
        <v>3877</v>
      </c>
      <c r="E539" s="0" t="s">
        <v>3878</v>
      </c>
      <c r="F539" s="0" t="s">
        <v>427</v>
      </c>
      <c r="G539" s="0" t="s">
        <v>427</v>
      </c>
      <c r="H539" s="0" t="s">
        <v>427</v>
      </c>
      <c r="I539" s="0" t="s">
        <v>4765</v>
      </c>
      <c r="K539" s="44" t="str">
        <f aca="false">INDEX(libraries!$B:$B, MATCH(B539, libraries!$A:$A, 0), 1)</f>
        <v>sam0197</v>
      </c>
      <c r="L539" s="44" t="n">
        <f aca="false">INDEX(samples!$F:$F, MATCH(K539, samples!$A:$A, 0), 1)</f>
        <v>0</v>
      </c>
      <c r="M539" s="55" t="str">
        <f aca="false">INDEX(samples!$C:$C, MATCH(K539, samples!$A:$A, 0), 1)</f>
        <v>GET</v>
      </c>
      <c r="N539" s="44" t="str">
        <f aca="false">INDEX(samples!$B:$B, MATCH(K539, samples!$A:$A, 0), 1)</f>
        <v>par0065</v>
      </c>
      <c r="O539" s="44" t="n">
        <v>66</v>
      </c>
      <c r="P539" s="8" t="s">
        <v>3880</v>
      </c>
      <c r="Q539" s="8" t="s">
        <v>36</v>
      </c>
      <c r="R539" s="33" t="s">
        <v>3881</v>
      </c>
    </row>
    <row r="540" customFormat="false" ht="13.8" hidden="false" customHeight="false" outlineLevel="0" collapsed="false">
      <c r="A540" s="25" t="s">
        <v>4823</v>
      </c>
      <c r="B540" s="41" t="s">
        <v>3316</v>
      </c>
      <c r="C540" s="8" t="s">
        <v>427</v>
      </c>
      <c r="D540" s="8" t="s">
        <v>3877</v>
      </c>
      <c r="E540" s="0" t="s">
        <v>3878</v>
      </c>
      <c r="F540" s="0" t="s">
        <v>427</v>
      </c>
      <c r="G540" s="0" t="s">
        <v>427</v>
      </c>
      <c r="H540" s="0" t="s">
        <v>427</v>
      </c>
      <c r="I540" s="0" t="s">
        <v>4765</v>
      </c>
      <c r="K540" s="44" t="str">
        <f aca="false">INDEX(libraries!$B:$B, MATCH(B540, libraries!$A:$A, 0), 1)</f>
        <v>sam0023</v>
      </c>
      <c r="L540" s="44" t="n">
        <f aca="false">INDEX(samples!$F:$F, MATCH(K540, samples!$A:$A, 0), 1)</f>
        <v>0</v>
      </c>
      <c r="M540" s="55" t="str">
        <f aca="false">INDEX(samples!$C:$C, MATCH(K540, samples!$A:$A, 0), 1)</f>
        <v>2019-07-02</v>
      </c>
      <c r="N540" s="44" t="str">
        <f aca="false">INDEX(samples!$B:$B, MATCH(K540, samples!$A:$A, 0), 1)</f>
        <v>par0069</v>
      </c>
      <c r="O540" s="44" t="n">
        <v>83</v>
      </c>
      <c r="P540" s="8" t="s">
        <v>3880</v>
      </c>
      <c r="Q540" s="8" t="s">
        <v>36</v>
      </c>
      <c r="R540" s="33" t="s">
        <v>3881</v>
      </c>
    </row>
    <row r="541" customFormat="false" ht="13.8" hidden="false" customHeight="false" outlineLevel="0" collapsed="false">
      <c r="A541" s="25" t="s">
        <v>4824</v>
      </c>
      <c r="B541" s="41" t="s">
        <v>3329</v>
      </c>
      <c r="C541" s="8" t="s">
        <v>427</v>
      </c>
      <c r="D541" s="8" t="s">
        <v>3877</v>
      </c>
      <c r="E541" s="0" t="s">
        <v>3878</v>
      </c>
      <c r="F541" s="0" t="s">
        <v>427</v>
      </c>
      <c r="G541" s="0" t="s">
        <v>427</v>
      </c>
      <c r="H541" s="0" t="s">
        <v>427</v>
      </c>
      <c r="I541" s="0" t="s">
        <v>4765</v>
      </c>
      <c r="K541" s="44" t="str">
        <f aca="false">INDEX(libraries!$B:$B, MATCH(B541, libraries!$A:$A, 0), 1)</f>
        <v>sam0025</v>
      </c>
      <c r="L541" s="44" t="n">
        <f aca="false">INDEX(samples!$F:$F, MATCH(K541, samples!$A:$A, 0), 1)</f>
        <v>0</v>
      </c>
      <c r="M541" s="55" t="str">
        <f aca="false">INDEX(samples!$C:$C, MATCH(K541, samples!$A:$A, 0), 1)</f>
        <v>2019-06-28</v>
      </c>
      <c r="N541" s="44" t="str">
        <f aca="false">INDEX(samples!$B:$B, MATCH(K541, samples!$A:$A, 0), 1)</f>
        <v>par0071</v>
      </c>
      <c r="O541" s="44" t="n">
        <v>86</v>
      </c>
      <c r="P541" s="8" t="s">
        <v>3880</v>
      </c>
      <c r="Q541" s="8" t="s">
        <v>36</v>
      </c>
      <c r="R541" s="33" t="s">
        <v>3881</v>
      </c>
    </row>
    <row r="542" customFormat="false" ht="13.8" hidden="false" customHeight="false" outlineLevel="0" collapsed="false">
      <c r="A542" s="25" t="s">
        <v>4825</v>
      </c>
      <c r="B542" s="41" t="s">
        <v>3317</v>
      </c>
      <c r="C542" s="8" t="s">
        <v>427</v>
      </c>
      <c r="D542" s="8" t="s">
        <v>3877</v>
      </c>
      <c r="E542" s="0" t="s">
        <v>3878</v>
      </c>
      <c r="F542" s="0" t="s">
        <v>427</v>
      </c>
      <c r="G542" s="0" t="s">
        <v>427</v>
      </c>
      <c r="H542" s="0" t="s">
        <v>427</v>
      </c>
      <c r="I542" s="0" t="s">
        <v>4765</v>
      </c>
      <c r="K542" s="44" t="str">
        <f aca="false">INDEX(libraries!$B:$B, MATCH(B542, libraries!$A:$A, 0), 1)</f>
        <v>sam0020</v>
      </c>
      <c r="L542" s="44" t="n">
        <f aca="false">INDEX(samples!$F:$F, MATCH(K542, samples!$A:$A, 0), 1)</f>
        <v>0</v>
      </c>
      <c r="M542" s="55" t="str">
        <f aca="false">INDEX(samples!$C:$C, MATCH(K542, samples!$A:$A, 0), 1)</f>
        <v>2019-07-02</v>
      </c>
      <c r="N542" s="44" t="str">
        <f aca="false">INDEX(samples!$B:$B, MATCH(K542, samples!$A:$A, 0), 1)</f>
        <v>par0067</v>
      </c>
      <c r="O542" s="44" t="n">
        <v>70</v>
      </c>
      <c r="P542" s="8" t="s">
        <v>3880</v>
      </c>
      <c r="Q542" s="8" t="s">
        <v>36</v>
      </c>
      <c r="R542" s="33" t="s">
        <v>3881</v>
      </c>
    </row>
    <row r="543" customFormat="false" ht="13.8" hidden="false" customHeight="false" outlineLevel="0" collapsed="false">
      <c r="A543" s="25" t="s">
        <v>4826</v>
      </c>
      <c r="B543" s="41" t="s">
        <v>3273</v>
      </c>
      <c r="C543" s="8" t="s">
        <v>427</v>
      </c>
      <c r="D543" s="8" t="s">
        <v>3877</v>
      </c>
      <c r="E543" s="0" t="s">
        <v>3878</v>
      </c>
      <c r="F543" s="0" t="s">
        <v>427</v>
      </c>
      <c r="G543" s="0" t="s">
        <v>427</v>
      </c>
      <c r="H543" s="0" t="s">
        <v>427</v>
      </c>
      <c r="I543" s="0" t="s">
        <v>4765</v>
      </c>
      <c r="K543" s="44" t="str">
        <f aca="false">INDEX(libraries!$B:$B, MATCH(B543, libraries!$A:$A, 0), 1)</f>
        <v>sam0024</v>
      </c>
      <c r="L543" s="44" t="n">
        <f aca="false">INDEX(samples!$F:$F, MATCH(K543, samples!$A:$A, 0), 1)</f>
        <v>0</v>
      </c>
      <c r="M543" s="55" t="str">
        <f aca="false">INDEX(samples!$C:$C, MATCH(K543, samples!$A:$A, 0), 1)</f>
        <v>2019-07-01</v>
      </c>
      <c r="N543" s="44" t="str">
        <f aca="false">INDEX(samples!$B:$B, MATCH(K543, samples!$A:$A, 0), 1)</f>
        <v>par0070</v>
      </c>
      <c r="O543" s="44" t="n">
        <v>85</v>
      </c>
      <c r="P543" s="8" t="s">
        <v>3880</v>
      </c>
      <c r="Q543" s="8" t="s">
        <v>36</v>
      </c>
      <c r="R543" s="33" t="s">
        <v>3881</v>
      </c>
    </row>
    <row r="544" customFormat="false" ht="13.8" hidden="false" customHeight="false" outlineLevel="0" collapsed="false">
      <c r="A544" s="25" t="s">
        <v>4827</v>
      </c>
      <c r="B544" s="41" t="s">
        <v>3338</v>
      </c>
      <c r="C544" s="8" t="s">
        <v>427</v>
      </c>
      <c r="D544" s="8" t="s">
        <v>3877</v>
      </c>
      <c r="E544" s="0" t="s">
        <v>3878</v>
      </c>
      <c r="F544" s="0" t="s">
        <v>427</v>
      </c>
      <c r="G544" s="0" t="s">
        <v>427</v>
      </c>
      <c r="H544" s="0" t="s">
        <v>427</v>
      </c>
      <c r="I544" s="0" t="s">
        <v>4765</v>
      </c>
      <c r="K544" s="44" t="str">
        <f aca="false">INDEX(libraries!$B:$B, MATCH(B544, libraries!$A:$A, 0), 1)</f>
        <v>sam0098</v>
      </c>
      <c r="L544" s="44" t="n">
        <f aca="false">INDEX(samples!$F:$F, MATCH(K544, samples!$A:$A, 0), 1)</f>
        <v>0</v>
      </c>
      <c r="M544" s="55" t="str">
        <f aca="false">INDEX(samples!$C:$C, MATCH(K544, samples!$A:$A, 0), 1)</f>
        <v>2019-10-22</v>
      </c>
      <c r="N544" s="44" t="str">
        <f aca="false">INDEX(samples!$B:$B, MATCH(K544, samples!$A:$A, 0), 1)</f>
        <v>par0079</v>
      </c>
      <c r="O544" s="44" t="s">
        <v>692</v>
      </c>
      <c r="P544" s="8" t="s">
        <v>3880</v>
      </c>
      <c r="Q544" s="8" t="s">
        <v>36</v>
      </c>
      <c r="R544" s="33" t="s">
        <v>3881</v>
      </c>
    </row>
    <row r="545" customFormat="false" ht="13.8" hidden="false" customHeight="false" outlineLevel="0" collapsed="false">
      <c r="A545" s="25" t="s">
        <v>4828</v>
      </c>
      <c r="B545" s="41" t="s">
        <v>3336</v>
      </c>
      <c r="C545" s="8" t="s">
        <v>427</v>
      </c>
      <c r="D545" s="8" t="s">
        <v>3877</v>
      </c>
      <c r="E545" s="0" t="s">
        <v>3878</v>
      </c>
      <c r="F545" s="0" t="s">
        <v>427</v>
      </c>
      <c r="G545" s="0" t="s">
        <v>427</v>
      </c>
      <c r="H545" s="0" t="s">
        <v>427</v>
      </c>
      <c r="I545" s="0" t="s">
        <v>4765</v>
      </c>
      <c r="K545" s="44" t="str">
        <f aca="false">INDEX(libraries!$B:$B, MATCH(B545, libraries!$A:$A, 0), 1)</f>
        <v>sam0107</v>
      </c>
      <c r="L545" s="44" t="n">
        <f aca="false">INDEX(samples!$F:$F, MATCH(K545, samples!$A:$A, 0), 1)</f>
        <v>0</v>
      </c>
      <c r="M545" s="55" t="str">
        <f aca="false">INDEX(samples!$C:$C, MATCH(K545, samples!$A:$A, 0), 1)</f>
        <v>2019-04-02</v>
      </c>
      <c r="N545" s="44" t="str">
        <f aca="false">INDEX(samples!$B:$B, MATCH(K545, samples!$A:$A, 0), 1)</f>
        <v>par0080</v>
      </c>
      <c r="O545" s="44" t="s">
        <v>696</v>
      </c>
      <c r="P545" s="8" t="s">
        <v>3880</v>
      </c>
      <c r="Q545" s="8" t="s">
        <v>36</v>
      </c>
      <c r="R545" s="33" t="s">
        <v>3881</v>
      </c>
    </row>
    <row r="546" customFormat="false" ht="13.8" hidden="false" customHeight="false" outlineLevel="0" collapsed="false">
      <c r="A546" s="25" t="s">
        <v>4829</v>
      </c>
      <c r="B546" s="41" t="s">
        <v>3337</v>
      </c>
      <c r="C546" s="8" t="s">
        <v>427</v>
      </c>
      <c r="D546" s="8" t="s">
        <v>3877</v>
      </c>
      <c r="E546" s="0" t="s">
        <v>3878</v>
      </c>
      <c r="F546" s="0" t="s">
        <v>427</v>
      </c>
      <c r="G546" s="0" t="s">
        <v>427</v>
      </c>
      <c r="H546" s="0" t="s">
        <v>427</v>
      </c>
      <c r="I546" s="0" t="s">
        <v>4765</v>
      </c>
      <c r="K546" s="44" t="str">
        <f aca="false">INDEX(libraries!$B:$B, MATCH(B546, libraries!$A:$A, 0), 1)</f>
        <v>sam0131</v>
      </c>
      <c r="L546" s="44" t="n">
        <f aca="false">INDEX(samples!$F:$F, MATCH(K546, samples!$A:$A, 0), 1)</f>
        <v>0</v>
      </c>
      <c r="M546" s="55" t="str">
        <f aca="false">INDEX(samples!$C:$C, MATCH(K546, samples!$A:$A, 0), 1)</f>
        <v>2019-09-12</v>
      </c>
      <c r="N546" s="44" t="str">
        <f aca="false">INDEX(samples!$B:$B, MATCH(K546, samples!$A:$A, 0), 1)</f>
        <v>par0102</v>
      </c>
      <c r="O546" s="44" t="s">
        <v>793</v>
      </c>
      <c r="P546" s="8" t="s">
        <v>3880</v>
      </c>
      <c r="Q546" s="8" t="s">
        <v>36</v>
      </c>
      <c r="R546" s="33" t="s">
        <v>3881</v>
      </c>
    </row>
    <row r="547" customFormat="false" ht="13.8" hidden="false" customHeight="false" outlineLevel="0" collapsed="false">
      <c r="A547" s="25" t="s">
        <v>4830</v>
      </c>
      <c r="B547" s="41" t="s">
        <v>3302</v>
      </c>
      <c r="C547" s="8" t="s">
        <v>427</v>
      </c>
      <c r="D547" s="8" t="s">
        <v>3877</v>
      </c>
      <c r="E547" s="0" t="s">
        <v>3878</v>
      </c>
      <c r="F547" s="0" t="s">
        <v>427</v>
      </c>
      <c r="G547" s="0" t="s">
        <v>427</v>
      </c>
      <c r="H547" s="0" t="s">
        <v>427</v>
      </c>
      <c r="I547" s="0" t="s">
        <v>4765</v>
      </c>
      <c r="K547" s="44" t="str">
        <f aca="false">INDEX(libraries!$B:$B, MATCH(B547, libraries!$A:$A, 0), 1)</f>
        <v>sam0133</v>
      </c>
      <c r="L547" s="44" t="n">
        <f aca="false">INDEX(samples!$F:$F, MATCH(K547, samples!$A:$A, 0), 1)</f>
        <v>0</v>
      </c>
      <c r="M547" s="55" t="str">
        <f aca="false">INDEX(samples!$C:$C, MATCH(K547, samples!$A:$A, 0), 1)</f>
        <v>2019-10-09</v>
      </c>
      <c r="N547" s="44" t="str">
        <f aca="false">INDEX(samples!$B:$B, MATCH(K547, samples!$A:$A, 0), 1)</f>
        <v>par0083</v>
      </c>
      <c r="O547" s="44" t="s">
        <v>713</v>
      </c>
      <c r="P547" s="8" t="s">
        <v>3880</v>
      </c>
      <c r="Q547" s="8" t="s">
        <v>36</v>
      </c>
      <c r="R547" s="33" t="s">
        <v>3881</v>
      </c>
    </row>
    <row r="548" customFormat="false" ht="13.8" hidden="false" customHeight="false" outlineLevel="0" collapsed="false">
      <c r="A548" s="25" t="s">
        <v>4831</v>
      </c>
      <c r="B548" s="41" t="s">
        <v>3305</v>
      </c>
      <c r="C548" s="8" t="s">
        <v>427</v>
      </c>
      <c r="D548" s="8" t="s">
        <v>3877</v>
      </c>
      <c r="E548" s="0" t="s">
        <v>3878</v>
      </c>
      <c r="F548" s="0" t="s">
        <v>427</v>
      </c>
      <c r="G548" s="0" t="s">
        <v>427</v>
      </c>
      <c r="H548" s="0" t="s">
        <v>427</v>
      </c>
      <c r="I548" s="0" t="s">
        <v>4765</v>
      </c>
      <c r="K548" s="44" t="str">
        <f aca="false">INDEX(libraries!$B:$B, MATCH(B548, libraries!$A:$A, 0), 1)</f>
        <v>sam0134</v>
      </c>
      <c r="L548" s="44" t="n">
        <f aca="false">INDEX(samples!$F:$F, MATCH(K548, samples!$A:$A, 0), 1)</f>
        <v>0</v>
      </c>
      <c r="M548" s="55" t="str">
        <f aca="false">INDEX(samples!$C:$C, MATCH(K548, samples!$A:$A, 0), 1)</f>
        <v>2019-10-08</v>
      </c>
      <c r="N548" s="44" t="str">
        <f aca="false">INDEX(samples!$B:$B, MATCH(K548, samples!$A:$A, 0), 1)</f>
        <v>par0084</v>
      </c>
      <c r="O548" s="44" t="s">
        <v>719</v>
      </c>
      <c r="P548" s="8" t="s">
        <v>3880</v>
      </c>
      <c r="Q548" s="8" t="s">
        <v>36</v>
      </c>
      <c r="R548" s="33" t="s">
        <v>3881</v>
      </c>
    </row>
    <row r="549" customFormat="false" ht="13.8" hidden="false" customHeight="false" outlineLevel="0" collapsed="false">
      <c r="A549" s="25" t="s">
        <v>4832</v>
      </c>
      <c r="B549" s="41" t="s">
        <v>3355</v>
      </c>
      <c r="C549" s="8" t="s">
        <v>427</v>
      </c>
      <c r="D549" s="8" t="s">
        <v>3877</v>
      </c>
      <c r="E549" s="0" t="s">
        <v>3878</v>
      </c>
      <c r="F549" s="0" t="s">
        <v>427</v>
      </c>
      <c r="G549" s="0" t="s">
        <v>427</v>
      </c>
      <c r="H549" s="0" t="s">
        <v>427</v>
      </c>
      <c r="I549" s="0" t="s">
        <v>4765</v>
      </c>
      <c r="K549" s="44" t="str">
        <f aca="false">INDEX(libraries!$B:$B, MATCH(B549, libraries!$A:$A, 0), 1)</f>
        <v>sam0139</v>
      </c>
      <c r="L549" s="44" t="n">
        <f aca="false">INDEX(samples!$F:$F, MATCH(K549, samples!$A:$A, 0), 1)</f>
        <v>0</v>
      </c>
      <c r="M549" s="55" t="str">
        <f aca="false">INDEX(samples!$C:$C, MATCH(K549, samples!$A:$A, 0), 1)</f>
        <v>2019-10-25</v>
      </c>
      <c r="N549" s="44" t="str">
        <f aca="false">INDEX(samples!$B:$B, MATCH(K549, samples!$A:$A, 0), 1)</f>
        <v>par0085</v>
      </c>
      <c r="O549" s="44" t="s">
        <v>724</v>
      </c>
      <c r="P549" s="8" t="s">
        <v>3880</v>
      </c>
      <c r="Q549" s="8" t="s">
        <v>36</v>
      </c>
      <c r="R549" s="33" t="s">
        <v>3881</v>
      </c>
    </row>
    <row r="550" customFormat="false" ht="13.8" hidden="false" customHeight="false" outlineLevel="0" collapsed="false">
      <c r="A550" s="25" t="s">
        <v>4833</v>
      </c>
      <c r="B550" s="41" t="s">
        <v>3321</v>
      </c>
      <c r="C550" s="8" t="s">
        <v>427</v>
      </c>
      <c r="D550" s="8" t="s">
        <v>3877</v>
      </c>
      <c r="E550" s="0" t="s">
        <v>3878</v>
      </c>
      <c r="F550" s="0" t="s">
        <v>427</v>
      </c>
      <c r="G550" s="0" t="s">
        <v>427</v>
      </c>
      <c r="H550" s="0" t="s">
        <v>427</v>
      </c>
      <c r="I550" s="0" t="s">
        <v>4765</v>
      </c>
      <c r="K550" s="44" t="str">
        <f aca="false">INDEX(libraries!$B:$B, MATCH(B550, libraries!$A:$A, 0), 1)</f>
        <v>sam0129</v>
      </c>
      <c r="L550" s="44" t="n">
        <f aca="false">INDEX(samples!$F:$F, MATCH(K550, samples!$A:$A, 0), 1)</f>
        <v>0</v>
      </c>
      <c r="M550" s="55" t="str">
        <f aca="false">INDEX(samples!$C:$C, MATCH(K550, samples!$A:$A, 0), 1)</f>
        <v>2019-08-20</v>
      </c>
      <c r="N550" s="44" t="str">
        <f aca="false">INDEX(samples!$B:$B, MATCH(K550, samples!$A:$A, 0), 1)</f>
        <v>par0101</v>
      </c>
      <c r="O550" s="44" t="s">
        <v>787</v>
      </c>
      <c r="P550" s="8" t="s">
        <v>3880</v>
      </c>
      <c r="Q550" s="8" t="s">
        <v>36</v>
      </c>
      <c r="R550" s="33" t="s">
        <v>3881</v>
      </c>
    </row>
    <row r="551" customFormat="false" ht="13.8" hidden="false" customHeight="false" outlineLevel="0" collapsed="false">
      <c r="A551" s="25" t="s">
        <v>4834</v>
      </c>
      <c r="B551" s="41" t="s">
        <v>3330</v>
      </c>
      <c r="C551" s="8" t="s">
        <v>427</v>
      </c>
      <c r="D551" s="8" t="s">
        <v>3877</v>
      </c>
      <c r="E551" s="0" t="s">
        <v>3878</v>
      </c>
      <c r="F551" s="0" t="s">
        <v>427</v>
      </c>
      <c r="G551" s="0" t="s">
        <v>427</v>
      </c>
      <c r="H551" s="0" t="s">
        <v>427</v>
      </c>
      <c r="I551" s="0" t="s">
        <v>4765</v>
      </c>
      <c r="K551" s="44" t="str">
        <f aca="false">INDEX(libraries!$B:$B, MATCH(B551, libraries!$A:$A, 0), 1)</f>
        <v>sam0101</v>
      </c>
      <c r="L551" s="44" t="n">
        <f aca="false">INDEX(samples!$F:$F, MATCH(K551, samples!$A:$A, 0), 1)</f>
        <v>0</v>
      </c>
      <c r="M551" s="55" t="str">
        <f aca="false">INDEX(samples!$C:$C, MATCH(K551, samples!$A:$A, 0), 1)</f>
        <v>2019-09-10</v>
      </c>
      <c r="N551" s="44" t="str">
        <f aca="false">INDEX(samples!$B:$B, MATCH(K551, samples!$A:$A, 0), 1)</f>
        <v>par0091</v>
      </c>
      <c r="O551" s="44" t="s">
        <v>741</v>
      </c>
      <c r="P551" s="8" t="s">
        <v>3880</v>
      </c>
      <c r="Q551" s="8" t="s">
        <v>36</v>
      </c>
      <c r="R551" s="33" t="s">
        <v>3881</v>
      </c>
    </row>
    <row r="552" customFormat="false" ht="13.8" hidden="false" customHeight="false" outlineLevel="0" collapsed="false">
      <c r="A552" s="25" t="s">
        <v>4835</v>
      </c>
      <c r="B552" s="41" t="s">
        <v>3293</v>
      </c>
      <c r="C552" s="8" t="s">
        <v>427</v>
      </c>
      <c r="D552" s="8" t="s">
        <v>3877</v>
      </c>
      <c r="E552" s="0" t="s">
        <v>3878</v>
      </c>
      <c r="F552" s="0" t="s">
        <v>427</v>
      </c>
      <c r="G552" s="0" t="s">
        <v>427</v>
      </c>
      <c r="H552" s="0" t="s">
        <v>427</v>
      </c>
      <c r="I552" s="0" t="s">
        <v>4765</v>
      </c>
      <c r="K552" s="44" t="str">
        <f aca="false">INDEX(libraries!$B:$B, MATCH(B552, libraries!$A:$A, 0), 1)</f>
        <v>sam0100</v>
      </c>
      <c r="L552" s="44" t="n">
        <f aca="false">INDEX(samples!$F:$F, MATCH(K552, samples!$A:$A, 0), 1)</f>
        <v>0</v>
      </c>
      <c r="M552" s="55" t="str">
        <f aca="false">INDEX(samples!$C:$C, MATCH(K552, samples!$A:$A, 0), 1)</f>
        <v>2019-07-17</v>
      </c>
      <c r="N552" s="44" t="str">
        <f aca="false">INDEX(samples!$B:$B, MATCH(K552, samples!$A:$A, 0), 1)</f>
        <v>par0090</v>
      </c>
      <c r="O552" s="44" t="s">
        <v>736</v>
      </c>
      <c r="P552" s="8" t="s">
        <v>3880</v>
      </c>
      <c r="Q552" s="8" t="s">
        <v>36</v>
      </c>
      <c r="R552" s="33" t="s">
        <v>3881</v>
      </c>
    </row>
    <row r="553" customFormat="false" ht="13.8" hidden="false" customHeight="false" outlineLevel="0" collapsed="false">
      <c r="A553" s="25" t="s">
        <v>4836</v>
      </c>
      <c r="B553" s="41" t="s">
        <v>3344</v>
      </c>
      <c r="C553" s="8" t="s">
        <v>427</v>
      </c>
      <c r="D553" s="8" t="s">
        <v>3877</v>
      </c>
      <c r="E553" s="0" t="s">
        <v>3878</v>
      </c>
      <c r="F553" s="0" t="s">
        <v>427</v>
      </c>
      <c r="G553" s="0" t="s">
        <v>427</v>
      </c>
      <c r="H553" s="0" t="s">
        <v>427</v>
      </c>
      <c r="I553" s="0" t="s">
        <v>4765</v>
      </c>
      <c r="K553" s="44" t="str">
        <f aca="false">INDEX(libraries!$B:$B, MATCH(B553, libraries!$A:$A, 0), 1)</f>
        <v>sam0138</v>
      </c>
      <c r="L553" s="44" t="n">
        <f aca="false">INDEX(samples!$F:$F, MATCH(K553, samples!$A:$A, 0), 1)</f>
        <v>0</v>
      </c>
      <c r="M553" s="55" t="str">
        <f aca="false">INDEX(samples!$C:$C, MATCH(K553, samples!$A:$A, 0), 1)</f>
        <v>2019-10-10</v>
      </c>
      <c r="N553" s="44" t="str">
        <f aca="false">INDEX(samples!$B:$B, MATCH(K553, samples!$A:$A, 0), 1)</f>
        <v>par0104</v>
      </c>
      <c r="O553" s="44" t="s">
        <v>802</v>
      </c>
      <c r="P553" s="8" t="s">
        <v>3880</v>
      </c>
      <c r="Q553" s="8" t="s">
        <v>36</v>
      </c>
      <c r="R553" s="33" t="s">
        <v>3881</v>
      </c>
    </row>
    <row r="554" customFormat="false" ht="13.8" hidden="false" customHeight="false" outlineLevel="0" collapsed="false">
      <c r="A554" s="25" t="s">
        <v>4837</v>
      </c>
      <c r="B554" s="41" t="s">
        <v>3306</v>
      </c>
      <c r="C554" s="8" t="s">
        <v>427</v>
      </c>
      <c r="D554" s="8" t="s">
        <v>3877</v>
      </c>
      <c r="E554" s="0" t="s">
        <v>3878</v>
      </c>
      <c r="F554" s="0" t="s">
        <v>427</v>
      </c>
      <c r="G554" s="0" t="s">
        <v>427</v>
      </c>
      <c r="H554" s="0" t="s">
        <v>427</v>
      </c>
      <c r="I554" s="0" t="s">
        <v>4765</v>
      </c>
      <c r="K554" s="44" t="str">
        <f aca="false">INDEX(libraries!$B:$B, MATCH(B554, libraries!$A:$A, 0), 1)</f>
        <v>sam0113</v>
      </c>
      <c r="L554" s="44" t="n">
        <f aca="false">INDEX(samples!$F:$F, MATCH(K554, samples!$A:$A, 0), 1)</f>
        <v>0</v>
      </c>
      <c r="M554" s="55" t="str">
        <f aca="false">INDEX(samples!$C:$C, MATCH(K554, samples!$A:$A, 0), 1)</f>
        <v>2019-12-12</v>
      </c>
      <c r="N554" s="44" t="str">
        <f aca="false">INDEX(samples!$B:$B, MATCH(K554, samples!$A:$A, 0), 1)</f>
        <v>par0080</v>
      </c>
      <c r="O554" s="44" t="s">
        <v>696</v>
      </c>
      <c r="P554" s="8" t="s">
        <v>3880</v>
      </c>
      <c r="Q554" s="8" t="s">
        <v>36</v>
      </c>
      <c r="R554" s="33" t="s">
        <v>3881</v>
      </c>
    </row>
    <row r="555" customFormat="false" ht="13.8" hidden="false" customHeight="false" outlineLevel="0" collapsed="false">
      <c r="A555" s="25" t="s">
        <v>4838</v>
      </c>
      <c r="B555" s="41" t="s">
        <v>3288</v>
      </c>
      <c r="C555" s="8" t="s">
        <v>427</v>
      </c>
      <c r="D555" s="8" t="s">
        <v>3877</v>
      </c>
      <c r="E555" s="0" t="s">
        <v>3878</v>
      </c>
      <c r="F555" s="0" t="s">
        <v>427</v>
      </c>
      <c r="G555" s="0" t="s">
        <v>427</v>
      </c>
      <c r="H555" s="0" t="s">
        <v>427</v>
      </c>
      <c r="I555" s="0" t="s">
        <v>4765</v>
      </c>
      <c r="K555" s="44" t="str">
        <f aca="false">INDEX(libraries!$B:$B, MATCH(B555, libraries!$A:$A, 0), 1)</f>
        <v>sam0112</v>
      </c>
      <c r="L555" s="44" t="n">
        <f aca="false">INDEX(samples!$F:$F, MATCH(K555, samples!$A:$A, 0), 1)</f>
        <v>0</v>
      </c>
      <c r="M555" s="55" t="str">
        <f aca="false">INDEX(samples!$C:$C, MATCH(K555, samples!$A:$A, 0), 1)</f>
        <v>2019-12-05</v>
      </c>
      <c r="N555" s="44" t="str">
        <f aca="false">INDEX(samples!$B:$B, MATCH(K555, samples!$A:$A, 0), 1)</f>
        <v>par0080</v>
      </c>
      <c r="O555" s="44" t="s">
        <v>696</v>
      </c>
      <c r="P555" s="8" t="s">
        <v>3880</v>
      </c>
      <c r="Q555" s="8" t="s">
        <v>36</v>
      </c>
      <c r="R555" s="33" t="s">
        <v>3881</v>
      </c>
    </row>
    <row r="556" customFormat="false" ht="13.8" hidden="false" customHeight="false" outlineLevel="0" collapsed="false">
      <c r="A556" s="25" t="s">
        <v>4839</v>
      </c>
      <c r="B556" s="41" t="s">
        <v>3359</v>
      </c>
      <c r="C556" s="8" t="s">
        <v>427</v>
      </c>
      <c r="D556" s="8" t="s">
        <v>3877</v>
      </c>
      <c r="E556" s="0" t="s">
        <v>3878</v>
      </c>
      <c r="F556" s="0" t="s">
        <v>427</v>
      </c>
      <c r="G556" s="0" t="s">
        <v>427</v>
      </c>
      <c r="H556" s="0" t="s">
        <v>427</v>
      </c>
      <c r="I556" s="0" t="s">
        <v>4765</v>
      </c>
      <c r="K556" s="44" t="str">
        <f aca="false">INDEX(libraries!$B:$B, MATCH(B556, libraries!$A:$A, 0), 1)</f>
        <v>sam0216</v>
      </c>
      <c r="L556" s="44" t="n">
        <f aca="false">INDEX(samples!$F:$F, MATCH(K556, samples!$A:$A, 0), 1)</f>
        <v>0</v>
      </c>
      <c r="M556" s="55" t="str">
        <f aca="false">INDEX(samples!$C:$C, MATCH(K556, samples!$A:$A, 0), 1)</f>
        <v>GET</v>
      </c>
      <c r="N556" s="44" t="str">
        <f aca="false">INDEX(samples!$B:$B, MATCH(K556, samples!$A:$A, 0), 1)</f>
        <v>par0081</v>
      </c>
      <c r="O556" s="44" t="s">
        <v>702</v>
      </c>
      <c r="P556" s="8" t="s">
        <v>3880</v>
      </c>
      <c r="Q556" s="8" t="s">
        <v>36</v>
      </c>
      <c r="R556" s="33" t="s">
        <v>3881</v>
      </c>
    </row>
    <row r="557" customFormat="false" ht="13.8" hidden="false" customHeight="false" outlineLevel="0" collapsed="false">
      <c r="A557" s="25" t="s">
        <v>4840</v>
      </c>
      <c r="B557" s="41" t="s">
        <v>3360</v>
      </c>
      <c r="C557" s="8" t="s">
        <v>427</v>
      </c>
      <c r="D557" s="8" t="s">
        <v>3877</v>
      </c>
      <c r="E557" s="0" t="s">
        <v>3878</v>
      </c>
      <c r="F557" s="0" t="s">
        <v>427</v>
      </c>
      <c r="G557" s="0" t="s">
        <v>427</v>
      </c>
      <c r="H557" s="0" t="s">
        <v>427</v>
      </c>
      <c r="I557" s="0" t="s">
        <v>4765</v>
      </c>
      <c r="K557" s="44" t="str">
        <f aca="false">INDEX(libraries!$B:$B, MATCH(B557, libraries!$A:$A, 0), 1)</f>
        <v>sam0215</v>
      </c>
      <c r="L557" s="44" t="n">
        <f aca="false">INDEX(samples!$F:$F, MATCH(K557, samples!$A:$A, 0), 1)</f>
        <v>0</v>
      </c>
      <c r="M557" s="55" t="str">
        <f aca="false">INDEX(samples!$C:$C, MATCH(K557, samples!$A:$A, 0), 1)</f>
        <v>GET</v>
      </c>
      <c r="N557" s="44" t="str">
        <f aca="false">INDEX(samples!$B:$B, MATCH(K557, samples!$A:$A, 0), 1)</f>
        <v>par0081</v>
      </c>
      <c r="O557" s="44" t="s">
        <v>702</v>
      </c>
      <c r="P557" s="8" t="s">
        <v>3880</v>
      </c>
      <c r="Q557" s="8" t="s">
        <v>36</v>
      </c>
      <c r="R557" s="33" t="s">
        <v>3881</v>
      </c>
    </row>
    <row r="558" customFormat="false" ht="13.8" hidden="false" customHeight="false" outlineLevel="0" collapsed="false">
      <c r="A558" s="25" t="s">
        <v>4841</v>
      </c>
      <c r="B558" s="41" t="s">
        <v>3310</v>
      </c>
      <c r="C558" s="8" t="s">
        <v>427</v>
      </c>
      <c r="D558" s="8" t="s">
        <v>3877</v>
      </c>
      <c r="E558" s="0" t="s">
        <v>3878</v>
      </c>
      <c r="F558" s="0" t="s">
        <v>427</v>
      </c>
      <c r="G558" s="0" t="s">
        <v>427</v>
      </c>
      <c r="H558" s="0" t="s">
        <v>427</v>
      </c>
      <c r="I558" s="0" t="s">
        <v>4765</v>
      </c>
      <c r="K558" s="44" t="str">
        <f aca="false">INDEX(libraries!$B:$B, MATCH(B558, libraries!$A:$A, 0), 1)</f>
        <v>sam0153</v>
      </c>
      <c r="L558" s="44" t="n">
        <f aca="false">INDEX(samples!$F:$F, MATCH(K558, samples!$A:$A, 0), 1)</f>
        <v>0</v>
      </c>
      <c r="M558" s="55" t="str">
        <f aca="false">INDEX(samples!$C:$C, MATCH(K558, samples!$A:$A, 0), 1)</f>
        <v>2020-02-04</v>
      </c>
      <c r="N558" s="44" t="str">
        <f aca="false">INDEX(samples!$B:$B, MATCH(K558, samples!$A:$A, 0), 1)</f>
        <v>par0064</v>
      </c>
      <c r="O558" s="44" t="s">
        <v>672</v>
      </c>
      <c r="P558" s="8" t="s">
        <v>3880</v>
      </c>
      <c r="Q558" s="8" t="s">
        <v>36</v>
      </c>
      <c r="R558" s="33" t="s">
        <v>3881</v>
      </c>
    </row>
    <row r="559" customFormat="false" ht="13.8" hidden="false" customHeight="false" outlineLevel="0" collapsed="false">
      <c r="A559" s="25" t="s">
        <v>4842</v>
      </c>
      <c r="B559" s="41" t="s">
        <v>3287</v>
      </c>
      <c r="C559" s="8" t="s">
        <v>427</v>
      </c>
      <c r="D559" s="8" t="s">
        <v>3877</v>
      </c>
      <c r="E559" s="0" t="s">
        <v>3878</v>
      </c>
      <c r="F559" s="0" t="s">
        <v>427</v>
      </c>
      <c r="G559" s="0" t="s">
        <v>427</v>
      </c>
      <c r="H559" s="0" t="s">
        <v>427</v>
      </c>
      <c r="I559" s="0" t="s">
        <v>4765</v>
      </c>
      <c r="K559" s="44" t="str">
        <f aca="false">INDEX(libraries!$B:$B, MATCH(B559, libraries!$A:$A, 0), 1)</f>
        <v>sam0150</v>
      </c>
      <c r="L559" s="44" t="n">
        <f aca="false">INDEX(samples!$F:$F, MATCH(K559, samples!$A:$A, 0), 1)</f>
        <v>0</v>
      </c>
      <c r="M559" s="55" t="str">
        <f aca="false">INDEX(samples!$C:$C, MATCH(K559, samples!$A:$A, 0), 1)</f>
        <v>2020-01-21</v>
      </c>
      <c r="N559" s="44" t="str">
        <f aca="false">INDEX(samples!$B:$B, MATCH(K559, samples!$A:$A, 0), 1)</f>
        <v>par0109</v>
      </c>
      <c r="O559" s="44" t="s">
        <v>823</v>
      </c>
      <c r="P559" s="8" t="s">
        <v>3880</v>
      </c>
      <c r="Q559" s="8" t="s">
        <v>36</v>
      </c>
      <c r="R559" s="33" t="s">
        <v>3881</v>
      </c>
    </row>
    <row r="560" customFormat="false" ht="13.8" hidden="false" customHeight="false" outlineLevel="0" collapsed="false">
      <c r="A560" s="25" t="s">
        <v>4843</v>
      </c>
      <c r="B560" s="41" t="s">
        <v>3353</v>
      </c>
      <c r="C560" s="8" t="s">
        <v>427</v>
      </c>
      <c r="D560" s="8" t="s">
        <v>3877</v>
      </c>
      <c r="E560" s="0" t="s">
        <v>3878</v>
      </c>
      <c r="F560" s="0" t="s">
        <v>427</v>
      </c>
      <c r="G560" s="0" t="s">
        <v>427</v>
      </c>
      <c r="H560" s="0" t="s">
        <v>427</v>
      </c>
      <c r="I560" s="0" t="s">
        <v>4765</v>
      </c>
      <c r="K560" s="44" t="str">
        <f aca="false">INDEX(libraries!$B:$B, MATCH(B560, libraries!$A:$A, 0), 1)</f>
        <v>sam0137</v>
      </c>
      <c r="L560" s="44" t="n">
        <f aca="false">INDEX(samples!$F:$F, MATCH(K560, samples!$A:$A, 0), 1)</f>
        <v>0</v>
      </c>
      <c r="M560" s="55" t="str">
        <f aca="false">INDEX(samples!$C:$C, MATCH(K560, samples!$A:$A, 0), 1)</f>
        <v>2020-02-25</v>
      </c>
      <c r="N560" s="44" t="str">
        <f aca="false">INDEX(samples!$B:$B, MATCH(K560, samples!$A:$A, 0), 1)</f>
        <v>par0084</v>
      </c>
      <c r="O560" s="44" t="s">
        <v>719</v>
      </c>
      <c r="P560" s="8" t="s">
        <v>3880</v>
      </c>
      <c r="Q560" s="8" t="s">
        <v>36</v>
      </c>
      <c r="R560" s="33" t="s">
        <v>3881</v>
      </c>
    </row>
    <row r="561" customFormat="false" ht="13.8" hidden="false" customHeight="false" outlineLevel="0" collapsed="false">
      <c r="A561" s="25" t="s">
        <v>4844</v>
      </c>
      <c r="B561" s="41" t="s">
        <v>3314</v>
      </c>
      <c r="C561" s="8" t="s">
        <v>427</v>
      </c>
      <c r="D561" s="8" t="s">
        <v>3877</v>
      </c>
      <c r="E561" s="0" t="s">
        <v>3878</v>
      </c>
      <c r="F561" s="0" t="s">
        <v>427</v>
      </c>
      <c r="G561" s="0" t="s">
        <v>427</v>
      </c>
      <c r="H561" s="0" t="s">
        <v>427</v>
      </c>
      <c r="I561" s="0" t="s">
        <v>4765</v>
      </c>
      <c r="K561" s="44" t="str">
        <f aca="false">INDEX(libraries!$B:$B, MATCH(B561, libraries!$A:$A, 0), 1)</f>
        <v>sam0155</v>
      </c>
      <c r="L561" s="44" t="n">
        <f aca="false">INDEX(samples!$F:$F, MATCH(K561, samples!$A:$A, 0), 1)</f>
        <v>0</v>
      </c>
      <c r="M561" s="55" t="str">
        <f aca="false">INDEX(samples!$C:$C, MATCH(K561, samples!$A:$A, 0), 1)</f>
        <v>2020-02-18</v>
      </c>
      <c r="N561" s="44" t="str">
        <f aca="false">INDEX(samples!$B:$B, MATCH(K561, samples!$A:$A, 0), 1)</f>
        <v>par0132</v>
      </c>
      <c r="O561" s="44" t="s">
        <v>895</v>
      </c>
      <c r="P561" s="8" t="s">
        <v>3880</v>
      </c>
      <c r="Q561" s="8" t="s">
        <v>36</v>
      </c>
      <c r="R561" s="33" t="s">
        <v>3881</v>
      </c>
    </row>
    <row r="562" customFormat="false" ht="13.8" hidden="false" customHeight="false" outlineLevel="0" collapsed="false">
      <c r="A562" s="25" t="s">
        <v>4845</v>
      </c>
      <c r="B562" s="41" t="s">
        <v>3279</v>
      </c>
      <c r="C562" s="8" t="s">
        <v>427</v>
      </c>
      <c r="D562" s="8" t="s">
        <v>3877</v>
      </c>
      <c r="E562" s="0" t="s">
        <v>3878</v>
      </c>
      <c r="F562" s="0" t="s">
        <v>427</v>
      </c>
      <c r="G562" s="0" t="s">
        <v>427</v>
      </c>
      <c r="H562" s="0" t="s">
        <v>427</v>
      </c>
      <c r="I562" s="0" t="s">
        <v>4765</v>
      </c>
      <c r="K562" s="44" t="str">
        <f aca="false">INDEX(libraries!$B:$B, MATCH(B562, libraries!$A:$A, 0), 1)</f>
        <v>sam0146</v>
      </c>
      <c r="L562" s="44" t="n">
        <f aca="false">INDEX(samples!$F:$F, MATCH(K562, samples!$A:$A, 0), 1)</f>
        <v>0</v>
      </c>
      <c r="M562" s="55" t="str">
        <f aca="false">INDEX(samples!$C:$C, MATCH(K562, samples!$A:$A, 0), 1)</f>
        <v>2020-02-25</v>
      </c>
      <c r="N562" s="44" t="str">
        <f aca="false">INDEX(samples!$B:$B, MATCH(K562, samples!$A:$A, 0), 1)</f>
        <v>par0107</v>
      </c>
      <c r="O562" s="44" t="s">
        <v>815</v>
      </c>
      <c r="P562" s="8" t="s">
        <v>3880</v>
      </c>
      <c r="Q562" s="8" t="s">
        <v>36</v>
      </c>
      <c r="R562" s="33" t="s">
        <v>3881</v>
      </c>
    </row>
    <row r="563" customFormat="false" ht="13.8" hidden="false" customHeight="false" outlineLevel="0" collapsed="false">
      <c r="A563" s="25" t="s">
        <v>4846</v>
      </c>
      <c r="B563" s="41" t="s">
        <v>3299</v>
      </c>
      <c r="C563" s="8" t="s">
        <v>427</v>
      </c>
      <c r="D563" s="8" t="s">
        <v>3877</v>
      </c>
      <c r="E563" s="0" t="s">
        <v>3878</v>
      </c>
      <c r="F563" s="0" t="s">
        <v>427</v>
      </c>
      <c r="G563" s="0" t="s">
        <v>427</v>
      </c>
      <c r="H563" s="0" t="s">
        <v>427</v>
      </c>
      <c r="I563" s="0" t="s">
        <v>4765</v>
      </c>
      <c r="K563" s="44" t="str">
        <f aca="false">INDEX(libraries!$B:$B, MATCH(B563, libraries!$A:$A, 0), 1)</f>
        <v>sam0147</v>
      </c>
      <c r="L563" s="44" t="n">
        <f aca="false">INDEX(samples!$F:$F, MATCH(K563, samples!$A:$A, 0), 1)</f>
        <v>0</v>
      </c>
      <c r="M563" s="55" t="str">
        <f aca="false">INDEX(samples!$C:$C, MATCH(K563, samples!$A:$A, 0), 1)</f>
        <v>2020-02-11</v>
      </c>
      <c r="N563" s="44" t="str">
        <f aca="false">INDEX(samples!$B:$B, MATCH(K563, samples!$A:$A, 0), 1)</f>
        <v>par0063</v>
      </c>
      <c r="O563" s="44" t="s">
        <v>667</v>
      </c>
      <c r="P563" s="8" t="s">
        <v>3880</v>
      </c>
      <c r="Q563" s="8" t="s">
        <v>36</v>
      </c>
      <c r="R563" s="33" t="s">
        <v>3881</v>
      </c>
    </row>
    <row r="564" customFormat="false" ht="13.8" hidden="false" customHeight="false" outlineLevel="0" collapsed="false">
      <c r="A564" s="25" t="s">
        <v>4847</v>
      </c>
      <c r="B564" s="41" t="s">
        <v>3334</v>
      </c>
      <c r="C564" s="8" t="s">
        <v>427</v>
      </c>
      <c r="D564" s="8" t="s">
        <v>3877</v>
      </c>
      <c r="E564" s="0" t="s">
        <v>3878</v>
      </c>
      <c r="F564" s="0" t="s">
        <v>427</v>
      </c>
      <c r="G564" s="0" t="s">
        <v>427</v>
      </c>
      <c r="H564" s="0" t="s">
        <v>427</v>
      </c>
      <c r="I564" s="0" t="s">
        <v>4765</v>
      </c>
      <c r="K564" s="44" t="str">
        <f aca="false">INDEX(libraries!$B:$B, MATCH(B564, libraries!$A:$A, 0), 1)</f>
        <v>sam0157</v>
      </c>
      <c r="L564" s="44" t="n">
        <f aca="false">INDEX(samples!$F:$F, MATCH(K564, samples!$A:$A, 0), 1)</f>
        <v>0</v>
      </c>
      <c r="M564" s="55" t="str">
        <f aca="false">INDEX(samples!$C:$C, MATCH(K564, samples!$A:$A, 0), 1)</f>
        <v>2020-02-20</v>
      </c>
      <c r="N564" s="44" t="str">
        <f aca="false">INDEX(samples!$B:$B, MATCH(K564, samples!$A:$A, 0), 1)</f>
        <v>par0133</v>
      </c>
      <c r="O564" s="44" t="s">
        <v>899</v>
      </c>
      <c r="P564" s="8" t="s">
        <v>3880</v>
      </c>
      <c r="Q564" s="8" t="s">
        <v>36</v>
      </c>
      <c r="R564" s="33" t="s">
        <v>3881</v>
      </c>
    </row>
    <row r="565" customFormat="false" ht="13.8" hidden="false" customHeight="false" outlineLevel="0" collapsed="false">
      <c r="A565" s="25" t="s">
        <v>4848</v>
      </c>
      <c r="B565" s="41" t="s">
        <v>3276</v>
      </c>
      <c r="C565" s="8" t="s">
        <v>427</v>
      </c>
      <c r="D565" s="8" t="s">
        <v>3877</v>
      </c>
      <c r="E565" s="0" t="s">
        <v>3878</v>
      </c>
      <c r="F565" s="0" t="s">
        <v>427</v>
      </c>
      <c r="G565" s="0" t="s">
        <v>427</v>
      </c>
      <c r="H565" s="0" t="s">
        <v>427</v>
      </c>
      <c r="I565" s="0" t="s">
        <v>4765</v>
      </c>
      <c r="K565" s="44" t="str">
        <f aca="false">INDEX(libraries!$B:$B, MATCH(B565, libraries!$A:$A, 0), 1)</f>
        <v>sam0152</v>
      </c>
      <c r="L565" s="44" t="n">
        <f aca="false">INDEX(samples!$F:$F, MATCH(K565, samples!$A:$A, 0), 1)</f>
        <v>0</v>
      </c>
      <c r="M565" s="55" t="str">
        <f aca="false">INDEX(samples!$C:$C, MATCH(K565, samples!$A:$A, 0), 1)</f>
        <v>2020-01-30</v>
      </c>
      <c r="N565" s="44" t="str">
        <f aca="false">INDEX(samples!$B:$B, MATCH(K565, samples!$A:$A, 0), 1)</f>
        <v>par0131</v>
      </c>
      <c r="O565" s="44" t="s">
        <v>891</v>
      </c>
      <c r="P565" s="8" t="s">
        <v>3880</v>
      </c>
      <c r="Q565" s="8" t="s">
        <v>36</v>
      </c>
      <c r="R565" s="33" t="s">
        <v>3881</v>
      </c>
    </row>
    <row r="566" customFormat="false" ht="13.8" hidden="false" customHeight="false" outlineLevel="0" collapsed="false">
      <c r="A566" s="25" t="s">
        <v>4849</v>
      </c>
      <c r="B566" s="41" t="s">
        <v>3283</v>
      </c>
      <c r="C566" s="8" t="s">
        <v>427</v>
      </c>
      <c r="D566" s="8" t="s">
        <v>3877</v>
      </c>
      <c r="E566" s="0" t="s">
        <v>3878</v>
      </c>
      <c r="F566" s="0" t="s">
        <v>427</v>
      </c>
      <c r="G566" s="0" t="s">
        <v>427</v>
      </c>
      <c r="H566" s="0" t="s">
        <v>427</v>
      </c>
      <c r="I566" s="0" t="s">
        <v>4765</v>
      </c>
      <c r="K566" s="44" t="str">
        <f aca="false">INDEX(libraries!$B:$B, MATCH(B566, libraries!$A:$A, 0), 1)</f>
        <v>sam0099</v>
      </c>
      <c r="L566" s="44" t="n">
        <f aca="false">INDEX(samples!$F:$F, MATCH(K566, samples!$A:$A, 0), 1)</f>
        <v>0</v>
      </c>
      <c r="M566" s="55" t="str">
        <f aca="false">INDEX(samples!$C:$C, MATCH(K566, samples!$A:$A, 0), 1)</f>
        <v>2020-02-04</v>
      </c>
      <c r="N566" s="44" t="str">
        <f aca="false">INDEX(samples!$B:$B, MATCH(K566, samples!$A:$A, 0), 1)</f>
        <v>par0089</v>
      </c>
      <c r="O566" s="44" t="s">
        <v>732</v>
      </c>
      <c r="P566" s="8" t="s">
        <v>3880</v>
      </c>
      <c r="Q566" s="8" t="s">
        <v>36</v>
      </c>
      <c r="R566" s="33" t="s">
        <v>3881</v>
      </c>
    </row>
    <row r="567" customFormat="false" ht="13.8" hidden="false" customHeight="false" outlineLevel="0" collapsed="false">
      <c r="A567" s="25" t="s">
        <v>4850</v>
      </c>
      <c r="B567" s="41" t="s">
        <v>3270</v>
      </c>
      <c r="C567" s="8" t="s">
        <v>427</v>
      </c>
      <c r="D567" s="8" t="s">
        <v>3877</v>
      </c>
      <c r="E567" s="0" t="s">
        <v>3878</v>
      </c>
      <c r="F567" s="0" t="s">
        <v>427</v>
      </c>
      <c r="G567" s="0" t="s">
        <v>427</v>
      </c>
      <c r="H567" s="0" t="s">
        <v>427</v>
      </c>
      <c r="I567" s="0" t="s">
        <v>4765</v>
      </c>
      <c r="K567" s="44" t="str">
        <f aca="false">INDEX(libraries!$B:$B, MATCH(B567, libraries!$A:$A, 0), 1)</f>
        <v>sam0114</v>
      </c>
      <c r="L567" s="44" t="n">
        <f aca="false">INDEX(samples!$F:$F, MATCH(K567, samples!$A:$A, 0), 1)</f>
        <v>0</v>
      </c>
      <c r="M567" s="55" t="str">
        <f aca="false">INDEX(samples!$C:$C, MATCH(K567, samples!$A:$A, 0), 1)</f>
        <v>2020-02-27</v>
      </c>
      <c r="N567" s="44" t="str">
        <f aca="false">INDEX(samples!$B:$B, MATCH(K567, samples!$A:$A, 0), 1)</f>
        <v>par0080</v>
      </c>
      <c r="O567" s="44" t="s">
        <v>696</v>
      </c>
      <c r="P567" s="8" t="s">
        <v>3880</v>
      </c>
      <c r="Q567" s="8" t="s">
        <v>36</v>
      </c>
      <c r="R567" s="33" t="s">
        <v>3881</v>
      </c>
    </row>
    <row r="568" customFormat="false" ht="13.8" hidden="false" customHeight="false" outlineLevel="0" collapsed="false">
      <c r="A568" s="25" t="s">
        <v>4851</v>
      </c>
      <c r="B568" s="41" t="s">
        <v>3282</v>
      </c>
      <c r="C568" s="8" t="s">
        <v>427</v>
      </c>
      <c r="D568" s="8" t="s">
        <v>3877</v>
      </c>
      <c r="E568" s="0" t="s">
        <v>3878</v>
      </c>
      <c r="F568" s="0" t="s">
        <v>427</v>
      </c>
      <c r="G568" s="0" t="s">
        <v>427</v>
      </c>
      <c r="H568" s="0" t="s">
        <v>427</v>
      </c>
      <c r="I568" s="0" t="s">
        <v>4765</v>
      </c>
      <c r="K568" s="44" t="str">
        <f aca="false">INDEX(libraries!$B:$B, MATCH(B568, libraries!$A:$A, 0), 1)</f>
        <v>sam0142</v>
      </c>
      <c r="L568" s="44" t="n">
        <f aca="false">INDEX(samples!$F:$F, MATCH(K568, samples!$A:$A, 0), 1)</f>
        <v>0</v>
      </c>
      <c r="M568" s="55" t="str">
        <f aca="false">INDEX(samples!$C:$C, MATCH(K568, samples!$A:$A, 0), 1)</f>
        <v>2020-02-20</v>
      </c>
      <c r="N568" s="44" t="str">
        <f aca="false">INDEX(samples!$B:$B, MATCH(K568, samples!$A:$A, 0), 1)</f>
        <v>par0085</v>
      </c>
      <c r="O568" s="44" t="s">
        <v>724</v>
      </c>
      <c r="P568" s="8" t="s">
        <v>3880</v>
      </c>
      <c r="Q568" s="8" t="s">
        <v>36</v>
      </c>
      <c r="R568" s="33" t="s">
        <v>3881</v>
      </c>
    </row>
    <row r="569" customFormat="false" ht="13.8" hidden="false" customHeight="false" outlineLevel="0" collapsed="false">
      <c r="A569" s="25" t="s">
        <v>4852</v>
      </c>
      <c r="B569" s="41" t="s">
        <v>3347</v>
      </c>
      <c r="C569" s="8" t="s">
        <v>427</v>
      </c>
      <c r="D569" s="8" t="s">
        <v>3877</v>
      </c>
      <c r="E569" s="0" t="s">
        <v>3878</v>
      </c>
      <c r="F569" s="0" t="s">
        <v>427</v>
      </c>
      <c r="G569" s="0" t="s">
        <v>427</v>
      </c>
      <c r="H569" s="0" t="s">
        <v>427</v>
      </c>
      <c r="I569" s="0" t="s">
        <v>4765</v>
      </c>
      <c r="K569" s="44" t="str">
        <f aca="false">INDEX(libraries!$B:$B, MATCH(B569, libraries!$A:$A, 0), 1)</f>
        <v>sam0161</v>
      </c>
      <c r="L569" s="44" t="n">
        <f aca="false">INDEX(samples!$F:$F, MATCH(K569, samples!$A:$A, 0), 1)</f>
        <v>0</v>
      </c>
      <c r="M569" s="55" t="str">
        <f aca="false">INDEX(samples!$C:$C, MATCH(K569, samples!$A:$A, 0), 1)</f>
        <v>2020-03-12</v>
      </c>
      <c r="N569" s="44" t="str">
        <f aca="false">INDEX(samples!$B:$B, MATCH(K569, samples!$A:$A, 0), 1)</f>
        <v>par0136</v>
      </c>
      <c r="O569" s="44" t="s">
        <v>908</v>
      </c>
      <c r="P569" s="8" t="s">
        <v>3880</v>
      </c>
      <c r="Q569" s="8" t="s">
        <v>36</v>
      </c>
      <c r="R569" s="33" t="s">
        <v>3881</v>
      </c>
    </row>
    <row r="570" customFormat="false" ht="13.8" hidden="false" customHeight="false" outlineLevel="0" collapsed="false">
      <c r="A570" s="25" t="s">
        <v>4853</v>
      </c>
      <c r="B570" s="41" t="s">
        <v>3352</v>
      </c>
      <c r="C570" s="8" t="s">
        <v>427</v>
      </c>
      <c r="D570" s="8" t="s">
        <v>3877</v>
      </c>
      <c r="E570" s="0" t="s">
        <v>3878</v>
      </c>
      <c r="F570" s="0" t="s">
        <v>427</v>
      </c>
      <c r="G570" s="0" t="s">
        <v>427</v>
      </c>
      <c r="H570" s="0" t="s">
        <v>427</v>
      </c>
      <c r="I570" s="0" t="s">
        <v>4765</v>
      </c>
      <c r="K570" s="44" t="str">
        <f aca="false">INDEX(libraries!$B:$B, MATCH(B570, libraries!$A:$A, 0), 1)</f>
        <v>sam0151</v>
      </c>
      <c r="L570" s="44" t="n">
        <f aca="false">INDEX(samples!$F:$F, MATCH(K570, samples!$A:$A, 0), 1)</f>
        <v>0</v>
      </c>
      <c r="M570" s="55" t="str">
        <f aca="false">INDEX(samples!$C:$C, MATCH(K570, samples!$A:$A, 0), 1)</f>
        <v>2020-01-21</v>
      </c>
      <c r="N570" s="44" t="str">
        <f aca="false">INDEX(samples!$B:$B, MATCH(K570, samples!$A:$A, 0), 1)</f>
        <v>par0109</v>
      </c>
      <c r="O570" s="44" t="s">
        <v>823</v>
      </c>
      <c r="P570" s="8" t="s">
        <v>3880</v>
      </c>
      <c r="Q570" s="8" t="s">
        <v>36</v>
      </c>
      <c r="R570" s="33" t="s">
        <v>3881</v>
      </c>
    </row>
    <row r="571" customFormat="false" ht="13.8" hidden="false" customHeight="false" outlineLevel="0" collapsed="false">
      <c r="A571" s="25" t="s">
        <v>4854</v>
      </c>
      <c r="B571" s="41" t="s">
        <v>3322</v>
      </c>
      <c r="C571" s="8" t="s">
        <v>427</v>
      </c>
      <c r="D571" s="8" t="s">
        <v>3877</v>
      </c>
      <c r="E571" s="0" t="s">
        <v>3878</v>
      </c>
      <c r="F571" s="0" t="s">
        <v>427</v>
      </c>
      <c r="G571" s="0" t="s">
        <v>427</v>
      </c>
      <c r="H571" s="0" t="s">
        <v>427</v>
      </c>
      <c r="I571" s="0" t="s">
        <v>4765</v>
      </c>
      <c r="K571" s="44" t="str">
        <f aca="false">INDEX(libraries!$B:$B, MATCH(B571, libraries!$A:$A, 0), 1)</f>
        <v>sam0154</v>
      </c>
      <c r="L571" s="44" t="n">
        <f aca="false">INDEX(samples!$F:$F, MATCH(K571, samples!$A:$A, 0), 1)</f>
        <v>0</v>
      </c>
      <c r="M571" s="55" t="str">
        <f aca="false">INDEX(samples!$C:$C, MATCH(K571, samples!$A:$A, 0), 1)</f>
        <v>GET</v>
      </c>
      <c r="N571" s="44" t="str">
        <f aca="false">INDEX(samples!$B:$B, MATCH(K571, samples!$A:$A, 0), 1)</f>
        <v>par0064</v>
      </c>
      <c r="O571" s="44" t="s">
        <v>672</v>
      </c>
      <c r="P571" s="8" t="s">
        <v>3880</v>
      </c>
      <c r="Q571" s="8" t="s">
        <v>36</v>
      </c>
      <c r="R571" s="33" t="s">
        <v>3881</v>
      </c>
    </row>
    <row r="572" customFormat="false" ht="13.8" hidden="false" customHeight="false" outlineLevel="0" collapsed="false">
      <c r="A572" s="25" t="s">
        <v>4855</v>
      </c>
      <c r="B572" s="41" t="s">
        <v>3388</v>
      </c>
      <c r="C572" s="8"/>
      <c r="D572" s="8" t="s">
        <v>3877</v>
      </c>
      <c r="E572" s="0" t="s">
        <v>3878</v>
      </c>
      <c r="F572" s="0" t="s">
        <v>427</v>
      </c>
      <c r="G572" s="0" t="s">
        <v>427</v>
      </c>
      <c r="H572" s="0" t="s">
        <v>427</v>
      </c>
      <c r="I572" s="0" t="s">
        <v>4765</v>
      </c>
      <c r="K572" s="44" t="str">
        <f aca="false">INDEX(libraries!$B:$B, MATCH(B572, libraries!$A:$A, 0), 1)</f>
        <v>sam0248</v>
      </c>
      <c r="L572" s="44" t="n">
        <f aca="false">INDEX(samples!$F:$F, MATCH(K572, samples!$A:$A, 0), 1)</f>
        <v>0</v>
      </c>
      <c r="M572" s="55" t="str">
        <f aca="false">INDEX(samples!$C:$C, MATCH(K572, samples!$A:$A, 0), 1)</f>
        <v>2020-06-09</v>
      </c>
      <c r="N572" s="44" t="str">
        <f aca="false">INDEX(samples!$B:$B, MATCH(K572, samples!$A:$A, 0), 1)</f>
        <v>par0148</v>
      </c>
      <c r="O572" s="44" t="s">
        <v>950</v>
      </c>
      <c r="P572" s="8" t="s">
        <v>3880</v>
      </c>
      <c r="Q572" s="8" t="s">
        <v>36</v>
      </c>
      <c r="R572" s="33" t="s">
        <v>3881</v>
      </c>
    </row>
    <row r="573" customFormat="false" ht="13.8" hidden="false" customHeight="false" outlineLevel="0" collapsed="false">
      <c r="A573" s="25" t="s">
        <v>4856</v>
      </c>
      <c r="B573" s="41" t="s">
        <v>3395</v>
      </c>
      <c r="C573" s="8"/>
      <c r="D573" s="8" t="s">
        <v>3877</v>
      </c>
      <c r="E573" s="0" t="s">
        <v>3878</v>
      </c>
      <c r="F573" s="0" t="s">
        <v>427</v>
      </c>
      <c r="G573" s="0" t="s">
        <v>427</v>
      </c>
      <c r="H573" s="0" t="s">
        <v>427</v>
      </c>
      <c r="I573" s="0" t="s">
        <v>4765</v>
      </c>
      <c r="K573" s="44" t="str">
        <f aca="false">INDEX(libraries!$B:$B, MATCH(B573, libraries!$A:$A, 0), 1)</f>
        <v>sam0255</v>
      </c>
      <c r="L573" s="44" t="n">
        <f aca="false">INDEX(samples!$F:$F, MATCH(K573, samples!$A:$A, 0), 1)</f>
        <v>0</v>
      </c>
      <c r="M573" s="55" t="str">
        <f aca="false">INDEX(samples!$C:$C, MATCH(K573, samples!$A:$A, 0), 1)</f>
        <v>2020-05-28</v>
      </c>
      <c r="N573" s="44" t="str">
        <f aca="false">INDEX(samples!$B:$B, MATCH(K573, samples!$A:$A, 0), 1)</f>
        <v>par0102</v>
      </c>
      <c r="O573" s="44" t="s">
        <v>793</v>
      </c>
      <c r="P573" s="8" t="s">
        <v>3880</v>
      </c>
      <c r="Q573" s="8" t="s">
        <v>36</v>
      </c>
      <c r="R573" s="33" t="s">
        <v>3881</v>
      </c>
    </row>
    <row r="574" customFormat="false" ht="13.8" hidden="false" customHeight="false" outlineLevel="0" collapsed="false">
      <c r="A574" s="25" t="s">
        <v>4857</v>
      </c>
      <c r="B574" s="41" t="s">
        <v>3385</v>
      </c>
      <c r="C574" s="8"/>
      <c r="D574" s="8" t="s">
        <v>3877</v>
      </c>
      <c r="E574" s="0" t="s">
        <v>3878</v>
      </c>
      <c r="F574" s="0" t="s">
        <v>427</v>
      </c>
      <c r="G574" s="0" t="s">
        <v>427</v>
      </c>
      <c r="H574" s="0" t="s">
        <v>427</v>
      </c>
      <c r="I574" s="0" t="s">
        <v>4765</v>
      </c>
      <c r="K574" s="44" t="str">
        <f aca="false">INDEX(libraries!$B:$B, MATCH(B574, libraries!$A:$A, 0), 1)</f>
        <v>sam0245</v>
      </c>
      <c r="L574" s="44" t="n">
        <f aca="false">INDEX(samples!$F:$F, MATCH(K574, samples!$A:$A, 0), 1)</f>
        <v>0</v>
      </c>
      <c r="M574" s="55" t="str">
        <f aca="false">INDEX(samples!$C:$C, MATCH(K574, samples!$A:$A, 0), 1)</f>
        <v>2020-05-05</v>
      </c>
      <c r="N574" s="44" t="str">
        <f aca="false">INDEX(samples!$B:$B, MATCH(K574, samples!$A:$A, 0), 1)</f>
        <v>par0146</v>
      </c>
      <c r="O574" s="44" t="s">
        <v>941</v>
      </c>
      <c r="P574" s="8" t="s">
        <v>3880</v>
      </c>
      <c r="Q574" s="8" t="s">
        <v>36</v>
      </c>
      <c r="R574" s="33" t="s">
        <v>3881</v>
      </c>
    </row>
    <row r="575" customFormat="false" ht="13.8" hidden="false" customHeight="false" outlineLevel="0" collapsed="false">
      <c r="A575" s="25" t="s">
        <v>4858</v>
      </c>
      <c r="B575" s="41" t="s">
        <v>3393</v>
      </c>
      <c r="C575" s="8"/>
      <c r="D575" s="8" t="s">
        <v>3877</v>
      </c>
      <c r="E575" s="0" t="s">
        <v>3878</v>
      </c>
      <c r="F575" s="0" t="s">
        <v>427</v>
      </c>
      <c r="G575" s="0" t="s">
        <v>427</v>
      </c>
      <c r="H575" s="0" t="s">
        <v>427</v>
      </c>
      <c r="I575" s="0" t="s">
        <v>4765</v>
      </c>
      <c r="K575" s="44" t="str">
        <f aca="false">INDEX(libraries!$B:$B, MATCH(B575, libraries!$A:$A, 0), 1)</f>
        <v>sam0253</v>
      </c>
      <c r="L575" s="44" t="n">
        <f aca="false">INDEX(samples!$F:$F, MATCH(K575, samples!$A:$A, 0), 1)</f>
        <v>0</v>
      </c>
      <c r="M575" s="55" t="str">
        <f aca="false">INDEX(samples!$C:$C, MATCH(K575, samples!$A:$A, 0), 1)</f>
        <v>2020-03-31</v>
      </c>
      <c r="N575" s="44" t="str">
        <f aca="false">INDEX(samples!$B:$B, MATCH(K575, samples!$A:$A, 0), 1)</f>
        <v>par0102</v>
      </c>
      <c r="O575" s="44" t="s">
        <v>793</v>
      </c>
      <c r="P575" s="8" t="s">
        <v>3880</v>
      </c>
      <c r="Q575" s="8" t="s">
        <v>36</v>
      </c>
      <c r="R575" s="33" t="s">
        <v>3881</v>
      </c>
    </row>
    <row r="576" customFormat="false" ht="13.8" hidden="false" customHeight="false" outlineLevel="0" collapsed="false">
      <c r="A576" s="25" t="s">
        <v>4859</v>
      </c>
      <c r="B576" s="41" t="s">
        <v>3390</v>
      </c>
      <c r="C576" s="8"/>
      <c r="D576" s="8" t="s">
        <v>3877</v>
      </c>
      <c r="E576" s="0" t="s">
        <v>3878</v>
      </c>
      <c r="F576" s="0" t="s">
        <v>427</v>
      </c>
      <c r="G576" s="0" t="s">
        <v>427</v>
      </c>
      <c r="H576" s="0" t="s">
        <v>427</v>
      </c>
      <c r="I576" s="0" t="s">
        <v>4765</v>
      </c>
      <c r="K576" s="44" t="str">
        <f aca="false">INDEX(libraries!$B:$B, MATCH(B576, libraries!$A:$A, 0), 1)</f>
        <v>sam0250</v>
      </c>
      <c r="L576" s="44" t="n">
        <f aca="false">INDEX(samples!$F:$F, MATCH(K576, samples!$A:$A, 0), 1)</f>
        <v>0</v>
      </c>
      <c r="M576" s="55" t="str">
        <f aca="false">INDEX(samples!$C:$C, MATCH(K576, samples!$A:$A, 0), 1)</f>
        <v>2020-06-19</v>
      </c>
      <c r="N576" s="44" t="str">
        <f aca="false">INDEX(samples!$B:$B, MATCH(K576, samples!$A:$A, 0), 1)</f>
        <v>par0085</v>
      </c>
      <c r="O576" s="44" t="s">
        <v>724</v>
      </c>
      <c r="P576" s="8" t="s">
        <v>3880</v>
      </c>
      <c r="Q576" s="8" t="s">
        <v>36</v>
      </c>
      <c r="R576" s="33" t="s">
        <v>3881</v>
      </c>
    </row>
    <row r="577" customFormat="false" ht="13.8" hidden="false" customHeight="false" outlineLevel="0" collapsed="false">
      <c r="A577" s="25" t="s">
        <v>4860</v>
      </c>
      <c r="B577" s="41" t="s">
        <v>3394</v>
      </c>
      <c r="C577" s="8"/>
      <c r="D577" s="8" t="s">
        <v>3877</v>
      </c>
      <c r="E577" s="0" t="s">
        <v>3878</v>
      </c>
      <c r="F577" s="0" t="s">
        <v>427</v>
      </c>
      <c r="G577" s="0" t="s">
        <v>427</v>
      </c>
      <c r="H577" s="0" t="s">
        <v>427</v>
      </c>
      <c r="I577" s="0" t="s">
        <v>4765</v>
      </c>
      <c r="K577" s="44" t="str">
        <f aca="false">INDEX(libraries!$B:$B, MATCH(B577, libraries!$A:$A, 0), 1)</f>
        <v>sam0254</v>
      </c>
      <c r="L577" s="44" t="n">
        <f aca="false">INDEX(samples!$F:$F, MATCH(K577, samples!$A:$A, 0), 1)</f>
        <v>0</v>
      </c>
      <c r="M577" s="55" t="str">
        <f aca="false">INDEX(samples!$C:$C, MATCH(K577, samples!$A:$A, 0), 1)</f>
        <v>2020-04-21</v>
      </c>
      <c r="N577" s="44" t="str">
        <f aca="false">INDEX(samples!$B:$B, MATCH(K577, samples!$A:$A, 0), 1)</f>
        <v>par0102</v>
      </c>
      <c r="O577" s="44" t="s">
        <v>793</v>
      </c>
      <c r="P577" s="8" t="s">
        <v>3880</v>
      </c>
      <c r="Q577" s="8" t="s">
        <v>36</v>
      </c>
      <c r="R577" s="33" t="s">
        <v>3881</v>
      </c>
    </row>
    <row r="578" customFormat="false" ht="13.8" hidden="false" customHeight="false" outlineLevel="0" collapsed="false">
      <c r="A578" s="25" t="s">
        <v>4861</v>
      </c>
      <c r="B578" s="41" t="s">
        <v>3389</v>
      </c>
      <c r="C578" s="8"/>
      <c r="D578" s="8" t="s">
        <v>3877</v>
      </c>
      <c r="E578" s="0" t="s">
        <v>3878</v>
      </c>
      <c r="F578" s="0" t="s">
        <v>427</v>
      </c>
      <c r="G578" s="0" t="s">
        <v>427</v>
      </c>
      <c r="H578" s="0" t="s">
        <v>427</v>
      </c>
      <c r="I578" s="0" t="s">
        <v>4765</v>
      </c>
      <c r="K578" s="44" t="str">
        <f aca="false">INDEX(libraries!$B:$B, MATCH(B578, libraries!$A:$A, 0), 1)</f>
        <v>sam0249</v>
      </c>
      <c r="L578" s="44" t="n">
        <f aca="false">INDEX(samples!$F:$F, MATCH(K578, samples!$A:$A, 0), 1)</f>
        <v>0</v>
      </c>
      <c r="M578" s="55" t="str">
        <f aca="false">INDEX(samples!$C:$C, MATCH(K578, samples!$A:$A, 0), 1)</f>
        <v>2020-04-28</v>
      </c>
      <c r="N578" s="44" t="str">
        <f aca="false">INDEX(samples!$B:$B, MATCH(K578, samples!$A:$A, 0), 1)</f>
        <v>par0149</v>
      </c>
      <c r="O578" s="44" t="s">
        <v>955</v>
      </c>
      <c r="P578" s="8" t="s">
        <v>3880</v>
      </c>
      <c r="Q578" s="8" t="s">
        <v>36</v>
      </c>
      <c r="R578" s="33" t="s">
        <v>3881</v>
      </c>
    </row>
    <row r="579" customFormat="false" ht="13.8" hidden="false" customHeight="false" outlineLevel="0" collapsed="false">
      <c r="A579" s="25" t="s">
        <v>4862</v>
      </c>
      <c r="B579" s="41" t="s">
        <v>3392</v>
      </c>
      <c r="C579" s="8"/>
      <c r="D579" s="8" t="s">
        <v>3877</v>
      </c>
      <c r="E579" s="0" t="s">
        <v>3878</v>
      </c>
      <c r="F579" s="0" t="s">
        <v>427</v>
      </c>
      <c r="G579" s="0" t="s">
        <v>427</v>
      </c>
      <c r="H579" s="0" t="s">
        <v>427</v>
      </c>
      <c r="I579" s="0" t="s">
        <v>4765</v>
      </c>
      <c r="K579" s="44" t="str">
        <f aca="false">INDEX(libraries!$B:$B, MATCH(B579, libraries!$A:$A, 0), 1)</f>
        <v>sam0252</v>
      </c>
      <c r="L579" s="44" t="n">
        <f aca="false">INDEX(samples!$F:$F, MATCH(K579, samples!$A:$A, 0), 1)</f>
        <v>0</v>
      </c>
      <c r="M579" s="55" t="str">
        <f aca="false">INDEX(samples!$C:$C, MATCH(K579, samples!$A:$A, 0), 1)</f>
        <v>2020-04-18</v>
      </c>
      <c r="N579" s="44" t="str">
        <f aca="false">INDEX(samples!$B:$B, MATCH(K579, samples!$A:$A, 0), 1)</f>
        <v>par0107</v>
      </c>
      <c r="O579" s="44" t="s">
        <v>815</v>
      </c>
      <c r="P579" s="8" t="s">
        <v>3880</v>
      </c>
      <c r="Q579" s="8" t="s">
        <v>36</v>
      </c>
      <c r="R579" s="33" t="s">
        <v>3881</v>
      </c>
    </row>
    <row r="580" customFormat="false" ht="13.8" hidden="false" customHeight="false" outlineLevel="0" collapsed="false">
      <c r="A580" s="25" t="s">
        <v>4863</v>
      </c>
      <c r="B580" s="41" t="s">
        <v>3386</v>
      </c>
      <c r="C580" s="8"/>
      <c r="D580" s="8" t="s">
        <v>3877</v>
      </c>
      <c r="E580" s="0" t="s">
        <v>3878</v>
      </c>
      <c r="F580" s="0" t="s">
        <v>427</v>
      </c>
      <c r="G580" s="0" t="s">
        <v>427</v>
      </c>
      <c r="H580" s="0" t="s">
        <v>427</v>
      </c>
      <c r="I580" s="0" t="s">
        <v>4765</v>
      </c>
      <c r="K580" s="44" t="str">
        <f aca="false">INDEX(libraries!$B:$B, MATCH(B580, libraries!$A:$A, 0), 1)</f>
        <v>sam0246</v>
      </c>
      <c r="L580" s="44" t="n">
        <f aca="false">INDEX(samples!$F:$F, MATCH(K580, samples!$A:$A, 0), 1)</f>
        <v>0</v>
      </c>
      <c r="M580" s="55" t="str">
        <f aca="false">INDEX(samples!$C:$C, MATCH(K580, samples!$A:$A, 0), 1)</f>
        <v>2020-05-05</v>
      </c>
      <c r="N580" s="44" t="str">
        <f aca="false">INDEX(samples!$B:$B, MATCH(K580, samples!$A:$A, 0), 1)</f>
        <v>par0146</v>
      </c>
      <c r="O580" s="44" t="s">
        <v>941</v>
      </c>
      <c r="P580" s="8" t="s">
        <v>3880</v>
      </c>
      <c r="Q580" s="8" t="s">
        <v>36</v>
      </c>
      <c r="R580" s="33" t="s">
        <v>3881</v>
      </c>
    </row>
    <row r="581" customFormat="false" ht="13.8" hidden="false" customHeight="false" outlineLevel="0" collapsed="false">
      <c r="A581" s="25" t="s">
        <v>4864</v>
      </c>
      <c r="B581" s="41" t="s">
        <v>3387</v>
      </c>
      <c r="C581" s="8"/>
      <c r="D581" s="8" t="s">
        <v>3877</v>
      </c>
      <c r="E581" s="0" t="s">
        <v>3878</v>
      </c>
      <c r="F581" s="0" t="s">
        <v>427</v>
      </c>
      <c r="G581" s="0" t="s">
        <v>427</v>
      </c>
      <c r="H581" s="0" t="s">
        <v>427</v>
      </c>
      <c r="I581" s="0" t="s">
        <v>4765</v>
      </c>
      <c r="K581" s="44" t="str">
        <f aca="false">INDEX(libraries!$B:$B, MATCH(B581, libraries!$A:$A, 0), 1)</f>
        <v>sam0247</v>
      </c>
      <c r="L581" s="44" t="n">
        <f aca="false">INDEX(samples!$F:$F, MATCH(K581, samples!$A:$A, 0), 1)</f>
        <v>0</v>
      </c>
      <c r="M581" s="55" t="str">
        <f aca="false">INDEX(samples!$C:$C, MATCH(K581, samples!$A:$A, 0), 1)</f>
        <v>2020-06-15</v>
      </c>
      <c r="N581" s="44" t="str">
        <f aca="false">INDEX(samples!$B:$B, MATCH(K581, samples!$A:$A, 0), 1)</f>
        <v>par0147</v>
      </c>
      <c r="O581" s="44" t="s">
        <v>945</v>
      </c>
      <c r="P581" s="8" t="s">
        <v>3880</v>
      </c>
      <c r="Q581" s="8" t="s">
        <v>36</v>
      </c>
      <c r="R581" s="33" t="s">
        <v>3881</v>
      </c>
    </row>
    <row r="582" customFormat="false" ht="13.8" hidden="false" customHeight="false" outlineLevel="0" collapsed="false">
      <c r="A582" s="25" t="s">
        <v>4865</v>
      </c>
      <c r="B582" s="41" t="s">
        <v>3396</v>
      </c>
      <c r="C582" s="8"/>
      <c r="D582" s="8" t="s">
        <v>3877</v>
      </c>
      <c r="E582" s="0" t="s">
        <v>3878</v>
      </c>
      <c r="F582" s="0" t="s">
        <v>427</v>
      </c>
      <c r="G582" s="0" t="s">
        <v>427</v>
      </c>
      <c r="H582" s="0" t="s">
        <v>427</v>
      </c>
      <c r="I582" s="0" t="s">
        <v>4765</v>
      </c>
      <c r="K582" s="44" t="str">
        <f aca="false">INDEX(libraries!$B:$B, MATCH(B582, libraries!$A:$A, 0), 1)</f>
        <v>sam0256</v>
      </c>
      <c r="L582" s="44" t="n">
        <f aca="false">INDEX(samples!$F:$F, MATCH(K582, samples!$A:$A, 0), 1)</f>
        <v>0</v>
      </c>
      <c r="M582" s="55" t="str">
        <f aca="false">INDEX(samples!$C:$C, MATCH(K582, samples!$A:$A, 0), 1)</f>
        <v>2019-09-03</v>
      </c>
      <c r="N582" s="44" t="str">
        <f aca="false">INDEX(samples!$B:$B, MATCH(K582, samples!$A:$A, 0), 1)</f>
        <v>par0102</v>
      </c>
      <c r="O582" s="44" t="s">
        <v>793</v>
      </c>
      <c r="P582" s="8" t="s">
        <v>3880</v>
      </c>
      <c r="Q582" s="8" t="s">
        <v>36</v>
      </c>
      <c r="R582" s="33" t="s">
        <v>3881</v>
      </c>
    </row>
    <row r="583" customFormat="false" ht="13.8" hidden="false" customHeight="false" outlineLevel="0" collapsed="false">
      <c r="A583" s="25" t="s">
        <v>4866</v>
      </c>
      <c r="B583" s="41" t="s">
        <v>3391</v>
      </c>
      <c r="C583" s="8"/>
      <c r="D583" s="8" t="s">
        <v>3877</v>
      </c>
      <c r="E583" s="0" t="s">
        <v>3878</v>
      </c>
      <c r="F583" s="0" t="s">
        <v>427</v>
      </c>
      <c r="G583" s="0" t="s">
        <v>427</v>
      </c>
      <c r="H583" s="0" t="s">
        <v>427</v>
      </c>
      <c r="I583" s="0" t="s">
        <v>4765</v>
      </c>
      <c r="K583" s="44" t="str">
        <f aca="false">INDEX(libraries!$B:$B, MATCH(B583, libraries!$A:$A, 0), 1)</f>
        <v>sam0251</v>
      </c>
      <c r="L583" s="44" t="n">
        <f aca="false">INDEX(samples!$F:$F, MATCH(K583, samples!$A:$A, 0), 1)</f>
        <v>0</v>
      </c>
      <c r="M583" s="55" t="str">
        <f aca="false">INDEX(samples!$C:$C, MATCH(K583, samples!$A:$A, 0), 1)</f>
        <v>2020-05-05</v>
      </c>
      <c r="N583" s="44" t="str">
        <f aca="false">INDEX(samples!$B:$B, MATCH(K583, samples!$A:$A, 0), 1)</f>
        <v>par0146</v>
      </c>
      <c r="O583" s="44" t="s">
        <v>941</v>
      </c>
      <c r="P583" s="8" t="s">
        <v>3880</v>
      </c>
      <c r="Q583" s="8" t="s">
        <v>36</v>
      </c>
      <c r="R583" s="33" t="s">
        <v>3881</v>
      </c>
    </row>
    <row r="584" customFormat="false" ht="13.8" hidden="false" customHeight="false" outlineLevel="0" collapsed="false">
      <c r="A584" s="25" t="s">
        <v>4867</v>
      </c>
      <c r="B584" s="41" t="s">
        <v>3609</v>
      </c>
      <c r="C584" s="8" t="s">
        <v>427</v>
      </c>
      <c r="D584" s="8" t="s">
        <v>3877</v>
      </c>
      <c r="E584" s="0" t="s">
        <v>3878</v>
      </c>
      <c r="F584" s="0" t="s">
        <v>427</v>
      </c>
      <c r="G584" s="0" t="s">
        <v>427</v>
      </c>
      <c r="H584" s="0" t="s">
        <v>427</v>
      </c>
      <c r="I584" s="0" t="s">
        <v>3879</v>
      </c>
      <c r="K584" s="44" t="str">
        <f aca="false">INDEX(libraries!$B:$B, MATCH(B584, libraries!$A:$A, 0), 1)</f>
        <v>sam0407</v>
      </c>
      <c r="L584" s="44" t="n">
        <f aca="false">INDEX(samples!$F:$F, MATCH(K584, samples!$A:$A, 0), 1)</f>
        <v>0</v>
      </c>
      <c r="M584" s="55" t="str">
        <f aca="false">INDEX(samples!$C:$C, MATCH(K584, samples!$A:$A, 0), 1)</f>
        <v>2022-02-16</v>
      </c>
      <c r="N584" s="44" t="str">
        <f aca="false">INDEX(samples!$B:$B, MATCH(K584, samples!$A:$A, 0), 1)</f>
        <v>par0268</v>
      </c>
      <c r="O584" s="44" t="s">
        <v>1354</v>
      </c>
      <c r="P584" s="8" t="s">
        <v>3880</v>
      </c>
      <c r="Q584" s="8" t="s">
        <v>36</v>
      </c>
      <c r="R584" s="33" t="s">
        <v>3881</v>
      </c>
    </row>
    <row r="585" customFormat="false" ht="13.8" hidden="false" customHeight="false" outlineLevel="0" collapsed="false">
      <c r="A585" s="25" t="s">
        <v>4868</v>
      </c>
      <c r="B585" s="41" t="s">
        <v>3610</v>
      </c>
      <c r="C585" s="8" t="s">
        <v>427</v>
      </c>
      <c r="D585" s="8" t="s">
        <v>3877</v>
      </c>
      <c r="E585" s="0" t="s">
        <v>3878</v>
      </c>
      <c r="F585" s="0" t="s">
        <v>427</v>
      </c>
      <c r="G585" s="0" t="s">
        <v>427</v>
      </c>
      <c r="H585" s="0" t="s">
        <v>427</v>
      </c>
      <c r="I585" s="0" t="s">
        <v>3879</v>
      </c>
      <c r="K585" s="44" t="str">
        <f aca="false">INDEX(libraries!$B:$B, MATCH(B585, libraries!$A:$A, 0), 1)</f>
        <v>sam0408</v>
      </c>
      <c r="L585" s="44" t="n">
        <f aca="false">INDEX(samples!$F:$F, MATCH(K585, samples!$A:$A, 0), 1)</f>
        <v>0</v>
      </c>
      <c r="M585" s="55" t="str">
        <f aca="false">INDEX(samples!$C:$C, MATCH(K585, samples!$A:$A, 0), 1)</f>
        <v>2022-02-16</v>
      </c>
      <c r="N585" s="44" t="str">
        <f aca="false">INDEX(samples!$B:$B, MATCH(K585, samples!$A:$A, 0), 1)</f>
        <v>par0269</v>
      </c>
      <c r="O585" s="44" t="s">
        <v>1357</v>
      </c>
      <c r="P585" s="8" t="s">
        <v>3880</v>
      </c>
      <c r="Q585" s="8" t="s">
        <v>36</v>
      </c>
      <c r="R585" s="33" t="s">
        <v>3881</v>
      </c>
    </row>
    <row r="586" customFormat="false" ht="13.8" hidden="false" customHeight="false" outlineLevel="0" collapsed="false">
      <c r="A586" s="25" t="s">
        <v>4869</v>
      </c>
      <c r="B586" s="41" t="s">
        <v>3611</v>
      </c>
      <c r="C586" s="8" t="s">
        <v>427</v>
      </c>
      <c r="D586" s="8" t="s">
        <v>3877</v>
      </c>
      <c r="E586" s="0" t="s">
        <v>3878</v>
      </c>
      <c r="F586" s="0" t="s">
        <v>427</v>
      </c>
      <c r="G586" s="0" t="s">
        <v>427</v>
      </c>
      <c r="H586" s="0" t="s">
        <v>427</v>
      </c>
      <c r="I586" s="0" t="s">
        <v>3879</v>
      </c>
      <c r="K586" s="44" t="str">
        <f aca="false">INDEX(libraries!$B:$B, MATCH(B586, libraries!$A:$A, 0), 1)</f>
        <v>sam0409</v>
      </c>
      <c r="L586" s="44" t="n">
        <f aca="false">INDEX(samples!$F:$F, MATCH(K586, samples!$A:$A, 0), 1)</f>
        <v>0</v>
      </c>
      <c r="M586" s="55" t="str">
        <f aca="false">INDEX(samples!$C:$C, MATCH(K586, samples!$A:$A, 0), 1)</f>
        <v>2022-09-27</v>
      </c>
      <c r="N586" s="44" t="str">
        <f aca="false">INDEX(samples!$B:$B, MATCH(K586, samples!$A:$A, 0), 1)</f>
        <v>par0270</v>
      </c>
      <c r="O586" s="44" t="s">
        <v>1360</v>
      </c>
      <c r="P586" s="8" t="s">
        <v>3880</v>
      </c>
      <c r="Q586" s="8" t="s">
        <v>36</v>
      </c>
      <c r="R586" s="33" t="s">
        <v>3881</v>
      </c>
    </row>
    <row r="587" customFormat="false" ht="13.8" hidden="false" customHeight="false" outlineLevel="0" collapsed="false">
      <c r="A587" s="25" t="s">
        <v>4870</v>
      </c>
      <c r="B587" s="41" t="s">
        <v>3612</v>
      </c>
      <c r="C587" s="8" t="s">
        <v>427</v>
      </c>
      <c r="D587" s="8" t="s">
        <v>3877</v>
      </c>
      <c r="E587" s="0" t="s">
        <v>3878</v>
      </c>
      <c r="F587" s="0" t="s">
        <v>427</v>
      </c>
      <c r="G587" s="0" t="s">
        <v>427</v>
      </c>
      <c r="H587" s="0" t="s">
        <v>427</v>
      </c>
      <c r="I587" s="0" t="s">
        <v>3879</v>
      </c>
      <c r="K587" s="44" t="str">
        <f aca="false">INDEX(libraries!$B:$B, MATCH(B587, libraries!$A:$A, 0), 1)</f>
        <v>sam0410</v>
      </c>
      <c r="L587" s="44" t="n">
        <f aca="false">INDEX(samples!$F:$F, MATCH(K587, samples!$A:$A, 0), 1)</f>
        <v>0</v>
      </c>
      <c r="M587" s="55" t="str">
        <f aca="false">INDEX(samples!$C:$C, MATCH(K587, samples!$A:$A, 0), 1)</f>
        <v>2022-09-28</v>
      </c>
      <c r="N587" s="44" t="str">
        <f aca="false">INDEX(samples!$B:$B, MATCH(K587, samples!$A:$A, 0), 1)</f>
        <v>par0271</v>
      </c>
      <c r="O587" s="44" t="s">
        <v>1363</v>
      </c>
      <c r="P587" s="8" t="s">
        <v>3880</v>
      </c>
      <c r="Q587" s="8" t="s">
        <v>36</v>
      </c>
      <c r="R587" s="33" t="s">
        <v>3881</v>
      </c>
    </row>
    <row r="588" customFormat="false" ht="13.8" hidden="false" customHeight="false" outlineLevel="0" collapsed="false">
      <c r="A588" s="25" t="s">
        <v>4871</v>
      </c>
      <c r="B588" s="41" t="s">
        <v>3613</v>
      </c>
      <c r="C588" s="8" t="s">
        <v>427</v>
      </c>
      <c r="D588" s="8" t="s">
        <v>3877</v>
      </c>
      <c r="E588" s="0" t="s">
        <v>3878</v>
      </c>
      <c r="F588" s="0" t="s">
        <v>427</v>
      </c>
      <c r="G588" s="0" t="s">
        <v>427</v>
      </c>
      <c r="H588" s="0" t="s">
        <v>427</v>
      </c>
      <c r="I588" s="0" t="s">
        <v>3879</v>
      </c>
      <c r="K588" s="44" t="str">
        <f aca="false">INDEX(libraries!$B:$B, MATCH(B588, libraries!$A:$A, 0), 1)</f>
        <v>sam0411</v>
      </c>
      <c r="L588" s="44" t="n">
        <f aca="false">INDEX(samples!$F:$F, MATCH(K588, samples!$A:$A, 0), 1)</f>
        <v>0</v>
      </c>
      <c r="M588" s="55" t="str">
        <f aca="false">INDEX(samples!$C:$C, MATCH(K588, samples!$A:$A, 0), 1)</f>
        <v>2022-09-28</v>
      </c>
      <c r="N588" s="44" t="str">
        <f aca="false">INDEX(samples!$B:$B, MATCH(K588, samples!$A:$A, 0), 1)</f>
        <v>par0272</v>
      </c>
      <c r="O588" s="44" t="s">
        <v>1366</v>
      </c>
      <c r="P588" s="8" t="s">
        <v>3880</v>
      </c>
      <c r="Q588" s="8" t="s">
        <v>36</v>
      </c>
      <c r="R588" s="33" t="s">
        <v>3881</v>
      </c>
    </row>
    <row r="589" customFormat="false" ht="13.8" hidden="false" customHeight="false" outlineLevel="0" collapsed="false">
      <c r="A589" s="25" t="s">
        <v>4872</v>
      </c>
      <c r="B589" s="41" t="s">
        <v>3614</v>
      </c>
      <c r="C589" s="8" t="s">
        <v>427</v>
      </c>
      <c r="D589" s="8" t="s">
        <v>3877</v>
      </c>
      <c r="E589" s="0" t="s">
        <v>3878</v>
      </c>
      <c r="F589" s="0" t="s">
        <v>427</v>
      </c>
      <c r="G589" s="0" t="s">
        <v>427</v>
      </c>
      <c r="H589" s="0" t="s">
        <v>427</v>
      </c>
      <c r="I589" s="0" t="s">
        <v>3879</v>
      </c>
      <c r="K589" s="44" t="str">
        <f aca="false">INDEX(libraries!$B:$B, MATCH(B589, libraries!$A:$A, 0), 1)</f>
        <v>sam0412</v>
      </c>
      <c r="L589" s="44" t="n">
        <f aca="false">INDEX(samples!$F:$F, MATCH(K589, samples!$A:$A, 0), 1)</f>
        <v>0</v>
      </c>
      <c r="M589" s="55" t="str">
        <f aca="false">INDEX(samples!$C:$C, MATCH(K589, samples!$A:$A, 0), 1)</f>
        <v>2022-09-28</v>
      </c>
      <c r="N589" s="44" t="str">
        <f aca="false">INDEX(samples!$B:$B, MATCH(K589, samples!$A:$A, 0), 1)</f>
        <v>par0273</v>
      </c>
      <c r="O589" s="44" t="s">
        <v>1369</v>
      </c>
      <c r="P589" s="8" t="s">
        <v>3880</v>
      </c>
      <c r="Q589" s="8" t="s">
        <v>36</v>
      </c>
      <c r="R589" s="33" t="s">
        <v>3881</v>
      </c>
    </row>
    <row r="590" customFormat="false" ht="13.8" hidden="false" customHeight="false" outlineLevel="0" collapsed="false">
      <c r="A590" s="25" t="s">
        <v>4873</v>
      </c>
      <c r="B590" s="41" t="s">
        <v>3615</v>
      </c>
      <c r="C590" s="8" t="s">
        <v>427</v>
      </c>
      <c r="D590" s="8" t="s">
        <v>3877</v>
      </c>
      <c r="E590" s="0" t="s">
        <v>3878</v>
      </c>
      <c r="F590" s="0" t="s">
        <v>427</v>
      </c>
      <c r="G590" s="0" t="s">
        <v>427</v>
      </c>
      <c r="H590" s="0" t="s">
        <v>427</v>
      </c>
      <c r="I590" s="0" t="s">
        <v>3879</v>
      </c>
      <c r="K590" s="44" t="str">
        <f aca="false">INDEX(libraries!$B:$B, MATCH(B590, libraries!$A:$A, 0), 1)</f>
        <v>sam0413</v>
      </c>
      <c r="L590" s="44" t="n">
        <f aca="false">INDEX(samples!$F:$F, MATCH(K590, samples!$A:$A, 0), 1)</f>
        <v>0</v>
      </c>
      <c r="M590" s="55" t="str">
        <f aca="false">INDEX(samples!$C:$C, MATCH(K590, samples!$A:$A, 0), 1)</f>
        <v>2022-09-30</v>
      </c>
      <c r="N590" s="44" t="str">
        <f aca="false">INDEX(samples!$B:$B, MATCH(K590, samples!$A:$A, 0), 1)</f>
        <v>par0274</v>
      </c>
      <c r="O590" s="44" t="s">
        <v>1372</v>
      </c>
      <c r="P590" s="8" t="s">
        <v>3880</v>
      </c>
      <c r="Q590" s="8" t="s">
        <v>36</v>
      </c>
      <c r="R590" s="33" t="s">
        <v>3881</v>
      </c>
    </row>
    <row r="591" customFormat="false" ht="13.8" hidden="false" customHeight="false" outlineLevel="0" collapsed="false">
      <c r="A591" s="25" t="s">
        <v>4874</v>
      </c>
      <c r="B591" s="41" t="s">
        <v>3616</v>
      </c>
      <c r="C591" s="8" t="s">
        <v>427</v>
      </c>
      <c r="D591" s="8" t="s">
        <v>3877</v>
      </c>
      <c r="E591" s="0" t="s">
        <v>3878</v>
      </c>
      <c r="F591" s="0" t="s">
        <v>427</v>
      </c>
      <c r="G591" s="0" t="s">
        <v>427</v>
      </c>
      <c r="H591" s="0" t="s">
        <v>427</v>
      </c>
      <c r="I591" s="0" t="s">
        <v>3879</v>
      </c>
      <c r="K591" s="44" t="str">
        <f aca="false">INDEX(libraries!$B:$B, MATCH(B591, libraries!$A:$A, 0), 1)</f>
        <v>sam0414</v>
      </c>
      <c r="L591" s="44" t="n">
        <f aca="false">INDEX(samples!$F:$F, MATCH(K591, samples!$A:$A, 0), 1)</f>
        <v>0</v>
      </c>
      <c r="M591" s="55" t="str">
        <f aca="false">INDEX(samples!$C:$C, MATCH(K591, samples!$A:$A, 0), 1)</f>
        <v>2022-10-03</v>
      </c>
      <c r="N591" s="44" t="str">
        <f aca="false">INDEX(samples!$B:$B, MATCH(K591, samples!$A:$A, 0), 1)</f>
        <v>par0275</v>
      </c>
      <c r="O591" s="44" t="s">
        <v>1375</v>
      </c>
      <c r="P591" s="8" t="s">
        <v>3880</v>
      </c>
      <c r="Q591" s="8" t="s">
        <v>36</v>
      </c>
      <c r="R591" s="33" t="s">
        <v>3881</v>
      </c>
    </row>
    <row r="592" customFormat="false" ht="13.8" hidden="false" customHeight="false" outlineLevel="0" collapsed="false">
      <c r="A592" s="25" t="s">
        <v>4875</v>
      </c>
      <c r="B592" s="41" t="s">
        <v>3617</v>
      </c>
      <c r="C592" s="8" t="s">
        <v>427</v>
      </c>
      <c r="D592" s="8" t="s">
        <v>3877</v>
      </c>
      <c r="E592" s="0" t="s">
        <v>3878</v>
      </c>
      <c r="F592" s="0" t="s">
        <v>427</v>
      </c>
      <c r="G592" s="0" t="s">
        <v>427</v>
      </c>
      <c r="H592" s="0" t="s">
        <v>427</v>
      </c>
      <c r="I592" s="0" t="s">
        <v>3879</v>
      </c>
      <c r="K592" s="44" t="str">
        <f aca="false">INDEX(libraries!$B:$B, MATCH(B592, libraries!$A:$A, 0), 1)</f>
        <v>sam0415</v>
      </c>
      <c r="L592" s="44" t="n">
        <f aca="false">INDEX(samples!$F:$F, MATCH(K592, samples!$A:$A, 0), 1)</f>
        <v>0</v>
      </c>
      <c r="M592" s="55" t="str">
        <f aca="false">INDEX(samples!$C:$C, MATCH(K592, samples!$A:$A, 0), 1)</f>
        <v>2022-10-04</v>
      </c>
      <c r="N592" s="44" t="str">
        <f aca="false">INDEX(samples!$B:$B, MATCH(K592, samples!$A:$A, 0), 1)</f>
        <v>par0276</v>
      </c>
      <c r="O592" s="44" t="s">
        <v>1378</v>
      </c>
      <c r="P592" s="8" t="s">
        <v>3880</v>
      </c>
      <c r="Q592" s="8" t="s">
        <v>36</v>
      </c>
      <c r="R592" s="33" t="s">
        <v>3881</v>
      </c>
    </row>
    <row r="593" customFormat="false" ht="13.8" hidden="false" customHeight="false" outlineLevel="0" collapsed="false">
      <c r="A593" s="25" t="s">
        <v>4876</v>
      </c>
      <c r="B593" s="41" t="s">
        <v>3650</v>
      </c>
      <c r="C593" s="8" t="s">
        <v>427</v>
      </c>
      <c r="D593" s="8" t="s">
        <v>3877</v>
      </c>
      <c r="E593" s="0" t="s">
        <v>3878</v>
      </c>
      <c r="F593" s="0" t="s">
        <v>427</v>
      </c>
      <c r="G593" s="0" t="s">
        <v>427</v>
      </c>
      <c r="H593" s="0" t="s">
        <v>427</v>
      </c>
      <c r="I593" s="0" t="s">
        <v>3879</v>
      </c>
      <c r="K593" s="44" t="str">
        <f aca="false">INDEX(libraries!$B:$B, MATCH(B593, libraries!$A:$A, 0), 1)</f>
        <v>sam0448</v>
      </c>
      <c r="L593" s="44" t="n">
        <f aca="false">INDEX(samples!$F:$F, MATCH(K593, samples!$A:$A, 0), 1)</f>
        <v>0</v>
      </c>
      <c r="M593" s="55" t="str">
        <f aca="false">INDEX(samples!$C:$C, MATCH(K593, samples!$A:$A, 0), 1)</f>
        <v>2022-06-23</v>
      </c>
      <c r="N593" s="44" t="str">
        <f aca="false">INDEX(samples!$B:$B, MATCH(K593, samples!$A:$A, 0), 1)</f>
        <v>par0189</v>
      </c>
      <c r="O593" s="44" t="s">
        <v>1045</v>
      </c>
      <c r="P593" s="8" t="s">
        <v>3880</v>
      </c>
      <c r="Q593" s="8" t="s">
        <v>36</v>
      </c>
      <c r="R593" s="33" t="s">
        <v>3881</v>
      </c>
    </row>
    <row r="594" customFormat="false" ht="13.8" hidden="false" customHeight="false" outlineLevel="0" collapsed="false">
      <c r="A594" s="25" t="s">
        <v>4877</v>
      </c>
      <c r="B594" s="41" t="s">
        <v>3636</v>
      </c>
      <c r="C594" s="8" t="s">
        <v>427</v>
      </c>
      <c r="D594" s="8" t="s">
        <v>3877</v>
      </c>
      <c r="E594" s="0" t="s">
        <v>3878</v>
      </c>
      <c r="F594" s="0" t="s">
        <v>427</v>
      </c>
      <c r="G594" s="0" t="s">
        <v>427</v>
      </c>
      <c r="H594" s="0" t="s">
        <v>427</v>
      </c>
      <c r="I594" s="0" t="s">
        <v>3879</v>
      </c>
      <c r="K594" s="44" t="str">
        <f aca="false">INDEX(libraries!$B:$B, MATCH(B594, libraries!$A:$A, 0), 1)</f>
        <v>sam0434</v>
      </c>
      <c r="L594" s="44" t="n">
        <f aca="false">INDEX(samples!$F:$F, MATCH(K594, samples!$A:$A, 0), 1)</f>
        <v>0</v>
      </c>
      <c r="M594" s="55" t="str">
        <f aca="false">INDEX(samples!$C:$C, MATCH(K594, samples!$A:$A, 0), 1)</f>
        <v>2019-06-17</v>
      </c>
      <c r="N594" s="44" t="str">
        <f aca="false">INDEX(samples!$B:$B, MATCH(K594, samples!$A:$A, 0), 1)</f>
        <v>par0290</v>
      </c>
      <c r="O594" s="44" t="s">
        <v>1418</v>
      </c>
      <c r="P594" s="8" t="s">
        <v>3880</v>
      </c>
      <c r="Q594" s="8" t="s">
        <v>36</v>
      </c>
      <c r="R594" s="33" t="s">
        <v>3881</v>
      </c>
    </row>
    <row r="595" customFormat="false" ht="13.8" hidden="false" customHeight="false" outlineLevel="0" collapsed="false">
      <c r="A595" s="25" t="s">
        <v>4878</v>
      </c>
      <c r="B595" s="41" t="s">
        <v>3635</v>
      </c>
      <c r="C595" s="8" t="s">
        <v>427</v>
      </c>
      <c r="D595" s="8" t="s">
        <v>3877</v>
      </c>
      <c r="E595" s="0" t="s">
        <v>3878</v>
      </c>
      <c r="F595" s="0" t="s">
        <v>427</v>
      </c>
      <c r="G595" s="0" t="s">
        <v>427</v>
      </c>
      <c r="H595" s="0" t="s">
        <v>427</v>
      </c>
      <c r="I595" s="0" t="s">
        <v>3879</v>
      </c>
      <c r="K595" s="44" t="str">
        <f aca="false">INDEX(libraries!$B:$B, MATCH(B595, libraries!$A:$A, 0), 1)</f>
        <v>sam0433</v>
      </c>
      <c r="L595" s="44" t="n">
        <f aca="false">INDEX(samples!$F:$F, MATCH(K595, samples!$A:$A, 0), 1)</f>
        <v>0</v>
      </c>
      <c r="M595" s="55" t="str">
        <f aca="false">INDEX(samples!$C:$C, MATCH(K595, samples!$A:$A, 0), 1)</f>
        <v>2022-07-28</v>
      </c>
      <c r="N595" s="44" t="str">
        <f aca="false">INDEX(samples!$B:$B, MATCH(K595, samples!$A:$A, 0), 1)</f>
        <v>par0290</v>
      </c>
      <c r="O595" s="44" t="s">
        <v>1418</v>
      </c>
      <c r="P595" s="8" t="s">
        <v>3880</v>
      </c>
      <c r="Q595" s="8" t="s">
        <v>36</v>
      </c>
      <c r="R595" s="33" t="s">
        <v>3881</v>
      </c>
    </row>
    <row r="596" customFormat="false" ht="13.8" hidden="false" customHeight="false" outlineLevel="0" collapsed="false">
      <c r="A596" s="25" t="s">
        <v>4879</v>
      </c>
      <c r="B596" s="41" t="s">
        <v>3786</v>
      </c>
      <c r="C596" s="0" t="s">
        <v>3114</v>
      </c>
      <c r="F596" s="0" t="s">
        <v>427</v>
      </c>
      <c r="G596" s="0" t="s">
        <v>427</v>
      </c>
      <c r="L596" s="44" t="e">
        <f aca="false">INDEX(samples!$F:$F, MATCH(K596, samples!$A:$A, 0), 1)</f>
        <v>#N/A</v>
      </c>
      <c r="M596" s="55" t="e">
        <f aca="false">INDEX(samples!$C:$C, MATCH(K596, samples!$A:$A, 0), 1)</f>
        <v>#N/A</v>
      </c>
      <c r="Q596" s="0" t="s">
        <v>4880</v>
      </c>
    </row>
    <row r="597" customFormat="false" ht="13.8" hidden="false" customHeight="false" outlineLevel="0" collapsed="false">
      <c r="A597" s="25" t="s">
        <v>4881</v>
      </c>
      <c r="B597" s="41" t="s">
        <v>3794</v>
      </c>
      <c r="C597" s="0" t="s">
        <v>3114</v>
      </c>
      <c r="F597" s="0" t="s">
        <v>427</v>
      </c>
      <c r="G597" s="0" t="s">
        <v>427</v>
      </c>
      <c r="L597" s="44" t="e">
        <f aca="false">INDEX(samples!$F:$F, MATCH(K597, samples!$A:$A, 0), 1)</f>
        <v>#N/A</v>
      </c>
      <c r="M597" s="55" t="e">
        <f aca="false">INDEX(samples!$C:$C, MATCH(K597, samples!$A:$A, 0), 1)</f>
        <v>#N/A</v>
      </c>
      <c r="Q597" s="0" t="s">
        <v>4880</v>
      </c>
    </row>
    <row r="598" customFormat="false" ht="13.8" hidden="false" customHeight="false" outlineLevel="0" collapsed="false">
      <c r="A598" s="25" t="s">
        <v>4882</v>
      </c>
      <c r="B598" s="41" t="s">
        <v>3795</v>
      </c>
      <c r="C598" s="0" t="s">
        <v>3114</v>
      </c>
      <c r="F598" s="0" t="s">
        <v>427</v>
      </c>
      <c r="G598" s="0" t="s">
        <v>427</v>
      </c>
      <c r="L598" s="44" t="e">
        <f aca="false">INDEX(samples!$F:$F, MATCH(K598, samples!$A:$A, 0), 1)</f>
        <v>#N/A</v>
      </c>
      <c r="M598" s="55" t="e">
        <f aca="false">INDEX(samples!$C:$C, MATCH(K598, samples!$A:$A, 0), 1)</f>
        <v>#N/A</v>
      </c>
      <c r="Q598" s="0" t="s">
        <v>4880</v>
      </c>
    </row>
    <row r="599" customFormat="false" ht="13.8" hidden="false" customHeight="false" outlineLevel="0" collapsed="false">
      <c r="A599" s="25" t="s">
        <v>4883</v>
      </c>
      <c r="B599" s="41" t="s">
        <v>3796</v>
      </c>
      <c r="C599" s="0" t="s">
        <v>3114</v>
      </c>
      <c r="F599" s="0" t="s">
        <v>427</v>
      </c>
      <c r="G599" s="0" t="s">
        <v>427</v>
      </c>
      <c r="L599" s="44" t="e">
        <f aca="false">INDEX(samples!$F:$F, MATCH(K599, samples!$A:$A, 0), 1)</f>
        <v>#N/A</v>
      </c>
      <c r="M599" s="55" t="e">
        <f aca="false">INDEX(samples!$C:$C, MATCH(K599, samples!$A:$A, 0), 1)</f>
        <v>#N/A</v>
      </c>
      <c r="Q599" s="0" t="s">
        <v>4880</v>
      </c>
    </row>
    <row r="600" customFormat="false" ht="13.8" hidden="false" customHeight="false" outlineLevel="0" collapsed="false">
      <c r="A600" s="25" t="s">
        <v>4884</v>
      </c>
      <c r="B600" s="41" t="s">
        <v>3797</v>
      </c>
      <c r="C600" s="0" t="s">
        <v>3114</v>
      </c>
      <c r="F600" s="0" t="s">
        <v>427</v>
      </c>
      <c r="G600" s="0" t="s">
        <v>427</v>
      </c>
      <c r="L600" s="44" t="e">
        <f aca="false">INDEX(samples!$F:$F, MATCH(K600, samples!$A:$A, 0), 1)</f>
        <v>#N/A</v>
      </c>
      <c r="M600" s="55" t="e">
        <f aca="false">INDEX(samples!$C:$C, MATCH(K600, samples!$A:$A, 0), 1)</f>
        <v>#N/A</v>
      </c>
      <c r="Q600" s="0" t="s">
        <v>4880</v>
      </c>
    </row>
    <row r="601" customFormat="false" ht="13.8" hidden="false" customHeight="false" outlineLevel="0" collapsed="false">
      <c r="A601" s="25" t="s">
        <v>4885</v>
      </c>
      <c r="B601" s="41" t="s">
        <v>3798</v>
      </c>
      <c r="C601" s="0" t="s">
        <v>3114</v>
      </c>
      <c r="F601" s="0" t="s">
        <v>427</v>
      </c>
      <c r="G601" s="0" t="s">
        <v>427</v>
      </c>
      <c r="L601" s="44" t="e">
        <f aca="false">INDEX(samples!$F:$F, MATCH(K601, samples!$A:$A, 0), 1)</f>
        <v>#N/A</v>
      </c>
      <c r="M601" s="55" t="e">
        <f aca="false">INDEX(samples!$C:$C, MATCH(K601, samples!$A:$A, 0), 1)</f>
        <v>#N/A</v>
      </c>
      <c r="Q601" s="0" t="s">
        <v>4880</v>
      </c>
    </row>
    <row r="602" customFormat="false" ht="13.8" hidden="false" customHeight="false" outlineLevel="0" collapsed="false">
      <c r="A602" s="25" t="s">
        <v>4886</v>
      </c>
      <c r="B602" s="41" t="s">
        <v>3799</v>
      </c>
      <c r="C602" s="0" t="s">
        <v>3114</v>
      </c>
      <c r="F602" s="0" t="s">
        <v>427</v>
      </c>
      <c r="G602" s="0" t="s">
        <v>427</v>
      </c>
      <c r="L602" s="44" t="e">
        <f aca="false">INDEX(samples!$F:$F, MATCH(K602, samples!$A:$A, 0), 1)</f>
        <v>#N/A</v>
      </c>
      <c r="M602" s="55" t="e">
        <f aca="false">INDEX(samples!$C:$C, MATCH(K602, samples!$A:$A, 0), 1)</f>
        <v>#N/A</v>
      </c>
      <c r="Q602" s="0" t="s">
        <v>4880</v>
      </c>
    </row>
    <row r="603" customFormat="false" ht="13.8" hidden="false" customHeight="false" outlineLevel="0" collapsed="false">
      <c r="A603" s="25" t="s">
        <v>4887</v>
      </c>
      <c r="B603" s="41" t="s">
        <v>3800</v>
      </c>
      <c r="C603" s="0" t="s">
        <v>3114</v>
      </c>
      <c r="F603" s="0" t="s">
        <v>427</v>
      </c>
      <c r="G603" s="0" t="s">
        <v>427</v>
      </c>
      <c r="L603" s="44" t="e">
        <f aca="false">INDEX(samples!$F:$F, MATCH(K603, samples!$A:$A, 0), 1)</f>
        <v>#N/A</v>
      </c>
      <c r="M603" s="55" t="e">
        <f aca="false">INDEX(samples!$C:$C, MATCH(K603, samples!$A:$A, 0), 1)</f>
        <v>#N/A</v>
      </c>
      <c r="Q603" s="0" t="s">
        <v>4880</v>
      </c>
    </row>
    <row r="604" customFormat="false" ht="13.8" hidden="false" customHeight="false" outlineLevel="0" collapsed="false">
      <c r="A604" s="25" t="s">
        <v>4888</v>
      </c>
      <c r="B604" s="41" t="s">
        <v>3801</v>
      </c>
      <c r="C604" s="0" t="s">
        <v>3114</v>
      </c>
      <c r="F604" s="0" t="s">
        <v>427</v>
      </c>
      <c r="G604" s="0" t="s">
        <v>427</v>
      </c>
      <c r="L604" s="44" t="e">
        <f aca="false">INDEX(samples!$F:$F, MATCH(K604, samples!$A:$A, 0), 1)</f>
        <v>#N/A</v>
      </c>
      <c r="M604" s="55" t="e">
        <f aca="false">INDEX(samples!$C:$C, MATCH(K604, samples!$A:$A, 0), 1)</f>
        <v>#N/A</v>
      </c>
      <c r="Q604" s="0" t="s">
        <v>4880</v>
      </c>
    </row>
    <row r="605" customFormat="false" ht="13.8" hidden="false" customHeight="false" outlineLevel="0" collapsed="false">
      <c r="A605" s="25" t="s">
        <v>4889</v>
      </c>
      <c r="B605" s="41" t="s">
        <v>3787</v>
      </c>
      <c r="C605" s="0" t="s">
        <v>3114</v>
      </c>
      <c r="F605" s="0" t="s">
        <v>427</v>
      </c>
      <c r="G605" s="0" t="s">
        <v>427</v>
      </c>
      <c r="L605" s="44" t="e">
        <f aca="false">INDEX(samples!$F:$F, MATCH(K605, samples!$A:$A, 0), 1)</f>
        <v>#N/A</v>
      </c>
      <c r="M605" s="55" t="e">
        <f aca="false">INDEX(samples!$C:$C, MATCH(K605, samples!$A:$A, 0), 1)</f>
        <v>#N/A</v>
      </c>
      <c r="Q605" s="0" t="s">
        <v>4880</v>
      </c>
    </row>
    <row r="606" customFormat="false" ht="13.8" hidden="false" customHeight="false" outlineLevel="0" collapsed="false">
      <c r="A606" s="25" t="s">
        <v>4890</v>
      </c>
      <c r="B606" s="41" t="s">
        <v>3802</v>
      </c>
      <c r="C606" s="0" t="s">
        <v>3114</v>
      </c>
      <c r="F606" s="0" t="s">
        <v>427</v>
      </c>
      <c r="G606" s="0" t="s">
        <v>427</v>
      </c>
      <c r="L606" s="44" t="e">
        <f aca="false">INDEX(samples!$F:$F, MATCH(K606, samples!$A:$A, 0), 1)</f>
        <v>#N/A</v>
      </c>
      <c r="M606" s="55" t="e">
        <f aca="false">INDEX(samples!$C:$C, MATCH(K606, samples!$A:$A, 0), 1)</f>
        <v>#N/A</v>
      </c>
      <c r="Q606" s="0" t="s">
        <v>4880</v>
      </c>
    </row>
    <row r="607" customFormat="false" ht="13.8" hidden="false" customHeight="false" outlineLevel="0" collapsed="false">
      <c r="A607" s="25" t="s">
        <v>4891</v>
      </c>
      <c r="B607" s="41" t="s">
        <v>3803</v>
      </c>
      <c r="C607" s="0" t="s">
        <v>3114</v>
      </c>
      <c r="F607" s="0" t="s">
        <v>427</v>
      </c>
      <c r="G607" s="0" t="s">
        <v>427</v>
      </c>
      <c r="L607" s="44" t="e">
        <f aca="false">INDEX(samples!$F:$F, MATCH(K607, samples!$A:$A, 0), 1)</f>
        <v>#N/A</v>
      </c>
      <c r="M607" s="55" t="e">
        <f aca="false">INDEX(samples!$C:$C, MATCH(K607, samples!$A:$A, 0), 1)</f>
        <v>#N/A</v>
      </c>
      <c r="Q607" s="0" t="s">
        <v>4880</v>
      </c>
    </row>
    <row r="608" customFormat="false" ht="13.8" hidden="false" customHeight="false" outlineLevel="0" collapsed="false">
      <c r="A608" s="25" t="s">
        <v>4892</v>
      </c>
      <c r="B608" s="41" t="s">
        <v>3804</v>
      </c>
      <c r="C608" s="0" t="s">
        <v>3114</v>
      </c>
      <c r="F608" s="0" t="s">
        <v>427</v>
      </c>
      <c r="G608" s="0" t="s">
        <v>427</v>
      </c>
      <c r="L608" s="44" t="e">
        <f aca="false">INDEX(samples!$F:$F, MATCH(K608, samples!$A:$A, 0), 1)</f>
        <v>#N/A</v>
      </c>
      <c r="M608" s="55" t="e">
        <f aca="false">INDEX(samples!$C:$C, MATCH(K608, samples!$A:$A, 0), 1)</f>
        <v>#N/A</v>
      </c>
      <c r="Q608" s="0" t="s">
        <v>4880</v>
      </c>
    </row>
    <row r="609" customFormat="false" ht="13.8" hidden="false" customHeight="false" outlineLevel="0" collapsed="false">
      <c r="A609" s="25" t="s">
        <v>4893</v>
      </c>
      <c r="B609" s="41" t="s">
        <v>3805</v>
      </c>
      <c r="C609" s="0" t="s">
        <v>3114</v>
      </c>
      <c r="F609" s="0" t="s">
        <v>427</v>
      </c>
      <c r="G609" s="0" t="s">
        <v>427</v>
      </c>
      <c r="L609" s="44" t="e">
        <f aca="false">INDEX(samples!$F:$F, MATCH(K609, samples!$A:$A, 0), 1)</f>
        <v>#N/A</v>
      </c>
      <c r="M609" s="55" t="e">
        <f aca="false">INDEX(samples!$C:$C, MATCH(K609, samples!$A:$A, 0), 1)</f>
        <v>#N/A</v>
      </c>
      <c r="Q609" s="0" t="s">
        <v>4880</v>
      </c>
    </row>
    <row r="610" customFormat="false" ht="13.8" hidden="false" customHeight="false" outlineLevel="0" collapsed="false">
      <c r="A610" s="25" t="s">
        <v>4894</v>
      </c>
      <c r="B610" s="41" t="s">
        <v>3806</v>
      </c>
      <c r="C610" s="0" t="s">
        <v>3114</v>
      </c>
      <c r="F610" s="0" t="s">
        <v>427</v>
      </c>
      <c r="G610" s="0" t="s">
        <v>427</v>
      </c>
      <c r="L610" s="44" t="e">
        <f aca="false">INDEX(samples!$F:$F, MATCH(K610, samples!$A:$A, 0), 1)</f>
        <v>#N/A</v>
      </c>
      <c r="M610" s="55" t="e">
        <f aca="false">INDEX(samples!$C:$C, MATCH(K610, samples!$A:$A, 0), 1)</f>
        <v>#N/A</v>
      </c>
      <c r="Q610" s="0" t="s">
        <v>4880</v>
      </c>
    </row>
    <row r="611" customFormat="false" ht="13.8" hidden="false" customHeight="false" outlineLevel="0" collapsed="false">
      <c r="A611" s="25" t="s">
        <v>4895</v>
      </c>
      <c r="B611" s="41" t="s">
        <v>3807</v>
      </c>
      <c r="C611" s="0" t="s">
        <v>3114</v>
      </c>
      <c r="F611" s="0" t="s">
        <v>427</v>
      </c>
      <c r="G611" s="0" t="s">
        <v>427</v>
      </c>
      <c r="L611" s="44" t="e">
        <f aca="false">INDEX(samples!$F:$F, MATCH(K611, samples!$A:$A, 0), 1)</f>
        <v>#N/A</v>
      </c>
      <c r="M611" s="55" t="e">
        <f aca="false">INDEX(samples!$C:$C, MATCH(K611, samples!$A:$A, 0), 1)</f>
        <v>#N/A</v>
      </c>
      <c r="Q611" s="0" t="s">
        <v>4880</v>
      </c>
    </row>
    <row r="612" customFormat="false" ht="13.8" hidden="false" customHeight="false" outlineLevel="0" collapsed="false">
      <c r="A612" s="25" t="s">
        <v>4896</v>
      </c>
      <c r="B612" s="41" t="s">
        <v>3808</v>
      </c>
      <c r="C612" s="0" t="s">
        <v>3114</v>
      </c>
      <c r="F612" s="0" t="s">
        <v>427</v>
      </c>
      <c r="G612" s="0" t="s">
        <v>427</v>
      </c>
      <c r="L612" s="44" t="e">
        <f aca="false">INDEX(samples!$F:$F, MATCH(K612, samples!$A:$A, 0), 1)</f>
        <v>#N/A</v>
      </c>
      <c r="M612" s="55" t="e">
        <f aca="false">INDEX(samples!$C:$C, MATCH(K612, samples!$A:$A, 0), 1)</f>
        <v>#N/A</v>
      </c>
      <c r="Q612" s="0" t="s">
        <v>4880</v>
      </c>
    </row>
    <row r="613" customFormat="false" ht="13.8" hidden="false" customHeight="false" outlineLevel="0" collapsed="false">
      <c r="A613" s="25" t="s">
        <v>4897</v>
      </c>
      <c r="B613" s="41" t="s">
        <v>3809</v>
      </c>
      <c r="C613" s="0" t="s">
        <v>3114</v>
      </c>
      <c r="F613" s="0" t="s">
        <v>427</v>
      </c>
      <c r="G613" s="0" t="s">
        <v>427</v>
      </c>
      <c r="L613" s="44" t="e">
        <f aca="false">INDEX(samples!$F:$F, MATCH(K613, samples!$A:$A, 0), 1)</f>
        <v>#N/A</v>
      </c>
      <c r="M613" s="55" t="e">
        <f aca="false">INDEX(samples!$C:$C, MATCH(K613, samples!$A:$A, 0), 1)</f>
        <v>#N/A</v>
      </c>
      <c r="Q613" s="0" t="s">
        <v>4880</v>
      </c>
    </row>
    <row r="614" customFormat="false" ht="13.8" hidden="false" customHeight="false" outlineLevel="0" collapsed="false">
      <c r="A614" s="25" t="s">
        <v>4898</v>
      </c>
      <c r="B614" s="41" t="s">
        <v>3810</v>
      </c>
      <c r="C614" s="0" t="s">
        <v>3114</v>
      </c>
      <c r="F614" s="0" t="s">
        <v>427</v>
      </c>
      <c r="G614" s="0" t="s">
        <v>427</v>
      </c>
      <c r="L614" s="44" t="e">
        <f aca="false">INDEX(samples!$F:$F, MATCH(K614, samples!$A:$A, 0), 1)</f>
        <v>#N/A</v>
      </c>
      <c r="M614" s="55" t="e">
        <f aca="false">INDEX(samples!$C:$C, MATCH(K614, samples!$A:$A, 0), 1)</f>
        <v>#N/A</v>
      </c>
      <c r="Q614" s="0" t="s">
        <v>4880</v>
      </c>
    </row>
    <row r="615" customFormat="false" ht="13.8" hidden="false" customHeight="false" outlineLevel="0" collapsed="false">
      <c r="A615" s="25" t="s">
        <v>4899</v>
      </c>
      <c r="B615" s="41" t="s">
        <v>3811</v>
      </c>
      <c r="C615" s="0" t="s">
        <v>3114</v>
      </c>
      <c r="F615" s="0" t="s">
        <v>427</v>
      </c>
      <c r="G615" s="0" t="s">
        <v>427</v>
      </c>
      <c r="L615" s="44" t="e">
        <f aca="false">INDEX(samples!$F:$F, MATCH(K615, samples!$A:$A, 0), 1)</f>
        <v>#N/A</v>
      </c>
      <c r="M615" s="55" t="e">
        <f aca="false">INDEX(samples!$C:$C, MATCH(K615, samples!$A:$A, 0), 1)</f>
        <v>#N/A</v>
      </c>
      <c r="Q615" s="0" t="s">
        <v>4880</v>
      </c>
    </row>
    <row r="616" customFormat="false" ht="13.8" hidden="false" customHeight="false" outlineLevel="0" collapsed="false">
      <c r="A616" s="25" t="s">
        <v>4900</v>
      </c>
      <c r="B616" s="41" t="s">
        <v>3788</v>
      </c>
      <c r="C616" s="0" t="s">
        <v>3114</v>
      </c>
      <c r="F616" s="0" t="s">
        <v>427</v>
      </c>
      <c r="G616" s="0" t="s">
        <v>427</v>
      </c>
      <c r="L616" s="44" t="e">
        <f aca="false">INDEX(samples!$F:$F, MATCH(K616, samples!$A:$A, 0), 1)</f>
        <v>#N/A</v>
      </c>
      <c r="M616" s="55" t="e">
        <f aca="false">INDEX(samples!$C:$C, MATCH(K616, samples!$A:$A, 0), 1)</f>
        <v>#N/A</v>
      </c>
      <c r="Q616" s="0" t="s">
        <v>4880</v>
      </c>
    </row>
    <row r="617" customFormat="false" ht="13.8" hidden="false" customHeight="false" outlineLevel="0" collapsed="false">
      <c r="A617" s="25" t="s">
        <v>4901</v>
      </c>
      <c r="B617" s="41" t="s">
        <v>3812</v>
      </c>
      <c r="C617" s="0" t="s">
        <v>3114</v>
      </c>
      <c r="F617" s="0" t="s">
        <v>427</v>
      </c>
      <c r="G617" s="0" t="s">
        <v>427</v>
      </c>
      <c r="L617" s="44" t="e">
        <f aca="false">INDEX(samples!$F:$F, MATCH(K617, samples!$A:$A, 0), 1)</f>
        <v>#N/A</v>
      </c>
      <c r="M617" s="55" t="e">
        <f aca="false">INDEX(samples!$C:$C, MATCH(K617, samples!$A:$A, 0), 1)</f>
        <v>#N/A</v>
      </c>
      <c r="Q617" s="0" t="s">
        <v>4880</v>
      </c>
    </row>
    <row r="618" customFormat="false" ht="13.8" hidden="false" customHeight="false" outlineLevel="0" collapsed="false">
      <c r="A618" s="25" t="s">
        <v>4902</v>
      </c>
      <c r="B618" s="41" t="s">
        <v>3813</v>
      </c>
      <c r="C618" s="0" t="s">
        <v>3114</v>
      </c>
      <c r="F618" s="0" t="s">
        <v>427</v>
      </c>
      <c r="G618" s="0" t="s">
        <v>427</v>
      </c>
      <c r="L618" s="44" t="e">
        <f aca="false">INDEX(samples!$F:$F, MATCH(K618, samples!$A:$A, 0), 1)</f>
        <v>#N/A</v>
      </c>
      <c r="M618" s="55" t="e">
        <f aca="false">INDEX(samples!$C:$C, MATCH(K618, samples!$A:$A, 0), 1)</f>
        <v>#N/A</v>
      </c>
      <c r="Q618" s="0" t="s">
        <v>4880</v>
      </c>
    </row>
    <row r="619" customFormat="false" ht="13.8" hidden="false" customHeight="false" outlineLevel="0" collapsed="false">
      <c r="A619" s="25" t="s">
        <v>4903</v>
      </c>
      <c r="B619" s="41" t="s">
        <v>3814</v>
      </c>
      <c r="C619" s="0" t="s">
        <v>3114</v>
      </c>
      <c r="F619" s="0" t="s">
        <v>427</v>
      </c>
      <c r="G619" s="0" t="s">
        <v>427</v>
      </c>
      <c r="L619" s="44" t="e">
        <f aca="false">INDEX(samples!$F:$F, MATCH(K619, samples!$A:$A, 0), 1)</f>
        <v>#N/A</v>
      </c>
      <c r="M619" s="55" t="e">
        <f aca="false">INDEX(samples!$C:$C, MATCH(K619, samples!$A:$A, 0), 1)</f>
        <v>#N/A</v>
      </c>
      <c r="Q619" s="0" t="s">
        <v>4880</v>
      </c>
    </row>
    <row r="620" customFormat="false" ht="13.8" hidden="false" customHeight="false" outlineLevel="0" collapsed="false">
      <c r="A620" s="25" t="s">
        <v>4904</v>
      </c>
      <c r="B620" s="41" t="s">
        <v>3815</v>
      </c>
      <c r="C620" s="0" t="s">
        <v>3114</v>
      </c>
      <c r="F620" s="0" t="s">
        <v>427</v>
      </c>
      <c r="G620" s="0" t="s">
        <v>427</v>
      </c>
      <c r="L620" s="44" t="e">
        <f aca="false">INDEX(samples!$F:$F, MATCH(K620, samples!$A:$A, 0), 1)</f>
        <v>#N/A</v>
      </c>
      <c r="M620" s="55" t="e">
        <f aca="false">INDEX(samples!$C:$C, MATCH(K620, samples!$A:$A, 0), 1)</f>
        <v>#N/A</v>
      </c>
      <c r="Q620" s="0" t="s">
        <v>4880</v>
      </c>
    </row>
    <row r="621" customFormat="false" ht="13.8" hidden="false" customHeight="false" outlineLevel="0" collapsed="false">
      <c r="A621" s="25" t="s">
        <v>4905</v>
      </c>
      <c r="B621" s="41" t="s">
        <v>3816</v>
      </c>
      <c r="C621" s="0" t="s">
        <v>3114</v>
      </c>
      <c r="F621" s="0" t="s">
        <v>427</v>
      </c>
      <c r="G621" s="0" t="s">
        <v>427</v>
      </c>
      <c r="L621" s="44" t="e">
        <f aca="false">INDEX(samples!$F:$F, MATCH(K621, samples!$A:$A, 0), 1)</f>
        <v>#N/A</v>
      </c>
      <c r="M621" s="55" t="e">
        <f aca="false">INDEX(samples!$C:$C, MATCH(K621, samples!$A:$A, 0), 1)</f>
        <v>#N/A</v>
      </c>
      <c r="Q621" s="0" t="s">
        <v>4880</v>
      </c>
    </row>
    <row r="622" customFormat="false" ht="13.8" hidden="false" customHeight="false" outlineLevel="0" collapsed="false">
      <c r="A622" s="25" t="s">
        <v>4906</v>
      </c>
      <c r="B622" s="41" t="s">
        <v>3817</v>
      </c>
      <c r="C622" s="0" t="s">
        <v>3114</v>
      </c>
      <c r="F622" s="0" t="s">
        <v>427</v>
      </c>
      <c r="G622" s="0" t="s">
        <v>427</v>
      </c>
      <c r="L622" s="44" t="e">
        <f aca="false">INDEX(samples!$F:$F, MATCH(K622, samples!$A:$A, 0), 1)</f>
        <v>#N/A</v>
      </c>
      <c r="M622" s="55" t="e">
        <f aca="false">INDEX(samples!$C:$C, MATCH(K622, samples!$A:$A, 0), 1)</f>
        <v>#N/A</v>
      </c>
      <c r="Q622" s="0" t="s">
        <v>4880</v>
      </c>
    </row>
    <row r="623" customFormat="false" ht="13.8" hidden="false" customHeight="false" outlineLevel="0" collapsed="false">
      <c r="A623" s="25" t="s">
        <v>4907</v>
      </c>
      <c r="B623" s="41" t="s">
        <v>3818</v>
      </c>
      <c r="C623" s="0" t="s">
        <v>3114</v>
      </c>
      <c r="F623" s="0" t="s">
        <v>427</v>
      </c>
      <c r="G623" s="0" t="s">
        <v>427</v>
      </c>
      <c r="L623" s="44" t="e">
        <f aca="false">INDEX(samples!$F:$F, MATCH(K623, samples!$A:$A, 0), 1)</f>
        <v>#N/A</v>
      </c>
      <c r="M623" s="55" t="e">
        <f aca="false">INDEX(samples!$C:$C, MATCH(K623, samples!$A:$A, 0), 1)</f>
        <v>#N/A</v>
      </c>
      <c r="Q623" s="0" t="s">
        <v>4880</v>
      </c>
    </row>
    <row r="624" customFormat="false" ht="13.8" hidden="false" customHeight="false" outlineLevel="0" collapsed="false">
      <c r="A624" s="25" t="s">
        <v>4908</v>
      </c>
      <c r="B624" s="41" t="s">
        <v>3819</v>
      </c>
      <c r="C624" s="0" t="s">
        <v>3114</v>
      </c>
      <c r="F624" s="0" t="s">
        <v>427</v>
      </c>
      <c r="G624" s="0" t="s">
        <v>427</v>
      </c>
      <c r="L624" s="44" t="e">
        <f aca="false">INDEX(samples!$F:$F, MATCH(K624, samples!$A:$A, 0), 1)</f>
        <v>#N/A</v>
      </c>
      <c r="M624" s="55" t="e">
        <f aca="false">INDEX(samples!$C:$C, MATCH(K624, samples!$A:$A, 0), 1)</f>
        <v>#N/A</v>
      </c>
      <c r="Q624" s="0" t="s">
        <v>4880</v>
      </c>
    </row>
    <row r="625" customFormat="false" ht="13.8" hidden="false" customHeight="false" outlineLevel="0" collapsed="false">
      <c r="A625" s="25" t="s">
        <v>4909</v>
      </c>
      <c r="B625" s="41" t="s">
        <v>3820</v>
      </c>
      <c r="C625" s="0" t="s">
        <v>3114</v>
      </c>
      <c r="F625" s="0" t="s">
        <v>427</v>
      </c>
      <c r="G625" s="0" t="s">
        <v>427</v>
      </c>
      <c r="L625" s="44" t="e">
        <f aca="false">INDEX(samples!$F:$F, MATCH(K625, samples!$A:$A, 0), 1)</f>
        <v>#N/A</v>
      </c>
      <c r="M625" s="55" t="e">
        <f aca="false">INDEX(samples!$C:$C, MATCH(K625, samples!$A:$A, 0), 1)</f>
        <v>#N/A</v>
      </c>
      <c r="Q625" s="0" t="s">
        <v>4880</v>
      </c>
    </row>
    <row r="626" customFormat="false" ht="13.8" hidden="false" customHeight="false" outlineLevel="0" collapsed="false">
      <c r="A626" s="25" t="s">
        <v>4910</v>
      </c>
      <c r="B626" s="41" t="s">
        <v>3821</v>
      </c>
      <c r="C626" s="0" t="s">
        <v>3114</v>
      </c>
      <c r="F626" s="0" t="s">
        <v>427</v>
      </c>
      <c r="G626" s="0" t="s">
        <v>427</v>
      </c>
      <c r="L626" s="44" t="e">
        <f aca="false">INDEX(samples!$F:$F, MATCH(K626, samples!$A:$A, 0), 1)</f>
        <v>#N/A</v>
      </c>
      <c r="M626" s="55" t="e">
        <f aca="false">INDEX(samples!$C:$C, MATCH(K626, samples!$A:$A, 0), 1)</f>
        <v>#N/A</v>
      </c>
      <c r="Q626" s="0" t="s">
        <v>4880</v>
      </c>
    </row>
    <row r="627" customFormat="false" ht="13.8" hidden="false" customHeight="false" outlineLevel="0" collapsed="false">
      <c r="A627" s="25" t="s">
        <v>4911</v>
      </c>
      <c r="B627" s="41" t="s">
        <v>3789</v>
      </c>
      <c r="C627" s="0" t="s">
        <v>3114</v>
      </c>
      <c r="F627" s="0" t="s">
        <v>427</v>
      </c>
      <c r="G627" s="0" t="s">
        <v>427</v>
      </c>
      <c r="L627" s="44" t="e">
        <f aca="false">INDEX(samples!$F:$F, MATCH(K627, samples!$A:$A, 0), 1)</f>
        <v>#N/A</v>
      </c>
      <c r="M627" s="55" t="e">
        <f aca="false">INDEX(samples!$C:$C, MATCH(K627, samples!$A:$A, 0), 1)</f>
        <v>#N/A</v>
      </c>
      <c r="Q627" s="0" t="s">
        <v>4880</v>
      </c>
    </row>
    <row r="628" customFormat="false" ht="13.8" hidden="false" customHeight="false" outlineLevel="0" collapsed="false">
      <c r="A628" s="25" t="s">
        <v>4912</v>
      </c>
      <c r="B628" s="41" t="s">
        <v>3822</v>
      </c>
      <c r="C628" s="0" t="s">
        <v>3114</v>
      </c>
      <c r="F628" s="0" t="s">
        <v>427</v>
      </c>
      <c r="G628" s="0" t="s">
        <v>427</v>
      </c>
      <c r="L628" s="44" t="e">
        <f aca="false">INDEX(samples!$F:$F, MATCH(K628, samples!$A:$A, 0), 1)</f>
        <v>#N/A</v>
      </c>
      <c r="M628" s="55" t="e">
        <f aca="false">INDEX(samples!$C:$C, MATCH(K628, samples!$A:$A, 0), 1)</f>
        <v>#N/A</v>
      </c>
      <c r="Q628" s="0" t="s">
        <v>4880</v>
      </c>
    </row>
    <row r="629" customFormat="false" ht="13.8" hidden="false" customHeight="false" outlineLevel="0" collapsed="false">
      <c r="A629" s="25" t="s">
        <v>4913</v>
      </c>
      <c r="B629" s="41" t="s">
        <v>3823</v>
      </c>
      <c r="C629" s="0" t="s">
        <v>3114</v>
      </c>
      <c r="F629" s="0" t="s">
        <v>427</v>
      </c>
      <c r="G629" s="0" t="s">
        <v>427</v>
      </c>
      <c r="L629" s="44" t="e">
        <f aca="false">INDEX(samples!$F:$F, MATCH(K629, samples!$A:$A, 0), 1)</f>
        <v>#N/A</v>
      </c>
      <c r="M629" s="55" t="e">
        <f aca="false">INDEX(samples!$C:$C, MATCH(K629, samples!$A:$A, 0), 1)</f>
        <v>#N/A</v>
      </c>
      <c r="Q629" s="0" t="s">
        <v>4880</v>
      </c>
    </row>
    <row r="630" customFormat="false" ht="13.8" hidden="false" customHeight="false" outlineLevel="0" collapsed="false">
      <c r="A630" s="25" t="s">
        <v>4914</v>
      </c>
      <c r="B630" s="41" t="s">
        <v>3824</v>
      </c>
      <c r="C630" s="0" t="s">
        <v>3114</v>
      </c>
      <c r="F630" s="0" t="s">
        <v>427</v>
      </c>
      <c r="G630" s="0" t="s">
        <v>427</v>
      </c>
      <c r="L630" s="44" t="e">
        <f aca="false">INDEX(samples!$F:$F, MATCH(K630, samples!$A:$A, 0), 1)</f>
        <v>#N/A</v>
      </c>
      <c r="M630" s="55" t="e">
        <f aca="false">INDEX(samples!$C:$C, MATCH(K630, samples!$A:$A, 0), 1)</f>
        <v>#N/A</v>
      </c>
      <c r="Q630" s="0" t="s">
        <v>4880</v>
      </c>
    </row>
    <row r="631" customFormat="false" ht="13.8" hidden="false" customHeight="false" outlineLevel="0" collapsed="false">
      <c r="A631" s="25" t="s">
        <v>4915</v>
      </c>
      <c r="B631" s="41" t="s">
        <v>3825</v>
      </c>
      <c r="C631" s="0" t="s">
        <v>3114</v>
      </c>
      <c r="F631" s="0" t="s">
        <v>427</v>
      </c>
      <c r="G631" s="0" t="s">
        <v>427</v>
      </c>
      <c r="L631" s="44" t="e">
        <f aca="false">INDEX(samples!$F:$F, MATCH(K631, samples!$A:$A, 0), 1)</f>
        <v>#N/A</v>
      </c>
      <c r="M631" s="55" t="e">
        <f aca="false">INDEX(samples!$C:$C, MATCH(K631, samples!$A:$A, 0), 1)</f>
        <v>#N/A</v>
      </c>
      <c r="Q631" s="0" t="s">
        <v>4880</v>
      </c>
    </row>
    <row r="632" customFormat="false" ht="13.8" hidden="false" customHeight="false" outlineLevel="0" collapsed="false">
      <c r="A632" s="25" t="s">
        <v>4916</v>
      </c>
      <c r="B632" s="41" t="s">
        <v>3826</v>
      </c>
      <c r="C632" s="0" t="s">
        <v>3114</v>
      </c>
      <c r="F632" s="0" t="s">
        <v>427</v>
      </c>
      <c r="G632" s="0" t="s">
        <v>427</v>
      </c>
      <c r="L632" s="44" t="e">
        <f aca="false">INDEX(samples!$F:$F, MATCH(K632, samples!$A:$A, 0), 1)</f>
        <v>#N/A</v>
      </c>
      <c r="M632" s="55" t="e">
        <f aca="false">INDEX(samples!$C:$C, MATCH(K632, samples!$A:$A, 0), 1)</f>
        <v>#N/A</v>
      </c>
      <c r="Q632" s="0" t="s">
        <v>4880</v>
      </c>
    </row>
    <row r="633" customFormat="false" ht="13.8" hidden="false" customHeight="false" outlineLevel="0" collapsed="false">
      <c r="A633" s="25" t="s">
        <v>4917</v>
      </c>
      <c r="B633" s="41" t="s">
        <v>3827</v>
      </c>
      <c r="C633" s="0" t="s">
        <v>3114</v>
      </c>
      <c r="F633" s="0" t="s">
        <v>427</v>
      </c>
      <c r="G633" s="0" t="s">
        <v>427</v>
      </c>
      <c r="L633" s="44" t="e">
        <f aca="false">INDEX(samples!$F:$F, MATCH(K633, samples!$A:$A, 0), 1)</f>
        <v>#N/A</v>
      </c>
      <c r="M633" s="55" t="e">
        <f aca="false">INDEX(samples!$C:$C, MATCH(K633, samples!$A:$A, 0), 1)</f>
        <v>#N/A</v>
      </c>
      <c r="Q633" s="0" t="s">
        <v>4880</v>
      </c>
    </row>
    <row r="634" customFormat="false" ht="13.8" hidden="false" customHeight="false" outlineLevel="0" collapsed="false">
      <c r="A634" s="25" t="s">
        <v>4918</v>
      </c>
      <c r="B634" s="41" t="s">
        <v>3828</v>
      </c>
      <c r="C634" s="0" t="s">
        <v>3114</v>
      </c>
      <c r="F634" s="0" t="s">
        <v>427</v>
      </c>
      <c r="G634" s="0" t="s">
        <v>427</v>
      </c>
      <c r="L634" s="44" t="e">
        <f aca="false">INDEX(samples!$F:$F, MATCH(K634, samples!$A:$A, 0), 1)</f>
        <v>#N/A</v>
      </c>
      <c r="M634" s="55" t="e">
        <f aca="false">INDEX(samples!$C:$C, MATCH(K634, samples!$A:$A, 0), 1)</f>
        <v>#N/A</v>
      </c>
      <c r="Q634" s="0" t="s">
        <v>4880</v>
      </c>
    </row>
    <row r="635" customFormat="false" ht="13.8" hidden="false" customHeight="false" outlineLevel="0" collapsed="false">
      <c r="A635" s="25" t="s">
        <v>4919</v>
      </c>
      <c r="B635" s="41" t="s">
        <v>3829</v>
      </c>
      <c r="C635" s="0" t="s">
        <v>3114</v>
      </c>
      <c r="F635" s="0" t="s">
        <v>427</v>
      </c>
      <c r="G635" s="0" t="s">
        <v>427</v>
      </c>
      <c r="L635" s="44" t="e">
        <f aca="false">INDEX(samples!$F:$F, MATCH(K635, samples!$A:$A, 0), 1)</f>
        <v>#N/A</v>
      </c>
      <c r="M635" s="55" t="e">
        <f aca="false">INDEX(samples!$C:$C, MATCH(K635, samples!$A:$A, 0), 1)</f>
        <v>#N/A</v>
      </c>
      <c r="Q635" s="0" t="s">
        <v>4880</v>
      </c>
    </row>
    <row r="636" customFormat="false" ht="13.8" hidden="false" customHeight="false" outlineLevel="0" collapsed="false">
      <c r="A636" s="25" t="s">
        <v>4920</v>
      </c>
      <c r="B636" s="41" t="s">
        <v>3830</v>
      </c>
      <c r="C636" s="0" t="s">
        <v>3114</v>
      </c>
      <c r="F636" s="0" t="s">
        <v>427</v>
      </c>
      <c r="G636" s="0" t="s">
        <v>427</v>
      </c>
      <c r="L636" s="44" t="e">
        <f aca="false">INDEX(samples!$F:$F, MATCH(K636, samples!$A:$A, 0), 1)</f>
        <v>#N/A</v>
      </c>
      <c r="M636" s="55" t="e">
        <f aca="false">INDEX(samples!$C:$C, MATCH(K636, samples!$A:$A, 0), 1)</f>
        <v>#N/A</v>
      </c>
      <c r="Q636" s="0" t="s">
        <v>4880</v>
      </c>
    </row>
    <row r="637" customFormat="false" ht="13.8" hidden="false" customHeight="false" outlineLevel="0" collapsed="false">
      <c r="A637" s="25" t="s">
        <v>4921</v>
      </c>
      <c r="B637" s="41" t="s">
        <v>3831</v>
      </c>
      <c r="C637" s="0" t="s">
        <v>3114</v>
      </c>
      <c r="F637" s="0" t="s">
        <v>427</v>
      </c>
      <c r="G637" s="0" t="s">
        <v>427</v>
      </c>
      <c r="L637" s="44" t="e">
        <f aca="false">INDEX(samples!$F:$F, MATCH(K637, samples!$A:$A, 0), 1)</f>
        <v>#N/A</v>
      </c>
      <c r="M637" s="55" t="e">
        <f aca="false">INDEX(samples!$C:$C, MATCH(K637, samples!$A:$A, 0), 1)</f>
        <v>#N/A</v>
      </c>
      <c r="Q637" s="0" t="s">
        <v>4880</v>
      </c>
    </row>
    <row r="638" customFormat="false" ht="13.8" hidden="false" customHeight="false" outlineLevel="0" collapsed="false">
      <c r="A638" s="25" t="s">
        <v>4922</v>
      </c>
      <c r="B638" s="41" t="s">
        <v>3790</v>
      </c>
      <c r="C638" s="0" t="s">
        <v>3114</v>
      </c>
      <c r="F638" s="0" t="s">
        <v>427</v>
      </c>
      <c r="G638" s="0" t="s">
        <v>427</v>
      </c>
      <c r="L638" s="44" t="e">
        <f aca="false">INDEX(samples!$F:$F, MATCH(K638, samples!$A:$A, 0), 1)</f>
        <v>#N/A</v>
      </c>
      <c r="M638" s="55" t="e">
        <f aca="false">INDEX(samples!$C:$C, MATCH(K638, samples!$A:$A, 0), 1)</f>
        <v>#N/A</v>
      </c>
      <c r="Q638" s="0" t="s">
        <v>4880</v>
      </c>
    </row>
    <row r="639" customFormat="false" ht="13.8" hidden="false" customHeight="false" outlineLevel="0" collapsed="false">
      <c r="A639" s="25" t="s">
        <v>4923</v>
      </c>
      <c r="B639" s="41" t="s">
        <v>3832</v>
      </c>
      <c r="C639" s="0" t="s">
        <v>3114</v>
      </c>
      <c r="F639" s="0" t="s">
        <v>427</v>
      </c>
      <c r="G639" s="0" t="s">
        <v>427</v>
      </c>
      <c r="L639" s="44" t="e">
        <f aca="false">INDEX(samples!$F:$F, MATCH(K639, samples!$A:$A, 0), 1)</f>
        <v>#N/A</v>
      </c>
      <c r="M639" s="55" t="e">
        <f aca="false">INDEX(samples!$C:$C, MATCH(K639, samples!$A:$A, 0), 1)</f>
        <v>#N/A</v>
      </c>
      <c r="Q639" s="0" t="s">
        <v>4880</v>
      </c>
    </row>
    <row r="640" customFormat="false" ht="13.8" hidden="false" customHeight="false" outlineLevel="0" collapsed="false">
      <c r="A640" s="25" t="s">
        <v>4924</v>
      </c>
      <c r="B640" s="41" t="s">
        <v>3833</v>
      </c>
      <c r="C640" s="0" t="s">
        <v>3114</v>
      </c>
      <c r="F640" s="0" t="s">
        <v>427</v>
      </c>
      <c r="G640" s="0" t="s">
        <v>427</v>
      </c>
      <c r="L640" s="44" t="e">
        <f aca="false">INDEX(samples!$F:$F, MATCH(K640, samples!$A:$A, 0), 1)</f>
        <v>#N/A</v>
      </c>
      <c r="M640" s="55" t="e">
        <f aca="false">INDEX(samples!$C:$C, MATCH(K640, samples!$A:$A, 0), 1)</f>
        <v>#N/A</v>
      </c>
      <c r="Q640" s="0" t="s">
        <v>4880</v>
      </c>
    </row>
    <row r="641" customFormat="false" ht="13.8" hidden="false" customHeight="false" outlineLevel="0" collapsed="false">
      <c r="A641" s="25" t="s">
        <v>4925</v>
      </c>
      <c r="B641" s="41" t="s">
        <v>3834</v>
      </c>
      <c r="C641" s="0" t="s">
        <v>3114</v>
      </c>
      <c r="F641" s="0" t="s">
        <v>427</v>
      </c>
      <c r="G641" s="0" t="s">
        <v>427</v>
      </c>
      <c r="L641" s="44" t="e">
        <f aca="false">INDEX(samples!$F:$F, MATCH(K641, samples!$A:$A, 0), 1)</f>
        <v>#N/A</v>
      </c>
      <c r="M641" s="55" t="e">
        <f aca="false">INDEX(samples!$C:$C, MATCH(K641, samples!$A:$A, 0), 1)</f>
        <v>#N/A</v>
      </c>
      <c r="Q641" s="0" t="s">
        <v>4880</v>
      </c>
    </row>
    <row r="642" customFormat="false" ht="13.8" hidden="false" customHeight="false" outlineLevel="0" collapsed="false">
      <c r="A642" s="25" t="s">
        <v>4926</v>
      </c>
      <c r="B642" s="41" t="s">
        <v>3835</v>
      </c>
      <c r="C642" s="0" t="s">
        <v>3114</v>
      </c>
      <c r="F642" s="0" t="s">
        <v>427</v>
      </c>
      <c r="G642" s="0" t="s">
        <v>427</v>
      </c>
      <c r="L642" s="44" t="e">
        <f aca="false">INDEX(samples!$F:$F, MATCH(K642, samples!$A:$A, 0), 1)</f>
        <v>#N/A</v>
      </c>
      <c r="M642" s="55" t="e">
        <f aca="false">INDEX(samples!$C:$C, MATCH(K642, samples!$A:$A, 0), 1)</f>
        <v>#N/A</v>
      </c>
      <c r="Q642" s="0" t="s">
        <v>4880</v>
      </c>
    </row>
    <row r="643" customFormat="false" ht="13.8" hidden="false" customHeight="false" outlineLevel="0" collapsed="false">
      <c r="A643" s="25" t="s">
        <v>4927</v>
      </c>
      <c r="B643" s="41" t="s">
        <v>3836</v>
      </c>
      <c r="C643" s="0" t="s">
        <v>3114</v>
      </c>
      <c r="F643" s="0" t="s">
        <v>427</v>
      </c>
      <c r="G643" s="0" t="s">
        <v>427</v>
      </c>
      <c r="L643" s="44" t="e">
        <f aca="false">INDEX(samples!$F:$F, MATCH(K643, samples!$A:$A, 0), 1)</f>
        <v>#N/A</v>
      </c>
      <c r="M643" s="55" t="e">
        <f aca="false">INDEX(samples!$C:$C, MATCH(K643, samples!$A:$A, 0), 1)</f>
        <v>#N/A</v>
      </c>
      <c r="Q643" s="0" t="s">
        <v>4880</v>
      </c>
    </row>
    <row r="644" customFormat="false" ht="13.8" hidden="false" customHeight="false" outlineLevel="0" collapsed="false">
      <c r="A644" s="25" t="s">
        <v>4928</v>
      </c>
      <c r="B644" s="41" t="s">
        <v>3837</v>
      </c>
      <c r="C644" s="0" t="s">
        <v>3114</v>
      </c>
      <c r="F644" s="0" t="s">
        <v>427</v>
      </c>
      <c r="G644" s="0" t="s">
        <v>427</v>
      </c>
      <c r="L644" s="44" t="e">
        <f aca="false">INDEX(samples!$F:$F, MATCH(K644, samples!$A:$A, 0), 1)</f>
        <v>#N/A</v>
      </c>
      <c r="M644" s="55" t="e">
        <f aca="false">INDEX(samples!$C:$C, MATCH(K644, samples!$A:$A, 0), 1)</f>
        <v>#N/A</v>
      </c>
      <c r="Q644" s="0" t="s">
        <v>4880</v>
      </c>
    </row>
    <row r="645" customFormat="false" ht="13.8" hidden="false" customHeight="false" outlineLevel="0" collapsed="false">
      <c r="A645" s="25" t="s">
        <v>4929</v>
      </c>
      <c r="B645" s="41" t="s">
        <v>3838</v>
      </c>
      <c r="C645" s="0" t="s">
        <v>3114</v>
      </c>
      <c r="F645" s="0" t="s">
        <v>427</v>
      </c>
      <c r="G645" s="0" t="s">
        <v>427</v>
      </c>
      <c r="L645" s="44" t="e">
        <f aca="false">INDEX(samples!$F:$F, MATCH(K645, samples!$A:$A, 0), 1)</f>
        <v>#N/A</v>
      </c>
      <c r="M645" s="55" t="e">
        <f aca="false">INDEX(samples!$C:$C, MATCH(K645, samples!$A:$A, 0), 1)</f>
        <v>#N/A</v>
      </c>
      <c r="Q645" s="0" t="s">
        <v>4880</v>
      </c>
    </row>
    <row r="646" customFormat="false" ht="13.8" hidden="false" customHeight="false" outlineLevel="0" collapsed="false">
      <c r="A646" s="25" t="s">
        <v>4930</v>
      </c>
      <c r="B646" s="41" t="s">
        <v>3839</v>
      </c>
      <c r="C646" s="0" t="s">
        <v>3114</v>
      </c>
      <c r="F646" s="0" t="s">
        <v>427</v>
      </c>
      <c r="G646" s="0" t="s">
        <v>427</v>
      </c>
      <c r="L646" s="44" t="e">
        <f aca="false">INDEX(samples!$F:$F, MATCH(K646, samples!$A:$A, 0), 1)</f>
        <v>#N/A</v>
      </c>
      <c r="M646" s="55" t="e">
        <f aca="false">INDEX(samples!$C:$C, MATCH(K646, samples!$A:$A, 0), 1)</f>
        <v>#N/A</v>
      </c>
      <c r="Q646" s="0" t="s">
        <v>4880</v>
      </c>
    </row>
    <row r="647" customFormat="false" ht="13.8" hidden="false" customHeight="false" outlineLevel="0" collapsed="false">
      <c r="A647" s="25" t="s">
        <v>4931</v>
      </c>
      <c r="B647" s="41" t="s">
        <v>3791</v>
      </c>
      <c r="C647" s="0" t="s">
        <v>3114</v>
      </c>
      <c r="F647" s="0" t="s">
        <v>427</v>
      </c>
      <c r="G647" s="0" t="s">
        <v>427</v>
      </c>
      <c r="L647" s="44" t="e">
        <f aca="false">INDEX(samples!$F:$F, MATCH(K647, samples!$A:$A, 0), 1)</f>
        <v>#N/A</v>
      </c>
      <c r="M647" s="55" t="e">
        <f aca="false">INDEX(samples!$C:$C, MATCH(K647, samples!$A:$A, 0), 1)</f>
        <v>#N/A</v>
      </c>
      <c r="Q647" s="0" t="s">
        <v>4880</v>
      </c>
    </row>
    <row r="648" customFormat="false" ht="13.8" hidden="false" customHeight="false" outlineLevel="0" collapsed="false">
      <c r="A648" s="25" t="s">
        <v>4932</v>
      </c>
      <c r="B648" s="41" t="s">
        <v>3840</v>
      </c>
      <c r="C648" s="0" t="s">
        <v>3114</v>
      </c>
      <c r="F648" s="0" t="s">
        <v>427</v>
      </c>
      <c r="G648" s="0" t="s">
        <v>427</v>
      </c>
      <c r="L648" s="44" t="e">
        <f aca="false">INDEX(samples!$F:$F, MATCH(K648, samples!$A:$A, 0), 1)</f>
        <v>#N/A</v>
      </c>
      <c r="M648" s="55" t="e">
        <f aca="false">INDEX(samples!$C:$C, MATCH(K648, samples!$A:$A, 0), 1)</f>
        <v>#N/A</v>
      </c>
      <c r="Q648" s="0" t="s">
        <v>4880</v>
      </c>
    </row>
    <row r="649" customFormat="false" ht="13.8" hidden="false" customHeight="false" outlineLevel="0" collapsed="false">
      <c r="A649" s="25" t="s">
        <v>4933</v>
      </c>
      <c r="B649" s="41" t="s">
        <v>3841</v>
      </c>
      <c r="C649" s="0" t="s">
        <v>3114</v>
      </c>
      <c r="F649" s="0" t="s">
        <v>427</v>
      </c>
      <c r="G649" s="0" t="s">
        <v>427</v>
      </c>
      <c r="L649" s="44" t="e">
        <f aca="false">INDEX(samples!$F:$F, MATCH(K649, samples!$A:$A, 0), 1)</f>
        <v>#N/A</v>
      </c>
      <c r="M649" s="55" t="e">
        <f aca="false">INDEX(samples!$C:$C, MATCH(K649, samples!$A:$A, 0), 1)</f>
        <v>#N/A</v>
      </c>
      <c r="Q649" s="0" t="s">
        <v>4880</v>
      </c>
    </row>
    <row r="650" customFormat="false" ht="13.8" hidden="false" customHeight="false" outlineLevel="0" collapsed="false">
      <c r="A650" s="25" t="s">
        <v>4934</v>
      </c>
      <c r="B650" s="41" t="s">
        <v>3842</v>
      </c>
      <c r="C650" s="0" t="s">
        <v>3114</v>
      </c>
      <c r="F650" s="0" t="s">
        <v>427</v>
      </c>
      <c r="G650" s="0" t="s">
        <v>427</v>
      </c>
      <c r="L650" s="44" t="e">
        <f aca="false">INDEX(samples!$F:$F, MATCH(K650, samples!$A:$A, 0), 1)</f>
        <v>#N/A</v>
      </c>
      <c r="M650" s="55" t="e">
        <f aca="false">INDEX(samples!$C:$C, MATCH(K650, samples!$A:$A, 0), 1)</f>
        <v>#N/A</v>
      </c>
      <c r="Q650" s="0" t="s">
        <v>4880</v>
      </c>
    </row>
    <row r="651" customFormat="false" ht="13.8" hidden="false" customHeight="false" outlineLevel="0" collapsed="false">
      <c r="A651" s="25" t="s">
        <v>4935</v>
      </c>
      <c r="B651" s="41" t="s">
        <v>3843</v>
      </c>
      <c r="C651" s="0" t="s">
        <v>3114</v>
      </c>
      <c r="F651" s="0" t="s">
        <v>427</v>
      </c>
      <c r="G651" s="0" t="s">
        <v>427</v>
      </c>
      <c r="L651" s="44" t="e">
        <f aca="false">INDEX(samples!$F:$F, MATCH(K651, samples!$A:$A, 0), 1)</f>
        <v>#N/A</v>
      </c>
      <c r="M651" s="55" t="e">
        <f aca="false">INDEX(samples!$C:$C, MATCH(K651, samples!$A:$A, 0), 1)</f>
        <v>#N/A</v>
      </c>
      <c r="Q651" s="0" t="s">
        <v>4880</v>
      </c>
    </row>
    <row r="652" customFormat="false" ht="13.8" hidden="false" customHeight="false" outlineLevel="0" collapsed="false">
      <c r="A652" s="25" t="s">
        <v>4936</v>
      </c>
      <c r="B652" s="41" t="s">
        <v>3844</v>
      </c>
      <c r="C652" s="0" t="s">
        <v>3114</v>
      </c>
      <c r="F652" s="0" t="s">
        <v>427</v>
      </c>
      <c r="G652" s="0" t="s">
        <v>427</v>
      </c>
      <c r="L652" s="44" t="e">
        <f aca="false">INDEX(samples!$F:$F, MATCH(K652, samples!$A:$A, 0), 1)</f>
        <v>#N/A</v>
      </c>
      <c r="M652" s="55" t="e">
        <f aca="false">INDEX(samples!$C:$C, MATCH(K652, samples!$A:$A, 0), 1)</f>
        <v>#N/A</v>
      </c>
      <c r="Q652" s="0" t="s">
        <v>4880</v>
      </c>
    </row>
    <row r="653" customFormat="false" ht="13.8" hidden="false" customHeight="false" outlineLevel="0" collapsed="false">
      <c r="A653" s="25" t="s">
        <v>4937</v>
      </c>
      <c r="B653" s="41" t="s">
        <v>3845</v>
      </c>
      <c r="C653" s="0" t="s">
        <v>3114</v>
      </c>
      <c r="F653" s="0" t="s">
        <v>427</v>
      </c>
      <c r="G653" s="0" t="s">
        <v>427</v>
      </c>
      <c r="L653" s="44" t="e">
        <f aca="false">INDEX(samples!$F:$F, MATCH(K653, samples!$A:$A, 0), 1)</f>
        <v>#N/A</v>
      </c>
      <c r="M653" s="55" t="e">
        <f aca="false">INDEX(samples!$C:$C, MATCH(K653, samples!$A:$A, 0), 1)</f>
        <v>#N/A</v>
      </c>
      <c r="Q653" s="0" t="s">
        <v>4880</v>
      </c>
    </row>
    <row r="654" customFormat="false" ht="13.8" hidden="false" customHeight="false" outlineLevel="0" collapsed="false">
      <c r="A654" s="25" t="s">
        <v>4938</v>
      </c>
      <c r="B654" s="41" t="s">
        <v>3846</v>
      </c>
      <c r="C654" s="0" t="s">
        <v>3114</v>
      </c>
      <c r="F654" s="0" t="s">
        <v>427</v>
      </c>
      <c r="G654" s="0" t="s">
        <v>427</v>
      </c>
      <c r="L654" s="44" t="e">
        <f aca="false">INDEX(samples!$F:$F, MATCH(K654, samples!$A:$A, 0), 1)</f>
        <v>#N/A</v>
      </c>
      <c r="M654" s="55" t="e">
        <f aca="false">INDEX(samples!$C:$C, MATCH(K654, samples!$A:$A, 0), 1)</f>
        <v>#N/A</v>
      </c>
      <c r="Q654" s="0" t="s">
        <v>4880</v>
      </c>
    </row>
    <row r="655" customFormat="false" ht="13.8" hidden="false" customHeight="false" outlineLevel="0" collapsed="false">
      <c r="A655" s="25" t="s">
        <v>4939</v>
      </c>
      <c r="B655" s="41" t="s">
        <v>3847</v>
      </c>
      <c r="C655" s="0" t="s">
        <v>3114</v>
      </c>
      <c r="F655" s="0" t="s">
        <v>427</v>
      </c>
      <c r="G655" s="0" t="s">
        <v>427</v>
      </c>
      <c r="L655" s="44" t="e">
        <f aca="false">INDEX(samples!$F:$F, MATCH(K655, samples!$A:$A, 0), 1)</f>
        <v>#N/A</v>
      </c>
      <c r="M655" s="55" t="e">
        <f aca="false">INDEX(samples!$C:$C, MATCH(K655, samples!$A:$A, 0), 1)</f>
        <v>#N/A</v>
      </c>
      <c r="Q655" s="0" t="s">
        <v>4880</v>
      </c>
    </row>
    <row r="656" customFormat="false" ht="13.8" hidden="false" customHeight="false" outlineLevel="0" collapsed="false">
      <c r="A656" s="25" t="s">
        <v>4940</v>
      </c>
      <c r="B656" s="41" t="s">
        <v>3848</v>
      </c>
      <c r="C656" s="0" t="s">
        <v>3114</v>
      </c>
      <c r="F656" s="0" t="s">
        <v>427</v>
      </c>
      <c r="G656" s="0" t="s">
        <v>427</v>
      </c>
      <c r="L656" s="44" t="e">
        <f aca="false">INDEX(samples!$F:$F, MATCH(K656, samples!$A:$A, 0), 1)</f>
        <v>#N/A</v>
      </c>
      <c r="M656" s="55" t="e">
        <f aca="false">INDEX(samples!$C:$C, MATCH(K656, samples!$A:$A, 0), 1)</f>
        <v>#N/A</v>
      </c>
      <c r="Q656" s="0" t="s">
        <v>4880</v>
      </c>
    </row>
    <row r="657" customFormat="false" ht="13.8" hidden="false" customHeight="false" outlineLevel="0" collapsed="false">
      <c r="A657" s="25" t="s">
        <v>4941</v>
      </c>
      <c r="B657" s="41" t="s">
        <v>3849</v>
      </c>
      <c r="C657" s="0" t="s">
        <v>3114</v>
      </c>
      <c r="F657" s="0" t="s">
        <v>427</v>
      </c>
      <c r="G657" s="0" t="s">
        <v>427</v>
      </c>
      <c r="L657" s="44" t="e">
        <f aca="false">INDEX(samples!$F:$F, MATCH(K657, samples!$A:$A, 0), 1)</f>
        <v>#N/A</v>
      </c>
      <c r="M657" s="55" t="e">
        <f aca="false">INDEX(samples!$C:$C, MATCH(K657, samples!$A:$A, 0), 1)</f>
        <v>#N/A</v>
      </c>
      <c r="Q657" s="0" t="s">
        <v>4880</v>
      </c>
    </row>
    <row r="658" customFormat="false" ht="13.8" hidden="false" customHeight="false" outlineLevel="0" collapsed="false">
      <c r="A658" s="25" t="s">
        <v>4942</v>
      </c>
      <c r="B658" s="41" t="s">
        <v>3792</v>
      </c>
      <c r="C658" s="0" t="s">
        <v>3114</v>
      </c>
      <c r="F658" s="0" t="s">
        <v>427</v>
      </c>
      <c r="G658" s="0" t="s">
        <v>427</v>
      </c>
      <c r="L658" s="44" t="e">
        <f aca="false">INDEX(samples!$F:$F, MATCH(K658, samples!$A:$A, 0), 1)</f>
        <v>#N/A</v>
      </c>
      <c r="M658" s="55" t="e">
        <f aca="false">INDEX(samples!$C:$C, MATCH(K658, samples!$A:$A, 0), 1)</f>
        <v>#N/A</v>
      </c>
      <c r="Q658" s="0" t="s">
        <v>4880</v>
      </c>
    </row>
    <row r="659" customFormat="false" ht="13.8" hidden="false" customHeight="false" outlineLevel="0" collapsed="false">
      <c r="A659" s="25" t="s">
        <v>4943</v>
      </c>
      <c r="B659" s="41" t="s">
        <v>3793</v>
      </c>
      <c r="C659" s="0" t="s">
        <v>3114</v>
      </c>
      <c r="F659" s="0" t="s">
        <v>427</v>
      </c>
      <c r="G659" s="0" t="s">
        <v>427</v>
      </c>
      <c r="L659" s="44" t="e">
        <f aca="false">INDEX(samples!$F:$F, MATCH(K659, samples!$A:$A, 0), 1)</f>
        <v>#N/A</v>
      </c>
      <c r="M659" s="55" t="e">
        <f aca="false">INDEX(samples!$C:$C, MATCH(K659, samples!$A:$A, 0), 1)</f>
        <v>#N/A</v>
      </c>
      <c r="Q659" s="0" t="s">
        <v>4880</v>
      </c>
    </row>
    <row r="660" customFormat="false" ht="13.8" hidden="false" customHeight="false" outlineLevel="0" collapsed="false">
      <c r="A660" s="25" t="s">
        <v>4944</v>
      </c>
      <c r="B660" s="41" t="s">
        <v>3634</v>
      </c>
      <c r="C660" s="8" t="s">
        <v>427</v>
      </c>
      <c r="D660" s="8" t="s">
        <v>3877</v>
      </c>
      <c r="E660" s="0" t="s">
        <v>3878</v>
      </c>
      <c r="F660" s="0" t="s">
        <v>427</v>
      </c>
      <c r="G660" s="0" t="s">
        <v>427</v>
      </c>
      <c r="H660" s="0" t="s">
        <v>427</v>
      </c>
      <c r="I660" s="0" t="s">
        <v>3879</v>
      </c>
      <c r="K660" s="44" t="str">
        <f aca="false">INDEX(libraries!$B:$B, MATCH(B660, libraries!$A:$A, 0), 1)</f>
        <v>sam0432</v>
      </c>
      <c r="L660" s="44" t="n">
        <f aca="false">INDEX(samples!$F:$F, MATCH(K660, samples!$A:$A, 0), 1)</f>
        <v>0</v>
      </c>
      <c r="M660" s="55" t="str">
        <f aca="false">INDEX(samples!$C:$C, MATCH(K660, samples!$A:$A, 0), 1)</f>
        <v>2020-02-24</v>
      </c>
      <c r="N660" s="44" t="str">
        <f aca="false">INDEX(samples!$B:$B, MATCH(K660, samples!$A:$A, 0), 1)</f>
        <v>par0035</v>
      </c>
      <c r="O660" s="44" t="s">
        <v>612</v>
      </c>
      <c r="P660" s="8" t="s">
        <v>3880</v>
      </c>
      <c r="Q660" s="8" t="s">
        <v>36</v>
      </c>
      <c r="R660" s="33" t="s">
        <v>3881</v>
      </c>
    </row>
    <row r="661" customFormat="false" ht="13.8" hidden="false" customHeight="false" outlineLevel="0" collapsed="false">
      <c r="A661" s="25" t="s">
        <v>4945</v>
      </c>
      <c r="B661" s="41" t="s">
        <v>3618</v>
      </c>
      <c r="C661" s="8" t="s">
        <v>427</v>
      </c>
      <c r="D661" s="8" t="s">
        <v>3877</v>
      </c>
      <c r="E661" s="0" t="s">
        <v>3878</v>
      </c>
      <c r="F661" s="0" t="s">
        <v>427</v>
      </c>
      <c r="G661" s="0" t="s">
        <v>427</v>
      </c>
      <c r="H661" s="0" t="s">
        <v>427</v>
      </c>
      <c r="I661" s="0" t="s">
        <v>3879</v>
      </c>
      <c r="K661" s="44" t="str">
        <f aca="false">INDEX(libraries!$B:$B, MATCH(B661, libraries!$A:$A, 0), 1)</f>
        <v>sam0416</v>
      </c>
      <c r="L661" s="44" t="n">
        <f aca="false">INDEX(samples!$F:$F, MATCH(K661, samples!$A:$A, 0), 1)</f>
        <v>0</v>
      </c>
      <c r="M661" s="55" t="str">
        <f aca="false">INDEX(samples!$C:$C, MATCH(K661, samples!$A:$A, 0), 1)</f>
        <v>2021-07-27</v>
      </c>
      <c r="N661" s="44" t="str">
        <f aca="false">INDEX(samples!$B:$B, MATCH(K661, samples!$A:$A, 0), 1)</f>
        <v>par0035</v>
      </c>
      <c r="O661" s="44" t="s">
        <v>612</v>
      </c>
      <c r="P661" s="8" t="s">
        <v>3880</v>
      </c>
      <c r="Q661" s="8" t="s">
        <v>36</v>
      </c>
      <c r="R661" s="33" t="s">
        <v>3881</v>
      </c>
    </row>
    <row r="662" customFormat="false" ht="13.8" hidden="false" customHeight="false" outlineLevel="0" collapsed="false">
      <c r="A662" s="25" t="s">
        <v>4946</v>
      </c>
      <c r="B662" s="41" t="s">
        <v>3646</v>
      </c>
      <c r="C662" s="8" t="s">
        <v>427</v>
      </c>
      <c r="D662" s="8" t="s">
        <v>3877</v>
      </c>
      <c r="E662" s="0" t="s">
        <v>3878</v>
      </c>
      <c r="F662" s="0" t="s">
        <v>427</v>
      </c>
      <c r="G662" s="0" t="s">
        <v>427</v>
      </c>
      <c r="H662" s="0" t="s">
        <v>427</v>
      </c>
      <c r="I662" s="0" t="s">
        <v>3879</v>
      </c>
      <c r="K662" s="44" t="str">
        <f aca="false">INDEX(libraries!$B:$B, MATCH(B662, libraries!$A:$A, 0), 1)</f>
        <v>sam0444</v>
      </c>
      <c r="L662" s="44" t="n">
        <f aca="false">INDEX(samples!$F:$F, MATCH(K662, samples!$A:$A, 0), 1)</f>
        <v>0</v>
      </c>
      <c r="M662" s="55" t="str">
        <f aca="false">INDEX(samples!$C:$C, MATCH(K662, samples!$A:$A, 0), 1)</f>
        <v>2020-11-18</v>
      </c>
      <c r="N662" s="44" t="str">
        <f aca="false">INDEX(samples!$B:$B, MATCH(K662, samples!$A:$A, 0), 1)</f>
        <v>par0164</v>
      </c>
      <c r="O662" s="44" t="s">
        <v>988</v>
      </c>
      <c r="P662" s="8" t="s">
        <v>3880</v>
      </c>
      <c r="Q662" s="8" t="s">
        <v>36</v>
      </c>
      <c r="R662" s="33" t="s">
        <v>3881</v>
      </c>
    </row>
    <row r="663" customFormat="false" ht="13.8" hidden="false" customHeight="false" outlineLevel="0" collapsed="false">
      <c r="A663" s="25" t="s">
        <v>4947</v>
      </c>
      <c r="B663" s="41" t="s">
        <v>3644</v>
      </c>
      <c r="C663" s="8" t="s">
        <v>427</v>
      </c>
      <c r="D663" s="8" t="s">
        <v>3877</v>
      </c>
      <c r="E663" s="0" t="s">
        <v>3878</v>
      </c>
      <c r="F663" s="0" t="s">
        <v>427</v>
      </c>
      <c r="G663" s="0" t="s">
        <v>427</v>
      </c>
      <c r="H663" s="0" t="s">
        <v>427</v>
      </c>
      <c r="I663" s="0" t="s">
        <v>3879</v>
      </c>
      <c r="K663" s="44" t="str">
        <f aca="false">INDEX(libraries!$B:$B, MATCH(B663, libraries!$A:$A, 0), 1)</f>
        <v>sam0442</v>
      </c>
      <c r="L663" s="44" t="n">
        <f aca="false">INDEX(samples!$F:$F, MATCH(K663, samples!$A:$A, 0), 1)</f>
        <v>0</v>
      </c>
      <c r="M663" s="55" t="str">
        <f aca="false">INDEX(samples!$C:$C, MATCH(K663, samples!$A:$A, 0), 1)</f>
        <v>2020-09-16</v>
      </c>
      <c r="N663" s="44" t="str">
        <f aca="false">INDEX(samples!$B:$B, MATCH(K663, samples!$A:$A, 0), 1)</f>
        <v>par0164</v>
      </c>
      <c r="O663" s="44" t="s">
        <v>988</v>
      </c>
      <c r="P663" s="8" t="s">
        <v>3880</v>
      </c>
      <c r="Q663" s="8" t="s">
        <v>36</v>
      </c>
      <c r="R663" s="33" t="s">
        <v>3881</v>
      </c>
    </row>
    <row r="664" customFormat="false" ht="13.8" hidden="false" customHeight="false" outlineLevel="0" collapsed="false">
      <c r="A664" s="25" t="s">
        <v>4948</v>
      </c>
      <c r="B664" s="41" t="s">
        <v>3645</v>
      </c>
      <c r="C664" s="8" t="s">
        <v>427</v>
      </c>
      <c r="D664" s="8" t="s">
        <v>3877</v>
      </c>
      <c r="E664" s="0" t="s">
        <v>3878</v>
      </c>
      <c r="F664" s="0" t="s">
        <v>427</v>
      </c>
      <c r="G664" s="0" t="s">
        <v>427</v>
      </c>
      <c r="H664" s="0" t="s">
        <v>427</v>
      </c>
      <c r="I664" s="0" t="s">
        <v>3879</v>
      </c>
      <c r="K664" s="44" t="str">
        <f aca="false">INDEX(libraries!$B:$B, MATCH(B664, libraries!$A:$A, 0), 1)</f>
        <v>sam0443</v>
      </c>
      <c r="L664" s="44" t="n">
        <f aca="false">INDEX(samples!$F:$F, MATCH(K664, samples!$A:$A, 0), 1)</f>
        <v>0</v>
      </c>
      <c r="M664" s="55" t="str">
        <f aca="false">INDEX(samples!$C:$C, MATCH(K664, samples!$A:$A, 0), 1)</f>
        <v>2020-09-18</v>
      </c>
      <c r="N664" s="44" t="str">
        <f aca="false">INDEX(samples!$B:$B, MATCH(K664, samples!$A:$A, 0), 1)</f>
        <v>par0164</v>
      </c>
      <c r="O664" s="44" t="s">
        <v>988</v>
      </c>
      <c r="P664" s="8" t="s">
        <v>3880</v>
      </c>
      <c r="Q664" s="8" t="s">
        <v>36</v>
      </c>
      <c r="R664" s="33" t="s">
        <v>3881</v>
      </c>
    </row>
    <row r="665" customFormat="false" ht="13.8" hidden="false" customHeight="false" outlineLevel="0" collapsed="false">
      <c r="A665" s="25" t="s">
        <v>4949</v>
      </c>
      <c r="B665" s="41" t="s">
        <v>3623</v>
      </c>
      <c r="C665" s="8" t="s">
        <v>427</v>
      </c>
      <c r="D665" s="8" t="s">
        <v>3877</v>
      </c>
      <c r="E665" s="0" t="s">
        <v>3878</v>
      </c>
      <c r="F665" s="0" t="s">
        <v>427</v>
      </c>
      <c r="G665" s="0" t="s">
        <v>427</v>
      </c>
      <c r="H665" s="0" t="s">
        <v>427</v>
      </c>
      <c r="I665" s="0" t="s">
        <v>3879</v>
      </c>
      <c r="K665" s="44" t="str">
        <f aca="false">INDEX(libraries!$B:$B, MATCH(B665, libraries!$A:$A, 0), 1)</f>
        <v>sam0421</v>
      </c>
      <c r="L665" s="44" t="n">
        <f aca="false">INDEX(samples!$F:$F, MATCH(K665, samples!$A:$A, 0), 1)</f>
        <v>0</v>
      </c>
      <c r="M665" s="55" t="str">
        <f aca="false">INDEX(samples!$C:$C, MATCH(K665, samples!$A:$A, 0), 1)</f>
        <v>2022-09-26</v>
      </c>
      <c r="N665" s="44" t="str">
        <f aca="false">INDEX(samples!$B:$B, MATCH(K665, samples!$A:$A, 0), 1)</f>
        <v>par0281</v>
      </c>
      <c r="O665" s="44" t="s">
        <v>1391</v>
      </c>
      <c r="P665" s="8" t="s">
        <v>3880</v>
      </c>
      <c r="Q665" s="8" t="s">
        <v>36</v>
      </c>
      <c r="R665" s="33" t="s">
        <v>3881</v>
      </c>
    </row>
    <row r="666" customFormat="false" ht="13.8" hidden="false" customHeight="false" outlineLevel="0" collapsed="false">
      <c r="A666" s="25" t="s">
        <v>4950</v>
      </c>
      <c r="B666" s="41" t="s">
        <v>3631</v>
      </c>
      <c r="C666" s="8" t="s">
        <v>427</v>
      </c>
      <c r="D666" s="8" t="s">
        <v>3877</v>
      </c>
      <c r="E666" s="0" t="s">
        <v>3878</v>
      </c>
      <c r="F666" s="0" t="s">
        <v>427</v>
      </c>
      <c r="G666" s="0" t="s">
        <v>427</v>
      </c>
      <c r="H666" s="0" t="s">
        <v>427</v>
      </c>
      <c r="I666" s="0" t="s">
        <v>3879</v>
      </c>
      <c r="K666" s="44" t="str">
        <f aca="false">INDEX(libraries!$B:$B, MATCH(B666, libraries!$A:$A, 0), 1)</f>
        <v>sam0429</v>
      </c>
      <c r="L666" s="44" t="n">
        <f aca="false">INDEX(samples!$F:$F, MATCH(K666, samples!$A:$A, 0), 1)</f>
        <v>0</v>
      </c>
      <c r="M666" s="55" t="str">
        <f aca="false">INDEX(samples!$C:$C, MATCH(K666, samples!$A:$A, 0), 1)</f>
        <v>2020-01-30</v>
      </c>
      <c r="N666" s="44" t="str">
        <f aca="false">INDEX(samples!$B:$B, MATCH(K666, samples!$A:$A, 0), 1)</f>
        <v>par0037</v>
      </c>
      <c r="O666" s="44" t="s">
        <v>619</v>
      </c>
      <c r="P666" s="8" t="s">
        <v>3880</v>
      </c>
      <c r="Q666" s="8" t="s">
        <v>36</v>
      </c>
      <c r="R666" s="33" t="s">
        <v>3881</v>
      </c>
    </row>
    <row r="667" customFormat="false" ht="13.8" hidden="false" customHeight="false" outlineLevel="0" collapsed="false">
      <c r="A667" s="25" t="s">
        <v>4951</v>
      </c>
      <c r="B667" s="41" t="s">
        <v>3632</v>
      </c>
      <c r="C667" s="8" t="s">
        <v>427</v>
      </c>
      <c r="D667" s="8" t="s">
        <v>3877</v>
      </c>
      <c r="E667" s="0" t="s">
        <v>3878</v>
      </c>
      <c r="F667" s="0" t="s">
        <v>427</v>
      </c>
      <c r="G667" s="0" t="s">
        <v>427</v>
      </c>
      <c r="H667" s="0" t="s">
        <v>427</v>
      </c>
      <c r="I667" s="0" t="s">
        <v>3879</v>
      </c>
      <c r="K667" s="44" t="str">
        <f aca="false">INDEX(libraries!$B:$B, MATCH(B667, libraries!$A:$A, 0), 1)</f>
        <v>sam0430</v>
      </c>
      <c r="L667" s="44" t="n">
        <f aca="false">INDEX(samples!$F:$F, MATCH(K667, samples!$A:$A, 0), 1)</f>
        <v>0</v>
      </c>
      <c r="M667" s="55" t="str">
        <f aca="false">INDEX(samples!$C:$C, MATCH(K667, samples!$A:$A, 0), 1)</f>
        <v>2022-07-19</v>
      </c>
      <c r="N667" s="44" t="str">
        <f aca="false">INDEX(samples!$B:$B, MATCH(K667, samples!$A:$A, 0), 1)</f>
        <v>par0037</v>
      </c>
      <c r="O667" s="44" t="s">
        <v>619</v>
      </c>
      <c r="P667" s="8" t="s">
        <v>3880</v>
      </c>
      <c r="Q667" s="8" t="s">
        <v>36</v>
      </c>
      <c r="R667" s="33" t="s">
        <v>3881</v>
      </c>
    </row>
    <row r="668" customFormat="false" ht="13.8" hidden="false" customHeight="false" outlineLevel="0" collapsed="false">
      <c r="A668" s="25" t="s">
        <v>4952</v>
      </c>
      <c r="B668" s="41" t="s">
        <v>3619</v>
      </c>
      <c r="C668" s="8" t="s">
        <v>427</v>
      </c>
      <c r="D668" s="8" t="s">
        <v>3877</v>
      </c>
      <c r="E668" s="0" t="s">
        <v>3878</v>
      </c>
      <c r="F668" s="0" t="s">
        <v>427</v>
      </c>
      <c r="G668" s="0" t="s">
        <v>427</v>
      </c>
      <c r="H668" s="0" t="s">
        <v>427</v>
      </c>
      <c r="I668" s="0" t="s">
        <v>3879</v>
      </c>
      <c r="K668" s="44" t="str">
        <f aca="false">INDEX(libraries!$B:$B, MATCH(B668, libraries!$A:$A, 0), 1)</f>
        <v>sam0417</v>
      </c>
      <c r="L668" s="44" t="n">
        <f aca="false">INDEX(samples!$F:$F, MATCH(K668, samples!$A:$A, 0), 1)</f>
        <v>0</v>
      </c>
      <c r="M668" s="55" t="str">
        <f aca="false">INDEX(samples!$C:$C, MATCH(K668, samples!$A:$A, 0), 1)</f>
        <v>2022-09-26</v>
      </c>
      <c r="N668" s="44" t="str">
        <f aca="false">INDEX(samples!$B:$B, MATCH(K668, samples!$A:$A, 0), 1)</f>
        <v>par0121</v>
      </c>
      <c r="O668" s="44" t="s">
        <v>862</v>
      </c>
      <c r="P668" s="8" t="s">
        <v>3880</v>
      </c>
      <c r="Q668" s="8" t="s">
        <v>36</v>
      </c>
      <c r="R668" s="33" t="s">
        <v>3881</v>
      </c>
    </row>
    <row r="669" customFormat="false" ht="13.8" hidden="false" customHeight="false" outlineLevel="0" collapsed="false">
      <c r="A669" s="25" t="s">
        <v>4953</v>
      </c>
      <c r="B669" s="41" t="s">
        <v>3439</v>
      </c>
      <c r="C669" s="8"/>
      <c r="D669" s="8" t="s">
        <v>3877</v>
      </c>
      <c r="E669" s="0" t="s">
        <v>3878</v>
      </c>
      <c r="F669" s="0" t="s">
        <v>427</v>
      </c>
      <c r="G669" s="0" t="s">
        <v>427</v>
      </c>
      <c r="H669" s="0" t="s">
        <v>427</v>
      </c>
      <c r="I669" s="0" t="s">
        <v>4954</v>
      </c>
      <c r="K669" s="44" t="str">
        <f aca="false">INDEX(libraries!$B:$B, MATCH(B669, libraries!$A:$A, 0), 1)</f>
        <v>sam0299</v>
      </c>
      <c r="L669" s="44" t="n">
        <f aca="false">INDEX(samples!$F:$F, MATCH(K669, samples!$A:$A, 0), 1)</f>
        <v>0</v>
      </c>
      <c r="M669" s="55" t="str">
        <f aca="false">INDEX(samples!$C:$C, MATCH(K669, samples!$A:$A, 0), 1)</f>
        <v>2021-10-29</v>
      </c>
      <c r="N669" s="44" t="str">
        <f aca="false">INDEX(samples!$B:$B, MATCH(K669, samples!$A:$A, 0), 1)</f>
        <v>par0202</v>
      </c>
      <c r="O669" s="44" t="s">
        <v>1086</v>
      </c>
      <c r="P669" s="8" t="s">
        <v>3880</v>
      </c>
      <c r="Q669" s="8" t="s">
        <v>36</v>
      </c>
      <c r="R669" s="33" t="s">
        <v>3881</v>
      </c>
    </row>
    <row r="670" customFormat="false" ht="13.8" hidden="false" customHeight="false" outlineLevel="0" collapsed="false">
      <c r="A670" s="25" t="s">
        <v>4955</v>
      </c>
      <c r="B670" s="41" t="s">
        <v>3440</v>
      </c>
      <c r="C670" s="8"/>
      <c r="D670" s="8" t="s">
        <v>3877</v>
      </c>
      <c r="E670" s="0" t="s">
        <v>3878</v>
      </c>
      <c r="F670" s="0" t="s">
        <v>427</v>
      </c>
      <c r="G670" s="0" t="s">
        <v>427</v>
      </c>
      <c r="H670" s="0" t="s">
        <v>427</v>
      </c>
      <c r="I670" s="0" t="s">
        <v>4954</v>
      </c>
      <c r="K670" s="44" t="str">
        <f aca="false">INDEX(libraries!$B:$B, MATCH(B670, libraries!$A:$A, 0), 1)</f>
        <v>sam0300</v>
      </c>
      <c r="L670" s="44" t="n">
        <f aca="false">INDEX(samples!$F:$F, MATCH(K670, samples!$A:$A, 0), 1)</f>
        <v>0</v>
      </c>
      <c r="M670" s="55" t="str">
        <f aca="false">INDEX(samples!$C:$C, MATCH(K670, samples!$A:$A, 0), 1)</f>
        <v>2021-09-28</v>
      </c>
      <c r="N670" s="44" t="str">
        <f aca="false">INDEX(samples!$B:$B, MATCH(K670, samples!$A:$A, 0), 1)</f>
        <v>par0201</v>
      </c>
      <c r="O670" s="44" t="s">
        <v>1081</v>
      </c>
      <c r="P670" s="8" t="s">
        <v>3880</v>
      </c>
      <c r="Q670" s="8" t="s">
        <v>36</v>
      </c>
      <c r="R670" s="33" t="s">
        <v>3881</v>
      </c>
    </row>
    <row r="671" customFormat="false" ht="13.8" hidden="false" customHeight="false" outlineLevel="0" collapsed="false">
      <c r="A671" s="25" t="s">
        <v>4956</v>
      </c>
      <c r="B671" s="41" t="s">
        <v>3441</v>
      </c>
      <c r="C671" s="8"/>
      <c r="D671" s="8" t="s">
        <v>3877</v>
      </c>
      <c r="E671" s="0" t="s">
        <v>3878</v>
      </c>
      <c r="F671" s="0" t="s">
        <v>427</v>
      </c>
      <c r="G671" s="0" t="s">
        <v>427</v>
      </c>
      <c r="H671" s="0" t="s">
        <v>427</v>
      </c>
      <c r="I671" s="0" t="s">
        <v>4954</v>
      </c>
      <c r="K671" s="44" t="str">
        <f aca="false">INDEX(libraries!$B:$B, MATCH(B671, libraries!$A:$A, 0), 1)</f>
        <v>sam0301</v>
      </c>
      <c r="L671" s="44" t="n">
        <f aca="false">INDEX(samples!$F:$F, MATCH(K671, samples!$A:$A, 0), 1)</f>
        <v>0</v>
      </c>
      <c r="M671" s="55" t="str">
        <f aca="false">INDEX(samples!$C:$C, MATCH(K671, samples!$A:$A, 0), 1)</f>
        <v>2021-10-19</v>
      </c>
      <c r="N671" s="44" t="str">
        <f aca="false">INDEX(samples!$B:$B, MATCH(K671, samples!$A:$A, 0), 1)</f>
        <v>par0200</v>
      </c>
      <c r="O671" s="44" t="s">
        <v>1077</v>
      </c>
      <c r="P671" s="8" t="s">
        <v>3880</v>
      </c>
      <c r="Q671" s="8" t="s">
        <v>36</v>
      </c>
      <c r="R671" s="33" t="s">
        <v>3881</v>
      </c>
    </row>
    <row r="672" customFormat="false" ht="13.8" hidden="false" customHeight="false" outlineLevel="0" collapsed="false">
      <c r="A672" s="25" t="s">
        <v>4957</v>
      </c>
      <c r="B672" s="41" t="s">
        <v>3442</v>
      </c>
      <c r="C672" s="8"/>
      <c r="D672" s="8" t="s">
        <v>3877</v>
      </c>
      <c r="E672" s="0" t="s">
        <v>3878</v>
      </c>
      <c r="F672" s="0" t="s">
        <v>427</v>
      </c>
      <c r="G672" s="0" t="s">
        <v>427</v>
      </c>
      <c r="H672" s="0" t="s">
        <v>427</v>
      </c>
      <c r="I672" s="0" t="s">
        <v>4954</v>
      </c>
      <c r="K672" s="44" t="str">
        <f aca="false">INDEX(libraries!$B:$B, MATCH(B672, libraries!$A:$A, 0), 1)</f>
        <v>sam0302</v>
      </c>
      <c r="L672" s="44" t="n">
        <f aca="false">INDEX(samples!$F:$F, MATCH(K672, samples!$A:$A, 0), 1)</f>
        <v>0</v>
      </c>
      <c r="M672" s="55" t="str">
        <f aca="false">INDEX(samples!$C:$C, MATCH(K672, samples!$A:$A, 0), 1)</f>
        <v>2020-02-04</v>
      </c>
      <c r="N672" s="44" t="str">
        <f aca="false">INDEX(samples!$B:$B, MATCH(K672, samples!$A:$A, 0), 1)</f>
        <v>par0089</v>
      </c>
      <c r="O672" s="44" t="s">
        <v>732</v>
      </c>
      <c r="P672" s="8" t="s">
        <v>3880</v>
      </c>
      <c r="Q672" s="8" t="s">
        <v>36</v>
      </c>
      <c r="R672" s="33" t="s">
        <v>3881</v>
      </c>
    </row>
    <row r="673" customFormat="false" ht="13.8" hidden="false" customHeight="false" outlineLevel="0" collapsed="false">
      <c r="A673" s="25" t="s">
        <v>4958</v>
      </c>
      <c r="B673" s="41" t="s">
        <v>3443</v>
      </c>
      <c r="C673" s="8"/>
      <c r="D673" s="8" t="s">
        <v>3877</v>
      </c>
      <c r="E673" s="0" t="s">
        <v>3878</v>
      </c>
      <c r="F673" s="0" t="s">
        <v>427</v>
      </c>
      <c r="G673" s="0" t="s">
        <v>427</v>
      </c>
      <c r="H673" s="0" t="s">
        <v>427</v>
      </c>
      <c r="I673" s="0" t="s">
        <v>4954</v>
      </c>
      <c r="K673" s="44" t="str">
        <f aca="false">INDEX(libraries!$B:$B, MATCH(B673, libraries!$A:$A, 0), 1)</f>
        <v>sam0303</v>
      </c>
      <c r="L673" s="44" t="n">
        <f aca="false">INDEX(samples!$F:$F, MATCH(K673, samples!$A:$A, 0), 1)</f>
        <v>0</v>
      </c>
      <c r="M673" s="55" t="str">
        <f aca="false">INDEX(samples!$C:$C, MATCH(K673, samples!$A:$A, 0), 1)</f>
        <v>2021-07-13</v>
      </c>
      <c r="N673" s="44" t="str">
        <f aca="false">INDEX(samples!$B:$B, MATCH(K673, samples!$A:$A, 0), 1)</f>
        <v>par0090</v>
      </c>
      <c r="O673" s="44" t="s">
        <v>736</v>
      </c>
      <c r="P673" s="8" t="s">
        <v>3880</v>
      </c>
      <c r="Q673" s="8" t="s">
        <v>36</v>
      </c>
      <c r="R673" s="33" t="s">
        <v>3881</v>
      </c>
    </row>
    <row r="674" customFormat="false" ht="13.8" hidden="false" customHeight="false" outlineLevel="0" collapsed="false">
      <c r="A674" s="25" t="s">
        <v>4959</v>
      </c>
      <c r="B674" s="41" t="s">
        <v>3444</v>
      </c>
      <c r="C674" s="8"/>
      <c r="D674" s="8" t="s">
        <v>3877</v>
      </c>
      <c r="E674" s="0" t="s">
        <v>3878</v>
      </c>
      <c r="F674" s="0" t="s">
        <v>427</v>
      </c>
      <c r="G674" s="0" t="s">
        <v>427</v>
      </c>
      <c r="H674" s="0" t="s">
        <v>427</v>
      </c>
      <c r="I674" s="0" t="s">
        <v>4954</v>
      </c>
      <c r="K674" s="44" t="str">
        <f aca="false">INDEX(libraries!$B:$B, MATCH(B674, libraries!$A:$A, 0), 1)</f>
        <v>sam0304</v>
      </c>
      <c r="L674" s="44" t="n">
        <f aca="false">INDEX(samples!$F:$F, MATCH(K674, samples!$A:$A, 0), 1)</f>
        <v>0</v>
      </c>
      <c r="M674" s="55" t="str">
        <f aca="false">INDEX(samples!$C:$C, MATCH(K674, samples!$A:$A, 0), 1)</f>
        <v>2019-06-26</v>
      </c>
      <c r="N674" s="44" t="str">
        <f aca="false">INDEX(samples!$B:$B, MATCH(K674, samples!$A:$A, 0), 1)</f>
        <v>par0093</v>
      </c>
      <c r="O674" s="44" t="s">
        <v>750</v>
      </c>
      <c r="P674" s="8" t="s">
        <v>3880</v>
      </c>
      <c r="Q674" s="8" t="s">
        <v>36</v>
      </c>
      <c r="R674" s="33" t="s">
        <v>3881</v>
      </c>
    </row>
    <row r="675" customFormat="false" ht="13.8" hidden="false" customHeight="false" outlineLevel="0" collapsed="false">
      <c r="A675" s="25" t="s">
        <v>4960</v>
      </c>
      <c r="B675" s="41" t="s">
        <v>3445</v>
      </c>
      <c r="C675" s="8"/>
      <c r="D675" s="8" t="s">
        <v>3877</v>
      </c>
      <c r="E675" s="0" t="s">
        <v>3878</v>
      </c>
      <c r="F675" s="0" t="s">
        <v>427</v>
      </c>
      <c r="G675" s="0" t="s">
        <v>427</v>
      </c>
      <c r="H675" s="0" t="s">
        <v>427</v>
      </c>
      <c r="I675" s="0" t="s">
        <v>4954</v>
      </c>
      <c r="K675" s="44" t="str">
        <f aca="false">INDEX(libraries!$B:$B, MATCH(B675, libraries!$A:$A, 0), 1)</f>
        <v>sam0305</v>
      </c>
      <c r="L675" s="44" t="n">
        <f aca="false">INDEX(samples!$F:$F, MATCH(K675, samples!$A:$A, 0), 1)</f>
        <v>0</v>
      </c>
      <c r="M675" s="55" t="str">
        <f aca="false">INDEX(samples!$C:$C, MATCH(K675, samples!$A:$A, 0), 1)</f>
        <v>2021-10-12</v>
      </c>
      <c r="N675" s="44" t="str">
        <f aca="false">INDEX(samples!$B:$B, MATCH(K675, samples!$A:$A, 0), 1)</f>
        <v>par0199</v>
      </c>
      <c r="O675" s="44" t="s">
        <v>1073</v>
      </c>
      <c r="P675" s="8" t="s">
        <v>3880</v>
      </c>
      <c r="Q675" s="8" t="s">
        <v>36</v>
      </c>
      <c r="R675" s="33" t="s">
        <v>3881</v>
      </c>
    </row>
    <row r="676" customFormat="false" ht="13.8" hidden="false" customHeight="false" outlineLevel="0" collapsed="false">
      <c r="A676" s="25" t="s">
        <v>4961</v>
      </c>
      <c r="B676" s="41" t="s">
        <v>3446</v>
      </c>
      <c r="C676" s="8"/>
      <c r="D676" s="8" t="s">
        <v>3877</v>
      </c>
      <c r="E676" s="0" t="s">
        <v>3878</v>
      </c>
      <c r="F676" s="0" t="s">
        <v>427</v>
      </c>
      <c r="G676" s="0" t="s">
        <v>427</v>
      </c>
      <c r="H676" s="0" t="s">
        <v>427</v>
      </c>
      <c r="I676" s="0" t="s">
        <v>4954</v>
      </c>
      <c r="K676" s="44" t="str">
        <f aca="false">INDEX(libraries!$B:$B, MATCH(B676, libraries!$A:$A, 0), 1)</f>
        <v>sam0306</v>
      </c>
      <c r="L676" s="44" t="n">
        <f aca="false">INDEX(samples!$F:$F, MATCH(K676, samples!$A:$A, 0), 1)</f>
        <v>0</v>
      </c>
      <c r="M676" s="55" t="str">
        <f aca="false">INDEX(samples!$C:$C, MATCH(K676, samples!$A:$A, 0), 1)</f>
        <v>2019-06-26</v>
      </c>
      <c r="N676" s="44" t="str">
        <f aca="false">INDEX(samples!$B:$B, MATCH(K676, samples!$A:$A, 0), 1)</f>
        <v>par0092</v>
      </c>
      <c r="O676" s="44" t="s">
        <v>745</v>
      </c>
      <c r="P676" s="8" t="s">
        <v>3880</v>
      </c>
      <c r="Q676" s="8" t="s">
        <v>36</v>
      </c>
      <c r="R676" s="33" t="s">
        <v>3881</v>
      </c>
    </row>
    <row r="677" customFormat="false" ht="13.8" hidden="false" customHeight="false" outlineLevel="0" collapsed="false">
      <c r="A677" s="25" t="s">
        <v>4962</v>
      </c>
      <c r="B677" s="41" t="s">
        <v>3447</v>
      </c>
      <c r="C677" s="8"/>
      <c r="D677" s="8" t="s">
        <v>3877</v>
      </c>
      <c r="E677" s="0" t="s">
        <v>3878</v>
      </c>
      <c r="F677" s="0" t="s">
        <v>427</v>
      </c>
      <c r="G677" s="0" t="s">
        <v>427</v>
      </c>
      <c r="H677" s="0" t="s">
        <v>427</v>
      </c>
      <c r="I677" s="0" t="s">
        <v>4954</v>
      </c>
      <c r="K677" s="44" t="str">
        <f aca="false">INDEX(libraries!$B:$B, MATCH(B677, libraries!$A:$A, 0), 1)</f>
        <v>sam0307</v>
      </c>
      <c r="L677" s="44" t="n">
        <f aca="false">INDEX(samples!$F:$F, MATCH(K677, samples!$A:$A, 0), 1)</f>
        <v>0</v>
      </c>
      <c r="M677" s="55" t="str">
        <f aca="false">INDEX(samples!$C:$C, MATCH(K677, samples!$A:$A, 0), 1)</f>
        <v>2021-09-17</v>
      </c>
      <c r="N677" s="44" t="str">
        <f aca="false">INDEX(samples!$B:$B, MATCH(K677, samples!$A:$A, 0), 1)</f>
        <v>par0197</v>
      </c>
      <c r="O677" s="44" t="s">
        <v>1069</v>
      </c>
      <c r="P677" s="8" t="s">
        <v>3880</v>
      </c>
      <c r="Q677" s="8" t="s">
        <v>36</v>
      </c>
      <c r="R677" s="33" t="s">
        <v>3881</v>
      </c>
    </row>
    <row r="678" customFormat="false" ht="13.8" hidden="false" customHeight="false" outlineLevel="0" collapsed="false">
      <c r="A678" s="25" t="s">
        <v>4963</v>
      </c>
      <c r="B678" s="41" t="s">
        <v>3448</v>
      </c>
      <c r="C678" s="8"/>
      <c r="D678" s="8" t="s">
        <v>3877</v>
      </c>
      <c r="E678" s="0" t="s">
        <v>3878</v>
      </c>
      <c r="F678" s="0" t="s">
        <v>427</v>
      </c>
      <c r="G678" s="0" t="s">
        <v>427</v>
      </c>
      <c r="H678" s="0" t="s">
        <v>427</v>
      </c>
      <c r="I678" s="0" t="s">
        <v>4954</v>
      </c>
      <c r="K678" s="44" t="str">
        <f aca="false">INDEX(libraries!$B:$B, MATCH(B678, libraries!$A:$A, 0), 1)</f>
        <v>sam0308</v>
      </c>
      <c r="L678" s="44" t="n">
        <f aca="false">INDEX(samples!$F:$F, MATCH(K678, samples!$A:$A, 0), 1)</f>
        <v>0</v>
      </c>
      <c r="M678" s="55" t="str">
        <f aca="false">INDEX(samples!$C:$C, MATCH(K678, samples!$A:$A, 0), 1)</f>
        <v>2022-05-03</v>
      </c>
      <c r="N678" s="44" t="str">
        <f aca="false">INDEX(samples!$B:$B, MATCH(K678, samples!$A:$A, 0), 1)</f>
        <v>par0196</v>
      </c>
      <c r="O678" s="44" t="s">
        <v>1065</v>
      </c>
      <c r="P678" s="8" t="s">
        <v>3880</v>
      </c>
      <c r="Q678" s="8" t="s">
        <v>36</v>
      </c>
      <c r="R678" s="33" t="s">
        <v>3881</v>
      </c>
    </row>
    <row r="679" customFormat="false" ht="13.8" hidden="false" customHeight="false" outlineLevel="0" collapsed="false">
      <c r="A679" s="25" t="s">
        <v>4964</v>
      </c>
      <c r="B679" s="41" t="s">
        <v>3449</v>
      </c>
      <c r="C679" s="8"/>
      <c r="D679" s="8" t="s">
        <v>3877</v>
      </c>
      <c r="E679" s="0" t="s">
        <v>3878</v>
      </c>
      <c r="F679" s="0" t="s">
        <v>427</v>
      </c>
      <c r="G679" s="0" t="s">
        <v>427</v>
      </c>
      <c r="H679" s="0" t="s">
        <v>427</v>
      </c>
      <c r="I679" s="0" t="s">
        <v>4954</v>
      </c>
      <c r="K679" s="44" t="str">
        <f aca="false">INDEX(libraries!$B:$B, MATCH(B679, libraries!$A:$A, 0), 1)</f>
        <v>sam0309</v>
      </c>
      <c r="L679" s="44" t="n">
        <f aca="false">INDEX(samples!$F:$F, MATCH(K679, samples!$A:$A, 0), 1)</f>
        <v>0</v>
      </c>
      <c r="M679" s="55" t="str">
        <f aca="false">INDEX(samples!$C:$C, MATCH(K679, samples!$A:$A, 0), 1)</f>
        <v>2021-06-29</v>
      </c>
      <c r="N679" s="44" t="str">
        <f aca="false">INDEX(samples!$B:$B, MATCH(K679, samples!$A:$A, 0), 1)</f>
        <v>par0103</v>
      </c>
      <c r="O679" s="44" t="s">
        <v>797</v>
      </c>
      <c r="P679" s="8" t="s">
        <v>3880</v>
      </c>
      <c r="Q679" s="8" t="s">
        <v>36</v>
      </c>
      <c r="R679" s="33" t="s">
        <v>3881</v>
      </c>
    </row>
    <row r="680" customFormat="false" ht="13.8" hidden="false" customHeight="false" outlineLevel="0" collapsed="false">
      <c r="A680" s="25" t="s">
        <v>4965</v>
      </c>
      <c r="B680" s="41" t="s">
        <v>3450</v>
      </c>
      <c r="C680" s="8"/>
      <c r="D680" s="8" t="s">
        <v>3877</v>
      </c>
      <c r="E680" s="0" t="s">
        <v>3878</v>
      </c>
      <c r="F680" s="0" t="s">
        <v>427</v>
      </c>
      <c r="G680" s="0" t="s">
        <v>427</v>
      </c>
      <c r="H680" s="0" t="s">
        <v>427</v>
      </c>
      <c r="I680" s="0" t="s">
        <v>4954</v>
      </c>
      <c r="K680" s="44" t="str">
        <f aca="false">INDEX(libraries!$B:$B, MATCH(B680, libraries!$A:$A, 0), 1)</f>
        <v>sam0310</v>
      </c>
      <c r="L680" s="44" t="n">
        <f aca="false">INDEX(samples!$F:$F, MATCH(K680, samples!$A:$A, 0), 1)</f>
        <v>0</v>
      </c>
      <c r="M680" s="55" t="str">
        <f aca="false">INDEX(samples!$C:$C, MATCH(K680, samples!$A:$A, 0), 1)</f>
        <v>2019-11-21</v>
      </c>
      <c r="N680" s="44" t="str">
        <f aca="false">INDEX(samples!$B:$B, MATCH(K680, samples!$A:$A, 0), 1)</f>
        <v>par0106</v>
      </c>
      <c r="O680" s="44" t="s">
        <v>811</v>
      </c>
      <c r="P680" s="8" t="s">
        <v>3880</v>
      </c>
      <c r="Q680" s="8" t="s">
        <v>36</v>
      </c>
      <c r="R680" s="33" t="s">
        <v>3881</v>
      </c>
    </row>
    <row r="681" customFormat="false" ht="13.8" hidden="false" customHeight="false" outlineLevel="0" collapsed="false">
      <c r="A681" s="25" t="s">
        <v>4966</v>
      </c>
      <c r="B681" s="41" t="s">
        <v>3451</v>
      </c>
      <c r="C681" s="8"/>
      <c r="D681" s="8" t="s">
        <v>3877</v>
      </c>
      <c r="E681" s="0" t="s">
        <v>3878</v>
      </c>
      <c r="F681" s="0" t="s">
        <v>427</v>
      </c>
      <c r="G681" s="0" t="s">
        <v>427</v>
      </c>
      <c r="H681" s="0" t="s">
        <v>427</v>
      </c>
      <c r="I681" s="0" t="s">
        <v>4954</v>
      </c>
      <c r="K681" s="44" t="str">
        <f aca="false">INDEX(libraries!$B:$B, MATCH(B681, libraries!$A:$A, 0), 1)</f>
        <v>sam0311</v>
      </c>
      <c r="L681" s="44" t="n">
        <f aca="false">INDEX(samples!$F:$F, MATCH(K681, samples!$A:$A, 0), 1)</f>
        <v>0</v>
      </c>
      <c r="M681" s="55" t="str">
        <f aca="false">INDEX(samples!$C:$C, MATCH(K681, samples!$A:$A, 0), 1)</f>
        <v>2022-03-01</v>
      </c>
      <c r="N681" s="44" t="str">
        <f aca="false">INDEX(samples!$B:$B, MATCH(K681, samples!$A:$A, 0), 1)</f>
        <v>par0134</v>
      </c>
      <c r="O681" s="44" t="s">
        <v>904</v>
      </c>
      <c r="P681" s="8" t="s">
        <v>3880</v>
      </c>
      <c r="Q681" s="8" t="s">
        <v>36</v>
      </c>
      <c r="R681" s="33" t="s">
        <v>3881</v>
      </c>
    </row>
    <row r="682" customFormat="false" ht="13.8" hidden="false" customHeight="false" outlineLevel="0" collapsed="false">
      <c r="A682" s="25" t="s">
        <v>4967</v>
      </c>
      <c r="B682" s="41" t="s">
        <v>3452</v>
      </c>
      <c r="C682" s="8"/>
      <c r="D682" s="8" t="s">
        <v>3877</v>
      </c>
      <c r="E682" s="0" t="s">
        <v>3878</v>
      </c>
      <c r="F682" s="0" t="s">
        <v>427</v>
      </c>
      <c r="G682" s="0" t="s">
        <v>427</v>
      </c>
      <c r="H682" s="0" t="s">
        <v>427</v>
      </c>
      <c r="I682" s="0" t="s">
        <v>4954</v>
      </c>
      <c r="K682" s="44" t="str">
        <f aca="false">INDEX(libraries!$B:$B, MATCH(B682, libraries!$A:$A, 0), 1)</f>
        <v>sam0312</v>
      </c>
      <c r="L682" s="44" t="n">
        <f aca="false">INDEX(samples!$F:$F, MATCH(K682, samples!$A:$A, 0), 1)</f>
        <v>0</v>
      </c>
      <c r="M682" s="55" t="str">
        <f aca="false">INDEX(samples!$C:$C, MATCH(K682, samples!$A:$A, 0), 1)</f>
        <v>2020-03-12</v>
      </c>
      <c r="N682" s="44" t="str">
        <f aca="false">INDEX(samples!$B:$B, MATCH(K682, samples!$A:$A, 0), 1)</f>
        <v>par0195</v>
      </c>
      <c r="O682" s="44" t="s">
        <v>1060</v>
      </c>
      <c r="P682" s="8" t="s">
        <v>3880</v>
      </c>
      <c r="Q682" s="8" t="s">
        <v>36</v>
      </c>
      <c r="R682" s="33" t="s">
        <v>3881</v>
      </c>
    </row>
    <row r="683" customFormat="false" ht="13.8" hidden="false" customHeight="false" outlineLevel="0" collapsed="false">
      <c r="A683" s="25" t="s">
        <v>4968</v>
      </c>
      <c r="B683" s="41" t="s">
        <v>3453</v>
      </c>
      <c r="C683" s="8"/>
      <c r="D683" s="8" t="s">
        <v>3877</v>
      </c>
      <c r="E683" s="0" t="s">
        <v>3878</v>
      </c>
      <c r="F683" s="0" t="s">
        <v>427</v>
      </c>
      <c r="G683" s="0" t="s">
        <v>427</v>
      </c>
      <c r="H683" s="0" t="s">
        <v>427</v>
      </c>
      <c r="I683" s="0" t="s">
        <v>4954</v>
      </c>
      <c r="K683" s="44" t="str">
        <f aca="false">INDEX(libraries!$B:$B, MATCH(B683, libraries!$A:$A, 0), 1)</f>
        <v>sam0313</v>
      </c>
      <c r="L683" s="44" t="n">
        <f aca="false">INDEX(samples!$F:$F, MATCH(K683, samples!$A:$A, 0), 1)</f>
        <v>0</v>
      </c>
      <c r="M683" s="55" t="str">
        <f aca="false">INDEX(samples!$C:$C, MATCH(K683, samples!$A:$A, 0), 1)</f>
        <v>2020-06-16</v>
      </c>
      <c r="N683" s="44" t="str">
        <f aca="false">INDEX(samples!$B:$B, MATCH(K683, samples!$A:$A, 0), 1)</f>
        <v>par0147</v>
      </c>
      <c r="O683" s="44" t="s">
        <v>945</v>
      </c>
      <c r="P683" s="8" t="s">
        <v>3880</v>
      </c>
      <c r="Q683" s="8" t="s">
        <v>36</v>
      </c>
      <c r="R683" s="33" t="s">
        <v>3881</v>
      </c>
    </row>
    <row r="684" customFormat="false" ht="13.8" hidden="false" customHeight="false" outlineLevel="0" collapsed="false">
      <c r="A684" s="25" t="s">
        <v>4969</v>
      </c>
      <c r="B684" s="41" t="s">
        <v>3454</v>
      </c>
      <c r="C684" s="8"/>
      <c r="D684" s="8" t="s">
        <v>3877</v>
      </c>
      <c r="E684" s="0" t="s">
        <v>3878</v>
      </c>
      <c r="F684" s="0" t="s">
        <v>427</v>
      </c>
      <c r="G684" s="0" t="s">
        <v>427</v>
      </c>
      <c r="H684" s="0" t="s">
        <v>427</v>
      </c>
      <c r="I684" s="0" t="s">
        <v>4954</v>
      </c>
      <c r="K684" s="44" t="str">
        <f aca="false">INDEX(libraries!$B:$B, MATCH(B684, libraries!$A:$A, 0), 1)</f>
        <v>sam0314</v>
      </c>
      <c r="L684" s="44" t="n">
        <f aca="false">INDEX(samples!$F:$F, MATCH(K684, samples!$A:$A, 0), 1)</f>
        <v>0</v>
      </c>
      <c r="M684" s="55" t="str">
        <f aca="false">INDEX(samples!$C:$C, MATCH(K684, samples!$A:$A, 0), 1)</f>
        <v>2021-08-24</v>
      </c>
      <c r="N684" s="44" t="str">
        <f aca="false">INDEX(samples!$B:$B, MATCH(K684, samples!$A:$A, 0), 1)</f>
        <v>par0204</v>
      </c>
      <c r="O684" s="44" t="s">
        <v>1091</v>
      </c>
      <c r="P684" s="8" t="s">
        <v>3880</v>
      </c>
      <c r="Q684" s="8" t="s">
        <v>36</v>
      </c>
      <c r="R684" s="33" t="s">
        <v>3881</v>
      </c>
    </row>
    <row r="685" customFormat="false" ht="13.8" hidden="false" customHeight="false" outlineLevel="0" collapsed="false">
      <c r="A685" s="25" t="s">
        <v>4970</v>
      </c>
      <c r="B685" s="41" t="s">
        <v>3455</v>
      </c>
      <c r="C685" s="8"/>
      <c r="D685" s="8" t="s">
        <v>3877</v>
      </c>
      <c r="E685" s="0" t="s">
        <v>3878</v>
      </c>
      <c r="F685" s="0" t="s">
        <v>427</v>
      </c>
      <c r="G685" s="0" t="s">
        <v>427</v>
      </c>
      <c r="H685" s="0" t="s">
        <v>427</v>
      </c>
      <c r="I685" s="0" t="s">
        <v>4954</v>
      </c>
      <c r="K685" s="44" t="str">
        <f aca="false">INDEX(libraries!$B:$B, MATCH(B685, libraries!$A:$A, 0), 1)</f>
        <v>sam0315</v>
      </c>
      <c r="L685" s="44" t="n">
        <f aca="false">INDEX(samples!$F:$F, MATCH(K685, samples!$A:$A, 0), 1)</f>
        <v>0</v>
      </c>
      <c r="M685" s="55" t="str">
        <f aca="false">INDEX(samples!$C:$C, MATCH(K685, samples!$A:$A, 0), 1)</f>
        <v>2022-09-27</v>
      </c>
      <c r="N685" s="44" t="str">
        <f aca="false">INDEX(samples!$B:$B, MATCH(K685, samples!$A:$A, 0), 1)</f>
        <v>par0205</v>
      </c>
      <c r="O685" s="44" t="s">
        <v>1095</v>
      </c>
      <c r="P685" s="8" t="s">
        <v>3880</v>
      </c>
      <c r="Q685" s="8" t="s">
        <v>36</v>
      </c>
      <c r="R685" s="33" t="s">
        <v>3881</v>
      </c>
    </row>
    <row r="686" customFormat="false" ht="13.8" hidden="false" customHeight="false" outlineLevel="0" collapsed="false">
      <c r="A686" s="25" t="s">
        <v>4971</v>
      </c>
      <c r="B686" s="41" t="s">
        <v>3456</v>
      </c>
      <c r="C686" s="8"/>
      <c r="D686" s="8" t="s">
        <v>3877</v>
      </c>
      <c r="E686" s="0" t="s">
        <v>3878</v>
      </c>
      <c r="F686" s="0" t="s">
        <v>427</v>
      </c>
      <c r="G686" s="0" t="s">
        <v>427</v>
      </c>
      <c r="H686" s="0" t="s">
        <v>427</v>
      </c>
      <c r="I686" s="0" t="s">
        <v>4954</v>
      </c>
      <c r="K686" s="44" t="str">
        <f aca="false">INDEX(libraries!$B:$B, MATCH(B686, libraries!$A:$A, 0), 1)</f>
        <v>sam0316</v>
      </c>
      <c r="L686" s="44" t="n">
        <f aca="false">INDEX(samples!$F:$F, MATCH(K686, samples!$A:$A, 0), 1)</f>
        <v>0</v>
      </c>
      <c r="M686" s="55" t="str">
        <f aca="false">INDEX(samples!$C:$C, MATCH(K686, samples!$A:$A, 0), 1)</f>
        <v>2020-09-03</v>
      </c>
      <c r="N686" s="44" t="str">
        <f aca="false">INDEX(samples!$B:$B, MATCH(K686, samples!$A:$A, 0), 1)</f>
        <v>par0206</v>
      </c>
      <c r="O686" s="44" t="s">
        <v>1099</v>
      </c>
      <c r="P686" s="8" t="s">
        <v>3880</v>
      </c>
      <c r="Q686" s="8" t="s">
        <v>36</v>
      </c>
      <c r="R686" s="33" t="s">
        <v>3881</v>
      </c>
    </row>
    <row r="687" customFormat="false" ht="13.8" hidden="false" customHeight="false" outlineLevel="0" collapsed="false">
      <c r="A687" s="25" t="s">
        <v>4972</v>
      </c>
      <c r="B687" s="41" t="s">
        <v>3457</v>
      </c>
      <c r="C687" s="8"/>
      <c r="D687" s="8" t="s">
        <v>3877</v>
      </c>
      <c r="E687" s="0" t="s">
        <v>3878</v>
      </c>
      <c r="F687" s="0" t="s">
        <v>427</v>
      </c>
      <c r="G687" s="0" t="s">
        <v>427</v>
      </c>
      <c r="H687" s="0" t="s">
        <v>427</v>
      </c>
      <c r="I687" s="0" t="s">
        <v>4954</v>
      </c>
      <c r="K687" s="44" t="str">
        <f aca="false">INDEX(libraries!$B:$B, MATCH(B687, libraries!$A:$A, 0), 1)</f>
        <v>sam0317</v>
      </c>
      <c r="L687" s="44" t="n">
        <f aca="false">INDEX(samples!$F:$F, MATCH(K687, samples!$A:$A, 0), 1)</f>
        <v>0</v>
      </c>
      <c r="M687" s="55" t="str">
        <f aca="false">INDEX(samples!$C:$C, MATCH(K687, samples!$A:$A, 0), 1)</f>
        <v>2020-08-25</v>
      </c>
      <c r="N687" s="44" t="str">
        <f aca="false">INDEX(samples!$B:$B, MATCH(K687, samples!$A:$A, 0), 1)</f>
        <v>par0207</v>
      </c>
      <c r="O687" s="44" t="s">
        <v>1103</v>
      </c>
      <c r="P687" s="8" t="s">
        <v>3880</v>
      </c>
      <c r="Q687" s="8" t="s">
        <v>36</v>
      </c>
      <c r="R687" s="33" t="s">
        <v>3881</v>
      </c>
    </row>
    <row r="688" customFormat="false" ht="13.8" hidden="false" customHeight="false" outlineLevel="0" collapsed="false">
      <c r="A688" s="25" t="s">
        <v>4973</v>
      </c>
      <c r="B688" s="41" t="s">
        <v>3458</v>
      </c>
      <c r="C688" s="8"/>
      <c r="D688" s="8" t="s">
        <v>3877</v>
      </c>
      <c r="E688" s="0" t="s">
        <v>3878</v>
      </c>
      <c r="F688" s="0" t="s">
        <v>427</v>
      </c>
      <c r="G688" s="0" t="s">
        <v>427</v>
      </c>
      <c r="H688" s="0" t="s">
        <v>427</v>
      </c>
      <c r="I688" s="0" t="s">
        <v>4954</v>
      </c>
      <c r="K688" s="44" t="str">
        <f aca="false">INDEX(libraries!$B:$B, MATCH(B688, libraries!$A:$A, 0), 1)</f>
        <v>sam0318</v>
      </c>
      <c r="L688" s="44" t="n">
        <f aca="false">INDEX(samples!$F:$F, MATCH(K688, samples!$A:$A, 0), 1)</f>
        <v>0</v>
      </c>
      <c r="M688" s="55" t="str">
        <f aca="false">INDEX(samples!$C:$C, MATCH(K688, samples!$A:$A, 0), 1)</f>
        <v>2020-09-01</v>
      </c>
      <c r="N688" s="44" t="str">
        <f aca="false">INDEX(samples!$B:$B, MATCH(K688, samples!$A:$A, 0), 1)</f>
        <v>par0208</v>
      </c>
      <c r="O688" s="44" t="s">
        <v>1107</v>
      </c>
      <c r="P688" s="8" t="s">
        <v>3880</v>
      </c>
      <c r="Q688" s="8" t="s">
        <v>36</v>
      </c>
      <c r="R688" s="33" t="s">
        <v>3881</v>
      </c>
    </row>
    <row r="689" customFormat="false" ht="13.8" hidden="false" customHeight="false" outlineLevel="0" collapsed="false">
      <c r="A689" s="25" t="s">
        <v>4974</v>
      </c>
      <c r="B689" s="41" t="s">
        <v>3459</v>
      </c>
      <c r="C689" s="8"/>
      <c r="D689" s="8" t="s">
        <v>3877</v>
      </c>
      <c r="E689" s="0" t="s">
        <v>3878</v>
      </c>
      <c r="F689" s="0" t="s">
        <v>427</v>
      </c>
      <c r="G689" s="0" t="s">
        <v>427</v>
      </c>
      <c r="H689" s="0" t="s">
        <v>427</v>
      </c>
      <c r="I689" s="0" t="s">
        <v>4954</v>
      </c>
      <c r="K689" s="44" t="str">
        <f aca="false">INDEX(libraries!$B:$B, MATCH(B689, libraries!$A:$A, 0), 1)</f>
        <v>sam0319</v>
      </c>
      <c r="L689" s="44" t="n">
        <f aca="false">INDEX(samples!$F:$F, MATCH(K689, samples!$A:$A, 0), 1)</f>
        <v>0</v>
      </c>
      <c r="M689" s="55" t="str">
        <f aca="false">INDEX(samples!$C:$C, MATCH(K689, samples!$A:$A, 0), 1)</f>
        <v>2020-09-29</v>
      </c>
      <c r="N689" s="44" t="str">
        <f aca="false">INDEX(samples!$B:$B, MATCH(K689, samples!$A:$A, 0), 1)</f>
        <v>par0209</v>
      </c>
      <c r="O689" s="44" t="s">
        <v>1111</v>
      </c>
      <c r="P689" s="8" t="s">
        <v>3880</v>
      </c>
      <c r="Q689" s="8" t="s">
        <v>36</v>
      </c>
      <c r="R689" s="33" t="s">
        <v>3881</v>
      </c>
    </row>
    <row r="690" customFormat="false" ht="13.8" hidden="false" customHeight="false" outlineLevel="0" collapsed="false">
      <c r="A690" s="25" t="s">
        <v>4975</v>
      </c>
      <c r="B690" s="41" t="s">
        <v>3460</v>
      </c>
      <c r="C690" s="8"/>
      <c r="D690" s="8" t="s">
        <v>3877</v>
      </c>
      <c r="E690" s="0" t="s">
        <v>3878</v>
      </c>
      <c r="F690" s="0" t="s">
        <v>427</v>
      </c>
      <c r="G690" s="0" t="s">
        <v>427</v>
      </c>
      <c r="H690" s="0" t="s">
        <v>427</v>
      </c>
      <c r="I690" s="0" t="s">
        <v>4954</v>
      </c>
      <c r="K690" s="44" t="str">
        <f aca="false">INDEX(libraries!$B:$B, MATCH(B690, libraries!$A:$A, 0), 1)</f>
        <v>sam0320</v>
      </c>
      <c r="L690" s="44" t="n">
        <f aca="false">INDEX(samples!$F:$F, MATCH(K690, samples!$A:$A, 0), 1)</f>
        <v>0</v>
      </c>
      <c r="M690" s="55" t="str">
        <f aca="false">INDEX(samples!$C:$C, MATCH(K690, samples!$A:$A, 0), 1)</f>
        <v>2020-12-08</v>
      </c>
      <c r="N690" s="44" t="str">
        <f aca="false">INDEX(samples!$B:$B, MATCH(K690, samples!$A:$A, 0), 1)</f>
        <v>par0210</v>
      </c>
      <c r="O690" s="44" t="s">
        <v>1116</v>
      </c>
      <c r="P690" s="8" t="s">
        <v>3880</v>
      </c>
      <c r="Q690" s="8" t="s">
        <v>36</v>
      </c>
      <c r="R690" s="33" t="s">
        <v>3881</v>
      </c>
    </row>
    <row r="691" customFormat="false" ht="13.8" hidden="false" customHeight="false" outlineLevel="0" collapsed="false">
      <c r="A691" s="25" t="s">
        <v>4976</v>
      </c>
      <c r="B691" s="41" t="s">
        <v>3461</v>
      </c>
      <c r="C691" s="8"/>
      <c r="D691" s="8" t="s">
        <v>3877</v>
      </c>
      <c r="E691" s="0" t="s">
        <v>3878</v>
      </c>
      <c r="F691" s="0" t="s">
        <v>427</v>
      </c>
      <c r="G691" s="0" t="s">
        <v>427</v>
      </c>
      <c r="H691" s="0" t="s">
        <v>427</v>
      </c>
      <c r="I691" s="0" t="s">
        <v>4954</v>
      </c>
      <c r="K691" s="44" t="str">
        <f aca="false">INDEX(libraries!$B:$B, MATCH(B691, libraries!$A:$A, 0), 1)</f>
        <v>sam0321</v>
      </c>
      <c r="L691" s="44" t="n">
        <f aca="false">INDEX(samples!$F:$F, MATCH(K691, samples!$A:$A, 0), 1)</f>
        <v>0</v>
      </c>
      <c r="M691" s="55" t="str">
        <f aca="false">INDEX(samples!$C:$C, MATCH(K691, samples!$A:$A, 0), 1)</f>
        <v>2020-12-22</v>
      </c>
      <c r="N691" s="44" t="str">
        <f aca="false">INDEX(samples!$B:$B, MATCH(K691, samples!$A:$A, 0), 1)</f>
        <v>par0211</v>
      </c>
      <c r="O691" s="44" t="s">
        <v>1121</v>
      </c>
      <c r="P691" s="8" t="s">
        <v>3880</v>
      </c>
      <c r="Q691" s="8" t="s">
        <v>36</v>
      </c>
      <c r="R691" s="33" t="s">
        <v>3881</v>
      </c>
    </row>
    <row r="692" customFormat="false" ht="13.8" hidden="false" customHeight="false" outlineLevel="0" collapsed="false">
      <c r="A692" s="25" t="s">
        <v>4977</v>
      </c>
      <c r="B692" s="41" t="s">
        <v>3462</v>
      </c>
      <c r="C692" s="8"/>
      <c r="D692" s="8" t="s">
        <v>3877</v>
      </c>
      <c r="E692" s="0" t="s">
        <v>3878</v>
      </c>
      <c r="F692" s="0" t="s">
        <v>427</v>
      </c>
      <c r="G692" s="0" t="s">
        <v>427</v>
      </c>
      <c r="H692" s="0" t="s">
        <v>427</v>
      </c>
      <c r="I692" s="0" t="s">
        <v>4954</v>
      </c>
      <c r="K692" s="44" t="str">
        <f aca="false">INDEX(libraries!$B:$B, MATCH(B692, libraries!$A:$A, 0), 1)</f>
        <v>sam0322</v>
      </c>
      <c r="L692" s="44" t="n">
        <f aca="false">INDEX(samples!$F:$F, MATCH(K692, samples!$A:$A, 0), 1)</f>
        <v>0</v>
      </c>
      <c r="M692" s="55" t="str">
        <f aca="false">INDEX(samples!$C:$C, MATCH(K692, samples!$A:$A, 0), 1)</f>
        <v>2021-03-11</v>
      </c>
      <c r="N692" s="44" t="str">
        <f aca="false">INDEX(samples!$B:$B, MATCH(K692, samples!$A:$A, 0), 1)</f>
        <v>par0212</v>
      </c>
      <c r="O692" s="44" t="s">
        <v>1126</v>
      </c>
      <c r="P692" s="8" t="s">
        <v>3880</v>
      </c>
      <c r="Q692" s="8" t="s">
        <v>36</v>
      </c>
      <c r="R692" s="33" t="s">
        <v>3881</v>
      </c>
    </row>
    <row r="693" customFormat="false" ht="13.8" hidden="false" customHeight="false" outlineLevel="0" collapsed="false">
      <c r="A693" s="25" t="s">
        <v>4978</v>
      </c>
      <c r="B693" s="41" t="s">
        <v>3463</v>
      </c>
      <c r="C693" s="8"/>
      <c r="D693" s="8" t="s">
        <v>3877</v>
      </c>
      <c r="E693" s="0" t="s">
        <v>3878</v>
      </c>
      <c r="F693" s="0" t="s">
        <v>427</v>
      </c>
      <c r="G693" s="0" t="s">
        <v>427</v>
      </c>
      <c r="H693" s="0" t="s">
        <v>427</v>
      </c>
      <c r="I693" s="0" t="s">
        <v>4954</v>
      </c>
      <c r="K693" s="44" t="str">
        <f aca="false">INDEX(libraries!$B:$B, MATCH(B693, libraries!$A:$A, 0), 1)</f>
        <v>sam0323</v>
      </c>
      <c r="L693" s="44" t="n">
        <f aca="false">INDEX(samples!$F:$F, MATCH(K693, samples!$A:$A, 0), 1)</f>
        <v>0</v>
      </c>
      <c r="M693" s="55" t="str">
        <f aca="false">INDEX(samples!$C:$C, MATCH(K693, samples!$A:$A, 0), 1)</f>
        <v>2021-03-16</v>
      </c>
      <c r="N693" s="44" t="str">
        <f aca="false">INDEX(samples!$B:$B, MATCH(K693, samples!$A:$A, 0), 1)</f>
        <v>par0213</v>
      </c>
      <c r="O693" s="44" t="s">
        <v>1130</v>
      </c>
      <c r="P693" s="8" t="s">
        <v>3880</v>
      </c>
      <c r="Q693" s="8" t="s">
        <v>36</v>
      </c>
      <c r="R693" s="33" t="s">
        <v>3881</v>
      </c>
    </row>
    <row r="694" customFormat="false" ht="13.8" hidden="false" customHeight="false" outlineLevel="0" collapsed="false">
      <c r="A694" s="25" t="s">
        <v>4979</v>
      </c>
      <c r="B694" s="41" t="s">
        <v>3464</v>
      </c>
      <c r="C694" s="8"/>
      <c r="D694" s="8" t="s">
        <v>3877</v>
      </c>
      <c r="E694" s="0" t="s">
        <v>3878</v>
      </c>
      <c r="F694" s="0" t="s">
        <v>427</v>
      </c>
      <c r="G694" s="0" t="s">
        <v>427</v>
      </c>
      <c r="H694" s="0" t="s">
        <v>427</v>
      </c>
      <c r="I694" s="0" t="s">
        <v>4954</v>
      </c>
      <c r="K694" s="44" t="str">
        <f aca="false">INDEX(libraries!$B:$B, MATCH(B694, libraries!$A:$A, 0), 1)</f>
        <v>sam0324</v>
      </c>
      <c r="L694" s="44" t="n">
        <f aca="false">INDEX(samples!$F:$F, MATCH(K694, samples!$A:$A, 0), 1)</f>
        <v>0</v>
      </c>
      <c r="M694" s="55" t="str">
        <f aca="false">INDEX(samples!$C:$C, MATCH(K694, samples!$A:$A, 0), 1)</f>
        <v>2021-07-06</v>
      </c>
      <c r="N694" s="44" t="str">
        <f aca="false">INDEX(samples!$B:$B, MATCH(K694, samples!$A:$A, 0), 1)</f>
        <v>par0214</v>
      </c>
      <c r="O694" s="44" t="s">
        <v>1134</v>
      </c>
      <c r="P694" s="8" t="s">
        <v>3880</v>
      </c>
      <c r="Q694" s="8" t="s">
        <v>36</v>
      </c>
      <c r="R694" s="33" t="s">
        <v>3881</v>
      </c>
    </row>
    <row r="695" customFormat="false" ht="13.8" hidden="false" customHeight="false" outlineLevel="0" collapsed="false">
      <c r="A695" s="25" t="s">
        <v>4980</v>
      </c>
      <c r="B695" s="41" t="s">
        <v>3465</v>
      </c>
      <c r="C695" s="8"/>
      <c r="D695" s="8" t="s">
        <v>3877</v>
      </c>
      <c r="E695" s="0" t="s">
        <v>3878</v>
      </c>
      <c r="F695" s="0" t="s">
        <v>427</v>
      </c>
      <c r="G695" s="0" t="s">
        <v>427</v>
      </c>
      <c r="H695" s="0" t="s">
        <v>427</v>
      </c>
      <c r="I695" s="0" t="s">
        <v>4954</v>
      </c>
      <c r="K695" s="44" t="str">
        <f aca="false">INDEX(libraries!$B:$B, MATCH(B695, libraries!$A:$A, 0), 1)</f>
        <v>sam0325</v>
      </c>
      <c r="L695" s="44" t="n">
        <f aca="false">INDEX(samples!$F:$F, MATCH(K695, samples!$A:$A, 0), 1)</f>
        <v>0</v>
      </c>
      <c r="M695" s="55" t="str">
        <f aca="false">INDEX(samples!$C:$C, MATCH(K695, samples!$A:$A, 0), 1)</f>
        <v>2021-08-03</v>
      </c>
      <c r="N695" s="44" t="str">
        <f aca="false">INDEX(samples!$B:$B, MATCH(K695, samples!$A:$A, 0), 1)</f>
        <v>par0215</v>
      </c>
      <c r="O695" s="44" t="s">
        <v>1138</v>
      </c>
      <c r="P695" s="8" t="s">
        <v>3880</v>
      </c>
      <c r="Q695" s="8" t="s">
        <v>36</v>
      </c>
      <c r="R695" s="33" t="s">
        <v>3881</v>
      </c>
    </row>
    <row r="696" customFormat="false" ht="13.8" hidden="false" customHeight="false" outlineLevel="0" collapsed="false">
      <c r="A696" s="25" t="s">
        <v>4981</v>
      </c>
      <c r="B696" s="41" t="s">
        <v>3466</v>
      </c>
      <c r="C696" s="8"/>
      <c r="D696" s="8" t="s">
        <v>3877</v>
      </c>
      <c r="E696" s="0" t="s">
        <v>3878</v>
      </c>
      <c r="F696" s="0" t="s">
        <v>427</v>
      </c>
      <c r="G696" s="0" t="s">
        <v>427</v>
      </c>
      <c r="H696" s="0" t="s">
        <v>427</v>
      </c>
      <c r="I696" s="0" t="s">
        <v>4954</v>
      </c>
      <c r="K696" s="44" t="str">
        <f aca="false">INDEX(libraries!$B:$B, MATCH(B696, libraries!$A:$A, 0), 1)</f>
        <v>sam0326</v>
      </c>
      <c r="L696" s="44" t="n">
        <f aca="false">INDEX(samples!$F:$F, MATCH(K696, samples!$A:$A, 0), 1)</f>
        <v>0</v>
      </c>
      <c r="M696" s="55" t="str">
        <f aca="false">INDEX(samples!$C:$C, MATCH(K696, samples!$A:$A, 0), 1)</f>
        <v>2021-08-03</v>
      </c>
      <c r="N696" s="44" t="str">
        <f aca="false">INDEX(samples!$B:$B, MATCH(K696, samples!$A:$A, 0), 1)</f>
        <v>par0216</v>
      </c>
      <c r="O696" s="44" t="s">
        <v>1142</v>
      </c>
      <c r="P696" s="8" t="s">
        <v>3880</v>
      </c>
      <c r="Q696" s="8" t="s">
        <v>36</v>
      </c>
      <c r="R696" s="33" t="s">
        <v>3881</v>
      </c>
    </row>
    <row r="697" customFormat="false" ht="13.8" hidden="false" customHeight="false" outlineLevel="0" collapsed="false">
      <c r="A697" s="25" t="s">
        <v>4982</v>
      </c>
      <c r="B697" s="41" t="s">
        <v>3467</v>
      </c>
      <c r="C697" s="8"/>
      <c r="D697" s="8" t="s">
        <v>3877</v>
      </c>
      <c r="E697" s="0" t="s">
        <v>3878</v>
      </c>
      <c r="F697" s="0" t="s">
        <v>427</v>
      </c>
      <c r="G697" s="0" t="s">
        <v>427</v>
      </c>
      <c r="H697" s="0" t="s">
        <v>427</v>
      </c>
      <c r="I697" s="0" t="s">
        <v>4954</v>
      </c>
      <c r="K697" s="44" t="str">
        <f aca="false">INDEX(libraries!$B:$B, MATCH(B697, libraries!$A:$A, 0), 1)</f>
        <v>sam0327</v>
      </c>
      <c r="L697" s="44" t="n">
        <f aca="false">INDEX(samples!$F:$F, MATCH(K697, samples!$A:$A, 0), 1)</f>
        <v>0</v>
      </c>
      <c r="M697" s="55" t="str">
        <f aca="false">INDEX(samples!$C:$C, MATCH(K697, samples!$A:$A, 0), 1)</f>
        <v>2021-04-06</v>
      </c>
      <c r="N697" s="44" t="str">
        <f aca="false">INDEX(samples!$B:$B, MATCH(K697, samples!$A:$A, 0), 1)</f>
        <v>par0217</v>
      </c>
      <c r="O697" s="44" t="s">
        <v>1146</v>
      </c>
      <c r="P697" s="8" t="s">
        <v>3880</v>
      </c>
      <c r="Q697" s="8" t="s">
        <v>36</v>
      </c>
      <c r="R697" s="33" t="s">
        <v>3881</v>
      </c>
    </row>
    <row r="698" customFormat="false" ht="13.8" hidden="false" customHeight="false" outlineLevel="0" collapsed="false">
      <c r="A698" s="25" t="s">
        <v>4983</v>
      </c>
      <c r="B698" s="41" t="s">
        <v>3468</v>
      </c>
      <c r="C698" s="8"/>
      <c r="D698" s="8" t="s">
        <v>3877</v>
      </c>
      <c r="E698" s="0" t="s">
        <v>3878</v>
      </c>
      <c r="F698" s="0" t="s">
        <v>427</v>
      </c>
      <c r="G698" s="0" t="s">
        <v>427</v>
      </c>
      <c r="H698" s="0" t="s">
        <v>427</v>
      </c>
      <c r="I698" s="0" t="s">
        <v>4954</v>
      </c>
      <c r="K698" s="44" t="str">
        <f aca="false">INDEX(libraries!$B:$B, MATCH(B698, libraries!$A:$A, 0), 1)</f>
        <v>sam0328</v>
      </c>
      <c r="L698" s="44" t="n">
        <f aca="false">INDEX(samples!$F:$F, MATCH(K698, samples!$A:$A, 0), 1)</f>
        <v>0</v>
      </c>
      <c r="M698" s="55" t="str">
        <f aca="false">INDEX(samples!$C:$C, MATCH(K698, samples!$A:$A, 0), 1)</f>
        <v>2021-10-12</v>
      </c>
      <c r="N698" s="44" t="str">
        <f aca="false">INDEX(samples!$B:$B, MATCH(K698, samples!$A:$A, 0), 1)</f>
        <v>par0218</v>
      </c>
      <c r="O698" s="44" t="s">
        <v>1151</v>
      </c>
      <c r="P698" s="8" t="s">
        <v>3880</v>
      </c>
      <c r="Q698" s="8" t="s">
        <v>36</v>
      </c>
      <c r="R698" s="33" t="s">
        <v>3881</v>
      </c>
    </row>
    <row r="699" customFormat="false" ht="13.8" hidden="false" customHeight="false" outlineLevel="0" collapsed="false">
      <c r="A699" s="25" t="s">
        <v>4984</v>
      </c>
      <c r="B699" s="41" t="s">
        <v>3469</v>
      </c>
      <c r="C699" s="8"/>
      <c r="D699" s="8" t="s">
        <v>3877</v>
      </c>
      <c r="E699" s="0" t="s">
        <v>3878</v>
      </c>
      <c r="F699" s="0" t="s">
        <v>427</v>
      </c>
      <c r="G699" s="0" t="s">
        <v>427</v>
      </c>
      <c r="H699" s="0" t="s">
        <v>427</v>
      </c>
      <c r="I699" s="0" t="s">
        <v>4954</v>
      </c>
      <c r="K699" s="44" t="str">
        <f aca="false">INDEX(libraries!$B:$B, MATCH(B699, libraries!$A:$A, 0), 1)</f>
        <v>sam0329</v>
      </c>
      <c r="L699" s="44" t="n">
        <f aca="false">INDEX(samples!$F:$F, MATCH(K699, samples!$A:$A, 0), 1)</f>
        <v>0</v>
      </c>
      <c r="M699" s="55" t="str">
        <f aca="false">INDEX(samples!$C:$C, MATCH(K699, samples!$A:$A, 0), 1)</f>
        <v>2021-10-05</v>
      </c>
      <c r="N699" s="44" t="str">
        <f aca="false">INDEX(samples!$B:$B, MATCH(K699, samples!$A:$A, 0), 1)</f>
        <v>par0219</v>
      </c>
      <c r="O699" s="44" t="s">
        <v>1155</v>
      </c>
      <c r="P699" s="8" t="s">
        <v>3880</v>
      </c>
      <c r="Q699" s="8" t="s">
        <v>36</v>
      </c>
      <c r="R699" s="33" t="s">
        <v>3881</v>
      </c>
    </row>
    <row r="700" customFormat="false" ht="13.8" hidden="false" customHeight="false" outlineLevel="0" collapsed="false">
      <c r="A700" s="25" t="s">
        <v>4985</v>
      </c>
      <c r="B700" s="41" t="s">
        <v>3470</v>
      </c>
      <c r="C700" s="8"/>
      <c r="D700" s="8" t="s">
        <v>3877</v>
      </c>
      <c r="E700" s="0" t="s">
        <v>3878</v>
      </c>
      <c r="F700" s="0" t="s">
        <v>427</v>
      </c>
      <c r="G700" s="0" t="s">
        <v>427</v>
      </c>
      <c r="H700" s="0" t="s">
        <v>427</v>
      </c>
      <c r="I700" s="0" t="s">
        <v>4954</v>
      </c>
      <c r="K700" s="44" t="str">
        <f aca="false">INDEX(libraries!$B:$B, MATCH(B700, libraries!$A:$A, 0), 1)</f>
        <v>sam0330</v>
      </c>
      <c r="L700" s="44" t="n">
        <f aca="false">INDEX(samples!$F:$F, MATCH(K700, samples!$A:$A, 0), 1)</f>
        <v>0</v>
      </c>
      <c r="M700" s="55" t="str">
        <f aca="false">INDEX(samples!$C:$C, MATCH(K700, samples!$A:$A, 0), 1)</f>
        <v>2021-10-07</v>
      </c>
      <c r="N700" s="44" t="str">
        <f aca="false">INDEX(samples!$B:$B, MATCH(K700, samples!$A:$A, 0), 1)</f>
        <v>par0220</v>
      </c>
      <c r="O700" s="44" t="s">
        <v>1160</v>
      </c>
      <c r="P700" s="8" t="s">
        <v>3880</v>
      </c>
      <c r="Q700" s="8" t="s">
        <v>36</v>
      </c>
      <c r="R700" s="33" t="s">
        <v>3881</v>
      </c>
    </row>
    <row r="701" customFormat="false" ht="13.8" hidden="false" customHeight="false" outlineLevel="0" collapsed="false">
      <c r="A701" s="25" t="s">
        <v>4986</v>
      </c>
      <c r="B701" s="41" t="s">
        <v>3471</v>
      </c>
      <c r="C701" s="8"/>
      <c r="D701" s="8" t="s">
        <v>3877</v>
      </c>
      <c r="E701" s="0" t="s">
        <v>3878</v>
      </c>
      <c r="F701" s="0" t="s">
        <v>427</v>
      </c>
      <c r="G701" s="0" t="s">
        <v>427</v>
      </c>
      <c r="H701" s="0" t="s">
        <v>427</v>
      </c>
      <c r="I701" s="0" t="s">
        <v>4954</v>
      </c>
      <c r="K701" s="44" t="str">
        <f aca="false">INDEX(libraries!$B:$B, MATCH(B701, libraries!$A:$A, 0), 1)</f>
        <v>sam0331</v>
      </c>
      <c r="L701" s="44" t="n">
        <f aca="false">INDEX(samples!$F:$F, MATCH(K701, samples!$A:$A, 0), 1)</f>
        <v>0</v>
      </c>
      <c r="M701" s="55" t="str">
        <f aca="false">INDEX(samples!$C:$C, MATCH(K701, samples!$A:$A, 0), 1)</f>
        <v>2021-10-12</v>
      </c>
      <c r="N701" s="44" t="str">
        <f aca="false">INDEX(samples!$B:$B, MATCH(K701, samples!$A:$A, 0), 1)</f>
        <v>par0221</v>
      </c>
      <c r="O701" s="44" t="s">
        <v>1164</v>
      </c>
      <c r="P701" s="8" t="s">
        <v>3880</v>
      </c>
      <c r="Q701" s="8" t="s">
        <v>36</v>
      </c>
      <c r="R701" s="33" t="s">
        <v>3881</v>
      </c>
    </row>
    <row r="702" customFormat="false" ht="13.8" hidden="false" customHeight="false" outlineLevel="0" collapsed="false">
      <c r="A702" s="25" t="s">
        <v>4987</v>
      </c>
      <c r="B702" s="41" t="s">
        <v>3553</v>
      </c>
      <c r="C702" s="8" t="s">
        <v>3121</v>
      </c>
      <c r="D702" s="8" t="s">
        <v>427</v>
      </c>
      <c r="E702" s="0" t="s">
        <v>427</v>
      </c>
      <c r="F702" s="0" t="s">
        <v>427</v>
      </c>
      <c r="G702" s="0" t="s">
        <v>427</v>
      </c>
      <c r="H702" s="0" t="s">
        <v>427</v>
      </c>
      <c r="I702" s="0" t="s">
        <v>4988</v>
      </c>
      <c r="K702" s="44" t="str">
        <f aca="false">INDEX(libraries!$B:$B, MATCH(B702, libraries!$A:$A, 0), 1)</f>
        <v>sam0350</v>
      </c>
      <c r="L702" s="44" t="n">
        <f aca="false">INDEX(samples!$F:$F, MATCH(K702, samples!$A:$A, 0), 1)</f>
        <v>0</v>
      </c>
      <c r="M702" s="55" t="str">
        <f aca="false">INDEX(samples!$C:$C, MATCH(K702, samples!$A:$A, 0), 1)</f>
        <v>2021-11-16</v>
      </c>
      <c r="N702" s="44" t="str">
        <f aca="false">INDEX(samples!$B:$B, MATCH(K702, samples!$A:$A, 0), 1)</f>
        <v>par0257</v>
      </c>
      <c r="O702" s="44" t="s">
        <v>1307</v>
      </c>
      <c r="P702" s="8" t="s">
        <v>427</v>
      </c>
      <c r="Q702" s="8" t="s">
        <v>36</v>
      </c>
      <c r="R702" s="33" t="s">
        <v>3881</v>
      </c>
    </row>
    <row r="703" customFormat="false" ht="13.8" hidden="false" customHeight="false" outlineLevel="0" collapsed="false">
      <c r="A703" s="25" t="s">
        <v>4989</v>
      </c>
      <c r="B703" s="41" t="s">
        <v>3554</v>
      </c>
      <c r="C703" s="8" t="s">
        <v>3121</v>
      </c>
      <c r="D703" s="8" t="s">
        <v>427</v>
      </c>
      <c r="E703" s="0" t="s">
        <v>427</v>
      </c>
      <c r="F703" s="0" t="s">
        <v>427</v>
      </c>
      <c r="G703" s="0" t="s">
        <v>427</v>
      </c>
      <c r="H703" s="0" t="s">
        <v>427</v>
      </c>
      <c r="I703" s="0" t="s">
        <v>4988</v>
      </c>
      <c r="K703" s="44" t="str">
        <f aca="false">INDEX(libraries!$B:$B, MATCH(B703, libraries!$A:$A, 0), 1)</f>
        <v>sam0351</v>
      </c>
      <c r="L703" s="44" t="n">
        <f aca="false">INDEX(samples!$F:$F, MATCH(K703, samples!$A:$A, 0), 1)</f>
        <v>0</v>
      </c>
      <c r="M703" s="55" t="str">
        <f aca="false">INDEX(samples!$C:$C, MATCH(K703, samples!$A:$A, 0), 1)</f>
        <v>2022-03-14</v>
      </c>
      <c r="N703" s="44" t="str">
        <f aca="false">INDEX(samples!$B:$B, MATCH(K703, samples!$A:$A, 0), 1)</f>
        <v>par0257</v>
      </c>
      <c r="O703" s="44" t="s">
        <v>1307</v>
      </c>
      <c r="P703" s="8" t="s">
        <v>427</v>
      </c>
      <c r="Q703" s="8" t="s">
        <v>36</v>
      </c>
      <c r="R703" s="33" t="s">
        <v>3881</v>
      </c>
    </row>
    <row r="704" customFormat="false" ht="13.8" hidden="false" customHeight="false" outlineLevel="0" collapsed="false">
      <c r="A704" s="25" t="s">
        <v>4990</v>
      </c>
      <c r="B704" s="41" t="s">
        <v>3555</v>
      </c>
      <c r="C704" s="8" t="s">
        <v>3121</v>
      </c>
      <c r="D704" s="8" t="s">
        <v>427</v>
      </c>
      <c r="E704" s="0" t="s">
        <v>427</v>
      </c>
      <c r="F704" s="0" t="s">
        <v>427</v>
      </c>
      <c r="G704" s="0" t="s">
        <v>427</v>
      </c>
      <c r="H704" s="0" t="s">
        <v>427</v>
      </c>
      <c r="I704" s="0" t="s">
        <v>4988</v>
      </c>
      <c r="K704" s="44" t="str">
        <f aca="false">INDEX(libraries!$B:$B, MATCH(B704, libraries!$A:$A, 0), 1)</f>
        <v>sam0352</v>
      </c>
      <c r="L704" s="44" t="str">
        <f aca="false">INDEX(samples!$F:$F, MATCH(K704, samples!$A:$A, 0), 1)</f>
        <v>nf1_lib67</v>
      </c>
      <c r="M704" s="55" t="str">
        <f aca="false">INDEX(samples!$C:$C, MATCH(K704, samples!$A:$A, 0), 1)</f>
        <v>2022-05-24</v>
      </c>
      <c r="N704" s="44" t="str">
        <f aca="false">INDEX(samples!$B:$B, MATCH(K704, samples!$A:$A, 0), 1)</f>
        <v>par0257</v>
      </c>
      <c r="O704" s="44" t="s">
        <v>1307</v>
      </c>
      <c r="P704" s="8" t="s">
        <v>427</v>
      </c>
      <c r="Q704" s="8" t="s">
        <v>36</v>
      </c>
      <c r="R704" s="33" t="s">
        <v>3881</v>
      </c>
    </row>
    <row r="705" customFormat="false" ht="13.8" hidden="false" customHeight="false" outlineLevel="0" collapsed="false">
      <c r="A705" s="25" t="s">
        <v>4991</v>
      </c>
      <c r="B705" s="41" t="s">
        <v>3480</v>
      </c>
      <c r="C705" s="8"/>
      <c r="D705" s="8" t="s">
        <v>3877</v>
      </c>
      <c r="E705" s="0" t="s">
        <v>3878</v>
      </c>
      <c r="F705" s="0" t="s">
        <v>427</v>
      </c>
      <c r="G705" s="0" t="s">
        <v>427</v>
      </c>
      <c r="H705" s="0" t="s">
        <v>427</v>
      </c>
      <c r="I705" s="0" t="s">
        <v>4954</v>
      </c>
      <c r="K705" s="44" t="str">
        <f aca="false">INDEX(libraries!$B:$B, MATCH(B705, libraries!$A:$A, 0), 1)</f>
        <v>sam0341</v>
      </c>
      <c r="L705" s="44" t="n">
        <f aca="false">INDEX(samples!$F:$F, MATCH(K705, samples!$A:$A, 0), 1)</f>
        <v>0</v>
      </c>
      <c r="M705" s="55" t="str">
        <f aca="false">INDEX(samples!$C:$C, MATCH(K705, samples!$A:$A, 0), 1)</f>
        <v>2021-11-30</v>
      </c>
      <c r="N705" s="44" t="str">
        <f aca="false">INDEX(samples!$B:$B, MATCH(K705, samples!$A:$A, 0), 1)</f>
        <v>par0231</v>
      </c>
      <c r="O705" s="44" t="s">
        <v>1205</v>
      </c>
      <c r="P705" s="8" t="s">
        <v>3880</v>
      </c>
      <c r="Q705" s="8" t="s">
        <v>36</v>
      </c>
      <c r="R705" s="33" t="s">
        <v>3881</v>
      </c>
    </row>
    <row r="706" customFormat="false" ht="13.8" hidden="false" customHeight="false" outlineLevel="0" collapsed="false">
      <c r="A706" s="25" t="s">
        <v>4992</v>
      </c>
      <c r="B706" s="41" t="s">
        <v>3472</v>
      </c>
      <c r="C706" s="8"/>
      <c r="D706" s="8" t="s">
        <v>3877</v>
      </c>
      <c r="E706" s="0" t="s">
        <v>3878</v>
      </c>
      <c r="F706" s="0" t="s">
        <v>427</v>
      </c>
      <c r="G706" s="0" t="s">
        <v>427</v>
      </c>
      <c r="H706" s="0" t="s">
        <v>427</v>
      </c>
      <c r="I706" s="0" t="s">
        <v>4954</v>
      </c>
      <c r="K706" s="44" t="str">
        <f aca="false">INDEX(libraries!$B:$B, MATCH(B706, libraries!$A:$A, 0), 1)</f>
        <v>sam0333</v>
      </c>
      <c r="L706" s="44" t="n">
        <f aca="false">INDEX(samples!$F:$F, MATCH(K706, samples!$A:$A, 0), 1)</f>
        <v>0</v>
      </c>
      <c r="M706" s="55" t="str">
        <f aca="false">INDEX(samples!$C:$C, MATCH(K706, samples!$A:$A, 0), 1)</f>
        <v>2021-12-28</v>
      </c>
      <c r="N706" s="44" t="str">
        <f aca="false">INDEX(samples!$B:$B, MATCH(K706, samples!$A:$A, 0), 1)</f>
        <v>par0223</v>
      </c>
      <c r="O706" s="44" t="s">
        <v>1168</v>
      </c>
      <c r="P706" s="8" t="s">
        <v>3880</v>
      </c>
      <c r="Q706" s="8" t="s">
        <v>36</v>
      </c>
      <c r="R706" s="33" t="s">
        <v>3881</v>
      </c>
    </row>
    <row r="707" customFormat="false" ht="13.8" hidden="false" customHeight="false" outlineLevel="0" collapsed="false">
      <c r="A707" s="25" t="s">
        <v>4993</v>
      </c>
      <c r="B707" s="41" t="s">
        <v>3473</v>
      </c>
      <c r="C707" s="8"/>
      <c r="D707" s="8" t="s">
        <v>3877</v>
      </c>
      <c r="E707" s="0" t="s">
        <v>3878</v>
      </c>
      <c r="F707" s="0" t="s">
        <v>427</v>
      </c>
      <c r="G707" s="0" t="s">
        <v>427</v>
      </c>
      <c r="H707" s="0" t="s">
        <v>427</v>
      </c>
      <c r="I707" s="0" t="s">
        <v>4954</v>
      </c>
      <c r="K707" s="44" t="str">
        <f aca="false">INDEX(libraries!$B:$B, MATCH(B707, libraries!$A:$A, 0), 1)</f>
        <v>sam0334</v>
      </c>
      <c r="L707" s="44" t="n">
        <f aca="false">INDEX(samples!$F:$F, MATCH(K707, samples!$A:$A, 0), 1)</f>
        <v>0</v>
      </c>
      <c r="M707" s="55" t="str">
        <f aca="false">INDEX(samples!$C:$C, MATCH(K707, samples!$A:$A, 0), 1)</f>
        <v>2022-03-01</v>
      </c>
      <c r="N707" s="44" t="str">
        <f aca="false">INDEX(samples!$B:$B, MATCH(K707, samples!$A:$A, 0), 1)</f>
        <v>par0224</v>
      </c>
      <c r="O707" s="44" t="s">
        <v>1172</v>
      </c>
      <c r="P707" s="8" t="s">
        <v>3880</v>
      </c>
      <c r="Q707" s="8" t="s">
        <v>36</v>
      </c>
      <c r="R707" s="33" t="s">
        <v>3881</v>
      </c>
    </row>
    <row r="708" customFormat="false" ht="13.8" hidden="false" customHeight="false" outlineLevel="0" collapsed="false">
      <c r="A708" s="25" t="s">
        <v>4994</v>
      </c>
      <c r="B708" s="41" t="s">
        <v>3474</v>
      </c>
      <c r="C708" s="8"/>
      <c r="D708" s="8" t="s">
        <v>3877</v>
      </c>
      <c r="E708" s="0" t="s">
        <v>3878</v>
      </c>
      <c r="F708" s="0" t="s">
        <v>427</v>
      </c>
      <c r="G708" s="0" t="s">
        <v>427</v>
      </c>
      <c r="H708" s="0" t="s">
        <v>427</v>
      </c>
      <c r="I708" s="0" t="s">
        <v>4954</v>
      </c>
      <c r="K708" s="44" t="str">
        <f aca="false">INDEX(libraries!$B:$B, MATCH(B708, libraries!$A:$A, 0), 1)</f>
        <v>sam0335</v>
      </c>
      <c r="L708" s="44" t="n">
        <f aca="false">INDEX(samples!$F:$F, MATCH(K708, samples!$A:$A, 0), 1)</f>
        <v>0</v>
      </c>
      <c r="M708" s="55" t="str">
        <f aca="false">INDEX(samples!$C:$C, MATCH(K708, samples!$A:$A, 0), 1)</f>
        <v>2022-04-05</v>
      </c>
      <c r="N708" s="44" t="str">
        <f aca="false">INDEX(samples!$B:$B, MATCH(K708, samples!$A:$A, 0), 1)</f>
        <v>par0225</v>
      </c>
      <c r="O708" s="44" t="s">
        <v>1177</v>
      </c>
      <c r="P708" s="8" t="s">
        <v>3880</v>
      </c>
      <c r="Q708" s="8" t="s">
        <v>36</v>
      </c>
      <c r="R708" s="33" t="s">
        <v>3881</v>
      </c>
    </row>
    <row r="709" customFormat="false" ht="13.8" hidden="false" customHeight="false" outlineLevel="0" collapsed="false">
      <c r="A709" s="25" t="s">
        <v>4995</v>
      </c>
      <c r="B709" s="41" t="s">
        <v>3475</v>
      </c>
      <c r="C709" s="8"/>
      <c r="D709" s="8" t="s">
        <v>3877</v>
      </c>
      <c r="E709" s="0" t="s">
        <v>3878</v>
      </c>
      <c r="F709" s="0" t="s">
        <v>427</v>
      </c>
      <c r="G709" s="0" t="s">
        <v>427</v>
      </c>
      <c r="H709" s="0" t="s">
        <v>427</v>
      </c>
      <c r="I709" s="0" t="s">
        <v>4954</v>
      </c>
      <c r="K709" s="44" t="str">
        <f aca="false">INDEX(libraries!$B:$B, MATCH(B709, libraries!$A:$A, 0), 1)</f>
        <v>sam0336</v>
      </c>
      <c r="L709" s="44" t="n">
        <f aca="false">INDEX(samples!$F:$F, MATCH(K709, samples!$A:$A, 0), 1)</f>
        <v>0</v>
      </c>
      <c r="M709" s="55" t="str">
        <f aca="false">INDEX(samples!$C:$C, MATCH(K709, samples!$A:$A, 0), 1)</f>
        <v>2022-04-19</v>
      </c>
      <c r="N709" s="44" t="str">
        <f aca="false">INDEX(samples!$B:$B, MATCH(K709, samples!$A:$A, 0), 1)</f>
        <v>par0226</v>
      </c>
      <c r="O709" s="44" t="s">
        <v>1182</v>
      </c>
      <c r="P709" s="8" t="s">
        <v>3880</v>
      </c>
      <c r="Q709" s="8" t="s">
        <v>36</v>
      </c>
      <c r="R709" s="33" t="s">
        <v>3881</v>
      </c>
    </row>
    <row r="710" customFormat="false" ht="13.8" hidden="false" customHeight="false" outlineLevel="0" collapsed="false">
      <c r="A710" s="25" t="s">
        <v>4996</v>
      </c>
      <c r="B710" s="41" t="s">
        <v>3476</v>
      </c>
      <c r="C710" s="8"/>
      <c r="D710" s="8" t="s">
        <v>3877</v>
      </c>
      <c r="E710" s="0" t="s">
        <v>3878</v>
      </c>
      <c r="F710" s="0" t="s">
        <v>427</v>
      </c>
      <c r="G710" s="0" t="s">
        <v>427</v>
      </c>
      <c r="H710" s="0" t="s">
        <v>427</v>
      </c>
      <c r="I710" s="0" t="s">
        <v>4954</v>
      </c>
      <c r="K710" s="44" t="str">
        <f aca="false">INDEX(libraries!$B:$B, MATCH(B710, libraries!$A:$A, 0), 1)</f>
        <v>sam0337</v>
      </c>
      <c r="L710" s="44" t="n">
        <f aca="false">INDEX(samples!$F:$F, MATCH(K710, samples!$A:$A, 0), 1)</f>
        <v>0</v>
      </c>
      <c r="M710" s="55" t="str">
        <f aca="false">INDEX(samples!$C:$C, MATCH(K710, samples!$A:$A, 0), 1)</f>
        <v>2022-10-03</v>
      </c>
      <c r="N710" s="44" t="str">
        <f aca="false">INDEX(samples!$B:$B, MATCH(K710, samples!$A:$A, 0), 1)</f>
        <v>par0227</v>
      </c>
      <c r="O710" s="44" t="s">
        <v>1186</v>
      </c>
      <c r="P710" s="8" t="s">
        <v>3880</v>
      </c>
      <c r="Q710" s="8" t="s">
        <v>36</v>
      </c>
      <c r="R710" s="33" t="s">
        <v>3881</v>
      </c>
    </row>
    <row r="711" customFormat="false" ht="13.8" hidden="false" customHeight="false" outlineLevel="0" collapsed="false">
      <c r="A711" s="25" t="s">
        <v>4997</v>
      </c>
      <c r="B711" s="41" t="s">
        <v>3477</v>
      </c>
      <c r="C711" s="8"/>
      <c r="D711" s="8" t="s">
        <v>3877</v>
      </c>
      <c r="E711" s="0" t="s">
        <v>3878</v>
      </c>
      <c r="F711" s="0" t="s">
        <v>427</v>
      </c>
      <c r="G711" s="0" t="s">
        <v>427</v>
      </c>
      <c r="H711" s="0" t="s">
        <v>427</v>
      </c>
      <c r="I711" s="0" t="s">
        <v>4954</v>
      </c>
      <c r="K711" s="44" t="str">
        <f aca="false">INDEX(libraries!$B:$B, MATCH(B711, libraries!$A:$A, 0), 1)</f>
        <v>sam0338</v>
      </c>
      <c r="L711" s="44" t="n">
        <f aca="false">INDEX(samples!$F:$F, MATCH(K711, samples!$A:$A, 0), 1)</f>
        <v>0</v>
      </c>
      <c r="M711" s="55" t="str">
        <f aca="false">INDEX(samples!$C:$C, MATCH(K711, samples!$A:$A, 0), 1)</f>
        <v>2022-05-03</v>
      </c>
      <c r="N711" s="44" t="str">
        <f aca="false">INDEX(samples!$B:$B, MATCH(K711, samples!$A:$A, 0), 1)</f>
        <v>par0228</v>
      </c>
      <c r="O711" s="44" t="s">
        <v>1191</v>
      </c>
      <c r="P711" s="8" t="s">
        <v>3880</v>
      </c>
      <c r="Q711" s="8" t="s">
        <v>36</v>
      </c>
      <c r="R711" s="33" t="s">
        <v>3881</v>
      </c>
    </row>
    <row r="712" customFormat="false" ht="13.8" hidden="false" customHeight="false" outlineLevel="0" collapsed="false">
      <c r="A712" s="25" t="s">
        <v>4998</v>
      </c>
      <c r="B712" s="41" t="s">
        <v>3478</v>
      </c>
      <c r="C712" s="8"/>
      <c r="D712" s="8" t="s">
        <v>3877</v>
      </c>
      <c r="E712" s="0" t="s">
        <v>3878</v>
      </c>
      <c r="F712" s="0" t="s">
        <v>427</v>
      </c>
      <c r="G712" s="0" t="s">
        <v>427</v>
      </c>
      <c r="H712" s="0" t="s">
        <v>427</v>
      </c>
      <c r="I712" s="0" t="s">
        <v>4954</v>
      </c>
      <c r="K712" s="44" t="str">
        <f aca="false">INDEX(libraries!$B:$B, MATCH(B712, libraries!$A:$A, 0), 1)</f>
        <v>sam0339</v>
      </c>
      <c r="L712" s="44" t="n">
        <f aca="false">INDEX(samples!$F:$F, MATCH(K712, samples!$A:$A, 0), 1)</f>
        <v>0</v>
      </c>
      <c r="M712" s="55" t="str">
        <f aca="false">INDEX(samples!$C:$C, MATCH(K712, samples!$A:$A, 0), 1)</f>
        <v>2022-05-17</v>
      </c>
      <c r="N712" s="44" t="str">
        <f aca="false">INDEX(samples!$B:$B, MATCH(K712, samples!$A:$A, 0), 1)</f>
        <v>par0229</v>
      </c>
      <c r="O712" s="44" t="s">
        <v>1195</v>
      </c>
      <c r="P712" s="8" t="s">
        <v>3880</v>
      </c>
      <c r="Q712" s="8" t="s">
        <v>36</v>
      </c>
      <c r="R712" s="33" t="s">
        <v>3881</v>
      </c>
    </row>
    <row r="713" customFormat="false" ht="13.8" hidden="false" customHeight="false" outlineLevel="0" collapsed="false">
      <c r="A713" s="25" t="s">
        <v>4999</v>
      </c>
      <c r="B713" s="41" t="s">
        <v>3479</v>
      </c>
      <c r="C713" s="8"/>
      <c r="D713" s="8" t="s">
        <v>3877</v>
      </c>
      <c r="E713" s="0" t="s">
        <v>3878</v>
      </c>
      <c r="F713" s="0" t="s">
        <v>427</v>
      </c>
      <c r="G713" s="0" t="s">
        <v>427</v>
      </c>
      <c r="H713" s="0" t="s">
        <v>427</v>
      </c>
      <c r="I713" s="0" t="s">
        <v>4954</v>
      </c>
      <c r="K713" s="44" t="str">
        <f aca="false">INDEX(libraries!$B:$B, MATCH(B713, libraries!$A:$A, 0), 1)</f>
        <v>sam0340</v>
      </c>
      <c r="L713" s="44" t="n">
        <f aca="false">INDEX(samples!$F:$F, MATCH(K713, samples!$A:$A, 0), 1)</f>
        <v>0</v>
      </c>
      <c r="M713" s="55" t="str">
        <f aca="false">INDEX(samples!$C:$C, MATCH(K713, samples!$A:$A, 0), 1)</f>
        <v>2022-06-28</v>
      </c>
      <c r="N713" s="44" t="str">
        <f aca="false">INDEX(samples!$B:$B, MATCH(K713, samples!$A:$A, 0), 1)</f>
        <v>par0230</v>
      </c>
      <c r="O713" s="44" t="s">
        <v>1199</v>
      </c>
      <c r="P713" s="8" t="s">
        <v>3880</v>
      </c>
      <c r="Q713" s="8" t="s">
        <v>36</v>
      </c>
      <c r="R713" s="33" t="s">
        <v>3881</v>
      </c>
    </row>
    <row r="714" customFormat="false" ht="13.8" hidden="false" customHeight="false" outlineLevel="0" collapsed="false">
      <c r="A714" s="25" t="s">
        <v>427</v>
      </c>
      <c r="N714" s="44"/>
      <c r="O714" s="39" t="s">
        <v>475</v>
      </c>
    </row>
    <row r="715" customFormat="false" ht="13.8" hidden="false" customHeight="false" outlineLevel="0" collapsed="false">
      <c r="A715" s="25" t="s">
        <v>427</v>
      </c>
      <c r="O715" s="39" t="s">
        <v>466</v>
      </c>
    </row>
    <row r="716" customFormat="false" ht="13.8" hidden="false" customHeight="false" outlineLevel="0" collapsed="false">
      <c r="A716" s="25" t="s">
        <v>427</v>
      </c>
      <c r="O716" s="39" t="s">
        <v>469</v>
      </c>
    </row>
    <row r="717" customFormat="false" ht="13.8" hidden="false" customHeight="false" outlineLevel="0" collapsed="false">
      <c r="A717" s="25" t="s">
        <v>427</v>
      </c>
      <c r="O717" s="39" t="s">
        <v>472</v>
      </c>
    </row>
    <row r="718" customFormat="false" ht="13.8" hidden="false" customHeight="false" outlineLevel="0" collapsed="false">
      <c r="A718" s="25" t="s">
        <v>427</v>
      </c>
      <c r="O718" s="39" t="s">
        <v>463</v>
      </c>
    </row>
    <row r="719" customFormat="false" ht="13.8" hidden="false" customHeight="false" outlineLevel="0" collapsed="false">
      <c r="A719" s="25" t="s">
        <v>427</v>
      </c>
      <c r="O719" s="39" t="s">
        <v>478</v>
      </c>
    </row>
    <row r="720" customFormat="false" ht="13.8" hidden="false" customHeight="false" outlineLevel="0" collapsed="false">
      <c r="A720" s="25" t="s">
        <v>5000</v>
      </c>
      <c r="B720" s="38" t="s">
        <v>3850</v>
      </c>
      <c r="C720" s="0" t="s">
        <v>3127</v>
      </c>
    </row>
    <row r="721" customFormat="false" ht="13.8" hidden="false" customHeight="false" outlineLevel="0" collapsed="false">
      <c r="A721" s="25" t="s">
        <v>5001</v>
      </c>
      <c r="B721" s="38" t="s">
        <v>3850</v>
      </c>
      <c r="C721" s="0" t="s">
        <v>3127</v>
      </c>
    </row>
    <row r="722" customFormat="false" ht="13.8" hidden="false" customHeight="false" outlineLevel="0" collapsed="false">
      <c r="A722" s="25" t="s">
        <v>5002</v>
      </c>
      <c r="B722" s="38" t="s">
        <v>3850</v>
      </c>
      <c r="C722" s="0" t="s">
        <v>3127</v>
      </c>
    </row>
    <row r="723" customFormat="false" ht="13.8" hidden="false" customHeight="false" outlineLevel="0" collapsed="false">
      <c r="A723" s="25" t="s">
        <v>5003</v>
      </c>
      <c r="B723" s="38" t="s">
        <v>3850</v>
      </c>
      <c r="C723" s="0" t="s">
        <v>3127</v>
      </c>
    </row>
    <row r="724" customFormat="false" ht="13.8" hidden="false" customHeight="false" outlineLevel="0" collapsed="false">
      <c r="A724" s="25" t="s">
        <v>5004</v>
      </c>
      <c r="B724" s="38" t="s">
        <v>3850</v>
      </c>
      <c r="C724" s="0" t="s">
        <v>3127</v>
      </c>
    </row>
    <row r="725" customFormat="false" ht="13.8" hidden="false" customHeight="false" outlineLevel="0" collapsed="false">
      <c r="A725" s="25" t="s">
        <v>5005</v>
      </c>
      <c r="B725" s="38" t="s">
        <v>3850</v>
      </c>
      <c r="C725" s="0" t="s">
        <v>3127</v>
      </c>
    </row>
    <row r="726" customFormat="false" ht="13.8" hidden="false" customHeight="false" outlineLevel="0" collapsed="false">
      <c r="A726" s="25" t="s">
        <v>5006</v>
      </c>
      <c r="B726" s="38" t="s">
        <v>3850</v>
      </c>
      <c r="C726" s="0" t="s">
        <v>3127</v>
      </c>
    </row>
    <row r="727" customFormat="false" ht="13.8" hidden="false" customHeight="false" outlineLevel="0" collapsed="false">
      <c r="A727" s="25" t="s">
        <v>5007</v>
      </c>
      <c r="B727" s="38" t="s">
        <v>3850</v>
      </c>
      <c r="C727" s="0" t="s">
        <v>3127</v>
      </c>
    </row>
    <row r="728" customFormat="false" ht="13.8" hidden="false" customHeight="false" outlineLevel="0" collapsed="false">
      <c r="A728" s="25" t="s">
        <v>5008</v>
      </c>
      <c r="B728" s="38" t="s">
        <v>3851</v>
      </c>
      <c r="C728" s="0" t="s">
        <v>3127</v>
      </c>
    </row>
    <row r="729" customFormat="false" ht="13.8" hidden="false" customHeight="false" outlineLevel="0" collapsed="false">
      <c r="A729" s="25" t="s">
        <v>5009</v>
      </c>
      <c r="B729" s="38" t="s">
        <v>3851</v>
      </c>
      <c r="C729" s="0" t="s">
        <v>3127</v>
      </c>
    </row>
    <row r="730" customFormat="false" ht="13.8" hidden="false" customHeight="false" outlineLevel="0" collapsed="false">
      <c r="A730" s="25" t="s">
        <v>5010</v>
      </c>
      <c r="B730" s="38" t="s">
        <v>3851</v>
      </c>
      <c r="C730" s="0" t="s">
        <v>3127</v>
      </c>
    </row>
    <row r="731" customFormat="false" ht="13.8" hidden="false" customHeight="false" outlineLevel="0" collapsed="false">
      <c r="A731" s="25" t="s">
        <v>5011</v>
      </c>
      <c r="B731" s="38" t="s">
        <v>3851</v>
      </c>
      <c r="C731" s="0" t="s">
        <v>3127</v>
      </c>
    </row>
    <row r="732" customFormat="false" ht="13.8" hidden="false" customHeight="false" outlineLevel="0" collapsed="false">
      <c r="A732" s="25" t="s">
        <v>5012</v>
      </c>
      <c r="B732" s="38" t="s">
        <v>3851</v>
      </c>
      <c r="C732" s="0" t="s">
        <v>3127</v>
      </c>
    </row>
    <row r="733" customFormat="false" ht="13.8" hidden="false" customHeight="false" outlineLevel="0" collapsed="false">
      <c r="A733" s="25" t="s">
        <v>5013</v>
      </c>
      <c r="B733" s="38" t="s">
        <v>3851</v>
      </c>
      <c r="C733" s="0" t="s">
        <v>3127</v>
      </c>
    </row>
    <row r="734" customFormat="false" ht="13.8" hidden="false" customHeight="false" outlineLevel="0" collapsed="false">
      <c r="A734" s="25" t="s">
        <v>5014</v>
      </c>
      <c r="B734" s="38" t="s">
        <v>3851</v>
      </c>
      <c r="C734" s="0" t="s">
        <v>3127</v>
      </c>
    </row>
    <row r="735" customFormat="false" ht="13.8" hidden="false" customHeight="false" outlineLevel="0" collapsed="false">
      <c r="A735" s="25" t="s">
        <v>5015</v>
      </c>
      <c r="B735" s="38" t="s">
        <v>3851</v>
      </c>
      <c r="C735" s="0" t="s">
        <v>3127</v>
      </c>
    </row>
    <row r="736" customFormat="false" ht="13.8" hidden="false" customHeight="false" outlineLevel="0" collapsed="false">
      <c r="A736" s="25" t="s">
        <v>5016</v>
      </c>
      <c r="B736" s="38" t="s">
        <v>3852</v>
      </c>
      <c r="C736" s="0" t="s">
        <v>3127</v>
      </c>
    </row>
    <row r="737" customFormat="false" ht="13.8" hidden="false" customHeight="false" outlineLevel="0" collapsed="false">
      <c r="A737" s="25" t="s">
        <v>5017</v>
      </c>
      <c r="B737" s="38" t="s">
        <v>3852</v>
      </c>
      <c r="C737" s="0" t="s">
        <v>3127</v>
      </c>
    </row>
    <row r="738" customFormat="false" ht="13.8" hidden="false" customHeight="false" outlineLevel="0" collapsed="false">
      <c r="A738" s="25" t="s">
        <v>5018</v>
      </c>
      <c r="B738" s="38" t="s">
        <v>3852</v>
      </c>
      <c r="C738" s="0" t="s">
        <v>3127</v>
      </c>
    </row>
    <row r="739" customFormat="false" ht="13.8" hidden="false" customHeight="false" outlineLevel="0" collapsed="false">
      <c r="A739" s="25" t="s">
        <v>5019</v>
      </c>
      <c r="B739" s="38" t="s">
        <v>3852</v>
      </c>
      <c r="C739" s="0" t="s">
        <v>3127</v>
      </c>
    </row>
    <row r="740" customFormat="false" ht="13.8" hidden="false" customHeight="false" outlineLevel="0" collapsed="false">
      <c r="A740" s="25" t="s">
        <v>5020</v>
      </c>
      <c r="B740" s="38" t="s">
        <v>3852</v>
      </c>
      <c r="C740" s="0" t="s">
        <v>3127</v>
      </c>
    </row>
    <row r="741" customFormat="false" ht="13.8" hidden="false" customHeight="false" outlineLevel="0" collapsed="false">
      <c r="A741" s="25" t="s">
        <v>5021</v>
      </c>
      <c r="B741" s="38" t="s">
        <v>3852</v>
      </c>
      <c r="C741" s="0" t="s">
        <v>3127</v>
      </c>
    </row>
    <row r="742" customFormat="false" ht="13.8" hidden="false" customHeight="false" outlineLevel="0" collapsed="false">
      <c r="A742" s="25" t="s">
        <v>5022</v>
      </c>
      <c r="B742" s="38" t="s">
        <v>3852</v>
      </c>
      <c r="C742" s="0" t="s">
        <v>3127</v>
      </c>
    </row>
    <row r="743" customFormat="false" ht="13.8" hidden="false" customHeight="false" outlineLevel="0" collapsed="false">
      <c r="A743" s="25" t="s">
        <v>5023</v>
      </c>
      <c r="B743" s="38" t="s">
        <v>3852</v>
      </c>
      <c r="C743" s="0" t="s">
        <v>3127</v>
      </c>
    </row>
    <row r="744" customFormat="false" ht="13.8" hidden="false" customHeight="false" outlineLevel="0" collapsed="false">
      <c r="A744" s="25" t="s">
        <v>5024</v>
      </c>
      <c r="B744" s="38" t="s">
        <v>3853</v>
      </c>
      <c r="C744" s="0" t="s">
        <v>3127</v>
      </c>
    </row>
    <row r="745" customFormat="false" ht="13.8" hidden="false" customHeight="false" outlineLevel="0" collapsed="false">
      <c r="A745" s="25" t="s">
        <v>5025</v>
      </c>
      <c r="B745" s="38" t="s">
        <v>3853</v>
      </c>
      <c r="C745" s="0" t="s">
        <v>3127</v>
      </c>
    </row>
    <row r="746" customFormat="false" ht="13.8" hidden="false" customHeight="false" outlineLevel="0" collapsed="false">
      <c r="A746" s="25" t="s">
        <v>5026</v>
      </c>
      <c r="B746" s="38" t="s">
        <v>3853</v>
      </c>
      <c r="C746" s="0" t="s">
        <v>3127</v>
      </c>
    </row>
    <row r="747" customFormat="false" ht="13.8" hidden="false" customHeight="false" outlineLevel="0" collapsed="false">
      <c r="A747" s="25" t="s">
        <v>5027</v>
      </c>
      <c r="B747" s="38" t="s">
        <v>3853</v>
      </c>
      <c r="C747" s="0" t="s">
        <v>3127</v>
      </c>
    </row>
    <row r="748" customFormat="false" ht="13.8" hidden="false" customHeight="false" outlineLevel="0" collapsed="false">
      <c r="A748" s="25" t="s">
        <v>5028</v>
      </c>
      <c r="B748" s="38" t="s">
        <v>3853</v>
      </c>
      <c r="C748" s="0" t="s">
        <v>3127</v>
      </c>
    </row>
    <row r="749" customFormat="false" ht="13.8" hidden="false" customHeight="false" outlineLevel="0" collapsed="false">
      <c r="A749" s="25" t="s">
        <v>5029</v>
      </c>
      <c r="B749" s="38" t="s">
        <v>3853</v>
      </c>
      <c r="C749" s="0" t="s">
        <v>3127</v>
      </c>
    </row>
    <row r="750" customFormat="false" ht="13.8" hidden="false" customHeight="false" outlineLevel="0" collapsed="false">
      <c r="A750" s="25" t="s">
        <v>5030</v>
      </c>
      <c r="B750" s="38" t="s">
        <v>3853</v>
      </c>
      <c r="C750" s="0" t="s">
        <v>3127</v>
      </c>
    </row>
    <row r="751" customFormat="false" ht="13.8" hidden="false" customHeight="false" outlineLevel="0" collapsed="false">
      <c r="A751" s="25" t="s">
        <v>5031</v>
      </c>
      <c r="B751" s="38" t="s">
        <v>3853</v>
      </c>
      <c r="C751" s="0" t="s">
        <v>3127</v>
      </c>
    </row>
    <row r="752" customFormat="false" ht="13.8" hidden="false" customHeight="false" outlineLevel="0" collapsed="false">
      <c r="A752" s="25" t="s">
        <v>5032</v>
      </c>
      <c r="B752" s="38" t="s">
        <v>3854</v>
      </c>
      <c r="C752" s="0" t="s">
        <v>3127</v>
      </c>
    </row>
    <row r="753" customFormat="false" ht="13.8" hidden="false" customHeight="false" outlineLevel="0" collapsed="false">
      <c r="A753" s="25" t="s">
        <v>5033</v>
      </c>
      <c r="B753" s="38" t="s">
        <v>3854</v>
      </c>
      <c r="C753" s="0" t="s">
        <v>3127</v>
      </c>
    </row>
    <row r="754" customFormat="false" ht="13.8" hidden="false" customHeight="false" outlineLevel="0" collapsed="false">
      <c r="A754" s="25" t="s">
        <v>5034</v>
      </c>
      <c r="B754" s="38" t="s">
        <v>3854</v>
      </c>
      <c r="C754" s="0" t="s">
        <v>3127</v>
      </c>
    </row>
    <row r="755" customFormat="false" ht="13.8" hidden="false" customHeight="false" outlineLevel="0" collapsed="false">
      <c r="A755" s="25" t="s">
        <v>5035</v>
      </c>
      <c r="B755" s="38" t="s">
        <v>3854</v>
      </c>
      <c r="C755" s="0" t="s">
        <v>3127</v>
      </c>
    </row>
    <row r="756" customFormat="false" ht="13.8" hidden="false" customHeight="false" outlineLevel="0" collapsed="false">
      <c r="A756" s="25" t="s">
        <v>5036</v>
      </c>
      <c r="B756" s="38" t="s">
        <v>3854</v>
      </c>
      <c r="C756" s="0" t="s">
        <v>3127</v>
      </c>
    </row>
    <row r="757" customFormat="false" ht="13.8" hidden="false" customHeight="false" outlineLevel="0" collapsed="false">
      <c r="A757" s="25" t="s">
        <v>5037</v>
      </c>
      <c r="B757" s="38" t="s">
        <v>3854</v>
      </c>
      <c r="C757" s="0" t="s">
        <v>3127</v>
      </c>
    </row>
    <row r="758" customFormat="false" ht="13.8" hidden="false" customHeight="false" outlineLevel="0" collapsed="false">
      <c r="A758" s="25" t="s">
        <v>5038</v>
      </c>
      <c r="B758" s="38" t="s">
        <v>3854</v>
      </c>
      <c r="C758" s="0" t="s">
        <v>3127</v>
      </c>
    </row>
    <row r="759" customFormat="false" ht="13.8" hidden="false" customHeight="false" outlineLevel="0" collapsed="false">
      <c r="A759" s="25" t="s">
        <v>5039</v>
      </c>
      <c r="B759" s="38" t="s">
        <v>3854</v>
      </c>
      <c r="C759" s="0" t="s">
        <v>3127</v>
      </c>
    </row>
    <row r="760" customFormat="false" ht="13.8" hidden="false" customHeight="false" outlineLevel="0" collapsed="false">
      <c r="A760" s="25" t="s">
        <v>5040</v>
      </c>
      <c r="B760" s="38" t="s">
        <v>3855</v>
      </c>
      <c r="C760" s="0" t="s">
        <v>3127</v>
      </c>
    </row>
    <row r="761" customFormat="false" ht="13.8" hidden="false" customHeight="false" outlineLevel="0" collapsed="false">
      <c r="A761" s="25" t="s">
        <v>5041</v>
      </c>
      <c r="B761" s="38" t="s">
        <v>3855</v>
      </c>
      <c r="C761" s="0" t="s">
        <v>3127</v>
      </c>
    </row>
    <row r="762" customFormat="false" ht="13.8" hidden="false" customHeight="false" outlineLevel="0" collapsed="false">
      <c r="A762" s="25" t="s">
        <v>5042</v>
      </c>
      <c r="B762" s="38" t="s">
        <v>3855</v>
      </c>
      <c r="C762" s="0" t="s">
        <v>3127</v>
      </c>
    </row>
    <row r="763" customFormat="false" ht="13.8" hidden="false" customHeight="false" outlineLevel="0" collapsed="false">
      <c r="A763" s="25" t="s">
        <v>5043</v>
      </c>
      <c r="B763" s="38" t="s">
        <v>3855</v>
      </c>
      <c r="C763" s="0" t="s">
        <v>3127</v>
      </c>
    </row>
    <row r="764" customFormat="false" ht="13.8" hidden="false" customHeight="false" outlineLevel="0" collapsed="false">
      <c r="A764" s="25" t="s">
        <v>5044</v>
      </c>
      <c r="B764" s="38" t="s">
        <v>3855</v>
      </c>
      <c r="C764" s="0" t="s">
        <v>3127</v>
      </c>
    </row>
    <row r="765" customFormat="false" ht="13.8" hidden="false" customHeight="false" outlineLevel="0" collapsed="false">
      <c r="A765" s="25" t="s">
        <v>5045</v>
      </c>
      <c r="B765" s="38" t="s">
        <v>3855</v>
      </c>
      <c r="C765" s="0" t="s">
        <v>3127</v>
      </c>
    </row>
    <row r="766" customFormat="false" ht="13.8" hidden="false" customHeight="false" outlineLevel="0" collapsed="false">
      <c r="A766" s="25" t="s">
        <v>5046</v>
      </c>
      <c r="B766" s="38" t="s">
        <v>3855</v>
      </c>
      <c r="C766" s="0" t="s">
        <v>3127</v>
      </c>
    </row>
    <row r="767" customFormat="false" ht="13.8" hidden="false" customHeight="false" outlineLevel="0" collapsed="false">
      <c r="A767" s="25" t="s">
        <v>5047</v>
      </c>
      <c r="B767" s="38" t="s">
        <v>3855</v>
      </c>
      <c r="C767" s="0" t="s">
        <v>3127</v>
      </c>
    </row>
    <row r="768" customFormat="false" ht="13.8" hidden="false" customHeight="false" outlineLevel="0" collapsed="false">
      <c r="A768" s="25" t="s">
        <v>5048</v>
      </c>
      <c r="B768" s="38" t="s">
        <v>3856</v>
      </c>
      <c r="C768" s="0" t="s">
        <v>3127</v>
      </c>
    </row>
    <row r="769" customFormat="false" ht="13.8" hidden="false" customHeight="false" outlineLevel="0" collapsed="false">
      <c r="A769" s="25" t="s">
        <v>5049</v>
      </c>
      <c r="B769" s="38" t="s">
        <v>3856</v>
      </c>
      <c r="C769" s="0" t="s">
        <v>3127</v>
      </c>
    </row>
    <row r="770" customFormat="false" ht="13.8" hidden="false" customHeight="false" outlineLevel="0" collapsed="false">
      <c r="A770" s="25" t="s">
        <v>5050</v>
      </c>
      <c r="B770" s="38" t="s">
        <v>3856</v>
      </c>
      <c r="C770" s="0" t="s">
        <v>3127</v>
      </c>
    </row>
    <row r="771" customFormat="false" ht="13.8" hidden="false" customHeight="false" outlineLevel="0" collapsed="false">
      <c r="A771" s="25" t="s">
        <v>5051</v>
      </c>
      <c r="B771" s="38" t="s">
        <v>3856</v>
      </c>
      <c r="C771" s="0" t="s">
        <v>3127</v>
      </c>
    </row>
    <row r="772" customFormat="false" ht="13.8" hidden="false" customHeight="false" outlineLevel="0" collapsed="false">
      <c r="A772" s="25" t="s">
        <v>5052</v>
      </c>
      <c r="B772" s="38" t="s">
        <v>3856</v>
      </c>
      <c r="C772" s="0" t="s">
        <v>3127</v>
      </c>
    </row>
    <row r="773" customFormat="false" ht="13.8" hidden="false" customHeight="false" outlineLevel="0" collapsed="false">
      <c r="A773" s="25" t="s">
        <v>5053</v>
      </c>
      <c r="B773" s="38" t="s">
        <v>3856</v>
      </c>
      <c r="C773" s="0" t="s">
        <v>3127</v>
      </c>
    </row>
    <row r="774" customFormat="false" ht="13.8" hidden="false" customHeight="false" outlineLevel="0" collapsed="false">
      <c r="A774" s="25" t="s">
        <v>5054</v>
      </c>
      <c r="B774" s="38" t="s">
        <v>3856</v>
      </c>
      <c r="C774" s="0" t="s">
        <v>3127</v>
      </c>
    </row>
    <row r="775" customFormat="false" ht="13.8" hidden="false" customHeight="false" outlineLevel="0" collapsed="false">
      <c r="A775" s="25" t="s">
        <v>5055</v>
      </c>
      <c r="B775" s="38" t="s">
        <v>3856</v>
      </c>
      <c r="C775" s="0" t="s">
        <v>3127</v>
      </c>
    </row>
    <row r="776" customFormat="false" ht="13.8" hidden="false" customHeight="false" outlineLevel="0" collapsed="false">
      <c r="A776" s="25" t="s">
        <v>5056</v>
      </c>
      <c r="B776" s="38" t="s">
        <v>3857</v>
      </c>
      <c r="C776" s="0" t="s">
        <v>3127</v>
      </c>
    </row>
    <row r="777" customFormat="false" ht="13.8" hidden="false" customHeight="false" outlineLevel="0" collapsed="false">
      <c r="A777" s="25" t="s">
        <v>5057</v>
      </c>
      <c r="B777" s="38" t="s">
        <v>3857</v>
      </c>
      <c r="C777" s="0" t="s">
        <v>3127</v>
      </c>
    </row>
    <row r="778" customFormat="false" ht="13.8" hidden="false" customHeight="false" outlineLevel="0" collapsed="false">
      <c r="A778" s="25" t="s">
        <v>5058</v>
      </c>
      <c r="B778" s="38" t="s">
        <v>3857</v>
      </c>
      <c r="C778" s="0" t="s">
        <v>3127</v>
      </c>
    </row>
    <row r="779" customFormat="false" ht="13.8" hidden="false" customHeight="false" outlineLevel="0" collapsed="false">
      <c r="A779" s="25" t="s">
        <v>5059</v>
      </c>
      <c r="B779" s="38" t="s">
        <v>3857</v>
      </c>
      <c r="C779" s="0" t="s">
        <v>3127</v>
      </c>
    </row>
    <row r="780" customFormat="false" ht="13.8" hidden="false" customHeight="false" outlineLevel="0" collapsed="false">
      <c r="A780" s="25" t="s">
        <v>5060</v>
      </c>
      <c r="B780" s="38" t="s">
        <v>3857</v>
      </c>
      <c r="C780" s="0" t="s">
        <v>3127</v>
      </c>
    </row>
    <row r="781" customFormat="false" ht="13.8" hidden="false" customHeight="false" outlineLevel="0" collapsed="false">
      <c r="A781" s="25" t="s">
        <v>5061</v>
      </c>
      <c r="B781" s="38" t="s">
        <v>3857</v>
      </c>
      <c r="C781" s="0" t="s">
        <v>3127</v>
      </c>
    </row>
    <row r="782" customFormat="false" ht="13.8" hidden="false" customHeight="false" outlineLevel="0" collapsed="false">
      <c r="A782" s="25" t="s">
        <v>5062</v>
      </c>
      <c r="B782" s="38" t="s">
        <v>3857</v>
      </c>
      <c r="C782" s="0" t="s">
        <v>3127</v>
      </c>
    </row>
    <row r="783" customFormat="false" ht="13.8" hidden="false" customHeight="false" outlineLevel="0" collapsed="false">
      <c r="A783" s="25" t="s">
        <v>5063</v>
      </c>
      <c r="B783" s="38" t="s">
        <v>3857</v>
      </c>
      <c r="C783" s="0" t="s">
        <v>3127</v>
      </c>
    </row>
    <row r="784" customFormat="false" ht="13.8" hidden="false" customHeight="false" outlineLevel="0" collapsed="false">
      <c r="A784" s="25" t="s">
        <v>5064</v>
      </c>
      <c r="B784" s="38" t="s">
        <v>3858</v>
      </c>
      <c r="C784" s="0" t="s">
        <v>3127</v>
      </c>
    </row>
    <row r="785" customFormat="false" ht="13.8" hidden="false" customHeight="false" outlineLevel="0" collapsed="false">
      <c r="A785" s="25" t="s">
        <v>5065</v>
      </c>
      <c r="B785" s="38" t="s">
        <v>3858</v>
      </c>
      <c r="C785" s="0" t="s">
        <v>3127</v>
      </c>
    </row>
    <row r="786" customFormat="false" ht="13.8" hidden="false" customHeight="false" outlineLevel="0" collapsed="false">
      <c r="A786" s="25" t="s">
        <v>5066</v>
      </c>
      <c r="B786" s="38" t="s">
        <v>3858</v>
      </c>
      <c r="C786" s="0" t="s">
        <v>3127</v>
      </c>
    </row>
    <row r="787" customFormat="false" ht="13.8" hidden="false" customHeight="false" outlineLevel="0" collapsed="false">
      <c r="A787" s="25" t="s">
        <v>5067</v>
      </c>
      <c r="B787" s="38" t="s">
        <v>3858</v>
      </c>
      <c r="C787" s="0" t="s">
        <v>3127</v>
      </c>
    </row>
    <row r="788" customFormat="false" ht="13.8" hidden="false" customHeight="false" outlineLevel="0" collapsed="false">
      <c r="A788" s="25" t="s">
        <v>5068</v>
      </c>
      <c r="B788" s="38" t="s">
        <v>3858</v>
      </c>
      <c r="C788" s="0" t="s">
        <v>3127</v>
      </c>
    </row>
    <row r="789" customFormat="false" ht="13.8" hidden="false" customHeight="false" outlineLevel="0" collapsed="false">
      <c r="A789" s="25" t="s">
        <v>5069</v>
      </c>
      <c r="B789" s="38" t="s">
        <v>3858</v>
      </c>
      <c r="C789" s="0" t="s">
        <v>3127</v>
      </c>
    </row>
    <row r="790" customFormat="false" ht="13.8" hidden="false" customHeight="false" outlineLevel="0" collapsed="false">
      <c r="A790" s="25" t="s">
        <v>5070</v>
      </c>
      <c r="B790" s="38" t="s">
        <v>3858</v>
      </c>
      <c r="C790" s="0" t="s">
        <v>3127</v>
      </c>
    </row>
    <row r="791" customFormat="false" ht="13.8" hidden="false" customHeight="false" outlineLevel="0" collapsed="false">
      <c r="A791" s="25" t="s">
        <v>5071</v>
      </c>
      <c r="B791" s="38" t="s">
        <v>3858</v>
      </c>
      <c r="C791" s="0" t="s">
        <v>3127</v>
      </c>
    </row>
    <row r="792" customFormat="false" ht="13.8" hidden="false" customHeight="false" outlineLevel="0" collapsed="false">
      <c r="A792" s="25" t="s">
        <v>5072</v>
      </c>
      <c r="B792" s="38" t="s">
        <v>3859</v>
      </c>
      <c r="C792" s="0" t="s">
        <v>3127</v>
      </c>
    </row>
    <row r="793" customFormat="false" ht="13.8" hidden="false" customHeight="false" outlineLevel="0" collapsed="false">
      <c r="A793" s="25" t="s">
        <v>5073</v>
      </c>
      <c r="B793" s="38" t="s">
        <v>3859</v>
      </c>
      <c r="C793" s="0" t="s">
        <v>3127</v>
      </c>
    </row>
    <row r="794" customFormat="false" ht="13.8" hidden="false" customHeight="false" outlineLevel="0" collapsed="false">
      <c r="A794" s="25" t="s">
        <v>5074</v>
      </c>
      <c r="B794" s="38" t="s">
        <v>3859</v>
      </c>
      <c r="C794" s="0" t="s">
        <v>3127</v>
      </c>
    </row>
    <row r="795" customFormat="false" ht="13.8" hidden="false" customHeight="false" outlineLevel="0" collapsed="false">
      <c r="A795" s="25" t="s">
        <v>5075</v>
      </c>
      <c r="B795" s="38" t="s">
        <v>3859</v>
      </c>
      <c r="C795" s="0" t="s">
        <v>3127</v>
      </c>
    </row>
    <row r="796" customFormat="false" ht="13.8" hidden="false" customHeight="false" outlineLevel="0" collapsed="false">
      <c r="A796" s="25" t="s">
        <v>5076</v>
      </c>
      <c r="B796" s="38" t="s">
        <v>3859</v>
      </c>
      <c r="C796" s="0" t="s">
        <v>3127</v>
      </c>
    </row>
    <row r="797" customFormat="false" ht="13.8" hidden="false" customHeight="false" outlineLevel="0" collapsed="false">
      <c r="A797" s="25" t="s">
        <v>5077</v>
      </c>
      <c r="B797" s="38" t="s">
        <v>3859</v>
      </c>
      <c r="C797" s="0" t="s">
        <v>3127</v>
      </c>
    </row>
    <row r="798" customFormat="false" ht="13.8" hidden="false" customHeight="false" outlineLevel="0" collapsed="false">
      <c r="A798" s="25" t="s">
        <v>5078</v>
      </c>
      <c r="B798" s="38" t="s">
        <v>3859</v>
      </c>
      <c r="C798" s="0" t="s">
        <v>3127</v>
      </c>
    </row>
    <row r="799" customFormat="false" ht="13.8" hidden="false" customHeight="false" outlineLevel="0" collapsed="false">
      <c r="A799" s="25" t="s">
        <v>5079</v>
      </c>
      <c r="B799" s="38" t="s">
        <v>3859</v>
      </c>
      <c r="C799" s="0" t="s">
        <v>3127</v>
      </c>
    </row>
    <row r="800" customFormat="false" ht="13.8" hidden="false" customHeight="false" outlineLevel="0" collapsed="false">
      <c r="A800" s="25" t="s">
        <v>5080</v>
      </c>
      <c r="B800" s="38" t="s">
        <v>3860</v>
      </c>
      <c r="C800" s="0" t="s">
        <v>3127</v>
      </c>
    </row>
    <row r="801" customFormat="false" ht="13.8" hidden="false" customHeight="false" outlineLevel="0" collapsed="false">
      <c r="A801" s="25" t="s">
        <v>5081</v>
      </c>
      <c r="B801" s="38" t="s">
        <v>3860</v>
      </c>
      <c r="C801" s="0" t="s">
        <v>3127</v>
      </c>
    </row>
    <row r="802" customFormat="false" ht="13.8" hidden="false" customHeight="false" outlineLevel="0" collapsed="false">
      <c r="A802" s="25" t="s">
        <v>5082</v>
      </c>
      <c r="B802" s="38" t="s">
        <v>3860</v>
      </c>
      <c r="C802" s="0" t="s">
        <v>3127</v>
      </c>
    </row>
    <row r="803" customFormat="false" ht="13.8" hidden="false" customHeight="false" outlineLevel="0" collapsed="false">
      <c r="A803" s="25" t="s">
        <v>5083</v>
      </c>
      <c r="B803" s="38" t="s">
        <v>3860</v>
      </c>
      <c r="C803" s="0" t="s">
        <v>3127</v>
      </c>
    </row>
    <row r="804" customFormat="false" ht="13.8" hidden="false" customHeight="false" outlineLevel="0" collapsed="false">
      <c r="A804" s="25" t="s">
        <v>5084</v>
      </c>
      <c r="B804" s="38" t="s">
        <v>3860</v>
      </c>
      <c r="C804" s="0" t="s">
        <v>3127</v>
      </c>
    </row>
    <row r="805" customFormat="false" ht="13.8" hidden="false" customHeight="false" outlineLevel="0" collapsed="false">
      <c r="A805" s="25" t="s">
        <v>5085</v>
      </c>
      <c r="B805" s="38" t="s">
        <v>3860</v>
      </c>
      <c r="C805" s="0" t="s">
        <v>3127</v>
      </c>
    </row>
    <row r="806" customFormat="false" ht="13.8" hidden="false" customHeight="false" outlineLevel="0" collapsed="false">
      <c r="A806" s="25" t="s">
        <v>5086</v>
      </c>
      <c r="B806" s="38" t="s">
        <v>3860</v>
      </c>
      <c r="C806" s="0" t="s">
        <v>3127</v>
      </c>
    </row>
    <row r="807" customFormat="false" ht="13.8" hidden="false" customHeight="false" outlineLevel="0" collapsed="false">
      <c r="A807" s="25" t="s">
        <v>5087</v>
      </c>
      <c r="B807" s="38" t="s">
        <v>3860</v>
      </c>
      <c r="C807" s="0" t="s">
        <v>3127</v>
      </c>
    </row>
    <row r="808" customFormat="false" ht="13.8" hidden="false" customHeight="false" outlineLevel="0" collapsed="false">
      <c r="A808" s="25" t="s">
        <v>5088</v>
      </c>
      <c r="B808" s="38" t="s">
        <v>3861</v>
      </c>
      <c r="C808" s="0" t="s">
        <v>3127</v>
      </c>
    </row>
    <row r="809" customFormat="false" ht="13.8" hidden="false" customHeight="false" outlineLevel="0" collapsed="false">
      <c r="A809" s="25" t="s">
        <v>5089</v>
      </c>
      <c r="B809" s="38" t="s">
        <v>3861</v>
      </c>
      <c r="C809" s="0" t="s">
        <v>3127</v>
      </c>
    </row>
    <row r="810" customFormat="false" ht="13.8" hidden="false" customHeight="false" outlineLevel="0" collapsed="false">
      <c r="A810" s="25" t="s">
        <v>5090</v>
      </c>
      <c r="B810" s="38" t="s">
        <v>3861</v>
      </c>
      <c r="C810" s="0" t="s">
        <v>3127</v>
      </c>
    </row>
    <row r="811" customFormat="false" ht="13.8" hidden="false" customHeight="false" outlineLevel="0" collapsed="false">
      <c r="A811" s="25" t="s">
        <v>5091</v>
      </c>
      <c r="B811" s="38" t="s">
        <v>3861</v>
      </c>
      <c r="C811" s="0" t="s">
        <v>3127</v>
      </c>
    </row>
    <row r="812" customFormat="false" ht="13.8" hidden="false" customHeight="false" outlineLevel="0" collapsed="false">
      <c r="A812" s="25" t="s">
        <v>5092</v>
      </c>
      <c r="B812" s="38" t="s">
        <v>3861</v>
      </c>
      <c r="C812" s="0" t="s">
        <v>3127</v>
      </c>
    </row>
    <row r="813" customFormat="false" ht="13.8" hidden="false" customHeight="false" outlineLevel="0" collapsed="false">
      <c r="A813" s="25" t="s">
        <v>5093</v>
      </c>
      <c r="B813" s="38" t="s">
        <v>3861</v>
      </c>
      <c r="C813" s="0" t="s">
        <v>3127</v>
      </c>
    </row>
    <row r="814" customFormat="false" ht="13.8" hidden="false" customHeight="false" outlineLevel="0" collapsed="false">
      <c r="A814" s="25" t="s">
        <v>5094</v>
      </c>
      <c r="B814" s="38" t="s">
        <v>3861</v>
      </c>
      <c r="C814" s="0" t="s">
        <v>3127</v>
      </c>
    </row>
    <row r="815" customFormat="false" ht="13.8" hidden="false" customHeight="false" outlineLevel="0" collapsed="false">
      <c r="A815" s="25" t="s">
        <v>5095</v>
      </c>
      <c r="B815" s="38" t="s">
        <v>3861</v>
      </c>
      <c r="C815" s="0" t="s">
        <v>3127</v>
      </c>
    </row>
    <row r="816" customFormat="false" ht="13.8" hidden="false" customHeight="false" outlineLevel="0" collapsed="false">
      <c r="A816" s="25" t="s">
        <v>5096</v>
      </c>
      <c r="B816" s="38" t="s">
        <v>3862</v>
      </c>
      <c r="C816" s="0" t="s">
        <v>3127</v>
      </c>
    </row>
    <row r="817" customFormat="false" ht="13.8" hidden="false" customHeight="false" outlineLevel="0" collapsed="false">
      <c r="A817" s="25" t="s">
        <v>5097</v>
      </c>
      <c r="B817" s="38" t="s">
        <v>3862</v>
      </c>
      <c r="C817" s="0" t="s">
        <v>3127</v>
      </c>
    </row>
    <row r="818" customFormat="false" ht="13.8" hidden="false" customHeight="false" outlineLevel="0" collapsed="false">
      <c r="A818" s="25" t="s">
        <v>5098</v>
      </c>
      <c r="B818" s="38" t="s">
        <v>3862</v>
      </c>
      <c r="C818" s="0" t="s">
        <v>3127</v>
      </c>
    </row>
    <row r="819" customFormat="false" ht="13.8" hidden="false" customHeight="false" outlineLevel="0" collapsed="false">
      <c r="A819" s="25" t="s">
        <v>5099</v>
      </c>
      <c r="B819" s="38" t="s">
        <v>3862</v>
      </c>
      <c r="C819" s="0" t="s">
        <v>3127</v>
      </c>
    </row>
    <row r="820" customFormat="false" ht="13.8" hidden="false" customHeight="false" outlineLevel="0" collapsed="false">
      <c r="A820" s="25" t="s">
        <v>5100</v>
      </c>
      <c r="B820" s="38" t="s">
        <v>3862</v>
      </c>
      <c r="C820" s="0" t="s">
        <v>3127</v>
      </c>
    </row>
    <row r="821" customFormat="false" ht="13.8" hidden="false" customHeight="false" outlineLevel="0" collapsed="false">
      <c r="A821" s="25" t="s">
        <v>5101</v>
      </c>
      <c r="B821" s="38" t="s">
        <v>3862</v>
      </c>
      <c r="C821" s="0" t="s">
        <v>3127</v>
      </c>
    </row>
    <row r="822" customFormat="false" ht="13.8" hidden="false" customHeight="false" outlineLevel="0" collapsed="false">
      <c r="A822" s="25" t="s">
        <v>5102</v>
      </c>
      <c r="B822" s="38" t="s">
        <v>3862</v>
      </c>
      <c r="C822" s="0" t="s">
        <v>3127</v>
      </c>
    </row>
    <row r="823" customFormat="false" ht="13.8" hidden="false" customHeight="false" outlineLevel="0" collapsed="false">
      <c r="A823" s="25" t="s">
        <v>5103</v>
      </c>
      <c r="B823" s="38" t="s">
        <v>3862</v>
      </c>
      <c r="C823" s="0" t="s">
        <v>3127</v>
      </c>
    </row>
    <row r="824" customFormat="false" ht="13.8" hidden="false" customHeight="false" outlineLevel="0" collapsed="false">
      <c r="A824" s="25" t="s">
        <v>5104</v>
      </c>
      <c r="B824" s="38" t="s">
        <v>3863</v>
      </c>
      <c r="C824" s="0" t="s">
        <v>3127</v>
      </c>
    </row>
    <row r="825" customFormat="false" ht="13.8" hidden="false" customHeight="false" outlineLevel="0" collapsed="false">
      <c r="A825" s="25" t="s">
        <v>5105</v>
      </c>
      <c r="B825" s="38" t="s">
        <v>3863</v>
      </c>
      <c r="C825" s="0" t="s">
        <v>3127</v>
      </c>
    </row>
    <row r="826" customFormat="false" ht="13.8" hidden="false" customHeight="false" outlineLevel="0" collapsed="false">
      <c r="A826" s="25" t="s">
        <v>5106</v>
      </c>
      <c r="B826" s="38" t="s">
        <v>3863</v>
      </c>
      <c r="C826" s="0" t="s">
        <v>3127</v>
      </c>
    </row>
    <row r="827" customFormat="false" ht="13.8" hidden="false" customHeight="false" outlineLevel="0" collapsed="false">
      <c r="A827" s="25" t="s">
        <v>5107</v>
      </c>
      <c r="B827" s="38" t="s">
        <v>3863</v>
      </c>
      <c r="C827" s="0" t="s">
        <v>3127</v>
      </c>
    </row>
    <row r="828" customFormat="false" ht="13.8" hidden="false" customHeight="false" outlineLevel="0" collapsed="false">
      <c r="A828" s="25" t="s">
        <v>5108</v>
      </c>
      <c r="B828" s="38" t="s">
        <v>3863</v>
      </c>
      <c r="C828" s="0" t="s">
        <v>3127</v>
      </c>
    </row>
    <row r="829" customFormat="false" ht="13.8" hidden="false" customHeight="false" outlineLevel="0" collapsed="false">
      <c r="A829" s="25" t="s">
        <v>5109</v>
      </c>
      <c r="B829" s="38" t="s">
        <v>3863</v>
      </c>
      <c r="C829" s="0" t="s">
        <v>3127</v>
      </c>
    </row>
    <row r="830" customFormat="false" ht="13.8" hidden="false" customHeight="false" outlineLevel="0" collapsed="false">
      <c r="A830" s="25" t="s">
        <v>5110</v>
      </c>
      <c r="B830" s="38" t="s">
        <v>3863</v>
      </c>
      <c r="C830" s="0" t="s">
        <v>3127</v>
      </c>
    </row>
    <row r="831" customFormat="false" ht="13.8" hidden="false" customHeight="false" outlineLevel="0" collapsed="false">
      <c r="A831" s="25" t="s">
        <v>5111</v>
      </c>
      <c r="B831" s="38" t="s">
        <v>3863</v>
      </c>
      <c r="C831" s="0" t="s">
        <v>3127</v>
      </c>
    </row>
    <row r="832" customFormat="false" ht="13.8" hidden="false" customHeight="false" outlineLevel="0" collapsed="false">
      <c r="A832" s="25" t="s">
        <v>5112</v>
      </c>
      <c r="B832" s="38" t="s">
        <v>3864</v>
      </c>
      <c r="C832" s="0" t="s">
        <v>3127</v>
      </c>
    </row>
    <row r="833" customFormat="false" ht="13.8" hidden="false" customHeight="false" outlineLevel="0" collapsed="false">
      <c r="A833" s="25" t="s">
        <v>5113</v>
      </c>
      <c r="B833" s="38" t="s">
        <v>3864</v>
      </c>
      <c r="C833" s="0" t="s">
        <v>3127</v>
      </c>
    </row>
    <row r="834" customFormat="false" ht="13.8" hidden="false" customHeight="false" outlineLevel="0" collapsed="false">
      <c r="A834" s="25" t="s">
        <v>5114</v>
      </c>
      <c r="B834" s="38" t="s">
        <v>3864</v>
      </c>
      <c r="C834" s="0" t="s">
        <v>3127</v>
      </c>
    </row>
    <row r="835" customFormat="false" ht="13.8" hidden="false" customHeight="false" outlineLevel="0" collapsed="false">
      <c r="A835" s="25" t="s">
        <v>5115</v>
      </c>
      <c r="B835" s="38" t="s">
        <v>3864</v>
      </c>
      <c r="C835" s="0" t="s">
        <v>3127</v>
      </c>
    </row>
    <row r="836" customFormat="false" ht="13.8" hidden="false" customHeight="false" outlineLevel="0" collapsed="false">
      <c r="A836" s="25" t="s">
        <v>5116</v>
      </c>
      <c r="B836" s="38" t="s">
        <v>3864</v>
      </c>
      <c r="C836" s="0" t="s">
        <v>3127</v>
      </c>
    </row>
    <row r="837" customFormat="false" ht="13.8" hidden="false" customHeight="false" outlineLevel="0" collapsed="false">
      <c r="A837" s="25" t="s">
        <v>5117</v>
      </c>
      <c r="B837" s="38" t="s">
        <v>3864</v>
      </c>
      <c r="C837" s="0" t="s">
        <v>3127</v>
      </c>
    </row>
    <row r="838" customFormat="false" ht="13.8" hidden="false" customHeight="false" outlineLevel="0" collapsed="false">
      <c r="A838" s="25" t="s">
        <v>5118</v>
      </c>
      <c r="B838" s="38" t="s">
        <v>3864</v>
      </c>
      <c r="C838" s="0" t="s">
        <v>3127</v>
      </c>
    </row>
    <row r="839" customFormat="false" ht="13.8" hidden="false" customHeight="false" outlineLevel="0" collapsed="false">
      <c r="A839" s="25" t="s">
        <v>5119</v>
      </c>
      <c r="B839" s="38" t="s">
        <v>3864</v>
      </c>
      <c r="C839" s="0" t="s">
        <v>3127</v>
      </c>
    </row>
  </sheetData>
  <autoFilter ref="A1:S719"/>
  <conditionalFormatting sqref="K2:L649 N2:N649 L650:L713">
    <cfRule type="containsText" priority="2" operator="containsText" aboveAverage="0" equalAverage="0" bottom="0" percent="0" rank="0" text="GET" dxfId="18">
      <formula>NOT(ISERROR(SEARCH("GET",K2)))</formula>
    </cfRule>
  </conditionalFormatting>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H2" activePane="bottomLeft" state="frozen"/>
      <selection pane="topLeft" activeCell="A1" activeCellId="0" sqref="A1"/>
      <selection pane="bottomLeft" activeCell="A8" activeCellId="0" sqref="A8"/>
    </sheetView>
  </sheetViews>
  <sheetFormatPr defaultColWidth="8.78515625" defaultRowHeight="13.8" zeroHeight="false" outlineLevelRow="0" outlineLevelCol="0"/>
  <cols>
    <col collapsed="false" customWidth="true" hidden="false" outlineLevel="0" max="6" min="1" style="0" width="20.3"/>
    <col collapsed="false" customWidth="true" hidden="false" outlineLevel="0" max="7" min="7" style="0" width="21.98"/>
    <col collapsed="false" customWidth="true" hidden="false" outlineLevel="0" max="12" min="8" style="0" width="20.3"/>
    <col collapsed="false" customWidth="true" hidden="false" outlineLevel="0" max="13" min="13" style="0" width="20.42"/>
    <col collapsed="false" customWidth="true" hidden="false" outlineLevel="0" max="14" min="14" style="0" width="12.71"/>
    <col collapsed="false" customWidth="true" hidden="false" outlineLevel="0" max="15" min="15" style="0" width="13.02"/>
    <col collapsed="false" customWidth="true" hidden="false" outlineLevel="0" max="17" min="16" style="0" width="7.29"/>
    <col collapsed="false" customWidth="true" hidden="false" outlineLevel="0" max="18" min="18" style="0" width="5.86"/>
    <col collapsed="false" customWidth="true" hidden="false" outlineLevel="0" max="19" min="19" style="0" width="15.42"/>
    <col collapsed="false" customWidth="true" hidden="false" outlineLevel="0" max="20" min="20" style="0" width="15.57"/>
    <col collapsed="false" customWidth="true" hidden="false" outlineLevel="0" max="21" min="21" style="0" width="16.29"/>
    <col collapsed="false" customWidth="true" hidden="false" outlineLevel="0" max="22" min="22" style="0" width="10.42"/>
    <col collapsed="false" customWidth="true" hidden="false" outlineLevel="0" max="23" min="23" style="0" width="10.58"/>
    <col collapsed="false" customWidth="true" hidden="false" outlineLevel="0" max="24" min="24" style="0" width="29.14"/>
    <col collapsed="false" customWidth="true" hidden="false" outlineLevel="0" max="25" min="25" style="0" width="12.86"/>
    <col collapsed="false" customWidth="true" hidden="false" outlineLevel="0" max="26" min="26" style="0" width="11.14"/>
    <col collapsed="false" customWidth="true" hidden="false" outlineLevel="0" max="27" min="27" style="0" width="11.71"/>
    <col collapsed="false" customWidth="true" hidden="false" outlineLevel="0" max="28" min="28" style="0" width="11.86"/>
    <col collapsed="false" customWidth="true" hidden="false" outlineLevel="0" max="29" min="29" style="0" width="17.4"/>
    <col collapsed="false" customWidth="true" hidden="false" outlineLevel="0" max="30" min="30" style="0" width="19.31"/>
    <col collapsed="false" customWidth="true" hidden="false" outlineLevel="0" max="31" min="31" style="0" width="10.71"/>
    <col collapsed="false" customWidth="true" hidden="false" outlineLevel="0" max="32" min="32" style="0" width="10.12"/>
    <col collapsed="false" customWidth="true" hidden="false" outlineLevel="0" max="33" min="33" style="0" width="12.42"/>
    <col collapsed="false" customWidth="true" hidden="false" outlineLevel="0" max="36" min="36" style="0" width="14.86"/>
    <col collapsed="false" customWidth="true" hidden="false" outlineLevel="0" max="37" min="37" style="0" width="11.42"/>
    <col collapsed="false" customWidth="true" hidden="false" outlineLevel="0" max="39" min="39" style="0" width="12.42"/>
    <col collapsed="false" customWidth="true" hidden="false" outlineLevel="0" max="40" min="40" style="0" width="14.01"/>
  </cols>
  <sheetData>
    <row r="1" s="8" customFormat="true" ht="13.8" hidden="false" customHeight="false" outlineLevel="0" collapsed="false">
      <c r="A1" s="8" t="s">
        <v>5120</v>
      </c>
      <c r="B1" s="8" t="s">
        <v>360</v>
      </c>
      <c r="C1" s="8" t="s">
        <v>5121</v>
      </c>
      <c r="D1" s="8" t="s">
        <v>5122</v>
      </c>
      <c r="E1" s="8" t="s">
        <v>5123</v>
      </c>
      <c r="F1" s="8" t="s">
        <v>5124</v>
      </c>
      <c r="G1" s="8" t="s">
        <v>5125</v>
      </c>
      <c r="H1" s="8" t="s">
        <v>5126</v>
      </c>
      <c r="I1" s="8" t="s">
        <v>5127</v>
      </c>
      <c r="J1" s="8" t="s">
        <v>5128</v>
      </c>
      <c r="K1" s="8" t="s">
        <v>415</v>
      </c>
      <c r="L1" s="15" t="s">
        <v>5129</v>
      </c>
      <c r="M1" s="8" t="s">
        <v>5130</v>
      </c>
      <c r="N1" s="8" t="s">
        <v>52</v>
      </c>
      <c r="O1" s="8" t="s">
        <v>252</v>
      </c>
      <c r="P1" s="8" t="s">
        <v>350</v>
      </c>
      <c r="Q1" s="8" t="s">
        <v>234</v>
      </c>
      <c r="R1" s="8" t="s">
        <v>316</v>
      </c>
      <c r="S1" s="8" t="s">
        <v>5131</v>
      </c>
      <c r="T1" s="8" t="s">
        <v>368</v>
      </c>
      <c r="U1" s="8" t="s">
        <v>371</v>
      </c>
      <c r="V1" s="8" t="s">
        <v>373</v>
      </c>
      <c r="W1" s="8" t="s">
        <v>364</v>
      </c>
      <c r="X1" s="8" t="s">
        <v>366</v>
      </c>
      <c r="Y1" s="8" t="s">
        <v>5132</v>
      </c>
      <c r="Z1" s="8" t="s">
        <v>5133</v>
      </c>
      <c r="AA1" s="8" t="s">
        <v>403</v>
      </c>
      <c r="AB1" s="8" t="s">
        <v>395</v>
      </c>
      <c r="AC1" s="8" t="s">
        <v>397</v>
      </c>
      <c r="AD1" s="8" t="s">
        <v>5134</v>
      </c>
      <c r="AE1" s="8" t="s">
        <v>5135</v>
      </c>
      <c r="AF1" s="8" t="s">
        <v>5136</v>
      </c>
      <c r="AG1" s="8" t="s">
        <v>5137</v>
      </c>
      <c r="AH1" s="8" t="s">
        <v>5138</v>
      </c>
      <c r="AI1" s="8" t="s">
        <v>5139</v>
      </c>
      <c r="AJ1" s="8" t="s">
        <v>5140</v>
      </c>
      <c r="AK1" s="8" t="s">
        <v>5141</v>
      </c>
      <c r="AL1" s="8" t="s">
        <v>5142</v>
      </c>
      <c r="AM1" s="8" t="s">
        <v>5143</v>
      </c>
      <c r="AN1" s="8" t="s">
        <v>5144</v>
      </c>
      <c r="AO1" s="8" t="s">
        <v>5145</v>
      </c>
      <c r="AP1" s="8" t="s">
        <v>5146</v>
      </c>
      <c r="AQ1" s="8" t="s">
        <v>5147</v>
      </c>
      <c r="AR1" s="8" t="s">
        <v>5148</v>
      </c>
      <c r="AMD1" s="0"/>
      <c r="AME1" s="0"/>
      <c r="AMF1" s="0"/>
      <c r="AMG1" s="0"/>
      <c r="AMH1" s="0"/>
      <c r="AMI1" s="0"/>
      <c r="AMJ1" s="0"/>
    </row>
    <row r="2" customFormat="false" ht="13.8" hidden="false" customHeight="false" outlineLevel="0" collapsed="false">
      <c r="A2" s="30" t="s">
        <v>5149</v>
      </c>
      <c r="B2" s="30" t="s">
        <v>513</v>
      </c>
      <c r="C2" s="30" t="s">
        <v>5150</v>
      </c>
      <c r="D2" s="30" t="s">
        <v>5151</v>
      </c>
      <c r="E2" s="30"/>
      <c r="F2" s="30"/>
      <c r="G2" s="30"/>
      <c r="H2" s="30"/>
      <c r="I2" s="30"/>
      <c r="J2" s="30" t="s">
        <v>509</v>
      </c>
      <c r="K2" s="30"/>
      <c r="L2" s="30"/>
      <c r="M2" s="30" t="s">
        <v>487</v>
      </c>
      <c r="N2" s="56" t="s">
        <v>511</v>
      </c>
      <c r="O2" s="56" t="s">
        <v>361</v>
      </c>
      <c r="P2" s="56" t="n">
        <v>80</v>
      </c>
      <c r="Q2" s="30"/>
      <c r="R2" s="30"/>
      <c r="S2" s="30"/>
      <c r="T2" s="30"/>
      <c r="U2" s="30"/>
      <c r="V2" s="30"/>
      <c r="W2" s="30"/>
      <c r="X2" s="30"/>
      <c r="Y2" s="30"/>
      <c r="Z2" s="30"/>
      <c r="AA2" s="30"/>
      <c r="AB2" s="30"/>
      <c r="AC2" s="30"/>
      <c r="AD2" s="30"/>
      <c r="AE2" s="30"/>
      <c r="AF2" s="30"/>
      <c r="AG2" s="30"/>
      <c r="AH2" s="30"/>
      <c r="AI2" s="30"/>
      <c r="AJ2" s="30"/>
      <c r="AK2" s="30"/>
      <c r="AL2" s="30"/>
      <c r="AM2" s="30"/>
      <c r="AN2" s="30"/>
      <c r="AO2" s="30"/>
      <c r="AP2" s="30"/>
      <c r="AQ2" s="30"/>
      <c r="AR2" s="30"/>
    </row>
    <row r="3" customFormat="false" ht="15" hidden="false" customHeight="false" outlineLevel="0" collapsed="false">
      <c r="A3" s="30" t="s">
        <v>5152</v>
      </c>
      <c r="B3" s="30" t="s">
        <v>513</v>
      </c>
      <c r="C3" s="30" t="s">
        <v>5153</v>
      </c>
      <c r="D3" s="30" t="s">
        <v>5151</v>
      </c>
      <c r="E3" s="30"/>
      <c r="F3" s="30"/>
      <c r="G3" s="30"/>
      <c r="H3" s="30"/>
      <c r="I3" s="30"/>
      <c r="J3" s="30" t="s">
        <v>509</v>
      </c>
      <c r="K3" s="30"/>
      <c r="L3" s="30"/>
      <c r="M3" s="30" t="s">
        <v>487</v>
      </c>
      <c r="N3" s="57" t="s">
        <v>558</v>
      </c>
      <c r="O3" s="57"/>
      <c r="P3" s="57" t="n">
        <v>83</v>
      </c>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row>
    <row r="4" customFormat="false" ht="15" hidden="false" customHeight="false" outlineLevel="0" collapsed="false">
      <c r="A4" s="30" t="s">
        <v>5154</v>
      </c>
      <c r="B4" s="30" t="s">
        <v>513</v>
      </c>
      <c r="C4" s="30" t="s">
        <v>5155</v>
      </c>
      <c r="D4" s="30" t="s">
        <v>5151</v>
      </c>
      <c r="E4" s="30"/>
      <c r="F4" s="30"/>
      <c r="G4" s="30"/>
      <c r="H4" s="30"/>
      <c r="I4" s="30"/>
      <c r="J4" s="30" t="s">
        <v>509</v>
      </c>
      <c r="K4" s="30"/>
      <c r="L4" s="30"/>
      <c r="M4" s="30" t="s">
        <v>487</v>
      </c>
      <c r="N4" s="56" t="s">
        <v>558</v>
      </c>
      <c r="O4" s="57"/>
      <c r="P4" s="57" t="n">
        <v>79.4</v>
      </c>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row>
    <row r="5" customFormat="false" ht="15" hidden="false" customHeight="false" outlineLevel="0" collapsed="false">
      <c r="A5" s="30" t="s">
        <v>5156</v>
      </c>
      <c r="B5" s="30" t="s">
        <v>513</v>
      </c>
      <c r="C5" s="30" t="s">
        <v>5157</v>
      </c>
      <c r="D5" s="30" t="s">
        <v>5151</v>
      </c>
      <c r="E5" s="30"/>
      <c r="F5" s="30"/>
      <c r="G5" s="30"/>
      <c r="H5" s="30"/>
      <c r="I5" s="30"/>
      <c r="J5" s="30" t="s">
        <v>509</v>
      </c>
      <c r="K5" s="30"/>
      <c r="L5" s="30"/>
      <c r="M5" s="30" t="s">
        <v>487</v>
      </c>
      <c r="N5" s="56" t="s">
        <v>558</v>
      </c>
      <c r="O5" s="57"/>
      <c r="P5" s="56" t="n">
        <v>85.7</v>
      </c>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row>
    <row r="6" customFormat="false" ht="15" hidden="false" customHeight="false" outlineLevel="0" collapsed="false">
      <c r="A6" s="30" t="s">
        <v>5158</v>
      </c>
      <c r="B6" s="30" t="s">
        <v>513</v>
      </c>
      <c r="C6" s="30" t="s">
        <v>5159</v>
      </c>
      <c r="D6" s="30" t="s">
        <v>5151</v>
      </c>
      <c r="E6" s="30"/>
      <c r="F6" s="30"/>
      <c r="G6" s="30"/>
      <c r="H6" s="30"/>
      <c r="I6" s="30"/>
      <c r="J6" s="30" t="s">
        <v>509</v>
      </c>
      <c r="K6" s="30"/>
      <c r="L6" s="30"/>
      <c r="M6" s="30" t="s">
        <v>487</v>
      </c>
      <c r="N6" s="56" t="s">
        <v>558</v>
      </c>
      <c r="O6" s="57"/>
      <c r="P6" s="56" t="n">
        <v>82.2</v>
      </c>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row>
    <row r="7" customFormat="false" ht="15" hidden="false" customHeight="false" outlineLevel="0" collapsed="false">
      <c r="A7" s="30" t="s">
        <v>5160</v>
      </c>
      <c r="B7" s="30" t="s">
        <v>513</v>
      </c>
      <c r="C7" s="30" t="s">
        <v>5161</v>
      </c>
      <c r="D7" s="30" t="s">
        <v>5151</v>
      </c>
      <c r="E7" s="30"/>
      <c r="F7" s="30"/>
      <c r="G7" s="30"/>
      <c r="H7" s="30"/>
      <c r="I7" s="30"/>
      <c r="J7" s="30" t="s">
        <v>509</v>
      </c>
      <c r="K7" s="30"/>
      <c r="L7" s="30"/>
      <c r="M7" s="30" t="s">
        <v>487</v>
      </c>
      <c r="N7" s="56" t="s">
        <v>558</v>
      </c>
      <c r="O7" s="57"/>
      <c r="P7" s="56" t="n">
        <v>83.7</v>
      </c>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row>
    <row r="8" customFormat="false" ht="15" hidden="false" customHeight="false" outlineLevel="0" collapsed="false">
      <c r="A8" s="30" t="s">
        <v>5162</v>
      </c>
      <c r="B8" s="30" t="s">
        <v>513</v>
      </c>
      <c r="C8" s="30" t="s">
        <v>5163</v>
      </c>
      <c r="D8" s="30" t="s">
        <v>5151</v>
      </c>
      <c r="E8" s="30"/>
      <c r="F8" s="30"/>
      <c r="G8" s="30"/>
      <c r="H8" s="30"/>
      <c r="I8" s="30"/>
      <c r="J8" s="30" t="s">
        <v>509</v>
      </c>
      <c r="K8" s="30"/>
      <c r="L8" s="30"/>
      <c r="M8" s="30" t="s">
        <v>487</v>
      </c>
      <c r="N8" s="56" t="s">
        <v>558</v>
      </c>
      <c r="O8" s="57"/>
      <c r="P8" s="56" t="n">
        <v>80.6</v>
      </c>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row>
    <row r="9" customFormat="false" ht="15" hidden="false" customHeight="false" outlineLevel="0" collapsed="false">
      <c r="A9" s="30" t="s">
        <v>5164</v>
      </c>
      <c r="B9" s="30" t="s">
        <v>513</v>
      </c>
      <c r="C9" s="30" t="s">
        <v>1807</v>
      </c>
      <c r="D9" s="30" t="s">
        <v>5151</v>
      </c>
      <c r="E9" s="30"/>
      <c r="F9" s="30"/>
      <c r="G9" s="30"/>
      <c r="H9" s="30"/>
      <c r="I9" s="30"/>
      <c r="J9" s="30" t="s">
        <v>509</v>
      </c>
      <c r="K9" s="30"/>
      <c r="L9" s="30"/>
      <c r="M9" s="30" t="s">
        <v>487</v>
      </c>
      <c r="N9" s="56" t="s">
        <v>558</v>
      </c>
      <c r="O9" s="57"/>
      <c r="P9" s="56" t="n">
        <v>95.8</v>
      </c>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row>
    <row r="10" customFormat="false" ht="15" hidden="false" customHeight="false" outlineLevel="0" collapsed="false">
      <c r="A10" s="30" t="s">
        <v>5165</v>
      </c>
      <c r="B10" s="30" t="s">
        <v>518</v>
      </c>
      <c r="C10" s="30" t="s">
        <v>2044</v>
      </c>
      <c r="D10" s="30" t="s">
        <v>5151</v>
      </c>
      <c r="E10" s="30"/>
      <c r="F10" s="30"/>
      <c r="G10" s="30"/>
      <c r="H10" s="30"/>
      <c r="I10" s="30"/>
      <c r="J10" s="30" t="s">
        <v>509</v>
      </c>
      <c r="K10" s="30"/>
      <c r="L10" s="30"/>
      <c r="M10" s="30" t="s">
        <v>487</v>
      </c>
      <c r="N10" s="30" t="s">
        <v>511</v>
      </c>
      <c r="O10" s="57"/>
      <c r="P10" s="57" t="n">
        <v>44.1</v>
      </c>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row>
    <row r="11" customFormat="false" ht="15" hidden="false" customHeight="false" outlineLevel="0" collapsed="false">
      <c r="A11" s="30" t="s">
        <v>5166</v>
      </c>
      <c r="B11" s="30" t="s">
        <v>518</v>
      </c>
      <c r="C11" s="30" t="s">
        <v>2371</v>
      </c>
      <c r="D11" s="30" t="s">
        <v>5151</v>
      </c>
      <c r="E11" s="30"/>
      <c r="F11" s="30"/>
      <c r="G11" s="30"/>
      <c r="H11" s="30"/>
      <c r="I11" s="30"/>
      <c r="J11" s="30" t="s">
        <v>509</v>
      </c>
      <c r="K11" s="30"/>
      <c r="L11" s="30"/>
      <c r="M11" s="30" t="s">
        <v>487</v>
      </c>
      <c r="N11" s="30" t="s">
        <v>558</v>
      </c>
      <c r="O11" s="57"/>
      <c r="P11" s="57" t="n">
        <v>39.9</v>
      </c>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row>
    <row r="12" customFormat="false" ht="13.8" hidden="false" customHeight="false" outlineLevel="0" collapsed="false">
      <c r="A12" s="30" t="s">
        <v>5167</v>
      </c>
      <c r="B12" s="30" t="s">
        <v>518</v>
      </c>
      <c r="C12" s="30" t="s">
        <v>5168</v>
      </c>
      <c r="D12" s="30" t="s">
        <v>5151</v>
      </c>
      <c r="E12" s="30"/>
      <c r="F12" s="30"/>
      <c r="G12" s="30"/>
      <c r="H12" s="30"/>
      <c r="I12" s="30"/>
      <c r="J12" s="30" t="s">
        <v>509</v>
      </c>
      <c r="K12" s="30"/>
      <c r="L12" s="30"/>
      <c r="M12" s="30" t="s">
        <v>487</v>
      </c>
      <c r="N12" s="30" t="s">
        <v>558</v>
      </c>
      <c r="O12" s="56" t="s">
        <v>361</v>
      </c>
      <c r="P12" s="56" t="n">
        <v>44.1</v>
      </c>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row>
    <row r="13" customFormat="false" ht="15" hidden="false" customHeight="false" outlineLevel="0" collapsed="false">
      <c r="A13" s="30" t="s">
        <v>5169</v>
      </c>
      <c r="B13" s="0" t="s">
        <v>665</v>
      </c>
      <c r="C13" s="0" t="s">
        <v>2912</v>
      </c>
      <c r="L13" s="10"/>
      <c r="M13" s="0" t="s">
        <v>487</v>
      </c>
      <c r="N13" s="10"/>
      <c r="O13" s="58" t="n">
        <v>201307220</v>
      </c>
      <c r="P13" s="10"/>
      <c r="Q13" s="10"/>
      <c r="R13" s="10"/>
      <c r="S13" s="10"/>
      <c r="T13" s="10" t="s">
        <v>5170</v>
      </c>
      <c r="U13" s="10"/>
      <c r="V13" s="10"/>
      <c r="W13" s="10"/>
      <c r="X13" s="10"/>
      <c r="Y13" s="10"/>
      <c r="Z13" s="10"/>
      <c r="AA13" s="10"/>
      <c r="AB13" s="10"/>
      <c r="AC13" s="10"/>
      <c r="AD13" s="10"/>
      <c r="AE13" s="10"/>
      <c r="AF13" s="10"/>
      <c r="AG13" s="10"/>
      <c r="AH13" s="10"/>
      <c r="AI13" s="10"/>
      <c r="AJ13" s="10"/>
      <c r="AK13" s="10"/>
      <c r="AL13" s="10"/>
      <c r="AM13" s="10"/>
      <c r="AN13" s="10"/>
      <c r="AO13" s="10"/>
      <c r="AP13" s="10"/>
      <c r="AQ13" s="10"/>
    </row>
    <row r="14" customFormat="false" ht="15" hidden="false" customHeight="false" outlineLevel="0" collapsed="false">
      <c r="A14" s="30" t="s">
        <v>5171</v>
      </c>
      <c r="B14" s="0" t="s">
        <v>690</v>
      </c>
      <c r="C14" s="0" t="s">
        <v>2912</v>
      </c>
      <c r="L14" s="10"/>
      <c r="M14" s="0" t="s">
        <v>487</v>
      </c>
      <c r="N14" s="10"/>
      <c r="O14" s="58" t="n">
        <v>102158934</v>
      </c>
      <c r="P14" s="10"/>
      <c r="Q14" s="10"/>
      <c r="R14" s="10"/>
      <c r="S14" s="10"/>
      <c r="T14" s="10" t="s">
        <v>5172</v>
      </c>
      <c r="U14" s="10"/>
      <c r="V14" s="10"/>
      <c r="W14" s="10"/>
      <c r="X14" s="10"/>
      <c r="Y14" s="10"/>
      <c r="Z14" s="10"/>
      <c r="AA14" s="10"/>
      <c r="AB14" s="10"/>
      <c r="AC14" s="10"/>
      <c r="AD14" s="10"/>
      <c r="AE14" s="10"/>
      <c r="AF14" s="10"/>
      <c r="AG14" s="10"/>
      <c r="AH14" s="10"/>
      <c r="AI14" s="10"/>
      <c r="AJ14" s="10"/>
      <c r="AK14" s="10"/>
      <c r="AL14" s="10"/>
      <c r="AM14" s="10"/>
      <c r="AN14" s="10"/>
      <c r="AO14" s="10"/>
      <c r="AP14" s="10"/>
      <c r="AQ14" s="10"/>
    </row>
    <row r="15" customFormat="false" ht="15" hidden="false" customHeight="false" outlineLevel="0" collapsed="false">
      <c r="A15" s="30" t="s">
        <v>5173</v>
      </c>
      <c r="B15" s="0" t="s">
        <v>694</v>
      </c>
      <c r="C15" s="0" t="s">
        <v>2912</v>
      </c>
      <c r="L15" s="10"/>
      <c r="M15" s="0" t="s">
        <v>487</v>
      </c>
      <c r="N15" s="10"/>
      <c r="O15" s="59" t="n">
        <v>107602491</v>
      </c>
      <c r="P15" s="10"/>
      <c r="Q15" s="10"/>
      <c r="R15" s="10"/>
      <c r="S15" s="10"/>
      <c r="T15" s="10" t="s">
        <v>5174</v>
      </c>
      <c r="U15" s="10"/>
      <c r="V15" s="10"/>
      <c r="W15" s="10"/>
      <c r="X15" s="10"/>
      <c r="Y15" s="10"/>
      <c r="Z15" s="10"/>
      <c r="AA15" s="10"/>
      <c r="AB15" s="10"/>
      <c r="AC15" s="10"/>
      <c r="AD15" s="10"/>
      <c r="AE15" s="10"/>
      <c r="AF15" s="10"/>
      <c r="AG15" s="10"/>
      <c r="AH15" s="10"/>
      <c r="AI15" s="10"/>
      <c r="AJ15" s="10"/>
      <c r="AK15" s="10"/>
      <c r="AL15" s="10"/>
      <c r="AM15" s="10"/>
      <c r="AN15" s="10"/>
      <c r="AO15" s="10"/>
      <c r="AP15" s="10"/>
      <c r="AQ15" s="10"/>
    </row>
    <row r="16" s="30" customFormat="true" ht="15" hidden="false" customHeight="false" outlineLevel="0" collapsed="false">
      <c r="A16" s="30" t="s">
        <v>5175</v>
      </c>
      <c r="B16" s="0" t="s">
        <v>700</v>
      </c>
      <c r="C16" s="0" t="s">
        <v>2912</v>
      </c>
      <c r="D16" s="0"/>
      <c r="E16" s="0"/>
      <c r="F16" s="0"/>
      <c r="G16" s="0"/>
      <c r="H16" s="0"/>
      <c r="I16" s="0"/>
      <c r="J16" s="0"/>
      <c r="K16" s="0"/>
      <c r="L16" s="10"/>
      <c r="M16" s="0" t="s">
        <v>487</v>
      </c>
      <c r="N16" s="10"/>
      <c r="O16" s="58" t="n">
        <v>201111010</v>
      </c>
      <c r="P16" s="10"/>
      <c r="Q16" s="10"/>
      <c r="R16" s="10"/>
      <c r="S16" s="10"/>
      <c r="T16" s="10" t="s">
        <v>5176</v>
      </c>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0"/>
      <c r="AMD16" s="0"/>
      <c r="AME16" s="0"/>
      <c r="AMF16" s="0"/>
      <c r="AMG16" s="0"/>
      <c r="AMH16" s="0"/>
      <c r="AMI16" s="0"/>
      <c r="AMJ16" s="0"/>
    </row>
    <row r="17" s="30" customFormat="true" ht="15" hidden="false" customHeight="false" outlineLevel="0" collapsed="false">
      <c r="A17" s="30" t="s">
        <v>5177</v>
      </c>
      <c r="B17" s="0" t="s">
        <v>705</v>
      </c>
      <c r="C17" s="0" t="s">
        <v>2912</v>
      </c>
      <c r="D17" s="0"/>
      <c r="E17" s="0"/>
      <c r="F17" s="0"/>
      <c r="G17" s="0"/>
      <c r="H17" s="0"/>
      <c r="I17" s="0"/>
      <c r="J17" s="0"/>
      <c r="K17" s="0"/>
      <c r="L17" s="10"/>
      <c r="M17" s="0" t="s">
        <v>487</v>
      </c>
      <c r="N17" s="10"/>
      <c r="O17" s="58" t="n">
        <v>201187942</v>
      </c>
      <c r="P17" s="10"/>
      <c r="Q17" s="10"/>
      <c r="R17" s="10"/>
      <c r="S17" s="10"/>
      <c r="T17" s="10" t="s">
        <v>5178</v>
      </c>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0"/>
      <c r="AMD17" s="0"/>
      <c r="AME17" s="0"/>
      <c r="AMF17" s="0"/>
      <c r="AMG17" s="0"/>
      <c r="AMH17" s="0"/>
      <c r="AMI17" s="0"/>
      <c r="AMJ17" s="0"/>
    </row>
    <row r="18" s="30" customFormat="true" ht="13.8" hidden="false" customHeight="false" outlineLevel="0" collapsed="false">
      <c r="A18" s="30" t="s">
        <v>5179</v>
      </c>
      <c r="B18" s="0" t="s">
        <v>711</v>
      </c>
      <c r="C18" s="0" t="s">
        <v>2912</v>
      </c>
      <c r="D18" s="0"/>
      <c r="E18" s="0"/>
      <c r="F18" s="0"/>
      <c r="G18" s="0"/>
      <c r="H18" s="0"/>
      <c r="I18" s="0"/>
      <c r="J18" s="0"/>
      <c r="K18" s="0"/>
      <c r="L18" s="10"/>
      <c r="M18" s="0" t="s">
        <v>487</v>
      </c>
      <c r="N18" s="10"/>
      <c r="O18" s="10" t="n">
        <v>201266669</v>
      </c>
      <c r="P18" s="10"/>
      <c r="Q18" s="10"/>
      <c r="R18" s="10"/>
      <c r="S18" s="10"/>
      <c r="T18" s="10" t="s">
        <v>5180</v>
      </c>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0"/>
      <c r="AMD18" s="0"/>
      <c r="AME18" s="0"/>
      <c r="AMF18" s="0"/>
      <c r="AMG18" s="0"/>
      <c r="AMH18" s="0"/>
      <c r="AMI18" s="0"/>
      <c r="AMJ18" s="0"/>
    </row>
    <row r="19" s="30" customFormat="true" ht="15" hidden="false" customHeight="false" outlineLevel="0" collapsed="false">
      <c r="A19" s="30" t="s">
        <v>5181</v>
      </c>
      <c r="B19" s="0" t="s">
        <v>717</v>
      </c>
      <c r="C19" s="0" t="s">
        <v>2912</v>
      </c>
      <c r="D19" s="0"/>
      <c r="E19" s="0"/>
      <c r="F19" s="0"/>
      <c r="G19" s="0"/>
      <c r="H19" s="0"/>
      <c r="I19" s="0"/>
      <c r="J19" s="0"/>
      <c r="K19" s="0"/>
      <c r="L19" s="10"/>
      <c r="M19" s="0" t="s">
        <v>487</v>
      </c>
      <c r="N19" s="10"/>
      <c r="O19" s="60" t="n">
        <v>201280053</v>
      </c>
      <c r="P19" s="10"/>
      <c r="Q19" s="10"/>
      <c r="R19" s="10"/>
      <c r="S19" s="10"/>
      <c r="T19" s="10" t="s">
        <v>5176</v>
      </c>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0"/>
      <c r="AMD19" s="0"/>
      <c r="AME19" s="0"/>
      <c r="AMF19" s="0"/>
      <c r="AMG19" s="0"/>
      <c r="AMH19" s="0"/>
      <c r="AMI19" s="0"/>
      <c r="AMJ19" s="0"/>
    </row>
    <row r="20" s="30" customFormat="true" ht="13.8" hidden="false" customHeight="false" outlineLevel="0" collapsed="false">
      <c r="A20" s="30" t="s">
        <v>5182</v>
      </c>
      <c r="B20" s="0" t="s">
        <v>722</v>
      </c>
      <c r="C20" s="0" t="s">
        <v>2912</v>
      </c>
      <c r="D20" s="0"/>
      <c r="E20" s="0"/>
      <c r="F20" s="0"/>
      <c r="G20" s="0"/>
      <c r="H20" s="0"/>
      <c r="I20" s="0"/>
      <c r="J20" s="0"/>
      <c r="K20" s="0"/>
      <c r="L20" s="10"/>
      <c r="M20" s="0" t="s">
        <v>487</v>
      </c>
      <c r="N20" s="10"/>
      <c r="O20" s="10" t="n">
        <v>106144077</v>
      </c>
      <c r="P20" s="10"/>
      <c r="Q20" s="10"/>
      <c r="R20" s="10"/>
      <c r="S20" s="10"/>
      <c r="T20" s="10" t="s">
        <v>5183</v>
      </c>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0"/>
      <c r="AMD20" s="0"/>
      <c r="AME20" s="0"/>
      <c r="AMF20" s="0"/>
      <c r="AMG20" s="0"/>
      <c r="AMH20" s="0"/>
      <c r="AMI20" s="0"/>
      <c r="AMJ20" s="0"/>
    </row>
    <row r="21" s="30" customFormat="true" ht="15" hidden="false" customHeight="false" outlineLevel="0" collapsed="false">
      <c r="A21" s="30" t="s">
        <v>5184</v>
      </c>
      <c r="B21" s="0" t="s">
        <v>791</v>
      </c>
      <c r="C21" s="0" t="s">
        <v>2912</v>
      </c>
      <c r="D21" s="0"/>
      <c r="E21" s="0"/>
      <c r="F21" s="0"/>
      <c r="G21" s="0"/>
      <c r="H21" s="0"/>
      <c r="I21" s="0"/>
      <c r="J21" s="0"/>
      <c r="K21" s="0"/>
      <c r="L21" s="10"/>
      <c r="M21" s="0" t="s">
        <v>487</v>
      </c>
      <c r="N21" s="10"/>
      <c r="O21" s="61" t="n">
        <v>106881934</v>
      </c>
      <c r="P21" s="10"/>
      <c r="Q21" s="10"/>
      <c r="R21" s="10"/>
      <c r="S21" s="10"/>
      <c r="T21" s="10" t="s">
        <v>5180</v>
      </c>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0"/>
      <c r="AMD21" s="0"/>
      <c r="AME21" s="0"/>
      <c r="AMF21" s="0"/>
      <c r="AMG21" s="0"/>
      <c r="AMH21" s="0"/>
      <c r="AMI21" s="0"/>
      <c r="AMJ21" s="0"/>
    </row>
    <row r="22" s="30" customFormat="true" ht="15" hidden="false" customHeight="false" outlineLevel="0" collapsed="false">
      <c r="A22" s="30" t="s">
        <v>5185</v>
      </c>
      <c r="B22" s="0" t="s">
        <v>813</v>
      </c>
      <c r="C22" s="0" t="s">
        <v>2912</v>
      </c>
      <c r="D22" s="0"/>
      <c r="E22" s="0"/>
      <c r="F22" s="0"/>
      <c r="G22" s="0"/>
      <c r="H22" s="0"/>
      <c r="I22" s="0"/>
      <c r="J22" s="0"/>
      <c r="K22" s="0"/>
      <c r="L22" s="10"/>
      <c r="M22" s="0" t="s">
        <v>487</v>
      </c>
      <c r="N22" s="10"/>
      <c r="O22" s="58" t="n">
        <v>201306279</v>
      </c>
      <c r="P22" s="10"/>
      <c r="Q22" s="10"/>
      <c r="R22" s="10"/>
      <c r="S22" s="10"/>
      <c r="T22" s="10" t="s">
        <v>5183</v>
      </c>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0"/>
      <c r="AMD22" s="0"/>
      <c r="AME22" s="0"/>
      <c r="AMF22" s="0"/>
      <c r="AMG22" s="0"/>
      <c r="AMH22" s="0"/>
      <c r="AMI22" s="0"/>
      <c r="AMJ22" s="0"/>
    </row>
    <row r="23" s="30" customFormat="true" ht="15" hidden="false" customHeight="false" outlineLevel="0" collapsed="false">
      <c r="A23" s="30" t="s">
        <v>5186</v>
      </c>
      <c r="B23" s="0" t="s">
        <v>863</v>
      </c>
      <c r="C23" s="0" t="s">
        <v>2912</v>
      </c>
      <c r="D23" s="0"/>
      <c r="E23" s="0"/>
      <c r="F23" s="0"/>
      <c r="G23" s="0"/>
      <c r="H23" s="0"/>
      <c r="I23" s="0"/>
      <c r="J23" s="0"/>
      <c r="K23" s="0"/>
      <c r="L23" s="10"/>
      <c r="M23" s="0" t="s">
        <v>487</v>
      </c>
      <c r="N23" s="10"/>
      <c r="O23" s="58" t="n">
        <v>201341408</v>
      </c>
      <c r="P23" s="10"/>
      <c r="Q23" s="10"/>
      <c r="R23" s="10"/>
      <c r="S23" s="10"/>
      <c r="T23" s="10" t="s">
        <v>5180</v>
      </c>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0"/>
      <c r="AMD23" s="0"/>
      <c r="AME23" s="0"/>
      <c r="AMF23" s="0"/>
      <c r="AMG23" s="0"/>
      <c r="AMH23" s="0"/>
      <c r="AMI23" s="0"/>
      <c r="AMJ23" s="0"/>
    </row>
    <row r="24" s="30" customFormat="true" ht="13.8" hidden="false" customHeight="false" outlineLevel="0" collapsed="false">
      <c r="A24" s="30" t="s">
        <v>5187</v>
      </c>
      <c r="B24" s="30" t="s">
        <v>882</v>
      </c>
      <c r="C24" s="30" t="s">
        <v>5188</v>
      </c>
      <c r="D24" s="30" t="s">
        <v>5151</v>
      </c>
      <c r="J24" s="30" t="s">
        <v>509</v>
      </c>
      <c r="M24" s="30" t="s">
        <v>487</v>
      </c>
      <c r="N24" s="30" t="s">
        <v>511</v>
      </c>
      <c r="O24" s="56" t="s">
        <v>361</v>
      </c>
      <c r="P24" s="56" t="n">
        <v>14</v>
      </c>
      <c r="Q24" s="56" t="s">
        <v>361</v>
      </c>
      <c r="R24" s="56" t="s">
        <v>361</v>
      </c>
      <c r="S24" s="56" t="s">
        <v>361</v>
      </c>
      <c r="T24" s="56" t="s">
        <v>361</v>
      </c>
      <c r="U24" s="56" t="n">
        <v>14</v>
      </c>
      <c r="AMD24" s="0"/>
      <c r="AME24" s="0"/>
      <c r="AMF24" s="0"/>
      <c r="AMG24" s="0"/>
      <c r="AMH24" s="0"/>
      <c r="AMI24" s="0"/>
      <c r="AMJ24" s="0"/>
    </row>
    <row r="25" s="30" customFormat="true" ht="13.8" hidden="false" customHeight="false" outlineLevel="0" collapsed="false">
      <c r="A25" s="30" t="s">
        <v>5189</v>
      </c>
      <c r="B25" s="30" t="s">
        <v>882</v>
      </c>
      <c r="C25" s="30" t="s">
        <v>5190</v>
      </c>
      <c r="D25" s="30" t="s">
        <v>5151</v>
      </c>
      <c r="J25" s="30" t="s">
        <v>509</v>
      </c>
      <c r="M25" s="30" t="s">
        <v>487</v>
      </c>
      <c r="N25" s="30" t="s">
        <v>558</v>
      </c>
      <c r="O25" s="56" t="s">
        <v>361</v>
      </c>
      <c r="P25" s="56" t="n">
        <v>22.7</v>
      </c>
      <c r="Q25" s="56" t="s">
        <v>361</v>
      </c>
      <c r="R25" s="56" t="s">
        <v>361</v>
      </c>
      <c r="S25" s="56" t="s">
        <v>361</v>
      </c>
      <c r="T25" s="56" t="s">
        <v>361</v>
      </c>
      <c r="U25" s="56" t="n">
        <v>22.7</v>
      </c>
      <c r="AMD25" s="0"/>
      <c r="AME25" s="0"/>
      <c r="AMF25" s="0"/>
      <c r="AMG25" s="0"/>
      <c r="AMH25" s="0"/>
      <c r="AMI25" s="0"/>
      <c r="AMJ25" s="0"/>
    </row>
    <row r="26" s="30" customFormat="true" ht="13.8" hidden="false" customHeight="false" outlineLevel="0" collapsed="false">
      <c r="A26" s="30" t="s">
        <v>5191</v>
      </c>
      <c r="B26" s="30" t="s">
        <v>882</v>
      </c>
      <c r="C26" s="30" t="s">
        <v>5192</v>
      </c>
      <c r="D26" s="30" t="s">
        <v>5151</v>
      </c>
      <c r="J26" s="30" t="s">
        <v>509</v>
      </c>
      <c r="M26" s="30" t="s">
        <v>487</v>
      </c>
      <c r="N26" s="30" t="s">
        <v>558</v>
      </c>
      <c r="O26" s="56" t="s">
        <v>361</v>
      </c>
      <c r="P26" s="56" t="n">
        <v>30.4</v>
      </c>
      <c r="Q26" s="56" t="s">
        <v>361</v>
      </c>
      <c r="R26" s="56" t="s">
        <v>361</v>
      </c>
      <c r="S26" s="56" t="s">
        <v>361</v>
      </c>
      <c r="T26" s="56" t="s">
        <v>361</v>
      </c>
      <c r="U26" s="56" t="n">
        <v>30.4</v>
      </c>
      <c r="AMD26" s="0"/>
      <c r="AME26" s="0"/>
      <c r="AMF26" s="0"/>
      <c r="AMG26" s="0"/>
      <c r="AMH26" s="0"/>
      <c r="AMI26" s="0"/>
      <c r="AMJ26" s="0"/>
    </row>
    <row r="27" s="30" customFormat="true" ht="13.8" hidden="false" customHeight="false" outlineLevel="0" collapsed="false">
      <c r="A27" s="30" t="s">
        <v>5193</v>
      </c>
      <c r="B27" s="30" t="s">
        <v>886</v>
      </c>
      <c r="C27" s="30" t="s">
        <v>1888</v>
      </c>
      <c r="D27" s="30" t="s">
        <v>5151</v>
      </c>
      <c r="J27" s="30" t="s">
        <v>509</v>
      </c>
      <c r="M27" s="30" t="s">
        <v>487</v>
      </c>
      <c r="N27" s="56" t="s">
        <v>511</v>
      </c>
      <c r="O27" s="56" t="s">
        <v>361</v>
      </c>
      <c r="P27" s="56" t="n">
        <v>46.2</v>
      </c>
      <c r="Q27" s="56" t="s">
        <v>361</v>
      </c>
      <c r="R27" s="56" t="s">
        <v>361</v>
      </c>
      <c r="S27" s="56" t="s">
        <v>361</v>
      </c>
      <c r="T27" s="56" t="s">
        <v>361</v>
      </c>
      <c r="U27" s="56" t="n">
        <v>46.2</v>
      </c>
      <c r="AMD27" s="0"/>
      <c r="AME27" s="0"/>
      <c r="AMF27" s="0"/>
      <c r="AMG27" s="0"/>
      <c r="AMH27" s="0"/>
      <c r="AMI27" s="0"/>
      <c r="AMJ27" s="0"/>
    </row>
    <row r="28" s="30" customFormat="true" ht="15" hidden="false" customHeight="false" outlineLevel="0" collapsed="false">
      <c r="A28" s="30" t="s">
        <v>5194</v>
      </c>
      <c r="B28" s="0" t="s">
        <v>889</v>
      </c>
      <c r="C28" s="0" t="s">
        <v>2912</v>
      </c>
      <c r="D28" s="0"/>
      <c r="E28" s="0"/>
      <c r="F28" s="0"/>
      <c r="G28" s="0"/>
      <c r="H28" s="0"/>
      <c r="I28" s="0"/>
      <c r="J28" s="0"/>
      <c r="K28" s="0"/>
      <c r="L28" s="10"/>
      <c r="M28" s="0" t="s">
        <v>487</v>
      </c>
      <c r="N28" s="10"/>
      <c r="O28" s="58" t="n">
        <v>106655214</v>
      </c>
      <c r="P28" s="10"/>
      <c r="Q28" s="10"/>
      <c r="R28" s="10"/>
      <c r="S28" s="10"/>
      <c r="T28" s="10" t="s">
        <v>5178</v>
      </c>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0"/>
      <c r="AMD28" s="0"/>
      <c r="AME28" s="0"/>
      <c r="AMF28" s="0"/>
      <c r="AMG28" s="0"/>
      <c r="AMH28" s="0"/>
      <c r="AMI28" s="0"/>
      <c r="AMJ28" s="0"/>
    </row>
    <row r="29" s="30" customFormat="true" ht="13.8" hidden="false" customHeight="false" outlineLevel="0" collapsed="false">
      <c r="A29" s="30" t="s">
        <v>5195</v>
      </c>
      <c r="B29" s="0" t="s">
        <v>957</v>
      </c>
      <c r="C29" s="0" t="s">
        <v>5196</v>
      </c>
      <c r="D29" s="0" t="s">
        <v>5197</v>
      </c>
      <c r="E29" s="0"/>
      <c r="F29" s="0"/>
      <c r="G29" s="0"/>
      <c r="H29" s="0"/>
      <c r="I29" s="0"/>
      <c r="J29" s="0" t="s">
        <v>542</v>
      </c>
      <c r="K29" s="0"/>
      <c r="L29" s="0"/>
      <c r="M29" s="0" t="s">
        <v>5198</v>
      </c>
      <c r="N29" s="0" t="s">
        <v>511</v>
      </c>
      <c r="O29" s="0"/>
      <c r="P29" s="0" t="n">
        <v>54.8</v>
      </c>
      <c r="Q29" s="0" t="s">
        <v>487</v>
      </c>
      <c r="R29" s="0" t="s">
        <v>487</v>
      </c>
      <c r="S29" s="0" t="s">
        <v>487</v>
      </c>
      <c r="T29" s="0" t="s">
        <v>5199</v>
      </c>
      <c r="U29" s="0" t="n">
        <v>3.4</v>
      </c>
      <c r="V29" s="0"/>
      <c r="W29" s="0"/>
      <c r="X29" s="0"/>
      <c r="Y29" s="0"/>
      <c r="Z29" s="0"/>
      <c r="AA29" s="0"/>
      <c r="AB29" s="0"/>
      <c r="AC29" s="0"/>
      <c r="AD29" s="0"/>
      <c r="AE29" s="0"/>
      <c r="AF29" s="0"/>
      <c r="AG29" s="0"/>
      <c r="AH29" s="0"/>
      <c r="AI29" s="0"/>
      <c r="AJ29" s="0"/>
      <c r="AK29" s="0"/>
      <c r="AL29" s="0"/>
      <c r="AM29" s="0"/>
      <c r="AN29" s="0"/>
      <c r="AO29" s="0"/>
      <c r="AP29" s="0"/>
      <c r="AQ29" s="0"/>
      <c r="AR29" s="0"/>
      <c r="AMD29" s="0"/>
      <c r="AME29" s="0"/>
      <c r="AMF29" s="0"/>
      <c r="AMG29" s="0"/>
      <c r="AMH29" s="0"/>
      <c r="AMI29" s="0"/>
      <c r="AMJ29" s="0"/>
    </row>
    <row r="30" s="30" customFormat="true" ht="13.8" hidden="false" customHeight="false" outlineLevel="0" collapsed="false">
      <c r="A30" s="30" t="s">
        <v>5200</v>
      </c>
      <c r="B30" s="0" t="s">
        <v>962</v>
      </c>
      <c r="C30" s="0" t="s">
        <v>1944</v>
      </c>
      <c r="D30" s="0" t="s">
        <v>5197</v>
      </c>
      <c r="E30" s="0"/>
      <c r="F30" s="0"/>
      <c r="G30" s="0"/>
      <c r="H30" s="0"/>
      <c r="I30" s="0"/>
      <c r="J30" s="0" t="s">
        <v>542</v>
      </c>
      <c r="K30" s="0"/>
      <c r="L30" s="0"/>
      <c r="M30" s="0" t="s">
        <v>5201</v>
      </c>
      <c r="N30" s="0" t="s">
        <v>511</v>
      </c>
      <c r="O30" s="0"/>
      <c r="P30" s="0"/>
      <c r="Q30" s="0" t="s">
        <v>487</v>
      </c>
      <c r="R30" s="0" t="s">
        <v>487</v>
      </c>
      <c r="S30" s="0" t="s">
        <v>487</v>
      </c>
      <c r="T30" s="0" t="s">
        <v>5178</v>
      </c>
      <c r="U30" s="0" t="n">
        <v>1.8</v>
      </c>
      <c r="V30" s="0"/>
      <c r="W30" s="0"/>
      <c r="X30" s="0"/>
      <c r="Y30" s="0"/>
      <c r="Z30" s="0"/>
      <c r="AA30" s="0"/>
      <c r="AB30" s="0"/>
      <c r="AC30" s="0"/>
      <c r="AD30" s="0"/>
      <c r="AE30" s="0"/>
      <c r="AF30" s="0"/>
      <c r="AG30" s="0"/>
      <c r="AH30" s="0"/>
      <c r="AI30" s="0"/>
      <c r="AJ30" s="0"/>
      <c r="AK30" s="0"/>
      <c r="AL30" s="0"/>
      <c r="AM30" s="0"/>
      <c r="AN30" s="0"/>
      <c r="AO30" s="0"/>
      <c r="AP30" s="0"/>
      <c r="AQ30" s="0"/>
      <c r="AR30" s="0"/>
      <c r="AMD30" s="0"/>
      <c r="AME30" s="0"/>
      <c r="AMF30" s="0"/>
      <c r="AMG30" s="0"/>
      <c r="AMH30" s="0"/>
      <c r="AMI30" s="0"/>
      <c r="AMJ30" s="0"/>
    </row>
    <row r="31" s="30" customFormat="true" ht="13.8" hidden="false" customHeight="false" outlineLevel="0" collapsed="false">
      <c r="A31" s="30" t="s">
        <v>5202</v>
      </c>
      <c r="B31" s="0" t="s">
        <v>966</v>
      </c>
      <c r="C31" s="0" t="s">
        <v>2119</v>
      </c>
      <c r="D31" s="0" t="s">
        <v>5197</v>
      </c>
      <c r="E31" s="0"/>
      <c r="F31" s="0"/>
      <c r="G31" s="0"/>
      <c r="H31" s="0"/>
      <c r="I31" s="0"/>
      <c r="J31" s="0" t="s">
        <v>542</v>
      </c>
      <c r="K31" s="0"/>
      <c r="L31" s="0"/>
      <c r="M31" s="0" t="s">
        <v>5203</v>
      </c>
      <c r="N31" s="0" t="s">
        <v>511</v>
      </c>
      <c r="O31" s="0"/>
      <c r="P31" s="0" t="n">
        <v>35.3</v>
      </c>
      <c r="Q31" s="0" t="s">
        <v>487</v>
      </c>
      <c r="R31" s="0" t="s">
        <v>487</v>
      </c>
      <c r="S31" s="0" t="s">
        <v>487</v>
      </c>
      <c r="T31" s="0" t="s">
        <v>5204</v>
      </c>
      <c r="U31" s="0" t="n">
        <v>4.4</v>
      </c>
      <c r="V31" s="0"/>
      <c r="W31" s="0"/>
      <c r="X31" s="0"/>
      <c r="Y31" s="0"/>
      <c r="Z31" s="0"/>
      <c r="AA31" s="0"/>
      <c r="AB31" s="0"/>
      <c r="AC31" s="0"/>
      <c r="AD31" s="0"/>
      <c r="AE31" s="0"/>
      <c r="AF31" s="0"/>
      <c r="AG31" s="0"/>
      <c r="AH31" s="0"/>
      <c r="AI31" s="0"/>
      <c r="AJ31" s="0"/>
      <c r="AK31" s="0"/>
      <c r="AL31" s="0"/>
      <c r="AM31" s="0"/>
      <c r="AN31" s="0"/>
      <c r="AO31" s="0"/>
      <c r="AP31" s="0"/>
      <c r="AQ31" s="0"/>
      <c r="AR31" s="0"/>
      <c r="AMD31" s="0"/>
      <c r="AME31" s="0"/>
      <c r="AMF31" s="0"/>
      <c r="AMG31" s="0"/>
      <c r="AMH31" s="0"/>
      <c r="AMI31" s="0"/>
      <c r="AMJ31" s="0"/>
    </row>
    <row r="32" s="30" customFormat="true" ht="13.8" hidden="false" customHeight="false" outlineLevel="0" collapsed="false">
      <c r="A32" s="30" t="s">
        <v>5205</v>
      </c>
      <c r="B32" s="0" t="s">
        <v>970</v>
      </c>
      <c r="C32" s="0" t="s">
        <v>2122</v>
      </c>
      <c r="D32" s="0" t="s">
        <v>5197</v>
      </c>
      <c r="E32" s="0"/>
      <c r="F32" s="0"/>
      <c r="G32" s="0"/>
      <c r="H32" s="0"/>
      <c r="I32" s="0"/>
      <c r="J32" s="0" t="s">
        <v>542</v>
      </c>
      <c r="K32" s="0"/>
      <c r="L32" s="0"/>
      <c r="M32" s="0" t="s">
        <v>5206</v>
      </c>
      <c r="N32" s="0" t="s">
        <v>511</v>
      </c>
      <c r="O32" s="0"/>
      <c r="P32" s="0" t="n">
        <v>4.8</v>
      </c>
      <c r="Q32" s="0" t="s">
        <v>487</v>
      </c>
      <c r="R32" s="0" t="s">
        <v>487</v>
      </c>
      <c r="S32" s="0" t="s">
        <v>487</v>
      </c>
      <c r="T32" s="0" t="s">
        <v>5178</v>
      </c>
      <c r="U32" s="0" t="n">
        <v>2.8</v>
      </c>
      <c r="V32" s="0"/>
      <c r="W32" s="0"/>
      <c r="X32" s="0"/>
      <c r="Y32" s="0"/>
      <c r="Z32" s="0"/>
      <c r="AA32" s="0"/>
      <c r="AB32" s="0"/>
      <c r="AC32" s="0"/>
      <c r="AD32" s="0"/>
      <c r="AE32" s="0"/>
      <c r="AF32" s="0"/>
      <c r="AG32" s="0"/>
      <c r="AH32" s="0"/>
      <c r="AI32" s="0"/>
      <c r="AJ32" s="0"/>
      <c r="AK32" s="0"/>
      <c r="AL32" s="0"/>
      <c r="AM32" s="0"/>
      <c r="AN32" s="0"/>
      <c r="AO32" s="0"/>
      <c r="AP32" s="0"/>
      <c r="AQ32" s="0"/>
      <c r="AR32" s="0"/>
      <c r="AMD32" s="0"/>
      <c r="AME32" s="0"/>
      <c r="AMF32" s="0"/>
      <c r="AMG32" s="0"/>
      <c r="AMH32" s="0"/>
      <c r="AMI32" s="0"/>
      <c r="AMJ32" s="0"/>
    </row>
    <row r="33" s="30" customFormat="true" ht="13.8" hidden="false" customHeight="false" outlineLevel="0" collapsed="false">
      <c r="A33" s="30" t="s">
        <v>5207</v>
      </c>
      <c r="B33" s="0" t="s">
        <v>974</v>
      </c>
      <c r="C33" s="0" t="s">
        <v>2128</v>
      </c>
      <c r="D33" s="0" t="s">
        <v>5197</v>
      </c>
      <c r="E33" s="0"/>
      <c r="F33" s="0"/>
      <c r="G33" s="0"/>
      <c r="H33" s="0"/>
      <c r="I33" s="0"/>
      <c r="J33" s="0" t="s">
        <v>542</v>
      </c>
      <c r="K33" s="0"/>
      <c r="L33" s="0"/>
      <c r="M33" s="0" t="s">
        <v>5208</v>
      </c>
      <c r="N33" s="0" t="s">
        <v>511</v>
      </c>
      <c r="O33" s="0"/>
      <c r="P33" s="0" t="n">
        <v>29.2</v>
      </c>
      <c r="Q33" s="0" t="s">
        <v>487</v>
      </c>
      <c r="R33" s="0" t="s">
        <v>487</v>
      </c>
      <c r="S33" s="0" t="s">
        <v>487</v>
      </c>
      <c r="T33" s="0" t="s">
        <v>5209</v>
      </c>
      <c r="U33" s="62" t="n">
        <v>14.9</v>
      </c>
      <c r="V33" s="0"/>
      <c r="W33" s="0"/>
      <c r="X33" s="0"/>
      <c r="Y33" s="0"/>
      <c r="Z33" s="0"/>
      <c r="AA33" s="0"/>
      <c r="AB33" s="0"/>
      <c r="AC33" s="0"/>
      <c r="AD33" s="0"/>
      <c r="AE33" s="0"/>
      <c r="AF33" s="0"/>
      <c r="AG33" s="0"/>
      <c r="AH33" s="0"/>
      <c r="AI33" s="0"/>
      <c r="AJ33" s="0"/>
      <c r="AK33" s="0"/>
      <c r="AL33" s="0"/>
      <c r="AM33" s="0"/>
      <c r="AN33" s="0"/>
      <c r="AO33" s="0"/>
      <c r="AP33" s="0"/>
      <c r="AQ33" s="0"/>
      <c r="AR33" s="0"/>
      <c r="AMD33" s="0"/>
      <c r="AME33" s="0"/>
      <c r="AMF33" s="0"/>
      <c r="AMG33" s="0"/>
      <c r="AMH33" s="0"/>
      <c r="AMI33" s="0"/>
      <c r="AMJ33" s="0"/>
    </row>
    <row r="34" s="30" customFormat="true" ht="13.8" hidden="false" customHeight="false" outlineLevel="0" collapsed="false">
      <c r="A34" s="30" t="s">
        <v>5210</v>
      </c>
      <c r="B34" s="0" t="s">
        <v>978</v>
      </c>
      <c r="C34" s="0" t="s">
        <v>2133</v>
      </c>
      <c r="D34" s="0" t="s">
        <v>5197</v>
      </c>
      <c r="E34" s="0"/>
      <c r="F34" s="0"/>
      <c r="G34" s="0"/>
      <c r="H34" s="0"/>
      <c r="I34" s="0"/>
      <c r="J34" s="0" t="s">
        <v>542</v>
      </c>
      <c r="K34" s="0"/>
      <c r="L34" s="0"/>
      <c r="M34" s="0" t="s">
        <v>5211</v>
      </c>
      <c r="N34" s="0" t="s">
        <v>511</v>
      </c>
      <c r="O34" s="0"/>
      <c r="P34" s="0"/>
      <c r="Q34" s="0" t="s">
        <v>487</v>
      </c>
      <c r="R34" s="0" t="s">
        <v>487</v>
      </c>
      <c r="S34" s="0" t="s">
        <v>487</v>
      </c>
      <c r="T34" s="0" t="s">
        <v>5199</v>
      </c>
      <c r="U34" s="0" t="n">
        <v>2</v>
      </c>
      <c r="V34" s="0"/>
      <c r="W34" s="0"/>
      <c r="X34" s="0"/>
      <c r="Y34" s="0"/>
      <c r="Z34" s="0"/>
      <c r="AA34" s="0"/>
      <c r="AB34" s="0"/>
      <c r="AC34" s="0"/>
      <c r="AD34" s="0"/>
      <c r="AE34" s="0"/>
      <c r="AF34" s="0"/>
      <c r="AG34" s="0"/>
      <c r="AH34" s="0"/>
      <c r="AI34" s="0"/>
      <c r="AJ34" s="0"/>
      <c r="AK34" s="0"/>
      <c r="AL34" s="0"/>
      <c r="AM34" s="0"/>
      <c r="AN34" s="0"/>
      <c r="AO34" s="0"/>
      <c r="AP34" s="0"/>
      <c r="AQ34" s="0"/>
      <c r="AR34" s="0"/>
      <c r="AMD34" s="0"/>
      <c r="AME34" s="0"/>
      <c r="AMF34" s="0"/>
      <c r="AMG34" s="0"/>
      <c r="AMH34" s="0"/>
      <c r="AMI34" s="0"/>
      <c r="AMJ34" s="0"/>
    </row>
    <row r="35" s="30" customFormat="true" ht="13.8" hidden="false" customHeight="false" outlineLevel="0" collapsed="false">
      <c r="A35" s="30" t="s">
        <v>5212</v>
      </c>
      <c r="B35" s="0" t="s">
        <v>982</v>
      </c>
      <c r="C35" s="0" t="s">
        <v>2136</v>
      </c>
      <c r="D35" s="0" t="s">
        <v>5151</v>
      </c>
      <c r="E35" s="0"/>
      <c r="F35" s="0"/>
      <c r="G35" s="0"/>
      <c r="H35" s="0"/>
      <c r="I35" s="0"/>
      <c r="J35" s="0" t="s">
        <v>542</v>
      </c>
      <c r="K35" s="0"/>
      <c r="L35" s="0"/>
      <c r="M35" s="0" t="s">
        <v>5213</v>
      </c>
      <c r="N35" s="0" t="s">
        <v>511</v>
      </c>
      <c r="O35" s="0"/>
      <c r="P35" s="0" t="n">
        <v>4.5</v>
      </c>
      <c r="Q35" s="0" t="s">
        <v>487</v>
      </c>
      <c r="R35" s="0" t="s">
        <v>487</v>
      </c>
      <c r="S35" s="0" t="s">
        <v>487</v>
      </c>
      <c r="T35" s="0" t="s">
        <v>5172</v>
      </c>
      <c r="U35" s="62" t="n">
        <v>4.5</v>
      </c>
      <c r="V35" s="0"/>
      <c r="W35" s="0"/>
      <c r="X35" s="0"/>
      <c r="Y35" s="0"/>
      <c r="Z35" s="0"/>
      <c r="AA35" s="0"/>
      <c r="AB35" s="0"/>
      <c r="AC35" s="0"/>
      <c r="AD35" s="0"/>
      <c r="AE35" s="0"/>
      <c r="AF35" s="0"/>
      <c r="AG35" s="0"/>
      <c r="AH35" s="0"/>
      <c r="AI35" s="0"/>
      <c r="AJ35" s="0"/>
      <c r="AK35" s="0"/>
      <c r="AL35" s="0"/>
      <c r="AM35" s="0"/>
      <c r="AN35" s="0"/>
      <c r="AO35" s="0"/>
      <c r="AP35" s="0"/>
      <c r="AQ35" s="0"/>
      <c r="AR35" s="0"/>
      <c r="AMD35" s="0"/>
      <c r="AME35" s="0"/>
      <c r="AMF35" s="0"/>
      <c r="AMG35" s="0"/>
      <c r="AMH35" s="0"/>
      <c r="AMI35" s="0"/>
      <c r="AMJ35" s="0"/>
    </row>
    <row r="36" s="30" customFormat="true" ht="13.8" hidden="false" customHeight="false" outlineLevel="0" collapsed="false">
      <c r="A36" s="30" t="s">
        <v>5214</v>
      </c>
      <c r="B36" s="30" t="s">
        <v>986</v>
      </c>
      <c r="C36" s="30" t="s">
        <v>2912</v>
      </c>
      <c r="J36" s="30" t="s">
        <v>509</v>
      </c>
      <c r="M36" s="30" t="s">
        <v>487</v>
      </c>
      <c r="AMD36" s="0"/>
      <c r="AME36" s="0"/>
      <c r="AMF36" s="0"/>
      <c r="AMG36" s="0"/>
      <c r="AMH36" s="0"/>
      <c r="AMI36" s="0"/>
      <c r="AMJ36" s="0"/>
    </row>
    <row r="37" s="30" customFormat="true" ht="13.8" hidden="false" customHeight="false" outlineLevel="0" collapsed="false">
      <c r="A37" s="30" t="s">
        <v>5215</v>
      </c>
      <c r="B37" s="0" t="s">
        <v>989</v>
      </c>
      <c r="C37" s="0" t="s">
        <v>2147</v>
      </c>
      <c r="D37" s="0" t="s">
        <v>5197</v>
      </c>
      <c r="E37" s="0"/>
      <c r="F37" s="0"/>
      <c r="G37" s="0"/>
      <c r="H37" s="0"/>
      <c r="I37" s="0"/>
      <c r="J37" s="0" t="s">
        <v>542</v>
      </c>
      <c r="K37" s="0"/>
      <c r="L37" s="0"/>
      <c r="M37" s="0" t="s">
        <v>5216</v>
      </c>
      <c r="N37" s="0" t="s">
        <v>511</v>
      </c>
      <c r="O37" s="0"/>
      <c r="P37" s="0" t="n">
        <v>30.1</v>
      </c>
      <c r="Q37" s="0" t="s">
        <v>487</v>
      </c>
      <c r="R37" s="0" t="s">
        <v>487</v>
      </c>
      <c r="S37" s="0" t="s">
        <v>487</v>
      </c>
      <c r="T37" s="0" t="s">
        <v>5204</v>
      </c>
      <c r="U37" s="62" t="n">
        <v>3.7</v>
      </c>
      <c r="V37" s="0"/>
      <c r="W37" s="0"/>
      <c r="X37" s="0"/>
      <c r="Y37" s="0"/>
      <c r="Z37" s="0"/>
      <c r="AA37" s="0"/>
      <c r="AB37" s="0"/>
      <c r="AC37" s="0"/>
      <c r="AD37" s="0"/>
      <c r="AE37" s="0"/>
      <c r="AF37" s="0"/>
      <c r="AG37" s="0"/>
      <c r="AH37" s="0"/>
      <c r="AI37" s="0"/>
      <c r="AJ37" s="0"/>
      <c r="AK37" s="0"/>
      <c r="AL37" s="0"/>
      <c r="AM37" s="0"/>
      <c r="AN37" s="0"/>
      <c r="AO37" s="0"/>
      <c r="AP37" s="0"/>
      <c r="AQ37" s="0"/>
      <c r="AR37" s="0"/>
      <c r="AMD37" s="0"/>
      <c r="AME37" s="0"/>
      <c r="AMF37" s="0"/>
      <c r="AMG37" s="0"/>
      <c r="AMH37" s="0"/>
      <c r="AMI37" s="0"/>
      <c r="AMJ37" s="0"/>
    </row>
    <row r="38" customFormat="false" ht="13.8" hidden="false" customHeight="false" outlineLevel="0" collapsed="false">
      <c r="A38" s="30" t="s">
        <v>5217</v>
      </c>
      <c r="B38" s="0" t="s">
        <v>993</v>
      </c>
      <c r="C38" s="0" t="s">
        <v>2150</v>
      </c>
      <c r="D38" s="0" t="s">
        <v>5151</v>
      </c>
      <c r="J38" s="0" t="s">
        <v>542</v>
      </c>
      <c r="M38" s="0" t="s">
        <v>5218</v>
      </c>
      <c r="N38" s="0" t="s">
        <v>511</v>
      </c>
      <c r="P38" s="0" t="n">
        <v>5</v>
      </c>
      <c r="Q38" s="0" t="s">
        <v>487</v>
      </c>
      <c r="R38" s="0" t="s">
        <v>487</v>
      </c>
      <c r="S38" s="0" t="s">
        <v>487</v>
      </c>
      <c r="T38" s="0" t="s">
        <v>5204</v>
      </c>
      <c r="U38" s="0" t="n">
        <v>2.9</v>
      </c>
    </row>
    <row r="39" customFormat="false" ht="13.8" hidden="false" customHeight="false" outlineLevel="0" collapsed="false">
      <c r="A39" s="30" t="s">
        <v>5219</v>
      </c>
      <c r="B39" s="30" t="s">
        <v>997</v>
      </c>
      <c r="C39" s="30" t="s">
        <v>5220</v>
      </c>
      <c r="D39" s="30" t="s">
        <v>5151</v>
      </c>
      <c r="E39" s="30"/>
      <c r="F39" s="30"/>
      <c r="G39" s="30"/>
      <c r="H39" s="30"/>
      <c r="I39" s="30"/>
      <c r="J39" s="30" t="s">
        <v>509</v>
      </c>
      <c r="K39" s="30"/>
      <c r="L39" s="30"/>
      <c r="M39" s="30" t="s">
        <v>487</v>
      </c>
      <c r="N39" s="56" t="s">
        <v>558</v>
      </c>
      <c r="O39" s="56" t="s">
        <v>361</v>
      </c>
      <c r="P39" s="56" t="n">
        <v>31.6</v>
      </c>
      <c r="Q39" s="56" t="s">
        <v>361</v>
      </c>
      <c r="R39" s="56" t="s">
        <v>361</v>
      </c>
      <c r="S39" s="56" t="s">
        <v>361</v>
      </c>
      <c r="T39" s="56" t="s">
        <v>361</v>
      </c>
      <c r="U39" s="56" t="n">
        <v>31.6</v>
      </c>
      <c r="V39" s="30"/>
      <c r="W39" s="30"/>
      <c r="X39" s="30"/>
      <c r="Y39" s="30"/>
      <c r="Z39" s="30"/>
      <c r="AA39" s="30"/>
      <c r="AB39" s="30"/>
      <c r="AC39" s="30"/>
      <c r="AD39" s="30"/>
      <c r="AE39" s="30"/>
      <c r="AF39" s="30"/>
      <c r="AG39" s="30"/>
      <c r="AH39" s="30"/>
      <c r="AI39" s="30"/>
      <c r="AJ39" s="30"/>
      <c r="AK39" s="30"/>
      <c r="AL39" s="30"/>
      <c r="AM39" s="30"/>
      <c r="AN39" s="30"/>
      <c r="AO39" s="30"/>
      <c r="AP39" s="30"/>
      <c r="AQ39" s="30"/>
      <c r="AR39" s="30"/>
    </row>
    <row r="40" customFormat="false" ht="13.8" hidden="false" customHeight="false" outlineLevel="0" collapsed="false">
      <c r="A40" s="30" t="s">
        <v>5221</v>
      </c>
      <c r="B40" s="30" t="s">
        <v>1040</v>
      </c>
      <c r="C40" s="30" t="s">
        <v>5222</v>
      </c>
      <c r="D40" s="30" t="s">
        <v>5151</v>
      </c>
      <c r="E40" s="30"/>
      <c r="F40" s="30"/>
      <c r="G40" s="30"/>
      <c r="H40" s="30"/>
      <c r="I40" s="30"/>
      <c r="J40" s="30" t="s">
        <v>509</v>
      </c>
      <c r="K40" s="30"/>
      <c r="L40" s="30"/>
      <c r="M40" s="30" t="s">
        <v>487</v>
      </c>
      <c r="N40" s="56" t="s">
        <v>511</v>
      </c>
      <c r="O40" s="56" t="s">
        <v>361</v>
      </c>
      <c r="P40" s="56" t="n">
        <v>22.7</v>
      </c>
      <c r="Q40" s="56" t="s">
        <v>361</v>
      </c>
      <c r="R40" s="56" t="s">
        <v>361</v>
      </c>
      <c r="S40" s="56" t="s">
        <v>361</v>
      </c>
      <c r="T40" s="56" t="s">
        <v>361</v>
      </c>
      <c r="U40" s="56" t="n">
        <v>22.5</v>
      </c>
      <c r="V40" s="30"/>
      <c r="W40" s="30"/>
      <c r="X40" s="30"/>
      <c r="Y40" s="30"/>
      <c r="Z40" s="30"/>
      <c r="AA40" s="30"/>
      <c r="AB40" s="30"/>
      <c r="AC40" s="30"/>
      <c r="AD40" s="30"/>
      <c r="AE40" s="30"/>
      <c r="AF40" s="30"/>
      <c r="AG40" s="30"/>
      <c r="AH40" s="30"/>
      <c r="AI40" s="30"/>
      <c r="AJ40" s="30"/>
      <c r="AK40" s="30"/>
      <c r="AL40" s="30"/>
      <c r="AM40" s="30"/>
      <c r="AN40" s="30"/>
      <c r="AO40" s="30"/>
      <c r="AP40" s="30"/>
      <c r="AQ40" s="30"/>
      <c r="AR40" s="30"/>
    </row>
    <row r="41" customFormat="false" ht="13.8" hidden="false" customHeight="false" outlineLevel="0" collapsed="false">
      <c r="A41" s="30" t="s">
        <v>5223</v>
      </c>
      <c r="B41" s="30" t="s">
        <v>1040</v>
      </c>
      <c r="C41" s="30" t="s">
        <v>2150</v>
      </c>
      <c r="D41" s="30" t="s">
        <v>5151</v>
      </c>
      <c r="E41" s="30"/>
      <c r="F41" s="30"/>
      <c r="G41" s="30"/>
      <c r="H41" s="30"/>
      <c r="I41" s="30"/>
      <c r="J41" s="30" t="s">
        <v>509</v>
      </c>
      <c r="K41" s="30"/>
      <c r="L41" s="30"/>
      <c r="M41" s="30" t="s">
        <v>487</v>
      </c>
      <c r="N41" s="56" t="s">
        <v>558</v>
      </c>
      <c r="O41" s="56" t="s">
        <v>361</v>
      </c>
      <c r="P41" s="56" t="n">
        <v>28.5</v>
      </c>
      <c r="Q41" s="56" t="s">
        <v>361</v>
      </c>
      <c r="R41" s="56" t="s">
        <v>361</v>
      </c>
      <c r="S41" s="56" t="s">
        <v>361</v>
      </c>
      <c r="T41" s="56" t="s">
        <v>361</v>
      </c>
      <c r="U41" s="56" t="n">
        <v>28.5</v>
      </c>
      <c r="V41" s="30"/>
      <c r="W41" s="30"/>
      <c r="X41" s="30"/>
      <c r="Y41" s="30"/>
      <c r="Z41" s="30"/>
      <c r="AA41" s="30"/>
      <c r="AB41" s="30"/>
      <c r="AC41" s="30"/>
      <c r="AD41" s="30"/>
      <c r="AE41" s="30"/>
      <c r="AF41" s="30"/>
      <c r="AG41" s="30"/>
      <c r="AH41" s="30"/>
      <c r="AI41" s="30"/>
      <c r="AJ41" s="30"/>
      <c r="AK41" s="30"/>
      <c r="AL41" s="30"/>
      <c r="AM41" s="30"/>
      <c r="AN41" s="30"/>
      <c r="AO41" s="30"/>
      <c r="AP41" s="30"/>
      <c r="AQ41" s="30"/>
      <c r="AR41" s="30"/>
    </row>
    <row r="42" customFormat="false" ht="13.8" hidden="false" customHeight="false" outlineLevel="0" collapsed="false">
      <c r="A42" s="30" t="s">
        <v>5224</v>
      </c>
      <c r="B42" s="30" t="s">
        <v>1040</v>
      </c>
      <c r="C42" s="30" t="s">
        <v>5225</v>
      </c>
      <c r="D42" s="30" t="s">
        <v>5151</v>
      </c>
      <c r="E42" s="30"/>
      <c r="F42" s="30"/>
      <c r="G42" s="30"/>
      <c r="H42" s="30"/>
      <c r="I42" s="30"/>
      <c r="J42" s="30" t="s">
        <v>509</v>
      </c>
      <c r="K42" s="30"/>
      <c r="L42" s="30"/>
      <c r="M42" s="30" t="s">
        <v>487</v>
      </c>
      <c r="N42" s="56" t="s">
        <v>558</v>
      </c>
      <c r="O42" s="56" t="s">
        <v>361</v>
      </c>
      <c r="P42" s="56" t="n">
        <v>34.9</v>
      </c>
      <c r="Q42" s="56" t="s">
        <v>361</v>
      </c>
      <c r="R42" s="56" t="s">
        <v>361</v>
      </c>
      <c r="S42" s="56" t="s">
        <v>361</v>
      </c>
      <c r="T42" s="56" t="s">
        <v>361</v>
      </c>
      <c r="U42" s="56" t="n">
        <v>34.9</v>
      </c>
      <c r="V42" s="30"/>
      <c r="W42" s="30"/>
      <c r="X42" s="30"/>
      <c r="Y42" s="30"/>
      <c r="Z42" s="30"/>
      <c r="AA42" s="30"/>
      <c r="AB42" s="30"/>
      <c r="AC42" s="30"/>
      <c r="AD42" s="30"/>
      <c r="AE42" s="30"/>
      <c r="AF42" s="30"/>
      <c r="AG42" s="30"/>
      <c r="AH42" s="30"/>
      <c r="AI42" s="30"/>
      <c r="AJ42" s="30"/>
      <c r="AK42" s="30"/>
      <c r="AL42" s="30"/>
      <c r="AM42" s="30"/>
      <c r="AN42" s="30"/>
      <c r="AO42" s="30"/>
      <c r="AP42" s="30"/>
      <c r="AQ42" s="30"/>
      <c r="AR42" s="30"/>
    </row>
    <row r="43" customFormat="false" ht="13.8" hidden="false" customHeight="false" outlineLevel="0" collapsed="false">
      <c r="A43" s="30" t="s">
        <v>5226</v>
      </c>
      <c r="B43" s="30" t="s">
        <v>1040</v>
      </c>
      <c r="C43" s="30" t="s">
        <v>5227</v>
      </c>
      <c r="D43" s="30" t="s">
        <v>5151</v>
      </c>
      <c r="E43" s="30"/>
      <c r="F43" s="30"/>
      <c r="G43" s="30"/>
      <c r="H43" s="30"/>
      <c r="I43" s="30"/>
      <c r="J43" s="30" t="s">
        <v>509</v>
      </c>
      <c r="K43" s="30"/>
      <c r="L43" s="30"/>
      <c r="M43" s="30" t="s">
        <v>487</v>
      </c>
      <c r="N43" s="56" t="s">
        <v>558</v>
      </c>
      <c r="O43" s="56" t="s">
        <v>361</v>
      </c>
      <c r="P43" s="56" t="n">
        <v>38.7</v>
      </c>
      <c r="Q43" s="56" t="s">
        <v>361</v>
      </c>
      <c r="R43" s="56" t="s">
        <v>361</v>
      </c>
      <c r="S43" s="56" t="s">
        <v>361</v>
      </c>
      <c r="T43" s="56" t="s">
        <v>361</v>
      </c>
      <c r="U43" s="56" t="n">
        <v>38.7</v>
      </c>
      <c r="V43" s="30"/>
      <c r="W43" s="30"/>
      <c r="X43" s="30"/>
      <c r="Y43" s="30"/>
      <c r="Z43" s="30"/>
      <c r="AA43" s="30"/>
      <c r="AB43" s="30"/>
      <c r="AC43" s="30"/>
      <c r="AD43" s="30"/>
      <c r="AE43" s="30"/>
      <c r="AF43" s="30"/>
      <c r="AG43" s="30"/>
      <c r="AH43" s="30"/>
      <c r="AI43" s="30"/>
      <c r="AJ43" s="30"/>
      <c r="AK43" s="30"/>
      <c r="AL43" s="30"/>
      <c r="AM43" s="30"/>
      <c r="AN43" s="30"/>
      <c r="AO43" s="30"/>
      <c r="AP43" s="30"/>
      <c r="AQ43" s="30"/>
      <c r="AR43" s="30"/>
    </row>
    <row r="44" customFormat="false" ht="13.8" hidden="false" customHeight="false" outlineLevel="0" collapsed="false">
      <c r="A44" s="30" t="s">
        <v>5228</v>
      </c>
      <c r="B44" s="0" t="s">
        <v>1050</v>
      </c>
      <c r="C44" s="0" t="s">
        <v>2211</v>
      </c>
      <c r="D44" s="0" t="s">
        <v>5197</v>
      </c>
      <c r="J44" s="0" t="s">
        <v>542</v>
      </c>
      <c r="M44" s="0" t="s">
        <v>5229</v>
      </c>
      <c r="N44" s="0" t="s">
        <v>511</v>
      </c>
      <c r="P44" s="0" t="n">
        <v>12.2</v>
      </c>
      <c r="Q44" s="0" t="s">
        <v>487</v>
      </c>
      <c r="R44" s="0" t="s">
        <v>487</v>
      </c>
      <c r="S44" s="0" t="s">
        <v>487</v>
      </c>
      <c r="T44" s="0" t="s">
        <v>5199</v>
      </c>
      <c r="U44" s="0" t="n">
        <v>2.3</v>
      </c>
    </row>
    <row r="45" customFormat="false" ht="13.8" hidden="false" customHeight="false" outlineLevel="0" collapsed="false">
      <c r="A45" s="30" t="s">
        <v>5230</v>
      </c>
      <c r="B45" s="0" t="s">
        <v>1054</v>
      </c>
      <c r="C45" s="0" t="s">
        <v>2216</v>
      </c>
      <c r="D45" s="0" t="s">
        <v>5197</v>
      </c>
      <c r="J45" s="0" t="s">
        <v>542</v>
      </c>
      <c r="M45" s="0" t="s">
        <v>5231</v>
      </c>
      <c r="N45" s="0" t="s">
        <v>511</v>
      </c>
      <c r="P45" s="0" t="n">
        <v>20.72</v>
      </c>
      <c r="Q45" s="0" t="s">
        <v>487</v>
      </c>
      <c r="R45" s="0" t="s">
        <v>487</v>
      </c>
      <c r="S45" s="0" t="s">
        <v>487</v>
      </c>
      <c r="T45" s="0" t="s">
        <v>5232</v>
      </c>
      <c r="U45" s="62" t="n">
        <v>6.29</v>
      </c>
    </row>
    <row r="46" customFormat="false" ht="15" hidden="false" customHeight="false" outlineLevel="0" collapsed="false">
      <c r="A46" s="30" t="s">
        <v>5233</v>
      </c>
      <c r="B46" s="0" t="s">
        <v>1079</v>
      </c>
      <c r="C46" s="0" t="s">
        <v>2537</v>
      </c>
      <c r="D46" s="0" t="s">
        <v>5197</v>
      </c>
      <c r="J46" s="0" t="s">
        <v>426</v>
      </c>
      <c r="L46" s="10" t="s">
        <v>5234</v>
      </c>
      <c r="M46" s="0" t="s">
        <v>487</v>
      </c>
      <c r="N46" s="10" t="s">
        <v>511</v>
      </c>
      <c r="O46" s="59" t="n">
        <v>104241418</v>
      </c>
      <c r="P46" s="10" t="n">
        <v>1.4</v>
      </c>
      <c r="Q46" s="10"/>
      <c r="R46" s="10"/>
      <c r="S46" s="10"/>
      <c r="T46" s="10" t="s">
        <v>5235</v>
      </c>
      <c r="U46" s="10" t="n">
        <v>1.4</v>
      </c>
      <c r="V46" s="10"/>
      <c r="W46" s="10"/>
      <c r="X46" s="10"/>
      <c r="Y46" s="10"/>
      <c r="Z46" s="10"/>
      <c r="AA46" s="10"/>
      <c r="AB46" s="10"/>
      <c r="AC46" s="10"/>
      <c r="AD46" s="10"/>
      <c r="AE46" s="10"/>
      <c r="AF46" s="10"/>
      <c r="AG46" s="10"/>
      <c r="AH46" s="10"/>
      <c r="AI46" s="10"/>
      <c r="AJ46" s="10"/>
      <c r="AK46" s="10"/>
      <c r="AL46" s="10"/>
      <c r="AM46" s="10"/>
      <c r="AN46" s="10"/>
      <c r="AO46" s="10"/>
      <c r="AP46" s="10"/>
      <c r="AQ46" s="10"/>
    </row>
    <row r="47" customFormat="false" ht="15" hidden="false" customHeight="false" outlineLevel="0" collapsed="false">
      <c r="A47" s="30" t="s">
        <v>5236</v>
      </c>
      <c r="B47" s="0" t="s">
        <v>1084</v>
      </c>
      <c r="C47" s="0" t="s">
        <v>5237</v>
      </c>
      <c r="D47" s="0" t="s">
        <v>5197</v>
      </c>
      <c r="J47" s="0" t="s">
        <v>426</v>
      </c>
      <c r="L47" s="10" t="s">
        <v>5238</v>
      </c>
      <c r="M47" s="0" t="s">
        <v>487</v>
      </c>
      <c r="N47" s="10" t="s">
        <v>511</v>
      </c>
      <c r="O47" s="59" t="n">
        <v>101497359</v>
      </c>
      <c r="P47" s="10" t="n">
        <v>1.9</v>
      </c>
      <c r="Q47" s="10"/>
      <c r="R47" s="10"/>
      <c r="S47" s="10"/>
      <c r="T47" s="10" t="s">
        <v>5239</v>
      </c>
      <c r="U47" s="10" t="n">
        <v>1.9</v>
      </c>
      <c r="V47" s="10"/>
      <c r="W47" s="10"/>
      <c r="X47" s="10"/>
      <c r="Y47" s="10"/>
      <c r="Z47" s="10"/>
      <c r="AA47" s="10"/>
      <c r="AB47" s="10"/>
      <c r="AC47" s="10"/>
      <c r="AD47" s="10"/>
      <c r="AE47" s="10"/>
      <c r="AF47" s="10"/>
      <c r="AG47" s="10"/>
      <c r="AH47" s="10"/>
      <c r="AI47" s="10"/>
      <c r="AJ47" s="10"/>
      <c r="AK47" s="10"/>
      <c r="AL47" s="10"/>
      <c r="AM47" s="10"/>
      <c r="AN47" s="10"/>
      <c r="AO47" s="10"/>
      <c r="AP47" s="10"/>
      <c r="AQ47" s="10"/>
    </row>
    <row r="48" customFormat="false" ht="15" hidden="false" customHeight="false" outlineLevel="0" collapsed="false">
      <c r="A48" s="30" t="s">
        <v>5240</v>
      </c>
      <c r="B48" s="0" t="s">
        <v>1084</v>
      </c>
      <c r="C48" s="0" t="s">
        <v>5241</v>
      </c>
      <c r="D48" s="0" t="s">
        <v>5197</v>
      </c>
      <c r="J48" s="0" t="s">
        <v>426</v>
      </c>
      <c r="L48" s="10" t="s">
        <v>5242</v>
      </c>
      <c r="M48" s="0" t="s">
        <v>487</v>
      </c>
      <c r="N48" s="10" t="s">
        <v>558</v>
      </c>
      <c r="O48" s="59" t="n">
        <v>101497359</v>
      </c>
      <c r="P48" s="10" t="n">
        <v>0</v>
      </c>
      <c r="Q48" s="10"/>
      <c r="R48" s="10"/>
      <c r="S48" s="10"/>
      <c r="T48" s="10" t="s">
        <v>5239</v>
      </c>
      <c r="U48" s="10" t="n">
        <v>0</v>
      </c>
      <c r="V48" s="10"/>
      <c r="W48" s="10"/>
      <c r="X48" s="10"/>
      <c r="Y48" s="10"/>
      <c r="Z48" s="10"/>
      <c r="AA48" s="10"/>
      <c r="AB48" s="10"/>
      <c r="AC48" s="10"/>
      <c r="AD48" s="10"/>
      <c r="AE48" s="10"/>
      <c r="AF48" s="10"/>
      <c r="AG48" s="10"/>
      <c r="AH48" s="10"/>
      <c r="AI48" s="10"/>
      <c r="AJ48" s="10"/>
      <c r="AK48" s="10"/>
      <c r="AL48" s="10"/>
      <c r="AM48" s="10"/>
      <c r="AN48" s="10"/>
      <c r="AO48" s="10"/>
      <c r="AP48" s="10"/>
      <c r="AQ48" s="10"/>
    </row>
    <row r="49" customFormat="false" ht="13.8" hidden="false" customHeight="false" outlineLevel="0" collapsed="false">
      <c r="A49" s="30" t="s">
        <v>5243</v>
      </c>
      <c r="B49" s="0" t="s">
        <v>1089</v>
      </c>
      <c r="C49" s="0" t="s">
        <v>5244</v>
      </c>
      <c r="D49" s="0" t="s">
        <v>5245</v>
      </c>
      <c r="J49" s="0" t="s">
        <v>426</v>
      </c>
      <c r="L49" s="10" t="s">
        <v>5246</v>
      </c>
      <c r="M49" s="0" t="s">
        <v>487</v>
      </c>
      <c r="N49" s="10" t="s">
        <v>511</v>
      </c>
      <c r="O49" s="10" t="n">
        <v>201426492</v>
      </c>
      <c r="P49" s="10" t="s">
        <v>487</v>
      </c>
      <c r="Q49" s="10"/>
      <c r="R49" s="10"/>
      <c r="S49" s="10"/>
      <c r="T49" s="10" t="s">
        <v>5239</v>
      </c>
      <c r="U49" s="10" t="s">
        <v>487</v>
      </c>
      <c r="V49" s="10"/>
      <c r="W49" s="10"/>
      <c r="X49" s="10"/>
      <c r="Y49" s="10"/>
      <c r="Z49" s="10"/>
      <c r="AA49" s="10"/>
      <c r="AB49" s="10"/>
      <c r="AC49" s="10"/>
      <c r="AD49" s="10"/>
      <c r="AE49" s="10"/>
      <c r="AF49" s="10"/>
      <c r="AG49" s="10"/>
      <c r="AH49" s="10"/>
      <c r="AI49" s="10"/>
      <c r="AJ49" s="10"/>
      <c r="AK49" s="10"/>
      <c r="AL49" s="10"/>
      <c r="AM49" s="10"/>
      <c r="AN49" s="10"/>
      <c r="AO49" s="10"/>
      <c r="AP49" s="10"/>
      <c r="AQ49" s="10"/>
    </row>
    <row r="50" customFormat="false" ht="13.8" hidden="false" customHeight="false" outlineLevel="0" collapsed="false">
      <c r="A50" s="30" t="s">
        <v>5247</v>
      </c>
      <c r="B50" s="0" t="s">
        <v>1089</v>
      </c>
      <c r="C50" s="0" t="s">
        <v>2369</v>
      </c>
      <c r="D50" s="0" t="s">
        <v>5245</v>
      </c>
      <c r="J50" s="0" t="s">
        <v>426</v>
      </c>
      <c r="L50" s="10" t="s">
        <v>5248</v>
      </c>
      <c r="M50" s="0" t="s">
        <v>487</v>
      </c>
      <c r="N50" s="10" t="s">
        <v>558</v>
      </c>
      <c r="O50" s="10" t="n">
        <v>201426492</v>
      </c>
      <c r="P50" s="63" t="s">
        <v>487</v>
      </c>
      <c r="Q50" s="10"/>
      <c r="R50" s="10"/>
      <c r="S50" s="10"/>
      <c r="T50" s="10" t="s">
        <v>5239</v>
      </c>
      <c r="U50" s="10" t="s">
        <v>487</v>
      </c>
      <c r="V50" s="10" t="n">
        <v>3.2</v>
      </c>
      <c r="W50" s="10"/>
      <c r="X50" s="10"/>
      <c r="Y50" s="10" t="s">
        <v>5249</v>
      </c>
      <c r="Z50" s="10"/>
      <c r="AA50" s="10" t="n">
        <v>2.8</v>
      </c>
      <c r="AB50" s="10"/>
      <c r="AC50" s="10"/>
      <c r="AD50" s="10" t="s">
        <v>5239</v>
      </c>
      <c r="AE50" s="10" t="n">
        <v>1.5</v>
      </c>
      <c r="AF50" s="10"/>
      <c r="AG50" s="10"/>
      <c r="AH50" s="10"/>
      <c r="AI50" s="10" t="s">
        <v>5178</v>
      </c>
      <c r="AJ50" s="10"/>
      <c r="AK50" s="10" t="n">
        <v>2.1</v>
      </c>
      <c r="AL50" s="10"/>
      <c r="AM50" s="10"/>
      <c r="AN50" s="10"/>
      <c r="AO50" s="10"/>
      <c r="AP50" s="10"/>
      <c r="AQ50" s="10"/>
    </row>
    <row r="51" customFormat="false" ht="13.8" hidden="false" customHeight="false" outlineLevel="0" collapsed="false">
      <c r="A51" s="30" t="s">
        <v>5250</v>
      </c>
      <c r="B51" s="0" t="s">
        <v>1089</v>
      </c>
      <c r="C51" s="0" t="s">
        <v>5251</v>
      </c>
      <c r="D51" s="0" t="s">
        <v>5197</v>
      </c>
      <c r="J51" s="0" t="s">
        <v>426</v>
      </c>
      <c r="L51" s="10" t="s">
        <v>5252</v>
      </c>
      <c r="M51" s="0" t="s">
        <v>487</v>
      </c>
      <c r="N51" s="10" t="s">
        <v>558</v>
      </c>
      <c r="O51" s="10" t="n">
        <v>201426492</v>
      </c>
      <c r="P51" s="63" t="n">
        <v>15.7</v>
      </c>
      <c r="Q51" s="10"/>
      <c r="R51" s="10"/>
      <c r="S51" s="10"/>
      <c r="T51" s="10" t="s">
        <v>5253</v>
      </c>
      <c r="U51" s="10" t="n">
        <v>1.7</v>
      </c>
      <c r="V51" s="10"/>
      <c r="W51" s="10"/>
      <c r="X51" s="10"/>
      <c r="Y51" s="10" t="s">
        <v>5254</v>
      </c>
      <c r="Z51" s="10" t="n">
        <v>4.4</v>
      </c>
      <c r="AA51" s="10"/>
      <c r="AB51" s="10"/>
      <c r="AC51" s="10"/>
      <c r="AD51" s="10" t="s">
        <v>5254</v>
      </c>
      <c r="AE51" s="10" t="n">
        <v>7.9</v>
      </c>
      <c r="AF51" s="10"/>
      <c r="AG51" s="10"/>
      <c r="AH51" s="10"/>
      <c r="AI51" s="10" t="s">
        <v>5255</v>
      </c>
      <c r="AJ51" s="10" t="n">
        <v>1.7</v>
      </c>
      <c r="AL51" s="10"/>
      <c r="AM51" s="10"/>
      <c r="AN51" s="10"/>
      <c r="AO51" s="10"/>
      <c r="AP51" s="10"/>
      <c r="AQ51" s="10"/>
    </row>
    <row r="52" customFormat="false" ht="13.8" hidden="false" customHeight="false" outlineLevel="0" collapsed="false">
      <c r="A52" s="30" t="s">
        <v>5256</v>
      </c>
      <c r="B52" s="0" t="s">
        <v>1089</v>
      </c>
      <c r="C52" s="0" t="s">
        <v>2198</v>
      </c>
      <c r="D52" s="0" t="s">
        <v>5197</v>
      </c>
      <c r="J52" s="0" t="s">
        <v>426</v>
      </c>
      <c r="L52" s="10" t="s">
        <v>5257</v>
      </c>
      <c r="M52" s="0" t="s">
        <v>487</v>
      </c>
      <c r="N52" s="10" t="s">
        <v>558</v>
      </c>
      <c r="O52" s="10" t="n">
        <v>201426492</v>
      </c>
      <c r="P52" s="63" t="n">
        <v>16.3</v>
      </c>
      <c r="Q52" s="10"/>
      <c r="R52" s="10"/>
      <c r="S52" s="10"/>
      <c r="T52" s="10" t="s">
        <v>5253</v>
      </c>
      <c r="U52" s="10" t="n">
        <v>1.5</v>
      </c>
      <c r="V52" s="10"/>
      <c r="W52" s="10"/>
      <c r="X52" s="10"/>
      <c r="Y52" s="10" t="s">
        <v>5254</v>
      </c>
      <c r="Z52" s="10" t="n">
        <v>4.6</v>
      </c>
      <c r="AA52" s="10"/>
      <c r="AB52" s="10"/>
      <c r="AC52" s="10"/>
      <c r="AD52" s="10" t="s">
        <v>5254</v>
      </c>
      <c r="AE52" s="10" t="n">
        <v>8.1</v>
      </c>
      <c r="AF52" s="10"/>
      <c r="AG52" s="10"/>
      <c r="AH52" s="10"/>
      <c r="AI52" s="10" t="s">
        <v>5255</v>
      </c>
      <c r="AJ52" s="10" t="n">
        <v>2.1</v>
      </c>
      <c r="AL52" s="10"/>
      <c r="AM52" s="10"/>
      <c r="AN52" s="10"/>
      <c r="AO52" s="10"/>
      <c r="AP52" s="10"/>
      <c r="AQ52" s="10"/>
    </row>
    <row r="53" customFormat="false" ht="13.8" hidden="false" customHeight="false" outlineLevel="0" collapsed="false">
      <c r="A53" s="30" t="s">
        <v>5258</v>
      </c>
      <c r="B53" s="0" t="s">
        <v>1089</v>
      </c>
      <c r="C53" s="0" t="s">
        <v>5259</v>
      </c>
      <c r="D53" s="0" t="s">
        <v>5197</v>
      </c>
      <c r="J53" s="0" t="s">
        <v>426</v>
      </c>
      <c r="L53" s="10" t="s">
        <v>5260</v>
      </c>
      <c r="M53" s="0" t="s">
        <v>487</v>
      </c>
      <c r="N53" s="10" t="s">
        <v>558</v>
      </c>
      <c r="O53" s="10" t="n">
        <v>201426492</v>
      </c>
      <c r="P53" s="63" t="n">
        <v>14.9</v>
      </c>
      <c r="Q53" s="10"/>
      <c r="R53" s="10"/>
      <c r="S53" s="10"/>
      <c r="T53" s="10" t="s">
        <v>5253</v>
      </c>
      <c r="U53" s="10" t="n">
        <v>0</v>
      </c>
      <c r="V53" s="10"/>
      <c r="W53" s="10"/>
      <c r="X53" s="10"/>
      <c r="Y53" s="10" t="s">
        <v>5254</v>
      </c>
      <c r="Z53" s="10" t="n">
        <v>4.4</v>
      </c>
      <c r="AA53" s="10"/>
      <c r="AB53" s="10"/>
      <c r="AC53" s="10"/>
      <c r="AD53" s="10" t="s">
        <v>5254</v>
      </c>
      <c r="AE53" s="10" t="n">
        <v>8.1</v>
      </c>
      <c r="AF53" s="10"/>
      <c r="AG53" s="10"/>
      <c r="AH53" s="10"/>
      <c r="AI53" s="10" t="s">
        <v>5255</v>
      </c>
      <c r="AJ53" s="10" t="n">
        <v>2.4</v>
      </c>
      <c r="AK53" s="10"/>
      <c r="AL53" s="10"/>
      <c r="AM53" s="10"/>
      <c r="AN53" s="10"/>
      <c r="AO53" s="10"/>
      <c r="AP53" s="10"/>
      <c r="AQ53" s="10"/>
    </row>
    <row r="54" customFormat="false" ht="13.8" hidden="false" customHeight="false" outlineLevel="0" collapsed="false">
      <c r="A54" s="30" t="s">
        <v>5261</v>
      </c>
      <c r="B54" s="0" t="s">
        <v>1089</v>
      </c>
      <c r="C54" s="0" t="s">
        <v>2373</v>
      </c>
      <c r="D54" s="0" t="s">
        <v>5197</v>
      </c>
      <c r="J54" s="0" t="s">
        <v>426</v>
      </c>
      <c r="L54" s="10" t="s">
        <v>5262</v>
      </c>
      <c r="M54" s="0" t="s">
        <v>487</v>
      </c>
      <c r="N54" s="10" t="s">
        <v>558</v>
      </c>
      <c r="O54" s="10" t="n">
        <v>201426492</v>
      </c>
      <c r="P54" s="63" t="n">
        <v>16.6</v>
      </c>
      <c r="Q54" s="10"/>
      <c r="R54" s="10"/>
      <c r="S54" s="10"/>
      <c r="T54" s="10" t="s">
        <v>5253</v>
      </c>
      <c r="U54" s="10" t="n">
        <v>0</v>
      </c>
      <c r="V54" s="10"/>
      <c r="W54" s="10"/>
      <c r="X54" s="10" t="s">
        <v>5263</v>
      </c>
      <c r="Y54" s="10" t="s">
        <v>5254</v>
      </c>
      <c r="Z54" s="10" t="n">
        <v>5.9</v>
      </c>
      <c r="AA54" s="10"/>
      <c r="AB54" s="10"/>
      <c r="AC54" s="10"/>
      <c r="AD54" s="10" t="s">
        <v>5254</v>
      </c>
      <c r="AE54" s="10" t="n">
        <v>7.9</v>
      </c>
      <c r="AF54" s="10"/>
      <c r="AG54" s="10"/>
      <c r="AH54" s="10"/>
      <c r="AI54" s="10" t="s">
        <v>5255</v>
      </c>
      <c r="AJ54" s="10" t="n">
        <v>2.8</v>
      </c>
      <c r="AK54" s="10"/>
      <c r="AL54" s="10"/>
      <c r="AM54" s="10"/>
      <c r="AN54" s="10"/>
      <c r="AO54" s="10"/>
      <c r="AP54" s="10"/>
      <c r="AQ54" s="10"/>
    </row>
    <row r="55" customFormat="false" ht="13.8" hidden="false" customHeight="false" outlineLevel="0" collapsed="false">
      <c r="A55" s="30" t="s">
        <v>5264</v>
      </c>
      <c r="B55" s="0" t="s">
        <v>1119</v>
      </c>
      <c r="C55" s="0" t="s">
        <v>2274</v>
      </c>
      <c r="D55" s="0" t="s">
        <v>5197</v>
      </c>
      <c r="J55" s="0" t="s">
        <v>426</v>
      </c>
      <c r="L55" s="10" t="s">
        <v>5265</v>
      </c>
      <c r="M55" s="10" t="s">
        <v>5266</v>
      </c>
      <c r="N55" s="10" t="s">
        <v>511</v>
      </c>
      <c r="O55" s="10" t="n">
        <v>201547007</v>
      </c>
      <c r="P55" s="10" t="n">
        <v>15.6</v>
      </c>
      <c r="Q55" s="10" t="s">
        <v>487</v>
      </c>
      <c r="R55" s="10" t="s">
        <v>487</v>
      </c>
      <c r="S55" s="10"/>
      <c r="T55" s="10" t="s">
        <v>5183</v>
      </c>
      <c r="U55" s="10" t="n">
        <v>2.1</v>
      </c>
      <c r="V55" s="10" t="s">
        <v>487</v>
      </c>
      <c r="W55" s="10" t="s">
        <v>487</v>
      </c>
      <c r="X55" s="10"/>
      <c r="Y55" s="10" t="s">
        <v>5183</v>
      </c>
      <c r="Z55" s="10" t="n">
        <v>2</v>
      </c>
      <c r="AA55" s="10" t="s">
        <v>487</v>
      </c>
      <c r="AB55" s="10"/>
      <c r="AC55" s="10"/>
      <c r="AD55" s="10" t="s">
        <v>5183</v>
      </c>
      <c r="AE55" s="10" t="n">
        <v>5.1</v>
      </c>
      <c r="AF55" s="10" t="s">
        <v>487</v>
      </c>
      <c r="AG55" s="10" t="s">
        <v>487</v>
      </c>
      <c r="AH55" s="10"/>
      <c r="AI55" s="10" t="s">
        <v>5267</v>
      </c>
      <c r="AJ55" s="10" t="n">
        <v>6.4</v>
      </c>
      <c r="AK55" s="10" t="s">
        <v>487</v>
      </c>
      <c r="AL55" s="10"/>
      <c r="AM55" s="10"/>
      <c r="AN55" s="10"/>
      <c r="AO55" s="10"/>
      <c r="AP55" s="10"/>
      <c r="AQ55" s="10"/>
    </row>
    <row r="56" customFormat="false" ht="13.8" hidden="false" customHeight="false" outlineLevel="0" collapsed="false">
      <c r="A56" s="30" t="s">
        <v>5268</v>
      </c>
      <c r="B56" s="0" t="s">
        <v>1119</v>
      </c>
      <c r="C56" s="0" t="s">
        <v>5269</v>
      </c>
      <c r="D56" s="0" t="s">
        <v>5197</v>
      </c>
      <c r="J56" s="0" t="s">
        <v>542</v>
      </c>
      <c r="M56" s="0" t="s">
        <v>5266</v>
      </c>
      <c r="N56" s="0" t="s">
        <v>511</v>
      </c>
      <c r="P56" s="0" t="n">
        <v>14.9</v>
      </c>
      <c r="Q56" s="0" t="s">
        <v>487</v>
      </c>
      <c r="R56" s="0" t="s">
        <v>487</v>
      </c>
      <c r="S56" s="0" t="s">
        <v>487</v>
      </c>
      <c r="T56" s="0" t="s">
        <v>5178</v>
      </c>
      <c r="U56" s="0" t="n">
        <v>6.7</v>
      </c>
    </row>
    <row r="57" customFormat="false" ht="13.8" hidden="false" customHeight="false" outlineLevel="0" collapsed="false">
      <c r="A57" s="30" t="s">
        <v>5270</v>
      </c>
      <c r="B57" s="0" t="s">
        <v>1119</v>
      </c>
      <c r="C57" s="0" t="s">
        <v>5271</v>
      </c>
      <c r="D57" s="0" t="s">
        <v>5272</v>
      </c>
      <c r="J57" s="0" t="s">
        <v>426</v>
      </c>
      <c r="L57" s="10" t="s">
        <v>5273</v>
      </c>
      <c r="M57" s="10" t="s">
        <v>5266</v>
      </c>
      <c r="N57" s="10" t="s">
        <v>558</v>
      </c>
      <c r="O57" s="10" t="n">
        <v>201547007</v>
      </c>
      <c r="P57" s="10" t="n">
        <v>18</v>
      </c>
      <c r="Q57" s="10" t="s">
        <v>487</v>
      </c>
      <c r="R57" s="10" t="s">
        <v>5274</v>
      </c>
      <c r="S57" s="10"/>
      <c r="T57" s="10" t="s">
        <v>5183</v>
      </c>
      <c r="U57" s="10" t="n">
        <v>3</v>
      </c>
      <c r="V57" s="10" t="n">
        <v>14.5</v>
      </c>
      <c r="W57" s="10" t="s">
        <v>487</v>
      </c>
      <c r="X57" s="10"/>
      <c r="Y57" s="10" t="s">
        <v>5183</v>
      </c>
      <c r="Z57" s="10" t="n">
        <v>3</v>
      </c>
      <c r="AA57" s="10" t="n">
        <v>10.4</v>
      </c>
      <c r="AB57" s="10"/>
      <c r="AC57" s="10"/>
      <c r="AD57" s="10" t="s">
        <v>5183</v>
      </c>
      <c r="AE57" s="10" t="n">
        <v>7</v>
      </c>
      <c r="AF57" s="10" t="n">
        <v>14.8</v>
      </c>
      <c r="AG57" s="10" t="s">
        <v>487</v>
      </c>
      <c r="AH57" s="10"/>
      <c r="AI57" s="10" t="s">
        <v>5267</v>
      </c>
      <c r="AJ57" s="10" t="n">
        <v>5</v>
      </c>
      <c r="AK57" s="10" t="n">
        <v>11.2</v>
      </c>
      <c r="AL57" s="10"/>
      <c r="AM57" s="10"/>
      <c r="AN57" s="10"/>
      <c r="AO57" s="10"/>
      <c r="AP57" s="10"/>
      <c r="AQ57" s="10"/>
    </row>
    <row r="58" customFormat="false" ht="13.8" hidden="false" customHeight="false" outlineLevel="0" collapsed="false">
      <c r="A58" s="30" t="s">
        <v>5275</v>
      </c>
      <c r="B58" s="0" t="s">
        <v>1124</v>
      </c>
      <c r="C58" s="0" t="s">
        <v>2178</v>
      </c>
      <c r="D58" s="0" t="s">
        <v>5197</v>
      </c>
      <c r="J58" s="0" t="s">
        <v>426</v>
      </c>
      <c r="L58" s="10" t="s">
        <v>5276</v>
      </c>
      <c r="M58" s="10" t="s">
        <v>487</v>
      </c>
      <c r="N58" s="10" t="s">
        <v>511</v>
      </c>
      <c r="O58" s="10" t="n">
        <v>104160884</v>
      </c>
      <c r="P58" s="10" t="n">
        <v>30.48</v>
      </c>
      <c r="Q58" s="10" t="s">
        <v>487</v>
      </c>
      <c r="R58" s="10" t="s">
        <v>487</v>
      </c>
      <c r="S58" s="10"/>
      <c r="T58" s="10" t="s">
        <v>5176</v>
      </c>
      <c r="U58" s="10" t="n">
        <v>11.57</v>
      </c>
      <c r="V58" s="10"/>
      <c r="W58" s="10"/>
      <c r="X58" s="10"/>
      <c r="Y58" s="10" t="s">
        <v>5176</v>
      </c>
      <c r="Z58" s="10" t="n">
        <v>5.43</v>
      </c>
      <c r="AA58" s="10"/>
      <c r="AB58" s="10"/>
      <c r="AC58" s="10"/>
      <c r="AD58" s="10" t="s">
        <v>5176</v>
      </c>
      <c r="AE58" s="10" t="n">
        <v>7.75</v>
      </c>
      <c r="AF58" s="10"/>
      <c r="AG58" s="10"/>
      <c r="AH58" s="10"/>
      <c r="AI58" s="10" t="s">
        <v>5176</v>
      </c>
      <c r="AJ58" s="10" t="n">
        <v>2.53</v>
      </c>
      <c r="AK58" s="10"/>
      <c r="AL58" s="10"/>
      <c r="AM58" s="10"/>
      <c r="AN58" s="10" t="s">
        <v>5176</v>
      </c>
      <c r="AO58" s="10" t="n">
        <v>3.2</v>
      </c>
      <c r="AP58" s="10"/>
      <c r="AQ58" s="10"/>
    </row>
    <row r="59" customFormat="false" ht="15" hidden="false" customHeight="false" outlineLevel="0" collapsed="false">
      <c r="A59" s="30" t="s">
        <v>5277</v>
      </c>
      <c r="B59" s="0" t="s">
        <v>1128</v>
      </c>
      <c r="C59" s="0" t="s">
        <v>2178</v>
      </c>
      <c r="D59" s="0" t="s">
        <v>5272</v>
      </c>
      <c r="J59" s="0" t="s">
        <v>426</v>
      </c>
      <c r="L59" s="10" t="s">
        <v>5278</v>
      </c>
      <c r="M59" s="10" t="s">
        <v>5279</v>
      </c>
      <c r="N59" s="10" t="s">
        <v>511</v>
      </c>
      <c r="O59" s="58" t="n">
        <v>201598442</v>
      </c>
      <c r="P59" s="10" t="n">
        <v>27.2</v>
      </c>
      <c r="Q59" s="10" t="s">
        <v>487</v>
      </c>
      <c r="R59" s="10" t="s">
        <v>487</v>
      </c>
      <c r="S59" s="10" t="s">
        <v>5280</v>
      </c>
      <c r="T59" s="10" t="s">
        <v>5174</v>
      </c>
      <c r="U59" s="10" t="n">
        <v>4.1</v>
      </c>
      <c r="V59" s="10" t="n">
        <v>11</v>
      </c>
      <c r="W59" s="10" t="s">
        <v>487</v>
      </c>
      <c r="X59" s="10" t="s">
        <v>5280</v>
      </c>
      <c r="Y59" s="10" t="s">
        <v>5199</v>
      </c>
      <c r="Z59" s="10" t="n">
        <v>10.1</v>
      </c>
      <c r="AA59" s="10" t="n">
        <v>15.5</v>
      </c>
      <c r="AB59" s="10" t="s">
        <v>487</v>
      </c>
      <c r="AC59" s="10"/>
      <c r="AD59" s="10" t="s">
        <v>5183</v>
      </c>
      <c r="AE59" s="10" t="n">
        <v>10</v>
      </c>
      <c r="AF59" s="10" t="n">
        <v>17</v>
      </c>
      <c r="AG59" s="10"/>
      <c r="AH59" s="10"/>
      <c r="AI59" s="10" t="s">
        <v>5249</v>
      </c>
      <c r="AJ59" s="10" t="n">
        <v>1.5</v>
      </c>
      <c r="AK59" s="10" t="n">
        <v>9</v>
      </c>
      <c r="AL59" s="10"/>
      <c r="AM59" s="10"/>
      <c r="AN59" s="10" t="s">
        <v>5199</v>
      </c>
      <c r="AO59" s="10" t="n">
        <v>1.5</v>
      </c>
      <c r="AP59" s="10" t="n">
        <v>14.2</v>
      </c>
      <c r="AQ59" s="10"/>
    </row>
    <row r="60" customFormat="false" ht="13.8" hidden="false" customHeight="false" outlineLevel="0" collapsed="false">
      <c r="A60" s="30" t="s">
        <v>5281</v>
      </c>
      <c r="B60" s="0" t="s">
        <v>1149</v>
      </c>
      <c r="C60" s="0" t="s">
        <v>5282</v>
      </c>
      <c r="D60" s="0" t="s">
        <v>5197</v>
      </c>
      <c r="J60" s="0" t="s">
        <v>542</v>
      </c>
      <c r="M60" s="0" t="s">
        <v>5283</v>
      </c>
      <c r="N60" s="0" t="s">
        <v>511</v>
      </c>
      <c r="P60" s="0" t="n">
        <v>21</v>
      </c>
      <c r="Q60" s="0" t="s">
        <v>487</v>
      </c>
      <c r="R60" s="0" t="s">
        <v>487</v>
      </c>
      <c r="S60" s="0" t="s">
        <v>487</v>
      </c>
      <c r="T60" s="0" t="s">
        <v>5176</v>
      </c>
      <c r="U60" s="0" t="n">
        <v>18.9</v>
      </c>
    </row>
    <row r="61" customFormat="false" ht="15" hidden="false" customHeight="false" outlineLevel="0" collapsed="false">
      <c r="A61" s="30" t="s">
        <v>5284</v>
      </c>
      <c r="B61" s="0" t="s">
        <v>1149</v>
      </c>
      <c r="C61" s="0" t="s">
        <v>5282</v>
      </c>
      <c r="D61" s="0" t="s">
        <v>5197</v>
      </c>
      <c r="J61" s="0" t="s">
        <v>426</v>
      </c>
      <c r="L61" s="10" t="s">
        <v>5285</v>
      </c>
      <c r="M61" s="10" t="s">
        <v>5283</v>
      </c>
      <c r="N61" s="10" t="s">
        <v>558</v>
      </c>
      <c r="O61" s="59" t="n">
        <v>201496726</v>
      </c>
      <c r="P61" s="10" t="n">
        <v>18.1</v>
      </c>
      <c r="Q61" s="10" t="s">
        <v>487</v>
      </c>
      <c r="R61" s="10" t="s">
        <v>487</v>
      </c>
      <c r="S61" s="10" t="s">
        <v>5286</v>
      </c>
      <c r="T61" s="10" t="s">
        <v>5176</v>
      </c>
      <c r="U61" s="10" t="n">
        <v>14</v>
      </c>
      <c r="V61" s="10" t="s">
        <v>487</v>
      </c>
      <c r="W61" s="10" t="s">
        <v>487</v>
      </c>
      <c r="X61" s="10"/>
      <c r="Y61" s="10" t="s">
        <v>5287</v>
      </c>
      <c r="Z61" s="10" t="n">
        <v>4.1</v>
      </c>
      <c r="AA61" s="10" t="s">
        <v>487</v>
      </c>
      <c r="AB61" s="10" t="s">
        <v>487</v>
      </c>
      <c r="AC61" s="10"/>
      <c r="AD61" s="10" t="s">
        <v>5288</v>
      </c>
      <c r="AE61" s="10" t="s">
        <v>5289</v>
      </c>
      <c r="AF61" s="10" t="s">
        <v>487</v>
      </c>
      <c r="AG61" s="10" t="s">
        <v>487</v>
      </c>
      <c r="AH61" s="10" t="s">
        <v>5289</v>
      </c>
      <c r="AI61" s="24"/>
      <c r="AJ61" s="10"/>
      <c r="AK61" s="10"/>
      <c r="AL61" s="10"/>
      <c r="AM61" s="10"/>
      <c r="AN61" s="10"/>
      <c r="AO61" s="10"/>
      <c r="AP61" s="10"/>
      <c r="AQ61" s="10"/>
    </row>
    <row r="62" customFormat="false" ht="15" hidden="false" customHeight="false" outlineLevel="0" collapsed="false">
      <c r="A62" s="30" t="s">
        <v>5290</v>
      </c>
      <c r="B62" s="0" t="s">
        <v>1149</v>
      </c>
      <c r="C62" s="0" t="s">
        <v>5291</v>
      </c>
      <c r="D62" s="0" t="s">
        <v>5272</v>
      </c>
      <c r="J62" s="0" t="s">
        <v>426</v>
      </c>
      <c r="L62" s="10" t="s">
        <v>5292</v>
      </c>
      <c r="M62" s="10" t="s">
        <v>5283</v>
      </c>
      <c r="N62" s="10" t="s">
        <v>558</v>
      </c>
      <c r="O62" s="59" t="n">
        <v>201496726</v>
      </c>
      <c r="P62" s="10" t="n">
        <v>22.7</v>
      </c>
      <c r="Q62" s="10" t="n">
        <v>4.6</v>
      </c>
      <c r="R62" s="10" t="s">
        <v>5293</v>
      </c>
      <c r="S62" s="10" t="s">
        <v>5294</v>
      </c>
      <c r="T62" s="10" t="s">
        <v>5176</v>
      </c>
      <c r="U62" s="10" t="n">
        <v>13.5</v>
      </c>
      <c r="V62" s="10" t="n">
        <v>9.6</v>
      </c>
      <c r="W62" s="10" t="s">
        <v>487</v>
      </c>
      <c r="X62" s="10"/>
      <c r="Y62" s="10" t="s">
        <v>5287</v>
      </c>
      <c r="Z62" s="10" t="n">
        <v>4</v>
      </c>
      <c r="AA62" s="10" t="n">
        <v>6.9</v>
      </c>
      <c r="AB62" s="10" t="s">
        <v>487</v>
      </c>
      <c r="AC62" s="10"/>
      <c r="AD62" s="10" t="s">
        <v>5288</v>
      </c>
      <c r="AE62" s="10" t="n">
        <v>5.2</v>
      </c>
      <c r="AF62" s="10" t="n">
        <v>2</v>
      </c>
      <c r="AG62" s="10"/>
      <c r="AH62" s="10"/>
      <c r="AI62" s="10"/>
      <c r="AJ62" s="10"/>
      <c r="AK62" s="10"/>
      <c r="AL62" s="10"/>
      <c r="AM62" s="10"/>
      <c r="AN62" s="10"/>
      <c r="AO62" s="10"/>
      <c r="AP62" s="10"/>
      <c r="AQ62" s="10"/>
    </row>
    <row r="63" customFormat="false" ht="15" hidden="false" customHeight="false" outlineLevel="0" collapsed="false">
      <c r="A63" s="30" t="s">
        <v>5295</v>
      </c>
      <c r="B63" s="0" t="s">
        <v>1193</v>
      </c>
      <c r="C63" s="0" t="s">
        <v>5296</v>
      </c>
      <c r="D63" s="0" t="s">
        <v>5197</v>
      </c>
      <c r="J63" s="0" t="s">
        <v>426</v>
      </c>
      <c r="L63" s="10" t="s">
        <v>5297</v>
      </c>
      <c r="M63" s="10" t="s">
        <v>487</v>
      </c>
      <c r="N63" s="10" t="s">
        <v>558</v>
      </c>
      <c r="O63" s="59" t="n">
        <v>103851322</v>
      </c>
      <c r="P63" s="10" t="n">
        <v>18.4</v>
      </c>
      <c r="Q63" s="10" t="s">
        <v>487</v>
      </c>
      <c r="R63" s="10" t="s">
        <v>487</v>
      </c>
      <c r="S63" s="10" t="s">
        <v>5280</v>
      </c>
      <c r="T63" s="10" t="s">
        <v>5176</v>
      </c>
      <c r="U63" s="10" t="n">
        <v>18.4</v>
      </c>
      <c r="V63" s="10" t="s">
        <v>487</v>
      </c>
      <c r="W63" s="10" t="s">
        <v>487</v>
      </c>
      <c r="X63" s="10" t="s">
        <v>5280</v>
      </c>
      <c r="Y63" s="10"/>
      <c r="Z63" s="10"/>
      <c r="AA63" s="10"/>
      <c r="AB63" s="10"/>
      <c r="AC63" s="10"/>
      <c r="AD63" s="10"/>
      <c r="AE63" s="10"/>
      <c r="AF63" s="10"/>
      <c r="AG63" s="10"/>
      <c r="AH63" s="10"/>
      <c r="AI63" s="10"/>
      <c r="AJ63" s="10"/>
      <c r="AK63" s="10"/>
      <c r="AL63" s="10"/>
      <c r="AM63" s="10"/>
      <c r="AN63" s="10"/>
      <c r="AO63" s="10"/>
      <c r="AP63" s="10"/>
      <c r="AQ63" s="10"/>
    </row>
    <row r="64" customFormat="false" ht="15" hidden="false" customHeight="false" outlineLevel="0" collapsed="false">
      <c r="A64" s="30" t="s">
        <v>5298</v>
      </c>
      <c r="B64" s="0" t="s">
        <v>1197</v>
      </c>
      <c r="C64" s="0" t="s">
        <v>5299</v>
      </c>
      <c r="D64" s="0" t="s">
        <v>5272</v>
      </c>
      <c r="J64" s="0" t="s">
        <v>426</v>
      </c>
      <c r="L64" s="10" t="s">
        <v>5300</v>
      </c>
      <c r="M64" s="10" t="s">
        <v>487</v>
      </c>
      <c r="N64" s="10" t="s">
        <v>558</v>
      </c>
      <c r="O64" s="59" t="n">
        <v>109043364</v>
      </c>
      <c r="P64" s="10" t="n">
        <v>3.25</v>
      </c>
      <c r="Q64" s="10" t="s">
        <v>487</v>
      </c>
      <c r="R64" s="10" t="s">
        <v>487</v>
      </c>
      <c r="S64" s="10" t="s">
        <v>5280</v>
      </c>
      <c r="T64" s="10" t="s">
        <v>5235</v>
      </c>
      <c r="U64" s="10" t="n">
        <v>3.25</v>
      </c>
      <c r="V64" s="10" t="n">
        <v>4.9</v>
      </c>
      <c r="W64" s="10" t="s">
        <v>487</v>
      </c>
      <c r="X64" s="10" t="s">
        <v>5280</v>
      </c>
      <c r="Y64" s="10"/>
      <c r="Z64" s="10"/>
      <c r="AA64" s="10"/>
      <c r="AB64" s="10"/>
      <c r="AC64" s="10"/>
      <c r="AD64" s="10"/>
      <c r="AE64" s="10"/>
      <c r="AF64" s="10"/>
      <c r="AG64" s="10"/>
      <c r="AH64" s="10"/>
      <c r="AI64" s="10"/>
      <c r="AJ64" s="10"/>
      <c r="AK64" s="10"/>
      <c r="AL64" s="10"/>
      <c r="AM64" s="10"/>
      <c r="AN64" s="10"/>
      <c r="AO64" s="10"/>
      <c r="AP64" s="10"/>
      <c r="AQ64" s="10"/>
    </row>
    <row r="65" customFormat="false" ht="15" hidden="false" customHeight="false" outlineLevel="0" collapsed="false">
      <c r="A65" s="30" t="s">
        <v>5301</v>
      </c>
      <c r="B65" s="0" t="s">
        <v>1212</v>
      </c>
      <c r="C65" s="0" t="s">
        <v>5302</v>
      </c>
      <c r="D65" s="0" t="s">
        <v>5272</v>
      </c>
      <c r="J65" s="0" t="s">
        <v>426</v>
      </c>
      <c r="L65" s="10" t="s">
        <v>5303</v>
      </c>
      <c r="M65" s="0" t="s">
        <v>487</v>
      </c>
      <c r="N65" s="10" t="s">
        <v>511</v>
      </c>
      <c r="O65" s="59" t="n">
        <v>105386171</v>
      </c>
      <c r="P65" s="10" t="n">
        <v>0</v>
      </c>
      <c r="Q65" s="10" t="s">
        <v>487</v>
      </c>
      <c r="R65" s="10" t="s">
        <v>487</v>
      </c>
      <c r="S65" s="10"/>
      <c r="T65" s="10" t="s">
        <v>5183</v>
      </c>
      <c r="U65" s="10"/>
      <c r="V65" s="10"/>
      <c r="W65" s="10"/>
      <c r="X65" s="10"/>
      <c r="Y65" s="10"/>
      <c r="Z65" s="10"/>
      <c r="AA65" s="10"/>
      <c r="AB65" s="10"/>
      <c r="AC65" s="10"/>
      <c r="AD65" s="10"/>
      <c r="AE65" s="10"/>
      <c r="AF65" s="10"/>
      <c r="AG65" s="10"/>
      <c r="AH65" s="10"/>
      <c r="AI65" s="10"/>
      <c r="AJ65" s="10"/>
      <c r="AK65" s="10"/>
      <c r="AL65" s="10"/>
      <c r="AM65" s="10"/>
      <c r="AN65" s="10"/>
      <c r="AO65" s="10"/>
      <c r="AP65" s="10"/>
      <c r="AQ65" s="10"/>
    </row>
    <row r="66" customFormat="false" ht="15" hidden="false" customHeight="false" outlineLevel="0" collapsed="false">
      <c r="A66" s="30" t="s">
        <v>5304</v>
      </c>
      <c r="B66" s="0" t="s">
        <v>1212</v>
      </c>
      <c r="C66" s="0" t="s">
        <v>5305</v>
      </c>
      <c r="D66" s="0" t="s">
        <v>5197</v>
      </c>
      <c r="J66" s="0" t="s">
        <v>426</v>
      </c>
      <c r="L66" s="10" t="s">
        <v>5306</v>
      </c>
      <c r="M66" s="0" t="s">
        <v>487</v>
      </c>
      <c r="N66" s="10" t="s">
        <v>558</v>
      </c>
      <c r="O66" s="59" t="n">
        <v>105386171</v>
      </c>
      <c r="P66" s="10" t="n">
        <v>0</v>
      </c>
      <c r="Q66" s="10"/>
      <c r="R66" s="10"/>
      <c r="S66" s="10"/>
      <c r="T66" s="10" t="s">
        <v>5183</v>
      </c>
      <c r="U66" s="10"/>
      <c r="V66" s="10"/>
      <c r="W66" s="10"/>
      <c r="X66" s="10"/>
      <c r="Y66" s="10"/>
      <c r="Z66" s="10"/>
      <c r="AA66" s="10"/>
      <c r="AB66" s="10"/>
      <c r="AC66" s="10"/>
      <c r="AD66" s="10"/>
      <c r="AE66" s="10"/>
      <c r="AF66" s="10"/>
      <c r="AG66" s="10"/>
      <c r="AH66" s="10"/>
      <c r="AI66" s="10"/>
      <c r="AJ66" s="10"/>
      <c r="AK66" s="10"/>
      <c r="AL66" s="10"/>
      <c r="AM66" s="10"/>
      <c r="AN66" s="10"/>
      <c r="AO66" s="10"/>
      <c r="AP66" s="10"/>
      <c r="AQ66" s="10"/>
    </row>
    <row r="67" customFormat="false" ht="15" hidden="false" customHeight="false" outlineLevel="0" collapsed="false">
      <c r="A67" s="30" t="s">
        <v>5307</v>
      </c>
      <c r="B67" s="0" t="s">
        <v>1212</v>
      </c>
      <c r="C67" s="0" t="s">
        <v>5308</v>
      </c>
      <c r="D67" s="0" t="s">
        <v>5197</v>
      </c>
      <c r="J67" s="0" t="s">
        <v>426</v>
      </c>
      <c r="L67" s="10" t="s">
        <v>5309</v>
      </c>
      <c r="M67" s="0" t="s">
        <v>487</v>
      </c>
      <c r="N67" s="10" t="s">
        <v>558</v>
      </c>
      <c r="O67" s="59" t="n">
        <v>105386171</v>
      </c>
      <c r="P67" s="10" t="n">
        <v>0</v>
      </c>
      <c r="Q67" s="10"/>
      <c r="R67" s="10"/>
      <c r="S67" s="10"/>
      <c r="T67" s="10" t="s">
        <v>5183</v>
      </c>
      <c r="U67" s="10"/>
      <c r="V67" s="10"/>
      <c r="W67" s="10"/>
      <c r="X67" s="10"/>
      <c r="Y67" s="10"/>
      <c r="Z67" s="10"/>
      <c r="AA67" s="10"/>
      <c r="AB67" s="10"/>
      <c r="AC67" s="10"/>
      <c r="AD67" s="10"/>
      <c r="AE67" s="10"/>
      <c r="AF67" s="10"/>
      <c r="AG67" s="10"/>
      <c r="AH67" s="10"/>
      <c r="AI67" s="10"/>
      <c r="AJ67" s="10"/>
      <c r="AK67" s="10"/>
      <c r="AL67" s="10"/>
      <c r="AM67" s="10"/>
      <c r="AN67" s="10"/>
      <c r="AO67" s="10"/>
      <c r="AP67" s="10"/>
      <c r="AQ67" s="10"/>
    </row>
    <row r="68" customFormat="false" ht="15" hidden="false" customHeight="false" outlineLevel="0" collapsed="false">
      <c r="A68" s="30" t="s">
        <v>5310</v>
      </c>
      <c r="B68" s="0" t="s">
        <v>1217</v>
      </c>
      <c r="C68" s="0" t="s">
        <v>5311</v>
      </c>
      <c r="D68" s="0" t="s">
        <v>5272</v>
      </c>
      <c r="J68" s="0" t="s">
        <v>426</v>
      </c>
      <c r="L68" s="10" t="s">
        <v>5312</v>
      </c>
      <c r="M68" s="0" t="s">
        <v>487</v>
      </c>
      <c r="N68" s="10" t="s">
        <v>511</v>
      </c>
      <c r="O68" s="59" t="n">
        <v>201512062</v>
      </c>
      <c r="P68" s="10" t="n">
        <v>13.2</v>
      </c>
      <c r="Q68" s="10" t="s">
        <v>487</v>
      </c>
      <c r="R68" s="10" t="s">
        <v>487</v>
      </c>
      <c r="S68" s="10"/>
      <c r="T68" s="10" t="s">
        <v>5183</v>
      </c>
      <c r="U68" s="10" t="n">
        <v>13.2</v>
      </c>
      <c r="V68" s="10" t="n">
        <v>22.4</v>
      </c>
      <c r="W68" s="10"/>
      <c r="X68" s="10"/>
      <c r="Y68" s="10"/>
      <c r="Z68" s="10"/>
      <c r="AA68" s="10"/>
      <c r="AB68" s="10"/>
      <c r="AC68" s="10"/>
      <c r="AD68" s="10"/>
      <c r="AE68" s="10"/>
      <c r="AF68" s="10"/>
      <c r="AG68" s="10"/>
      <c r="AH68" s="10"/>
      <c r="AI68" s="10"/>
      <c r="AJ68" s="10"/>
      <c r="AK68" s="10"/>
      <c r="AL68" s="10"/>
      <c r="AM68" s="10"/>
      <c r="AN68" s="10"/>
      <c r="AO68" s="10"/>
      <c r="AP68" s="10"/>
      <c r="AQ68" s="10"/>
    </row>
    <row r="69" customFormat="false" ht="13.8" hidden="false" customHeight="false" outlineLevel="0" collapsed="false">
      <c r="A69" s="30" t="s">
        <v>5313</v>
      </c>
      <c r="B69" s="0" t="s">
        <v>1222</v>
      </c>
      <c r="C69" s="0" t="s">
        <v>5314</v>
      </c>
      <c r="D69" s="0" t="s">
        <v>5197</v>
      </c>
      <c r="J69" s="0" t="s">
        <v>426</v>
      </c>
      <c r="L69" s="10" t="s">
        <v>5315</v>
      </c>
      <c r="M69" s="10" t="s">
        <v>487</v>
      </c>
      <c r="N69" s="10" t="s">
        <v>511</v>
      </c>
      <c r="O69" s="10" t="n">
        <v>201573565</v>
      </c>
      <c r="P69" s="10" t="n">
        <v>12.5</v>
      </c>
      <c r="Q69" s="10" t="s">
        <v>487</v>
      </c>
      <c r="R69" s="10" t="s">
        <v>487</v>
      </c>
      <c r="S69" s="10"/>
      <c r="T69" s="10" t="s">
        <v>5176</v>
      </c>
      <c r="U69" s="10" t="n">
        <v>12.5</v>
      </c>
      <c r="V69" s="10"/>
      <c r="W69" s="10"/>
      <c r="X69" s="10"/>
      <c r="Y69" s="10"/>
      <c r="Z69" s="10"/>
      <c r="AA69" s="10"/>
      <c r="AB69" s="10"/>
      <c r="AC69" s="10"/>
      <c r="AD69" s="10"/>
      <c r="AE69" s="10"/>
      <c r="AF69" s="10"/>
      <c r="AG69" s="10"/>
      <c r="AH69" s="10"/>
      <c r="AI69" s="10"/>
      <c r="AJ69" s="10"/>
      <c r="AK69" s="10"/>
      <c r="AL69" s="10"/>
      <c r="AM69" s="10"/>
      <c r="AN69" s="10"/>
      <c r="AO69" s="10"/>
      <c r="AP69" s="10"/>
      <c r="AQ69" s="10"/>
    </row>
    <row r="70" customFormat="false" ht="13.8" hidden="false" customHeight="false" outlineLevel="0" collapsed="false">
      <c r="A70" s="30" t="s">
        <v>5316</v>
      </c>
      <c r="B70" s="0" t="s">
        <v>1222</v>
      </c>
      <c r="C70" s="0" t="s">
        <v>2213</v>
      </c>
      <c r="D70" s="0" t="s">
        <v>5197</v>
      </c>
      <c r="J70" s="0" t="s">
        <v>426</v>
      </c>
      <c r="L70" s="10" t="s">
        <v>5317</v>
      </c>
      <c r="M70" s="10" t="s">
        <v>487</v>
      </c>
      <c r="N70" s="10" t="s">
        <v>558</v>
      </c>
      <c r="O70" s="10" t="n">
        <v>201573565</v>
      </c>
      <c r="P70" s="10" t="n">
        <v>15.4</v>
      </c>
      <c r="Q70" s="10" t="n">
        <v>2.9</v>
      </c>
      <c r="R70" s="10" t="s">
        <v>5293</v>
      </c>
      <c r="S70" s="10"/>
      <c r="T70" s="10" t="s">
        <v>5176</v>
      </c>
      <c r="U70" s="10" t="n">
        <v>15.4</v>
      </c>
      <c r="V70" s="10"/>
      <c r="W70" s="10"/>
      <c r="X70" s="10"/>
      <c r="Y70" s="10"/>
      <c r="Z70" s="10"/>
      <c r="AA70" s="10"/>
      <c r="AB70" s="10"/>
      <c r="AC70" s="10"/>
      <c r="AD70" s="10"/>
      <c r="AE70" s="10"/>
      <c r="AF70" s="10"/>
      <c r="AG70" s="10"/>
      <c r="AH70" s="10"/>
      <c r="AI70" s="10"/>
      <c r="AJ70" s="10"/>
      <c r="AK70" s="10"/>
      <c r="AL70" s="10"/>
      <c r="AM70" s="10"/>
      <c r="AN70" s="10"/>
      <c r="AO70" s="10"/>
      <c r="AP70" s="10"/>
      <c r="AQ70" s="10"/>
    </row>
    <row r="71" customFormat="false" ht="13.8" hidden="false" customHeight="false" outlineLevel="0" collapsed="false">
      <c r="A71" s="30" t="s">
        <v>5318</v>
      </c>
      <c r="B71" s="0" t="s">
        <v>1226</v>
      </c>
      <c r="C71" s="0" t="s">
        <v>5319</v>
      </c>
      <c r="D71" s="0" t="s">
        <v>5320</v>
      </c>
      <c r="J71" s="0" t="s">
        <v>426</v>
      </c>
      <c r="L71" s="10" t="s">
        <v>5321</v>
      </c>
      <c r="M71" s="0" t="s">
        <v>487</v>
      </c>
      <c r="N71" s="10" t="s">
        <v>511</v>
      </c>
      <c r="O71" s="10" t="n">
        <v>201527647</v>
      </c>
      <c r="P71" s="10" t="n">
        <v>1.1</v>
      </c>
      <c r="Q71" s="10" t="s">
        <v>487</v>
      </c>
      <c r="R71" s="10" t="s">
        <v>487</v>
      </c>
      <c r="S71" s="10"/>
      <c r="T71" s="10" t="s">
        <v>5170</v>
      </c>
      <c r="U71" s="10" t="n">
        <v>1.1</v>
      </c>
      <c r="V71" s="10"/>
      <c r="W71" s="10"/>
      <c r="X71" s="10"/>
      <c r="Y71" s="10"/>
      <c r="Z71" s="10"/>
      <c r="AA71" s="10"/>
      <c r="AB71" s="10"/>
      <c r="AC71" s="10"/>
      <c r="AD71" s="10"/>
      <c r="AE71" s="10"/>
      <c r="AF71" s="10"/>
      <c r="AG71" s="10"/>
      <c r="AH71" s="10"/>
      <c r="AI71" s="10"/>
      <c r="AJ71" s="10"/>
      <c r="AK71" s="10"/>
      <c r="AL71" s="10"/>
      <c r="AM71" s="10"/>
      <c r="AN71" s="10"/>
      <c r="AO71" s="10"/>
      <c r="AP71" s="10"/>
      <c r="AQ71" s="10"/>
    </row>
    <row r="72" customFormat="false" ht="15" hidden="false" customHeight="false" outlineLevel="0" collapsed="false">
      <c r="A72" s="30" t="s">
        <v>5322</v>
      </c>
      <c r="B72" s="0" t="s">
        <v>1226</v>
      </c>
      <c r="C72" s="0" t="s">
        <v>5323</v>
      </c>
      <c r="D72" s="0" t="s">
        <v>5272</v>
      </c>
      <c r="J72" s="0" t="s">
        <v>426</v>
      </c>
      <c r="L72" s="10" t="s">
        <v>5324</v>
      </c>
      <c r="M72" s="10" t="s">
        <v>487</v>
      </c>
      <c r="N72" s="10" t="s">
        <v>511</v>
      </c>
      <c r="O72" s="59" t="n">
        <v>201689152</v>
      </c>
      <c r="P72" s="10" t="n">
        <v>2.8</v>
      </c>
      <c r="Q72" s="10" t="s">
        <v>487</v>
      </c>
      <c r="R72" s="10" t="s">
        <v>487</v>
      </c>
      <c r="S72" s="10" t="s">
        <v>5280</v>
      </c>
      <c r="T72" s="10" t="s">
        <v>5180</v>
      </c>
      <c r="U72" s="10" t="n">
        <v>2.8</v>
      </c>
      <c r="V72" s="10" t="n">
        <v>3.8</v>
      </c>
      <c r="W72" s="10" t="s">
        <v>487</v>
      </c>
      <c r="X72" s="10" t="s">
        <v>5280</v>
      </c>
      <c r="Y72" s="10"/>
      <c r="Z72" s="10"/>
      <c r="AA72" s="10"/>
      <c r="AB72" s="10"/>
      <c r="AC72" s="10"/>
      <c r="AD72" s="10"/>
      <c r="AE72" s="10"/>
      <c r="AF72" s="10"/>
      <c r="AG72" s="10"/>
      <c r="AH72" s="10"/>
      <c r="AI72" s="10"/>
      <c r="AJ72" s="10"/>
      <c r="AK72" s="10"/>
      <c r="AL72" s="10"/>
      <c r="AM72" s="10"/>
      <c r="AN72" s="10"/>
      <c r="AO72" s="10"/>
      <c r="AP72" s="10"/>
      <c r="AQ72" s="10"/>
    </row>
    <row r="73" customFormat="false" ht="13.8" hidden="false" customHeight="false" outlineLevel="0" collapsed="false">
      <c r="A73" s="30" t="s">
        <v>5325</v>
      </c>
      <c r="B73" s="0" t="s">
        <v>1226</v>
      </c>
      <c r="C73" s="0" t="s">
        <v>2257</v>
      </c>
      <c r="D73" s="0" t="s">
        <v>5320</v>
      </c>
      <c r="J73" s="0" t="s">
        <v>426</v>
      </c>
      <c r="L73" s="10" t="s">
        <v>5326</v>
      </c>
      <c r="M73" s="0" t="s">
        <v>487</v>
      </c>
      <c r="N73" s="10" t="s">
        <v>558</v>
      </c>
      <c r="O73" s="10" t="n">
        <v>201527647</v>
      </c>
      <c r="P73" s="10" t="n">
        <v>0</v>
      </c>
      <c r="Q73" s="10" t="s">
        <v>5327</v>
      </c>
      <c r="R73" s="10" t="s">
        <v>487</v>
      </c>
      <c r="S73" s="10"/>
      <c r="T73" s="10" t="s">
        <v>5170</v>
      </c>
      <c r="U73" s="10" t="n">
        <v>0</v>
      </c>
      <c r="V73" s="10"/>
      <c r="W73" s="10"/>
      <c r="X73" s="10"/>
      <c r="Y73" s="10"/>
      <c r="Z73" s="10"/>
      <c r="AA73" s="10"/>
      <c r="AB73" s="10"/>
      <c r="AC73" s="10"/>
      <c r="AD73" s="10"/>
      <c r="AE73" s="10"/>
      <c r="AF73" s="10"/>
      <c r="AG73" s="10"/>
      <c r="AH73" s="10"/>
      <c r="AI73" s="10"/>
      <c r="AJ73" s="10"/>
      <c r="AK73" s="10"/>
      <c r="AL73" s="10"/>
      <c r="AM73" s="10"/>
      <c r="AN73" s="10"/>
      <c r="AO73" s="10"/>
      <c r="AP73" s="10"/>
      <c r="AQ73" s="10"/>
    </row>
    <row r="74" customFormat="false" ht="15" hidden="false" customHeight="false" outlineLevel="0" collapsed="false">
      <c r="A74" s="30" t="s">
        <v>5328</v>
      </c>
      <c r="B74" s="0" t="s">
        <v>1234</v>
      </c>
      <c r="C74" s="0" t="s">
        <v>2912</v>
      </c>
      <c r="L74" s="10"/>
      <c r="M74" s="10" t="s">
        <v>5329</v>
      </c>
      <c r="N74" s="10"/>
      <c r="O74" s="59" t="n">
        <v>201669257</v>
      </c>
      <c r="P74" s="10"/>
      <c r="Q74" s="10"/>
      <c r="R74" s="10"/>
      <c r="S74" s="10"/>
      <c r="T74" s="10" t="s">
        <v>5174</v>
      </c>
      <c r="U74" s="10"/>
      <c r="V74" s="10"/>
      <c r="W74" s="10"/>
      <c r="X74" s="10"/>
      <c r="Y74" s="10"/>
      <c r="Z74" s="10"/>
      <c r="AA74" s="10"/>
      <c r="AB74" s="10"/>
      <c r="AC74" s="10"/>
      <c r="AD74" s="10"/>
      <c r="AE74" s="10"/>
      <c r="AF74" s="10"/>
      <c r="AG74" s="10"/>
      <c r="AH74" s="10"/>
      <c r="AI74" s="10"/>
      <c r="AJ74" s="10"/>
      <c r="AK74" s="10"/>
      <c r="AL74" s="10"/>
      <c r="AM74" s="10"/>
      <c r="AN74" s="10"/>
      <c r="AO74" s="10"/>
      <c r="AP74" s="10"/>
      <c r="AQ74" s="10"/>
    </row>
    <row r="75" customFormat="false" ht="13.8" hidden="false" customHeight="false" outlineLevel="0" collapsed="false">
      <c r="A75" s="30" t="s">
        <v>5330</v>
      </c>
      <c r="B75" s="0" t="s">
        <v>1234</v>
      </c>
      <c r="C75" s="0" t="s">
        <v>2961</v>
      </c>
      <c r="D75" s="0" t="s">
        <v>5197</v>
      </c>
      <c r="J75" s="0" t="s">
        <v>542</v>
      </c>
      <c r="M75" s="0" t="s">
        <v>5329</v>
      </c>
      <c r="N75" s="0" t="s">
        <v>511</v>
      </c>
      <c r="P75" s="0" t="n">
        <v>2</v>
      </c>
      <c r="Q75" s="0" t="s">
        <v>487</v>
      </c>
      <c r="R75" s="0" t="s">
        <v>487</v>
      </c>
      <c r="S75" s="0" t="s">
        <v>487</v>
      </c>
      <c r="T75" s="0" t="s">
        <v>5174</v>
      </c>
      <c r="U75" s="0" t="n">
        <v>8</v>
      </c>
    </row>
    <row r="76" customFormat="false" ht="15" hidden="false" customHeight="false" outlineLevel="0" collapsed="false">
      <c r="A76" s="30" t="s">
        <v>5331</v>
      </c>
      <c r="B76" s="0" t="s">
        <v>1274</v>
      </c>
      <c r="C76" s="0" t="s">
        <v>2912</v>
      </c>
      <c r="L76" s="10"/>
      <c r="M76" s="0" t="s">
        <v>487</v>
      </c>
      <c r="N76" s="10"/>
      <c r="O76" s="59" t="n">
        <v>104623496</v>
      </c>
      <c r="P76" s="10"/>
      <c r="Q76" s="10"/>
      <c r="R76" s="10"/>
      <c r="S76" s="10"/>
      <c r="T76" s="10" t="s">
        <v>5176</v>
      </c>
      <c r="U76" s="10"/>
      <c r="V76" s="10"/>
      <c r="W76" s="10"/>
      <c r="X76" s="10"/>
      <c r="Y76" s="10"/>
      <c r="Z76" s="10"/>
      <c r="AA76" s="10"/>
      <c r="AB76" s="10"/>
      <c r="AC76" s="10"/>
      <c r="AD76" s="10"/>
      <c r="AE76" s="10"/>
      <c r="AF76" s="10"/>
      <c r="AG76" s="10"/>
      <c r="AH76" s="10"/>
      <c r="AI76" s="10"/>
      <c r="AJ76" s="10"/>
      <c r="AK76" s="10"/>
      <c r="AL76" s="10"/>
      <c r="AM76" s="10"/>
      <c r="AN76" s="10"/>
      <c r="AO76" s="10"/>
      <c r="AP76" s="10"/>
      <c r="AQ76" s="10"/>
    </row>
    <row r="77" customFormat="false" ht="15" hidden="false" customHeight="false" outlineLevel="0" collapsed="false">
      <c r="A77" s="30" t="s">
        <v>5332</v>
      </c>
      <c r="B77" s="0" t="s">
        <v>1305</v>
      </c>
      <c r="C77" s="0" t="s">
        <v>2735</v>
      </c>
      <c r="D77" s="0" t="s">
        <v>5272</v>
      </c>
      <c r="J77" s="0" t="s">
        <v>426</v>
      </c>
      <c r="L77" s="10" t="s">
        <v>5333</v>
      </c>
      <c r="M77" s="10" t="s">
        <v>487</v>
      </c>
      <c r="N77" s="10" t="s">
        <v>511</v>
      </c>
      <c r="O77" s="59" t="n">
        <v>103379081</v>
      </c>
      <c r="P77" s="63" t="n">
        <v>7</v>
      </c>
      <c r="Q77" s="10"/>
      <c r="R77" s="10"/>
      <c r="S77" s="10"/>
      <c r="T77" s="10" t="s">
        <v>5239</v>
      </c>
      <c r="U77" s="10" t="n">
        <v>3</v>
      </c>
      <c r="V77" s="10" t="n">
        <v>6.5</v>
      </c>
      <c r="W77" s="10"/>
      <c r="X77" s="10"/>
      <c r="Y77" s="10" t="s">
        <v>5249</v>
      </c>
      <c r="Z77" s="10" t="n">
        <v>4</v>
      </c>
      <c r="AA77" s="10" t="n">
        <v>2.6</v>
      </c>
      <c r="AB77" s="10"/>
      <c r="AC77" s="10"/>
      <c r="AD77" s="10"/>
      <c r="AE77" s="10"/>
      <c r="AF77" s="10"/>
      <c r="AG77" s="10"/>
      <c r="AH77" s="10"/>
      <c r="AI77" s="10"/>
      <c r="AJ77" s="10"/>
      <c r="AK77" s="10"/>
      <c r="AL77" s="10"/>
      <c r="AM77" s="10"/>
      <c r="AN77" s="10"/>
      <c r="AO77" s="10"/>
      <c r="AP77" s="10"/>
      <c r="AQ77" s="10"/>
    </row>
    <row r="78" customFormat="false" ht="23.85" hidden="false" customHeight="false" outlineLevel="0" collapsed="false">
      <c r="A78" s="30" t="s">
        <v>5334</v>
      </c>
      <c r="B78" s="0" t="s">
        <v>1305</v>
      </c>
      <c r="C78" s="0" t="s">
        <v>5335</v>
      </c>
      <c r="D78" s="0" t="s">
        <v>5336</v>
      </c>
      <c r="J78" s="0" t="s">
        <v>426</v>
      </c>
      <c r="L78" s="10" t="s">
        <v>5337</v>
      </c>
      <c r="M78" s="10" t="s">
        <v>487</v>
      </c>
      <c r="N78" s="10" t="s">
        <v>558</v>
      </c>
      <c r="O78" s="59" t="n">
        <v>103379081</v>
      </c>
      <c r="P78" s="63" t="n">
        <v>0</v>
      </c>
      <c r="Q78" s="10"/>
      <c r="R78" s="10"/>
      <c r="S78" s="10"/>
      <c r="T78" s="10" t="s">
        <v>5239</v>
      </c>
      <c r="U78" s="10" t="n">
        <v>0</v>
      </c>
      <c r="V78" s="10"/>
      <c r="W78" s="10"/>
      <c r="X78" s="10" t="s">
        <v>5338</v>
      </c>
      <c r="Y78" s="10" t="s">
        <v>5249</v>
      </c>
      <c r="Z78" s="10" t="n">
        <v>0</v>
      </c>
      <c r="AA78" s="10"/>
      <c r="AB78" s="10"/>
      <c r="AC78" s="64" t="s">
        <v>5339</v>
      </c>
      <c r="AD78" s="10"/>
      <c r="AE78" s="10"/>
      <c r="AF78" s="10"/>
      <c r="AG78" s="10"/>
      <c r="AH78" s="10"/>
      <c r="AI78" s="10"/>
      <c r="AJ78" s="10"/>
      <c r="AK78" s="10"/>
      <c r="AL78" s="10"/>
      <c r="AM78" s="10"/>
      <c r="AN78" s="10"/>
      <c r="AO78" s="10"/>
      <c r="AP78" s="10"/>
      <c r="AQ78" s="10"/>
    </row>
    <row r="79" customFormat="false" ht="15" hidden="false" customHeight="false" outlineLevel="0" collapsed="false">
      <c r="A79" s="30" t="s">
        <v>5340</v>
      </c>
      <c r="B79" s="0" t="s">
        <v>1305</v>
      </c>
      <c r="C79" s="0" t="s">
        <v>5341</v>
      </c>
      <c r="D79" s="0" t="s">
        <v>5342</v>
      </c>
      <c r="J79" s="0" t="s">
        <v>426</v>
      </c>
      <c r="L79" s="10" t="s">
        <v>5343</v>
      </c>
      <c r="M79" s="10" t="s">
        <v>487</v>
      </c>
      <c r="N79" s="10" t="s">
        <v>558</v>
      </c>
      <c r="O79" s="59" t="n">
        <v>103379081</v>
      </c>
      <c r="P79" s="63" t="n">
        <v>0</v>
      </c>
      <c r="Q79" s="10"/>
      <c r="R79" s="10"/>
      <c r="S79" s="10"/>
      <c r="T79" s="10" t="s">
        <v>5239</v>
      </c>
      <c r="U79" s="10" t="n">
        <v>0</v>
      </c>
      <c r="V79" s="10"/>
      <c r="W79" s="10"/>
      <c r="X79" s="10" t="s">
        <v>5338</v>
      </c>
      <c r="Y79" s="10" t="s">
        <v>5249</v>
      </c>
      <c r="Z79" s="10" t="n">
        <v>0</v>
      </c>
      <c r="AA79" s="10"/>
      <c r="AB79" s="10"/>
      <c r="AC79" s="10" t="s">
        <v>5344</v>
      </c>
      <c r="AD79" s="10"/>
      <c r="AE79" s="10"/>
      <c r="AF79" s="10"/>
      <c r="AG79" s="10"/>
      <c r="AH79" s="10"/>
      <c r="AI79" s="10"/>
      <c r="AJ79" s="10"/>
      <c r="AK79" s="10"/>
      <c r="AL79" s="10"/>
      <c r="AM79" s="10"/>
      <c r="AN79" s="10"/>
      <c r="AO79" s="10"/>
      <c r="AP79" s="10"/>
      <c r="AQ79" s="10"/>
    </row>
    <row r="80" customFormat="false" ht="18" hidden="false" customHeight="true" outlineLevel="0" collapsed="false">
      <c r="A80" s="30" t="s">
        <v>5345</v>
      </c>
      <c r="B80" s="0" t="s">
        <v>1305</v>
      </c>
      <c r="C80" s="0" t="s">
        <v>2400</v>
      </c>
      <c r="D80" s="0" t="s">
        <v>5336</v>
      </c>
      <c r="J80" s="0" t="s">
        <v>426</v>
      </c>
      <c r="L80" s="10" t="s">
        <v>5346</v>
      </c>
      <c r="M80" s="10" t="s">
        <v>487</v>
      </c>
      <c r="N80" s="10" t="s">
        <v>558</v>
      </c>
      <c r="O80" s="59" t="n">
        <v>103379081</v>
      </c>
      <c r="P80" s="10" t="n">
        <v>0</v>
      </c>
      <c r="Q80" s="10"/>
      <c r="R80" s="10"/>
      <c r="S80" s="10"/>
      <c r="T80" s="10" t="s">
        <v>5239</v>
      </c>
      <c r="U80" s="10" t="n">
        <v>0</v>
      </c>
      <c r="V80" s="10"/>
      <c r="W80" s="10"/>
      <c r="X80" s="10" t="s">
        <v>5338</v>
      </c>
      <c r="Y80" s="10" t="s">
        <v>5249</v>
      </c>
      <c r="Z80" s="10" t="n">
        <v>0</v>
      </c>
      <c r="AA80" s="10"/>
      <c r="AB80" s="10"/>
      <c r="AC80" s="10"/>
      <c r="AD80" s="10"/>
      <c r="AE80" s="10"/>
      <c r="AF80" s="10"/>
      <c r="AG80" s="10"/>
      <c r="AH80" s="10"/>
      <c r="AI80" s="10"/>
      <c r="AJ80" s="10"/>
      <c r="AK80" s="10"/>
      <c r="AL80" s="10"/>
      <c r="AM80" s="10"/>
      <c r="AN80" s="10"/>
      <c r="AO80" s="10"/>
      <c r="AP80" s="10"/>
      <c r="AQ80" s="10"/>
    </row>
    <row r="81" customFormat="false" ht="13.8" hidden="false" customHeight="false" outlineLevel="0" collapsed="false">
      <c r="A81" s="30" t="s">
        <v>5347</v>
      </c>
      <c r="B81" s="0" t="s">
        <v>1326</v>
      </c>
      <c r="C81" s="0" t="s">
        <v>2510</v>
      </c>
      <c r="D81" s="0" t="s">
        <v>5272</v>
      </c>
      <c r="J81" s="0" t="s">
        <v>426</v>
      </c>
      <c r="L81" s="10" t="s">
        <v>5348</v>
      </c>
      <c r="M81" s="10" t="s">
        <v>487</v>
      </c>
      <c r="N81" s="10" t="s">
        <v>558</v>
      </c>
      <c r="O81" s="10" t="n">
        <v>201230394</v>
      </c>
      <c r="P81" s="10" t="n">
        <v>35.4</v>
      </c>
      <c r="Q81" s="10" t="s">
        <v>487</v>
      </c>
      <c r="R81" s="10" t="s">
        <v>487</v>
      </c>
      <c r="S81" s="10" t="s">
        <v>5280</v>
      </c>
      <c r="T81" s="10" t="s">
        <v>5176</v>
      </c>
      <c r="U81" s="10" t="n">
        <v>11.1</v>
      </c>
      <c r="V81" s="10" t="n">
        <v>21.5</v>
      </c>
      <c r="W81" s="10" t="s">
        <v>487</v>
      </c>
      <c r="X81" s="10" t="s">
        <v>5280</v>
      </c>
      <c r="Y81" s="10" t="s">
        <v>5180</v>
      </c>
      <c r="Z81" s="10" t="n">
        <v>17</v>
      </c>
      <c r="AA81" s="10" t="n">
        <v>3.1</v>
      </c>
      <c r="AB81" s="10" t="s">
        <v>487</v>
      </c>
      <c r="AC81" s="10"/>
      <c r="AD81" s="10" t="s">
        <v>5199</v>
      </c>
      <c r="AE81" s="10"/>
      <c r="AF81" s="10" t="n">
        <v>2.2</v>
      </c>
      <c r="AG81" s="10"/>
      <c r="AH81" s="10"/>
      <c r="AI81" s="10" t="s">
        <v>5253</v>
      </c>
      <c r="AJ81" s="10" t="n">
        <v>1.8</v>
      </c>
      <c r="AK81" s="10"/>
      <c r="AL81" s="10"/>
      <c r="AM81" s="10"/>
      <c r="AN81" s="10" t="s">
        <v>5249</v>
      </c>
      <c r="AO81" s="10" t="n">
        <v>5.5</v>
      </c>
      <c r="AP81" s="10"/>
      <c r="AQ81" s="10"/>
    </row>
    <row r="82" customFormat="false" ht="13.8" hidden="false" customHeight="false" outlineLevel="0" collapsed="false">
      <c r="A82" s="30" t="s">
        <v>5349</v>
      </c>
      <c r="B82" s="0" t="e">
        <f aca="false">#N/A</f>
        <v>#N/A</v>
      </c>
      <c r="C82" s="0" t="s">
        <v>5350</v>
      </c>
      <c r="D82" s="0" t="s">
        <v>5336</v>
      </c>
      <c r="J82" s="0" t="s">
        <v>542</v>
      </c>
      <c r="M82" s="0" t="s">
        <v>5351</v>
      </c>
      <c r="N82" s="0" t="s">
        <v>511</v>
      </c>
      <c r="P82" s="0" t="n">
        <v>10.4</v>
      </c>
      <c r="Q82" s="0" t="s">
        <v>487</v>
      </c>
      <c r="R82" s="0" t="s">
        <v>487</v>
      </c>
      <c r="S82" s="0" t="s">
        <v>487</v>
      </c>
      <c r="T82" s="0" t="s">
        <v>5180</v>
      </c>
      <c r="U82" s="0" t="n">
        <v>8.2</v>
      </c>
    </row>
    <row r="83" customFormat="false" ht="13.8" hidden="false" customHeight="false" outlineLevel="0" collapsed="false">
      <c r="A83" s="30" t="s">
        <v>5352</v>
      </c>
      <c r="B83" s="0" t="e">
        <f aca="false">#N/A</f>
        <v>#N/A</v>
      </c>
      <c r="C83" s="0" t="s">
        <v>2539</v>
      </c>
      <c r="D83" s="0" t="s">
        <v>5272</v>
      </c>
      <c r="J83" s="0" t="s">
        <v>426</v>
      </c>
      <c r="M83" s="0" t="s">
        <v>487</v>
      </c>
      <c r="N83" s="10" t="s">
        <v>558</v>
      </c>
      <c r="O83" s="10"/>
      <c r="P83" s="63" t="n">
        <v>1.7</v>
      </c>
      <c r="Q83" s="10"/>
      <c r="R83" s="10"/>
      <c r="S83" s="10"/>
      <c r="T83" s="10" t="s">
        <v>5254</v>
      </c>
      <c r="U83" s="10" t="n">
        <v>0</v>
      </c>
      <c r="V83" s="10"/>
      <c r="W83" s="10"/>
      <c r="X83" s="10" t="s">
        <v>5353</v>
      </c>
      <c r="Y83" s="10" t="s">
        <v>5354</v>
      </c>
      <c r="Z83" s="10" t="n">
        <v>1.7</v>
      </c>
      <c r="AA83" s="10"/>
      <c r="AB83" s="10"/>
      <c r="AC83" s="10"/>
      <c r="AD83" s="10"/>
      <c r="AE83" s="10"/>
      <c r="AF83" s="10"/>
      <c r="AG83" s="10"/>
      <c r="AH83" s="10"/>
      <c r="AI83" s="10"/>
      <c r="AJ83" s="10"/>
      <c r="AK83" s="10"/>
      <c r="AL83" s="10"/>
      <c r="AM83" s="10"/>
      <c r="AN83" s="10"/>
      <c r="AO83" s="10"/>
      <c r="AP83" s="10"/>
      <c r="AQ83" s="10"/>
    </row>
    <row r="84" customFormat="false" ht="13.8" hidden="false" customHeight="false" outlineLevel="0" collapsed="false">
      <c r="A84" s="30" t="s">
        <v>5355</v>
      </c>
      <c r="B84" s="0" t="e">
        <f aca="false">#N/A</f>
        <v>#N/A</v>
      </c>
      <c r="C84" s="0" t="s">
        <v>5356</v>
      </c>
      <c r="D84" s="0" t="s">
        <v>5197</v>
      </c>
      <c r="J84" s="0" t="s">
        <v>426</v>
      </c>
      <c r="M84" s="0" t="s">
        <v>487</v>
      </c>
      <c r="N84" s="10" t="s">
        <v>558</v>
      </c>
      <c r="O84" s="10"/>
      <c r="P84" s="63" t="n">
        <v>1.8</v>
      </c>
      <c r="Q84" s="10"/>
      <c r="R84" s="10"/>
      <c r="S84" s="10"/>
      <c r="T84" s="10" t="s">
        <v>5357</v>
      </c>
      <c r="U84" s="10" t="n">
        <v>0</v>
      </c>
      <c r="V84" s="10"/>
      <c r="W84" s="10"/>
      <c r="X84" s="10" t="s">
        <v>5353</v>
      </c>
      <c r="Y84" s="24" t="s">
        <v>5354</v>
      </c>
      <c r="Z84" s="10" t="n">
        <v>1.8</v>
      </c>
      <c r="AA84" s="10"/>
      <c r="AB84" s="10"/>
      <c r="AC84" s="10"/>
      <c r="AD84" s="10"/>
      <c r="AE84" s="10"/>
      <c r="AF84" s="10"/>
      <c r="AG84" s="10"/>
      <c r="AH84" s="10"/>
      <c r="AI84" s="10"/>
      <c r="AJ84" s="10"/>
      <c r="AK84" s="10"/>
      <c r="AL84" s="10"/>
      <c r="AM84" s="10"/>
      <c r="AN84" s="10"/>
      <c r="AO84" s="10"/>
      <c r="AP84" s="10"/>
      <c r="AQ84" s="10"/>
    </row>
    <row r="85" customFormat="false" ht="13.8" hidden="false" customHeight="false" outlineLevel="0" collapsed="false">
      <c r="A85" s="30" t="s">
        <v>5358</v>
      </c>
      <c r="B85" s="0" t="e">
        <f aca="false">#N/A</f>
        <v>#N/A</v>
      </c>
      <c r="C85" s="0" t="s">
        <v>5359</v>
      </c>
      <c r="D85" s="0" t="s">
        <v>5197</v>
      </c>
      <c r="J85" s="0" t="s">
        <v>426</v>
      </c>
      <c r="M85" s="0" t="s">
        <v>487</v>
      </c>
      <c r="N85" s="10" t="s">
        <v>558</v>
      </c>
      <c r="O85" s="10"/>
      <c r="P85" s="63" t="n">
        <v>32.8</v>
      </c>
      <c r="Q85" s="10"/>
      <c r="R85" s="10"/>
      <c r="S85" s="10"/>
      <c r="T85" s="10" t="s">
        <v>5354</v>
      </c>
      <c r="U85" s="10" t="n">
        <v>13.3</v>
      </c>
      <c r="V85" s="10"/>
      <c r="W85" s="10"/>
      <c r="X85" s="10"/>
      <c r="Y85" s="10" t="s">
        <v>5254</v>
      </c>
      <c r="Z85" s="10" t="n">
        <v>17</v>
      </c>
      <c r="AA85" s="10"/>
      <c r="AB85" s="10"/>
      <c r="AC85" s="10"/>
      <c r="AD85" s="10" t="s">
        <v>5253</v>
      </c>
      <c r="AE85" s="10" t="n">
        <v>2.5</v>
      </c>
      <c r="AF85" s="10"/>
      <c r="AG85" s="10"/>
      <c r="AH85" s="10"/>
      <c r="AI85" s="10"/>
      <c r="AJ85" s="10"/>
      <c r="AK85" s="10"/>
      <c r="AL85" s="10"/>
      <c r="AM85" s="10"/>
      <c r="AN85" s="10"/>
      <c r="AO85" s="10"/>
      <c r="AP85" s="10"/>
      <c r="AQ85" s="10"/>
    </row>
    <row r="86" customFormat="false" ht="13.8" hidden="false" customHeight="false" outlineLevel="0" collapsed="false">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row>
    <row r="87" customFormat="false" ht="13.8" hidden="false" customHeight="false" outlineLevel="0" collapsed="false">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row>
  </sheetData>
  <autoFilter ref="A1:AR85"/>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zeroHeight="false" outlineLevelRow="0" outlineLevelCol="0"/>
  <sheetData>
    <row r="1" customFormat="false" ht="12.8" hidden="false" customHeight="false" outlineLevel="0" collapsed="false">
      <c r="A1" s="0" t="s">
        <v>3872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zeroHeight="false" outlineLevelRow="0" outlineLevelCol="0"/>
  <cols>
    <col collapsed="false" customWidth="true" hidden="false" outlineLevel="0" max="2" min="2" style="0" width="39.62"/>
  </cols>
  <sheetData>
    <row r="1" customFormat="false" ht="12.8" hidden="false" customHeight="false" outlineLevel="0" collapsed="false">
      <c r="A1" s="0" t="s">
        <v>5360</v>
      </c>
      <c r="B1" s="0" t="s">
        <v>5361</v>
      </c>
      <c r="C1" s="0" t="s">
        <v>5362</v>
      </c>
      <c r="D1" s="0" t="s">
        <v>415</v>
      </c>
    </row>
    <row r="2" customFormat="false" ht="12.8" hidden="false" customHeight="false" outlineLevel="0" collapsed="false">
      <c r="B2" s="0" t="s">
        <v>5363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78515625" defaultRowHeight="13.8" zeroHeight="false" outlineLevelRow="0" outlineLevelCol="0"/>
  <cols>
    <col collapsed="false" customWidth="true" hidden="false" outlineLevel="0" max="1" min="1" style="0" width="49.29"/>
    <col collapsed="false" customWidth="true" hidden="false" outlineLevel="0" max="2" min="2" style="0" width="21.14"/>
    <col collapsed="false" customWidth="true" hidden="false" outlineLevel="0" max="3" min="3" style="0" width="43.29"/>
  </cols>
  <sheetData>
    <row r="1" customFormat="false" ht="13.8" hidden="false" customHeight="false" outlineLevel="0" collapsed="false">
      <c r="A1" s="0" t="s">
        <v>61</v>
      </c>
      <c r="B1" s="0" t="s">
        <v>415</v>
      </c>
      <c r="C1" s="0" t="s">
        <v>5364</v>
      </c>
    </row>
    <row r="2" customFormat="false" ht="13.8" hidden="false" customHeight="false" outlineLevel="0" collapsed="false">
      <c r="A2" s="0" t="s">
        <v>5365</v>
      </c>
      <c r="B2" s="0" t="s">
        <v>5366</v>
      </c>
      <c r="C2" s="5" t="s">
        <v>5367</v>
      </c>
    </row>
    <row r="3" customFormat="false" ht="13.8" hidden="false" customHeight="false" outlineLevel="0" collapsed="false">
      <c r="A3" s="0" t="s">
        <v>5368</v>
      </c>
      <c r="B3" s="0" t="s">
        <v>5369</v>
      </c>
      <c r="C3" s="5" t="s">
        <v>5370</v>
      </c>
    </row>
    <row r="4" customFormat="false" ht="13.8" hidden="false" customHeight="false" outlineLevel="0" collapsed="false">
      <c r="A4" s="0" t="s">
        <v>5371</v>
      </c>
      <c r="B4" s="0" t="s">
        <v>5372</v>
      </c>
      <c r="C4" s="5" t="s">
        <v>5373</v>
      </c>
    </row>
  </sheetData>
  <hyperlinks>
    <hyperlink ref="C2" r:id="rId1" display="https://raw.githubusercontent.com/Boyle-Lab/Blacklist/master/lists/hg38-blacklist.v2.bed.gz"/>
    <hyperlink ref="C3" r:id="rId2" display="https://ftp.ncbi.nlm.nih.gov/genomes/all/GCA/000/001/405/GCA_000001405.15_GRCh38/seqs_for_alignment_pipelines.ucsc_ids/GCA_000001405.15_GRCh38_no_alt_analysis_set.fna.gz"/>
    <hyperlink ref="C4" r:id="rId3" display="https://hgdownload.cse.ucsc.edu/goldenpath/hg38/bigZips/hg38.chrom.size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3" activeCellId="0" sqref="E13"/>
    </sheetView>
  </sheetViews>
  <sheetFormatPr defaultColWidth="8.78515625" defaultRowHeight="13.8" zeroHeight="false" outlineLevelRow="0" outlineLevelCol="0"/>
  <cols>
    <col collapsed="false" customWidth="true" hidden="false" outlineLevel="0" max="1" min="1" style="0" width="20.71"/>
    <col collapsed="false" customWidth="true" hidden="false" outlineLevel="0" max="3" min="2" style="0" width="28.71"/>
    <col collapsed="false" customWidth="true" hidden="false" outlineLevel="0" max="4" min="4" style="0" width="15.42"/>
    <col collapsed="false" customWidth="true" hidden="false" outlineLevel="0" max="5" min="5" style="0" width="11.3"/>
  </cols>
  <sheetData>
    <row r="1" customFormat="false" ht="13.8" hidden="false" customHeight="false" outlineLevel="0" collapsed="false">
      <c r="A1" s="8" t="s">
        <v>89</v>
      </c>
      <c r="B1" s="8" t="s">
        <v>5374</v>
      </c>
      <c r="C1" s="8" t="s">
        <v>5375</v>
      </c>
      <c r="D1" s="8" t="s">
        <v>5376</v>
      </c>
      <c r="E1" s="8" t="s">
        <v>5377</v>
      </c>
      <c r="F1" s="0" t="s">
        <v>5378</v>
      </c>
    </row>
    <row r="2" customFormat="false" ht="13.8" hidden="false" customHeight="false" outlineLevel="0" collapsed="false">
      <c r="A2" s="0" t="s">
        <v>585</v>
      </c>
      <c r="B2" s="0" t="s">
        <v>5379</v>
      </c>
      <c r="C2" s="0" t="s">
        <v>585</v>
      </c>
      <c r="D2" s="0" t="s">
        <v>5380</v>
      </c>
      <c r="E2" s="65" t="s">
        <v>5381</v>
      </c>
      <c r="F2" s="0" t="n">
        <v>4</v>
      </c>
    </row>
    <row r="3" customFormat="false" ht="13.8" hidden="false" customHeight="false" outlineLevel="0" collapsed="false">
      <c r="A3" s="0" t="s">
        <v>752</v>
      </c>
      <c r="B3" s="0" t="s">
        <v>5382</v>
      </c>
      <c r="C3" s="0" t="s">
        <v>585</v>
      </c>
      <c r="D3" s="0" t="s">
        <v>5380</v>
      </c>
      <c r="E3" s="65" t="s">
        <v>5381</v>
      </c>
      <c r="F3" s="0" t="n">
        <v>4</v>
      </c>
    </row>
    <row r="4" customFormat="false" ht="13.8" hidden="false" customHeight="false" outlineLevel="0" collapsed="false">
      <c r="A4" s="0" t="s">
        <v>2409</v>
      </c>
      <c r="B4" s="0" t="s">
        <v>5383</v>
      </c>
      <c r="C4" s="0" t="s">
        <v>542</v>
      </c>
      <c r="D4" s="0" t="s">
        <v>5204</v>
      </c>
      <c r="E4" s="66" t="s">
        <v>5384</v>
      </c>
      <c r="F4" s="0" t="n">
        <v>999</v>
      </c>
    </row>
    <row r="5" customFormat="false" ht="13.8" hidden="false" customHeight="false" outlineLevel="0" collapsed="false">
      <c r="A5" s="0" t="s">
        <v>676</v>
      </c>
      <c r="B5" s="0" t="s">
        <v>5385</v>
      </c>
      <c r="C5" s="0" t="s">
        <v>676</v>
      </c>
      <c r="D5" s="0" t="s">
        <v>5385</v>
      </c>
      <c r="E5" s="67" t="s">
        <v>5386</v>
      </c>
      <c r="F5" s="0" t="n">
        <v>1</v>
      </c>
    </row>
    <row r="6" customFormat="false" ht="13.8" hidden="false" customHeight="false" outlineLevel="0" collapsed="false">
      <c r="A6" s="0" t="s">
        <v>2313</v>
      </c>
      <c r="B6" s="0" t="s">
        <v>5387</v>
      </c>
      <c r="C6" s="0" t="s">
        <v>486</v>
      </c>
      <c r="D6" s="0" t="s">
        <v>5388</v>
      </c>
      <c r="E6" s="68" t="s">
        <v>5389</v>
      </c>
      <c r="F6" s="0" t="n">
        <v>5</v>
      </c>
    </row>
    <row r="7" customFormat="false" ht="13.8" hidden="false" customHeight="false" outlineLevel="0" collapsed="false">
      <c r="A7" s="0" t="s">
        <v>486</v>
      </c>
      <c r="B7" s="0" t="s">
        <v>5388</v>
      </c>
      <c r="C7" s="0" t="s">
        <v>486</v>
      </c>
      <c r="D7" s="0" t="s">
        <v>5388</v>
      </c>
      <c r="E7" s="68" t="s">
        <v>5389</v>
      </c>
      <c r="F7" s="0" t="n">
        <v>5</v>
      </c>
    </row>
    <row r="8" customFormat="false" ht="13.8" hidden="false" customHeight="false" outlineLevel="0" collapsed="false">
      <c r="A8" s="0" t="s">
        <v>932</v>
      </c>
      <c r="B8" s="0" t="s">
        <v>5390</v>
      </c>
      <c r="C8" s="0" t="s">
        <v>542</v>
      </c>
      <c r="D8" s="0" t="s">
        <v>5204</v>
      </c>
      <c r="E8" s="66" t="s">
        <v>5384</v>
      </c>
      <c r="F8" s="0" t="n">
        <v>999</v>
      </c>
    </row>
    <row r="9" customFormat="false" ht="13.8" hidden="false" customHeight="false" outlineLevel="0" collapsed="false">
      <c r="A9" s="0" t="s">
        <v>1896</v>
      </c>
      <c r="B9" s="0" t="s">
        <v>5391</v>
      </c>
      <c r="C9" s="0" t="s">
        <v>486</v>
      </c>
      <c r="D9" s="0" t="s">
        <v>5388</v>
      </c>
      <c r="E9" s="68" t="s">
        <v>5389</v>
      </c>
      <c r="F9" s="0" t="n">
        <v>5</v>
      </c>
    </row>
    <row r="10" customFormat="false" ht="13.8" hidden="false" customHeight="false" outlineLevel="0" collapsed="false">
      <c r="A10" s="0" t="s">
        <v>1012</v>
      </c>
      <c r="B10" s="0" t="s">
        <v>5392</v>
      </c>
      <c r="C10" s="0" t="s">
        <v>1012</v>
      </c>
      <c r="D10" s="0" t="s">
        <v>5392</v>
      </c>
      <c r="E10" s="69" t="s">
        <v>5393</v>
      </c>
      <c r="F10" s="0" t="n">
        <v>2</v>
      </c>
    </row>
    <row r="11" customFormat="false" ht="13.8" hidden="false" customHeight="false" outlineLevel="0" collapsed="false">
      <c r="A11" s="0" t="s">
        <v>542</v>
      </c>
      <c r="B11" s="0" t="s">
        <v>5204</v>
      </c>
      <c r="C11" s="0" t="s">
        <v>542</v>
      </c>
      <c r="D11" s="0" t="s">
        <v>5204</v>
      </c>
      <c r="E11" s="66" t="s">
        <v>5384</v>
      </c>
      <c r="F11" s="0" t="n">
        <v>999</v>
      </c>
    </row>
    <row r="12" customFormat="false" ht="13.8" hidden="false" customHeight="false" outlineLevel="0" collapsed="false">
      <c r="A12" s="0" t="s">
        <v>5394</v>
      </c>
      <c r="B12" s="0" t="s">
        <v>5395</v>
      </c>
      <c r="C12" s="0" t="s">
        <v>542</v>
      </c>
      <c r="D12" s="0" t="s">
        <v>5204</v>
      </c>
      <c r="E12" s="66" t="s">
        <v>5384</v>
      </c>
      <c r="F12" s="0" t="n">
        <v>999</v>
      </c>
    </row>
    <row r="13" customFormat="false" ht="13.8" hidden="false" customHeight="false" outlineLevel="0" collapsed="false">
      <c r="A13" s="0" t="s">
        <v>526</v>
      </c>
      <c r="B13" s="0" t="s">
        <v>5396</v>
      </c>
      <c r="C13" s="0" t="s">
        <v>526</v>
      </c>
      <c r="D13" s="0" t="s">
        <v>5396</v>
      </c>
      <c r="E13" s="70" t="s">
        <v>5397</v>
      </c>
      <c r="F13" s="0" t="n">
        <v>3</v>
      </c>
    </row>
    <row r="14" customFormat="false" ht="13.8" hidden="false" customHeight="false" outlineLevel="0" collapsed="false">
      <c r="A14" s="0" t="s">
        <v>872</v>
      </c>
      <c r="B14" s="0" t="s">
        <v>5398</v>
      </c>
      <c r="C14" s="0" t="s">
        <v>542</v>
      </c>
      <c r="D14" s="0" t="s">
        <v>5204</v>
      </c>
      <c r="E14" s="66" t="s">
        <v>5384</v>
      </c>
      <c r="F14" s="0" t="n">
        <v>999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78515625" defaultRowHeight="13.8" zeroHeight="false" outlineLevelRow="0" outlineLevelCol="0"/>
  <cols>
    <col collapsed="false" customWidth="true" hidden="false" outlineLevel="0" max="1" min="1" style="0" width="10.12"/>
    <col collapsed="false" customWidth="true" hidden="false" outlineLevel="0" max="2" min="2" style="0" width="7.15"/>
    <col collapsed="false" customWidth="true" hidden="false" outlineLevel="0" max="3" min="3" style="0" width="6.88"/>
    <col collapsed="false" customWidth="true" hidden="false" outlineLevel="0" max="4" min="4" style="0" width="14.43"/>
    <col collapsed="false" customWidth="true" hidden="false" outlineLevel="0" max="5" min="5" style="0" width="15.29"/>
    <col collapsed="false" customWidth="true" hidden="false" outlineLevel="0" max="6" min="6" style="0" width="14.57"/>
    <col collapsed="false" customWidth="true" hidden="false" outlineLevel="0" max="7" min="7" style="0" width="5.43"/>
    <col collapsed="false" customWidth="true" hidden="false" outlineLevel="0" max="8" min="8" style="0" width="10.58"/>
    <col collapsed="false" customWidth="true" hidden="false" outlineLevel="0" max="9" min="9" style="0" width="9.85"/>
    <col collapsed="false" customWidth="true" hidden="false" outlineLevel="0" max="11" min="11" style="0" width="9.59"/>
    <col collapsed="false" customWidth="true" hidden="false" outlineLevel="0" max="12" min="12" style="0" width="12.42"/>
    <col collapsed="false" customWidth="true" hidden="false" outlineLevel="0" max="13" min="13" style="0" width="12.86"/>
  </cols>
  <sheetData>
    <row r="1" customFormat="false" ht="13.8" hidden="false" customHeight="false" outlineLevel="0" collapsed="false">
      <c r="A1" s="0" t="s">
        <v>360</v>
      </c>
      <c r="B1" s="0" t="s">
        <v>205</v>
      </c>
      <c r="C1" s="0" t="s">
        <v>82</v>
      </c>
      <c r="D1" s="0" t="s">
        <v>277</v>
      </c>
      <c r="E1" s="0" t="s">
        <v>393</v>
      </c>
      <c r="F1" s="0" t="s">
        <v>390</v>
      </c>
      <c r="G1" s="0" t="s">
        <v>100</v>
      </c>
      <c r="H1" s="0" t="s">
        <v>106</v>
      </c>
      <c r="I1" s="0" t="s">
        <v>103</v>
      </c>
      <c r="J1" s="0" t="s">
        <v>240</v>
      </c>
      <c r="K1" s="0" t="s">
        <v>407</v>
      </c>
      <c r="L1" s="0" t="s">
        <v>409</v>
      </c>
      <c r="M1" s="0" t="s">
        <v>336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U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 activeCellId="0" sqref="B1"/>
    </sheetView>
  </sheetViews>
  <sheetFormatPr defaultColWidth="8.78515625" defaultRowHeight="13.8" zeroHeight="false" outlineLevelRow="0" outlineLevelCol="0"/>
  <cols>
    <col collapsed="false" customWidth="true" hidden="false" outlineLevel="0" max="1" min="1" style="0" width="22.86"/>
    <col collapsed="false" customWidth="true" hidden="false" outlineLevel="0" max="2" min="2" style="0" width="31.01"/>
    <col collapsed="false" customWidth="true" hidden="false" outlineLevel="0" max="3" min="3" style="0" width="13.02"/>
    <col collapsed="false" customWidth="true" hidden="false" outlineLevel="0" max="4" min="4" style="8" width="12.42"/>
    <col collapsed="false" customWidth="true" hidden="false" outlineLevel="0" max="6" min="5" style="0" width="12.42"/>
    <col collapsed="false" customWidth="true" hidden="false" outlineLevel="0" max="7" min="7" style="0" width="25.57"/>
    <col collapsed="false" customWidth="true" hidden="false" outlineLevel="0" max="8" min="8" style="0" width="10.12"/>
    <col collapsed="false" customWidth="true" hidden="false" outlineLevel="0" max="9" min="9" style="0" width="11.42"/>
    <col collapsed="false" customWidth="true" hidden="false" outlineLevel="0" max="10" min="10" style="0" width="19.14"/>
    <col collapsed="false" customWidth="true" hidden="false" outlineLevel="0" max="12" min="11" style="0" width="15.71"/>
    <col collapsed="false" customWidth="true" hidden="false" outlineLevel="0" max="13" min="13" style="0" width="53"/>
    <col collapsed="false" customWidth="true" hidden="false" outlineLevel="0" max="14" min="14" style="71" width="13.29"/>
    <col collapsed="false" customWidth="true" hidden="false" outlineLevel="0" max="15" min="15" style="0" width="19.99"/>
    <col collapsed="false" customWidth="true" hidden="false" outlineLevel="0" max="16" min="16" style="0" width="14.15"/>
    <col collapsed="false" customWidth="true" hidden="false" outlineLevel="0" max="18" min="18" style="0" width="28.98"/>
    <col collapsed="false" customWidth="true" hidden="false" outlineLevel="0" max="21" min="19" style="0" width="9"/>
    <col collapsed="false" customWidth="true" hidden="false" outlineLevel="0" max="22" min="22" style="0" width="8.86"/>
    <col collapsed="false" customWidth="true" hidden="false" outlineLevel="0" max="23" min="23" style="0" width="10.12"/>
    <col collapsed="false" customWidth="true" hidden="false" outlineLevel="0" max="24" min="24" style="0" width="13.86"/>
    <col collapsed="false" customWidth="true" hidden="false" outlineLevel="0" max="25" min="25" style="0" width="10.71"/>
    <col collapsed="false" customWidth="true" hidden="false" outlineLevel="0" max="27" min="26" style="0" width="13.86"/>
    <col collapsed="false" customWidth="true" hidden="false" outlineLevel="0" max="28" min="28" style="0" width="10.71"/>
    <col collapsed="false" customWidth="true" hidden="false" outlineLevel="0" max="29" min="29" style="0" width="12.42"/>
    <col collapsed="false" customWidth="true" hidden="false" outlineLevel="0" max="30" min="30" style="0" width="7.15"/>
    <col collapsed="false" customWidth="true" hidden="false" outlineLevel="0" max="31" min="31" style="0" width="15.15"/>
    <col collapsed="false" customWidth="true" hidden="false" outlineLevel="0" max="32" min="32" style="0" width="24.15"/>
    <col collapsed="false" customWidth="true" hidden="false" outlineLevel="0" max="33" min="33" style="0" width="17.86"/>
    <col collapsed="false" customWidth="true" hidden="false" outlineLevel="0" max="34" min="34" style="0" width="135.71"/>
    <col collapsed="false" customWidth="true" hidden="false" outlineLevel="0" max="35" min="35" style="0" width="13.86"/>
  </cols>
  <sheetData>
    <row r="1" customFormat="false" ht="13.8" hidden="false" customHeight="false" outlineLevel="0" collapsed="false">
      <c r="A1" s="8" t="s">
        <v>219</v>
      </c>
      <c r="B1" s="8" t="s">
        <v>299</v>
      </c>
      <c r="C1" s="8" t="s">
        <v>357</v>
      </c>
      <c r="D1" s="8" t="s">
        <v>205</v>
      </c>
      <c r="E1" s="8" t="s">
        <v>5399</v>
      </c>
      <c r="F1" s="8" t="s">
        <v>82</v>
      </c>
      <c r="G1" s="8" t="s">
        <v>5400</v>
      </c>
      <c r="H1" s="8" t="s">
        <v>221</v>
      </c>
      <c r="I1" s="8" t="s">
        <v>387</v>
      </c>
      <c r="J1" s="8" t="s">
        <v>384</v>
      </c>
      <c r="K1" s="8" t="s">
        <v>5401</v>
      </c>
      <c r="L1" s="8" t="s">
        <v>377</v>
      </c>
      <c r="M1" s="8" t="s">
        <v>380</v>
      </c>
      <c r="N1" s="72" t="s">
        <v>192</v>
      </c>
      <c r="O1" s="8" t="s">
        <v>179</v>
      </c>
      <c r="P1" s="8" t="s">
        <v>202</v>
      </c>
      <c r="Q1" s="8" t="s">
        <v>78</v>
      </c>
      <c r="R1" s="8" t="s">
        <v>227</v>
      </c>
      <c r="S1" s="8" t="s">
        <v>195</v>
      </c>
      <c r="T1" s="8" t="s">
        <v>5402</v>
      </c>
      <c r="U1" s="8" t="s">
        <v>65</v>
      </c>
      <c r="V1" s="8" t="s">
        <v>319</v>
      </c>
      <c r="W1" s="8" t="s">
        <v>289</v>
      </c>
      <c r="X1" s="8" t="s">
        <v>135</v>
      </c>
      <c r="Y1" s="8" t="s">
        <v>291</v>
      </c>
      <c r="Z1" s="8" t="s">
        <v>74</v>
      </c>
      <c r="AA1" s="8" t="s">
        <v>5403</v>
      </c>
      <c r="AB1" s="8" t="s">
        <v>126</v>
      </c>
      <c r="AC1" s="8" t="s">
        <v>362</v>
      </c>
      <c r="AD1" s="8" t="s">
        <v>5404</v>
      </c>
      <c r="AE1" s="8" t="s">
        <v>5405</v>
      </c>
      <c r="AF1" s="8" t="s">
        <v>5406</v>
      </c>
      <c r="AG1" s="8" t="s">
        <v>5407</v>
      </c>
      <c r="AH1" s="8" t="s">
        <v>5408</v>
      </c>
      <c r="AI1" s="8" t="s">
        <v>5409</v>
      </c>
      <c r="AJ1" s="8"/>
      <c r="AK1" s="8"/>
      <c r="AL1" s="8"/>
      <c r="AM1" s="8"/>
      <c r="AN1" s="8"/>
      <c r="AO1" s="8"/>
      <c r="AP1" s="8"/>
      <c r="AQ1" s="8"/>
      <c r="AR1" s="8"/>
      <c r="AS1" s="8"/>
      <c r="AT1" s="8"/>
      <c r="AU1" s="8"/>
    </row>
    <row r="2" s="73" customFormat="true" ht="15" hidden="false" customHeight="false" outlineLevel="0" collapsed="false">
      <c r="A2" s="73" t="e">
        <f aca="false">_xlfn.CONCAT("path_",_xlfn.textafter(C2,"subj"),"_",TEXT(B2,"mm\_dd\_yy"))</f>
        <v>#NAME?</v>
      </c>
      <c r="B2" s="74" t="n">
        <v>44328</v>
      </c>
      <c r="C2" s="75" t="e">
        <f aca="false">INDEX(#REF!,MATCH(D2, #REF!,0),1)</f>
        <v>#VALUE!</v>
      </c>
      <c r="D2" s="57" t="s">
        <v>1267</v>
      </c>
      <c r="E2" s="57" t="s">
        <v>558</v>
      </c>
      <c r="F2" s="76" t="e">
        <f aca="false">INDEX(participants!K:K,MATCH(C2, participants!A:A,0),1)</f>
        <v>#VALUE!</v>
      </c>
      <c r="G2" s="77" t="n">
        <v>106794344</v>
      </c>
      <c r="H2" s="57" t="s">
        <v>5410</v>
      </c>
      <c r="I2" s="74" t="s">
        <v>487</v>
      </c>
      <c r="J2" s="74" t="s">
        <v>487</v>
      </c>
      <c r="K2" s="74"/>
      <c r="L2" s="74" t="s">
        <v>1049</v>
      </c>
      <c r="M2" s="10" t="s">
        <v>5411</v>
      </c>
      <c r="N2" s="10" t="s">
        <v>558</v>
      </c>
      <c r="O2" s="10" t="s">
        <v>511</v>
      </c>
      <c r="P2" s="10" t="s">
        <v>511</v>
      </c>
      <c r="Q2" s="10" t="s">
        <v>511</v>
      </c>
      <c r="R2" s="10" t="s">
        <v>487</v>
      </c>
      <c r="S2" s="10" t="s">
        <v>558</v>
      </c>
      <c r="T2" s="78" t="n">
        <v>0.05</v>
      </c>
      <c r="U2" s="10" t="s">
        <v>487</v>
      </c>
      <c r="V2" s="10" t="s">
        <v>5412</v>
      </c>
      <c r="W2" s="10" t="s">
        <v>487</v>
      </c>
      <c r="X2" s="10" t="s">
        <v>5412</v>
      </c>
      <c r="Y2" s="74" t="s">
        <v>487</v>
      </c>
      <c r="Z2" s="74" t="s">
        <v>487</v>
      </c>
      <c r="AA2" s="74"/>
      <c r="AB2" s="74" t="s">
        <v>487</v>
      </c>
      <c r="AC2" s="74" t="s">
        <v>487</v>
      </c>
      <c r="AD2" s="79" t="s">
        <v>558</v>
      </c>
      <c r="AE2" s="79" t="s">
        <v>5413</v>
      </c>
      <c r="AF2" s="79" t="s">
        <v>487</v>
      </c>
      <c r="AG2" s="74" t="s">
        <v>487</v>
      </c>
      <c r="AH2" s="74" t="s">
        <v>487</v>
      </c>
      <c r="AI2" s="10"/>
      <c r="AJ2" s="10"/>
      <c r="AK2" s="10"/>
      <c r="AL2" s="10"/>
      <c r="AM2" s="10"/>
      <c r="AN2" s="10"/>
      <c r="AO2" s="10"/>
      <c r="AP2" s="10"/>
      <c r="AQ2" s="10"/>
      <c r="AR2" s="10"/>
      <c r="AS2" s="10"/>
      <c r="AT2" s="10"/>
      <c r="AU2" s="10"/>
    </row>
    <row r="3" s="73" customFormat="true" ht="15" hidden="false" customHeight="false" outlineLevel="0" collapsed="false">
      <c r="A3" s="73" t="e">
        <f aca="false">_xlfn.CONCAT("path_",_xlfn.textafter(C3,"subj"),"_",TEXT(B3,"mm\_dd\_yy"))</f>
        <v>#NAME?</v>
      </c>
      <c r="B3" s="74" t="n">
        <v>44361</v>
      </c>
      <c r="C3" s="75" t="e">
        <f aca="false">INDEX(#REF!,MATCH(D3, #REF!,0),1)</f>
        <v>#VALUE!</v>
      </c>
      <c r="D3" s="57" t="s">
        <v>1267</v>
      </c>
      <c r="E3" s="57" t="s">
        <v>558</v>
      </c>
      <c r="F3" s="76" t="e">
        <f aca="false">INDEX(participants!K:K,MATCH(C3, participants!A:A,0),1)</f>
        <v>#VALUE!</v>
      </c>
      <c r="G3" s="77" t="n">
        <v>106794344</v>
      </c>
      <c r="H3" s="57" t="s">
        <v>5414</v>
      </c>
      <c r="I3" s="74" t="s">
        <v>487</v>
      </c>
      <c r="J3" s="74" t="s">
        <v>487</v>
      </c>
      <c r="K3" s="74"/>
      <c r="L3" s="74" t="s">
        <v>486</v>
      </c>
      <c r="M3" s="73" t="s">
        <v>5415</v>
      </c>
      <c r="N3" s="10" t="s">
        <v>487</v>
      </c>
      <c r="O3" s="10" t="s">
        <v>487</v>
      </c>
      <c r="P3" s="10" t="s">
        <v>487</v>
      </c>
      <c r="Q3" s="10" t="s">
        <v>487</v>
      </c>
      <c r="R3" s="10" t="s">
        <v>487</v>
      </c>
      <c r="S3" s="10" t="s">
        <v>558</v>
      </c>
      <c r="T3" s="10" t="s">
        <v>487</v>
      </c>
      <c r="U3" s="10" t="s">
        <v>487</v>
      </c>
      <c r="V3" s="10" t="s">
        <v>487</v>
      </c>
      <c r="W3" s="10" t="s">
        <v>487</v>
      </c>
      <c r="X3" s="10" t="s">
        <v>487</v>
      </c>
      <c r="Y3" s="74" t="s">
        <v>487</v>
      </c>
      <c r="Z3" s="74" t="s">
        <v>487</v>
      </c>
      <c r="AA3" s="74"/>
      <c r="AB3" s="74" t="s">
        <v>487</v>
      </c>
      <c r="AC3" s="74" t="s">
        <v>487</v>
      </c>
      <c r="AD3" s="79" t="s">
        <v>558</v>
      </c>
      <c r="AE3" s="79"/>
      <c r="AF3" s="79"/>
      <c r="AG3" s="74" t="s">
        <v>487</v>
      </c>
      <c r="AH3" s="74" t="s">
        <v>487</v>
      </c>
      <c r="AI3" s="10"/>
      <c r="AJ3" s="10"/>
      <c r="AK3" s="10"/>
      <c r="AL3" s="10"/>
      <c r="AM3" s="10"/>
      <c r="AN3" s="10"/>
      <c r="AO3" s="10"/>
      <c r="AP3" s="10"/>
      <c r="AQ3" s="10"/>
      <c r="AR3" s="10"/>
      <c r="AS3" s="10"/>
      <c r="AT3" s="10"/>
      <c r="AU3" s="10"/>
    </row>
    <row r="4" s="73" customFormat="true" ht="15" hidden="false" customHeight="false" outlineLevel="0" collapsed="false">
      <c r="A4" s="73" t="e">
        <f aca="false">_xlfn.CONCAT("path_",_xlfn.textafter(C4,"subj"),"_",TEXT(B4,"mm\_dd\_yy"))</f>
        <v>#NAME?</v>
      </c>
      <c r="B4" s="74" t="n">
        <v>44328</v>
      </c>
      <c r="C4" s="75" t="e">
        <f aca="false">INDEX(#REF!,MATCH(D4, #REF!,0),1)</f>
        <v>#VALUE!</v>
      </c>
      <c r="D4" s="57" t="s">
        <v>1267</v>
      </c>
      <c r="E4" s="57" t="s">
        <v>558</v>
      </c>
      <c r="F4" s="76" t="e">
        <f aca="false">INDEX(participants!K:K,MATCH(C4, participants!A:A,0),1)</f>
        <v>#VALUE!</v>
      </c>
      <c r="G4" s="77" t="n">
        <v>106794344</v>
      </c>
      <c r="H4" s="57" t="s">
        <v>5410</v>
      </c>
      <c r="I4" s="74" t="s">
        <v>487</v>
      </c>
      <c r="J4" s="74" t="s">
        <v>487</v>
      </c>
      <c r="K4" s="74"/>
      <c r="L4" s="74" t="s">
        <v>1049</v>
      </c>
      <c r="M4" s="10" t="s">
        <v>5411</v>
      </c>
      <c r="N4" s="10" t="s">
        <v>558</v>
      </c>
      <c r="O4" s="10" t="s">
        <v>487</v>
      </c>
      <c r="P4" s="10" t="s">
        <v>511</v>
      </c>
      <c r="Q4" s="10" t="s">
        <v>511</v>
      </c>
      <c r="R4" s="10" t="s">
        <v>487</v>
      </c>
      <c r="S4" s="10" t="s">
        <v>558</v>
      </c>
      <c r="T4" s="10" t="s">
        <v>487</v>
      </c>
      <c r="U4" s="10" t="s">
        <v>487</v>
      </c>
      <c r="V4" s="10" t="s">
        <v>487</v>
      </c>
      <c r="W4" s="10" t="s">
        <v>487</v>
      </c>
      <c r="X4" s="10" t="s">
        <v>487</v>
      </c>
      <c r="Y4" s="74" t="s">
        <v>487</v>
      </c>
      <c r="Z4" s="74" t="s">
        <v>487</v>
      </c>
      <c r="AA4" s="74"/>
      <c r="AB4" s="74" t="s">
        <v>487</v>
      </c>
      <c r="AC4" s="74" t="s">
        <v>487</v>
      </c>
      <c r="AD4" s="79" t="s">
        <v>558</v>
      </c>
      <c r="AE4" s="79"/>
      <c r="AF4" s="79"/>
      <c r="AG4" s="74" t="s">
        <v>487</v>
      </c>
      <c r="AH4" s="74" t="s">
        <v>487</v>
      </c>
      <c r="AI4" s="10"/>
      <c r="AJ4" s="10"/>
      <c r="AK4" s="10"/>
      <c r="AL4" s="10"/>
      <c r="AM4" s="10"/>
      <c r="AN4" s="10"/>
      <c r="AO4" s="10"/>
      <c r="AP4" s="10"/>
      <c r="AQ4" s="10"/>
      <c r="AR4" s="10"/>
      <c r="AS4" s="10"/>
      <c r="AT4" s="10"/>
      <c r="AU4" s="10"/>
    </row>
    <row r="5" s="73" customFormat="true" ht="15" hidden="false" customHeight="false" outlineLevel="0" collapsed="false">
      <c r="A5" s="73" t="e">
        <f aca="false">_xlfn.CONCAT("path_",_xlfn.textafter(C5,"subj"),"_",TEXT(B5,"mm\_dd\_yy"))</f>
        <v>#NAME?</v>
      </c>
      <c r="B5" s="31" t="n">
        <v>43644</v>
      </c>
      <c r="C5" s="75" t="e">
        <f aca="false">INDEX(#REF!,MATCH(D5, #REF!,0),1)</f>
        <v>#VALUE!</v>
      </c>
      <c r="D5" s="57" t="s">
        <v>750</v>
      </c>
      <c r="E5" s="57" t="s">
        <v>511</v>
      </c>
      <c r="F5" s="76" t="e">
        <f aca="false">INDEX(participants!K:K,MATCH(C5, participants!A:A,0),1)</f>
        <v>#VALUE!</v>
      </c>
      <c r="G5" s="80" t="n">
        <v>103071504</v>
      </c>
      <c r="H5" s="57" t="s">
        <v>5414</v>
      </c>
      <c r="I5" s="74" t="s">
        <v>487</v>
      </c>
      <c r="J5" s="74" t="s">
        <v>487</v>
      </c>
      <c r="K5" s="74"/>
      <c r="L5" s="74" t="s">
        <v>752</v>
      </c>
      <c r="M5" s="81" t="s">
        <v>752</v>
      </c>
      <c r="N5" s="71" t="s">
        <v>5416</v>
      </c>
      <c r="O5" s="73" t="s">
        <v>511</v>
      </c>
      <c r="P5" s="73" t="s">
        <v>511</v>
      </c>
      <c r="Q5" s="73" t="s">
        <v>511</v>
      </c>
      <c r="R5" s="10" t="s">
        <v>487</v>
      </c>
      <c r="S5" s="73" t="s">
        <v>558</v>
      </c>
      <c r="T5" s="10" t="s">
        <v>487</v>
      </c>
      <c r="U5" s="73" t="s">
        <v>487</v>
      </c>
      <c r="V5" s="73" t="s">
        <v>487</v>
      </c>
      <c r="W5" s="73" t="s">
        <v>487</v>
      </c>
      <c r="X5" s="73" t="s">
        <v>487</v>
      </c>
      <c r="Y5" s="74" t="s">
        <v>487</v>
      </c>
      <c r="Z5" s="74" t="s">
        <v>487</v>
      </c>
      <c r="AA5" s="74"/>
      <c r="AB5" s="74" t="s">
        <v>487</v>
      </c>
      <c r="AC5" s="74" t="s">
        <v>487</v>
      </c>
      <c r="AD5" s="79" t="s">
        <v>558</v>
      </c>
      <c r="AE5" s="79"/>
      <c r="AF5" s="79"/>
      <c r="AG5" s="74" t="s">
        <v>487</v>
      </c>
      <c r="AH5" s="74" t="s">
        <v>487</v>
      </c>
      <c r="AI5" s="10"/>
      <c r="AJ5" s="10"/>
      <c r="AK5" s="10"/>
      <c r="AL5" s="10"/>
      <c r="AM5" s="10"/>
      <c r="AN5" s="10"/>
      <c r="AO5" s="10"/>
      <c r="AP5" s="10"/>
      <c r="AQ5" s="10"/>
      <c r="AR5" s="10"/>
      <c r="AS5" s="10"/>
      <c r="AT5" s="10"/>
      <c r="AU5" s="10"/>
    </row>
    <row r="6" s="73" customFormat="true" ht="15" hidden="false" customHeight="false" outlineLevel="0" collapsed="false">
      <c r="A6" s="73" t="e">
        <f aca="false">_xlfn.CONCAT("path_",_xlfn.textafter(C6,"subj"),"_",TEXT(B6,"mm\_dd\_yy"))</f>
        <v>#NAME?</v>
      </c>
      <c r="B6" s="31" t="n">
        <v>44638</v>
      </c>
      <c r="C6" s="75" t="e">
        <f aca="false">INDEX(#REF!,MATCH(D6, #REF!,0),1)</f>
        <v>#VALUE!</v>
      </c>
      <c r="D6" s="57" t="s">
        <v>750</v>
      </c>
      <c r="E6" s="57" t="s">
        <v>558</v>
      </c>
      <c r="F6" s="76" t="e">
        <f aca="false">INDEX(participants!K:K,MATCH(C6, participants!A:A,0),1)</f>
        <v>#VALUE!</v>
      </c>
      <c r="G6" s="80" t="n">
        <v>103071504</v>
      </c>
      <c r="H6" s="57" t="s">
        <v>5414</v>
      </c>
      <c r="I6" s="74" t="s">
        <v>487</v>
      </c>
      <c r="J6" s="74" t="s">
        <v>487</v>
      </c>
      <c r="K6" s="74"/>
      <c r="L6" s="74" t="s">
        <v>1049</v>
      </c>
      <c r="M6" s="10" t="s">
        <v>5411</v>
      </c>
      <c r="N6" s="73" t="s">
        <v>487</v>
      </c>
      <c r="O6" s="73" t="s">
        <v>487</v>
      </c>
      <c r="P6" s="73" t="s">
        <v>487</v>
      </c>
      <c r="Q6" s="73" t="s">
        <v>487</v>
      </c>
      <c r="R6" s="73" t="s">
        <v>487</v>
      </c>
      <c r="S6" s="73" t="s">
        <v>487</v>
      </c>
      <c r="T6" s="73" t="s">
        <v>487</v>
      </c>
      <c r="U6" s="73" t="s">
        <v>487</v>
      </c>
      <c r="V6" s="73" t="s">
        <v>487</v>
      </c>
      <c r="W6" s="73" t="s">
        <v>487</v>
      </c>
      <c r="X6" s="73" t="s">
        <v>487</v>
      </c>
      <c r="Y6" s="74" t="s">
        <v>487</v>
      </c>
      <c r="Z6" s="74" t="s">
        <v>487</v>
      </c>
      <c r="AA6" s="74"/>
      <c r="AB6" s="74" t="s">
        <v>487</v>
      </c>
      <c r="AC6" s="74" t="s">
        <v>487</v>
      </c>
      <c r="AD6" s="79" t="s">
        <v>558</v>
      </c>
      <c r="AE6" s="79"/>
      <c r="AF6" s="79"/>
      <c r="AG6" s="74" t="s">
        <v>487</v>
      </c>
      <c r="AH6" s="74" t="s">
        <v>487</v>
      </c>
      <c r="AI6" s="10"/>
      <c r="AJ6" s="10"/>
      <c r="AK6" s="10"/>
      <c r="AL6" s="10"/>
      <c r="AM6" s="10"/>
      <c r="AN6" s="10"/>
      <c r="AO6" s="10"/>
      <c r="AP6" s="10"/>
      <c r="AQ6" s="10"/>
      <c r="AR6" s="10"/>
      <c r="AS6" s="10"/>
      <c r="AT6" s="10"/>
      <c r="AU6" s="10"/>
    </row>
    <row r="7" s="73" customFormat="true" ht="15" hidden="false" customHeight="false" outlineLevel="0" collapsed="false">
      <c r="A7" s="73" t="e">
        <f aca="false">_xlfn.CONCAT("path_",_xlfn.textafter(C7,"subj"),"_",TEXT(B7,"mm\_dd\_yy"))</f>
        <v>#NAME?</v>
      </c>
      <c r="B7" s="31" t="n">
        <v>44116</v>
      </c>
      <c r="C7" s="75" t="e">
        <f aca="false">INDEX(#REF!,MATCH(D7, #REF!,0),1)</f>
        <v>#VALUE!</v>
      </c>
      <c r="D7" s="57" t="s">
        <v>1099</v>
      </c>
      <c r="E7" s="57" t="s">
        <v>511</v>
      </c>
      <c r="F7" s="76" t="e">
        <f aca="false">INDEX(participants!K:K,MATCH(C7, participants!A:A,0),1)</f>
        <v>#VALUE!</v>
      </c>
      <c r="G7" s="77" t="n">
        <v>107582412</v>
      </c>
      <c r="H7" s="57" t="s">
        <v>5414</v>
      </c>
      <c r="I7" s="74" t="s">
        <v>487</v>
      </c>
      <c r="J7" s="74" t="s">
        <v>487</v>
      </c>
      <c r="K7" s="74"/>
      <c r="L7" s="74" t="s">
        <v>752</v>
      </c>
      <c r="M7" s="81" t="s">
        <v>752</v>
      </c>
      <c r="N7" s="82" t="s">
        <v>5417</v>
      </c>
      <c r="O7" s="10" t="s">
        <v>511</v>
      </c>
      <c r="P7" s="10" t="s">
        <v>511</v>
      </c>
      <c r="Q7" s="10" t="s">
        <v>511</v>
      </c>
      <c r="R7" s="74" t="s">
        <v>487</v>
      </c>
      <c r="S7" s="10" t="s">
        <v>558</v>
      </c>
      <c r="T7" s="10" t="s">
        <v>5418</v>
      </c>
      <c r="U7" s="10" t="s">
        <v>5412</v>
      </c>
      <c r="V7" s="10" t="s">
        <v>5412</v>
      </c>
      <c r="W7" s="73" t="s">
        <v>487</v>
      </c>
      <c r="X7" s="73" t="s">
        <v>487</v>
      </c>
      <c r="Y7" s="74" t="s">
        <v>487</v>
      </c>
      <c r="Z7" s="74" t="s">
        <v>487</v>
      </c>
      <c r="AA7" s="74"/>
      <c r="AB7" s="74" t="s">
        <v>487</v>
      </c>
      <c r="AC7" s="74" t="s">
        <v>487</v>
      </c>
      <c r="AD7" s="79" t="s">
        <v>558</v>
      </c>
      <c r="AE7" s="79"/>
      <c r="AF7" s="79"/>
      <c r="AG7" s="74" t="s">
        <v>487</v>
      </c>
      <c r="AH7" s="74" t="s">
        <v>487</v>
      </c>
      <c r="AI7" s="10"/>
      <c r="AJ7" s="10"/>
      <c r="AK7" s="10"/>
      <c r="AL7" s="10"/>
      <c r="AM7" s="10"/>
      <c r="AN7" s="10"/>
      <c r="AO7" s="10"/>
      <c r="AP7" s="10"/>
      <c r="AQ7" s="10"/>
      <c r="AR7" s="10"/>
      <c r="AS7" s="10"/>
      <c r="AT7" s="10"/>
      <c r="AU7" s="10"/>
    </row>
    <row r="8" s="73" customFormat="true" ht="15" hidden="false" customHeight="false" outlineLevel="0" collapsed="false">
      <c r="A8" s="73" t="e">
        <f aca="false">_xlfn.CONCAT("path_",_xlfn.textafter(C8,"subj"),"_",TEXT(B8,"mm\_dd\_yy"))</f>
        <v>#NAME?</v>
      </c>
      <c r="B8" s="31" t="n">
        <v>44092</v>
      </c>
      <c r="C8" s="75" t="e">
        <f aca="false">INDEX(#REF!,MATCH(D8, #REF!,0),1)</f>
        <v>#VALUE!</v>
      </c>
      <c r="D8" s="57" t="s">
        <v>1099</v>
      </c>
      <c r="E8" s="57" t="s">
        <v>558</v>
      </c>
      <c r="F8" s="76" t="e">
        <f aca="false">INDEX(participants!K:K,MATCH(C8, participants!A:A,0),1)</f>
        <v>#VALUE!</v>
      </c>
      <c r="G8" s="77" t="n">
        <v>107582412</v>
      </c>
      <c r="H8" s="57" t="s">
        <v>5410</v>
      </c>
      <c r="I8" s="74" t="s">
        <v>487</v>
      </c>
      <c r="J8" s="74" t="s">
        <v>487</v>
      </c>
      <c r="K8" s="74"/>
      <c r="L8" s="74" t="s">
        <v>1049</v>
      </c>
      <c r="M8" s="10" t="s">
        <v>5411</v>
      </c>
      <c r="N8" s="74" t="s">
        <v>487</v>
      </c>
      <c r="O8" s="74" t="s">
        <v>487</v>
      </c>
      <c r="P8" s="74" t="s">
        <v>487</v>
      </c>
      <c r="Q8" s="74" t="s">
        <v>487</v>
      </c>
      <c r="R8" s="74" t="s">
        <v>487</v>
      </c>
      <c r="S8" s="74" t="s">
        <v>487</v>
      </c>
      <c r="T8" s="74" t="s">
        <v>487</v>
      </c>
      <c r="U8" s="74" t="s">
        <v>487</v>
      </c>
      <c r="V8" s="74" t="s">
        <v>487</v>
      </c>
      <c r="W8" s="74" t="s">
        <v>487</v>
      </c>
      <c r="X8" s="74" t="s">
        <v>487</v>
      </c>
      <c r="Y8" s="74" t="s">
        <v>487</v>
      </c>
      <c r="Z8" s="74" t="s">
        <v>487</v>
      </c>
      <c r="AA8" s="74"/>
      <c r="AB8" s="74" t="s">
        <v>487</v>
      </c>
      <c r="AC8" s="74" t="s">
        <v>487</v>
      </c>
      <c r="AD8" s="79" t="s">
        <v>558</v>
      </c>
      <c r="AE8" s="79"/>
      <c r="AF8" s="79"/>
      <c r="AG8" s="74" t="s">
        <v>487</v>
      </c>
      <c r="AH8" s="74" t="s">
        <v>487</v>
      </c>
      <c r="AI8" s="10"/>
      <c r="AJ8" s="10"/>
      <c r="AK8" s="10"/>
      <c r="AL8" s="10"/>
      <c r="AM8" s="10"/>
      <c r="AN8" s="10"/>
      <c r="AO8" s="10"/>
      <c r="AP8" s="10"/>
      <c r="AQ8" s="10"/>
      <c r="AR8" s="10"/>
      <c r="AS8" s="10"/>
      <c r="AT8" s="10"/>
      <c r="AU8" s="10"/>
    </row>
    <row r="9" customFormat="false" ht="15" hidden="false" customHeight="false" outlineLevel="0" collapsed="false">
      <c r="A9" s="0" t="e">
        <f aca="false">_xlfn.CONCAT("path_",_xlfn.textafter(C9,"subj"),"_",TEXT(B9,"mm\_dd\_yy"))</f>
        <v>#NAME?</v>
      </c>
      <c r="B9" s="74" t="n">
        <v>44498</v>
      </c>
      <c r="C9" s="75" t="e">
        <f aca="false">INDEX(#REF!,MATCH(D9, #REF!,0),1)</f>
        <v>#VALUE!</v>
      </c>
      <c r="D9" s="57" t="s">
        <v>1155</v>
      </c>
      <c r="E9" s="57" t="s">
        <v>511</v>
      </c>
      <c r="F9" s="76" t="e">
        <f aca="false">INDEX(participants!K:K,MATCH(C9, participants!A:A,0),1)</f>
        <v>#VALUE!</v>
      </c>
      <c r="G9" s="77" t="n">
        <v>201721041</v>
      </c>
      <c r="H9" s="57" t="s">
        <v>5414</v>
      </c>
      <c r="I9" s="74" t="s">
        <v>487</v>
      </c>
      <c r="J9" s="74" t="s">
        <v>487</v>
      </c>
      <c r="K9" s="74"/>
      <c r="L9" s="74" t="s">
        <v>752</v>
      </c>
      <c r="M9" s="81" t="s">
        <v>752</v>
      </c>
      <c r="N9" s="82" t="s">
        <v>558</v>
      </c>
      <c r="O9" s="10" t="s">
        <v>511</v>
      </c>
      <c r="P9" s="10" t="s">
        <v>511</v>
      </c>
      <c r="Q9" s="0" t="s">
        <v>511</v>
      </c>
      <c r="R9" s="0" t="s">
        <v>487</v>
      </c>
      <c r="S9" s="0" t="s">
        <v>558</v>
      </c>
      <c r="T9" s="0" t="s">
        <v>487</v>
      </c>
      <c r="U9" s="0" t="s">
        <v>487</v>
      </c>
      <c r="V9" s="0" t="s">
        <v>487</v>
      </c>
      <c r="W9" s="0" t="s">
        <v>487</v>
      </c>
      <c r="X9" s="0" t="s">
        <v>487</v>
      </c>
      <c r="Y9" s="74" t="s">
        <v>487</v>
      </c>
      <c r="Z9" s="74" t="s">
        <v>487</v>
      </c>
      <c r="AA9" s="74"/>
      <c r="AB9" s="74" t="s">
        <v>487</v>
      </c>
      <c r="AC9" s="74" t="s">
        <v>487</v>
      </c>
      <c r="AD9" s="79" t="s">
        <v>558</v>
      </c>
      <c r="AE9" s="79"/>
      <c r="AF9" s="79"/>
      <c r="AG9" s="74" t="s">
        <v>487</v>
      </c>
      <c r="AH9" s="74" t="s">
        <v>487</v>
      </c>
    </row>
    <row r="10" customFormat="false" ht="15" hidden="false" customHeight="false" outlineLevel="0" collapsed="false">
      <c r="A10" s="0" t="e">
        <f aca="false">_xlfn.CONCAT("path_",_xlfn.textafter(C10,"subj"),"_",TEXT(B10,"mm\_dd\_yy"))</f>
        <v>#NAME?</v>
      </c>
      <c r="B10" s="74" t="n">
        <v>44462</v>
      </c>
      <c r="C10" s="75" t="e">
        <f aca="false">INDEX(#REF!,MATCH(D10, #REF!,0),1)</f>
        <v>#VALUE!</v>
      </c>
      <c r="D10" s="57" t="s">
        <v>1155</v>
      </c>
      <c r="E10" s="57" t="s">
        <v>558</v>
      </c>
      <c r="F10" s="76" t="e">
        <f aca="false">INDEX(participants!K:K,MATCH(C10, participants!A:A,0),1)</f>
        <v>#VALUE!</v>
      </c>
      <c r="G10" s="77" t="n">
        <v>201721041</v>
      </c>
      <c r="H10" s="57" t="s">
        <v>5410</v>
      </c>
      <c r="I10" s="74" t="s">
        <v>487</v>
      </c>
      <c r="J10" s="74" t="s">
        <v>487</v>
      </c>
      <c r="K10" s="74"/>
      <c r="L10" s="74" t="s">
        <v>1049</v>
      </c>
      <c r="M10" s="10" t="s">
        <v>5411</v>
      </c>
      <c r="N10" s="71" t="s">
        <v>558</v>
      </c>
      <c r="O10" s="0" t="s">
        <v>558</v>
      </c>
      <c r="P10" s="0" t="s">
        <v>558</v>
      </c>
      <c r="Q10" s="0" t="s">
        <v>558</v>
      </c>
      <c r="R10" s="74" t="s">
        <v>487</v>
      </c>
      <c r="S10" s="0" t="s">
        <v>558</v>
      </c>
      <c r="T10" s="0" t="s">
        <v>5419</v>
      </c>
      <c r="U10" s="0" t="s">
        <v>487</v>
      </c>
      <c r="V10" s="10" t="s">
        <v>5412</v>
      </c>
      <c r="W10" s="0" t="s">
        <v>487</v>
      </c>
      <c r="X10" s="0" t="s">
        <v>487</v>
      </c>
      <c r="Y10" s="74" t="s">
        <v>487</v>
      </c>
      <c r="Z10" s="74" t="s">
        <v>487</v>
      </c>
      <c r="AA10" s="74"/>
      <c r="AB10" s="74" t="s">
        <v>487</v>
      </c>
      <c r="AC10" s="74" t="s">
        <v>487</v>
      </c>
      <c r="AD10" s="79" t="s">
        <v>558</v>
      </c>
      <c r="AE10" s="79"/>
      <c r="AF10" s="79"/>
      <c r="AG10" s="74" t="s">
        <v>487</v>
      </c>
      <c r="AH10" s="74" t="s">
        <v>487</v>
      </c>
    </row>
    <row r="11" customFormat="false" ht="15" hidden="false" customHeight="false" outlineLevel="0" collapsed="false">
      <c r="A11" s="0" t="e">
        <f aca="false">_xlfn.CONCAT("path_",_xlfn.textafter(C11,"subj"),"_",TEXT(B11,"mm\_dd\_yy"))</f>
        <v>#NAME?</v>
      </c>
      <c r="B11" s="31" t="n">
        <v>44216</v>
      </c>
      <c r="C11" s="75" t="e">
        <f aca="false">INDEX(#REF!,MATCH(D11, #REF!,0),1)</f>
        <v>#VALUE!</v>
      </c>
      <c r="D11" s="57" t="s">
        <v>1160</v>
      </c>
      <c r="E11" s="57" t="s">
        <v>511</v>
      </c>
      <c r="F11" s="76" t="e">
        <f aca="false">INDEX(participants!K:K,MATCH(C11, participants!A:A,0),1)</f>
        <v>#VALUE!</v>
      </c>
      <c r="G11" s="77" t="n">
        <v>101123553</v>
      </c>
      <c r="H11" s="57" t="s">
        <v>5410</v>
      </c>
      <c r="I11" s="74" t="s">
        <v>487</v>
      </c>
      <c r="J11" s="74" t="s">
        <v>487</v>
      </c>
      <c r="K11" s="74"/>
      <c r="L11" s="74" t="s">
        <v>752</v>
      </c>
      <c r="M11" s="81" t="s">
        <v>752</v>
      </c>
      <c r="N11" s="71" t="s">
        <v>558</v>
      </c>
      <c r="O11" s="0" t="s">
        <v>511</v>
      </c>
      <c r="P11" s="0" t="s">
        <v>558</v>
      </c>
      <c r="Q11" s="0" t="s">
        <v>511</v>
      </c>
      <c r="R11" s="74" t="s">
        <v>487</v>
      </c>
      <c r="S11" s="0" t="s">
        <v>558</v>
      </c>
      <c r="T11" s="10" t="s">
        <v>5418</v>
      </c>
      <c r="U11" s="0" t="s">
        <v>487</v>
      </c>
      <c r="V11" s="0" t="s">
        <v>487</v>
      </c>
      <c r="W11" s="0" t="s">
        <v>487</v>
      </c>
      <c r="X11" s="0" t="s">
        <v>487</v>
      </c>
      <c r="Y11" s="74" t="s">
        <v>487</v>
      </c>
      <c r="Z11" s="74" t="s">
        <v>487</v>
      </c>
      <c r="AA11" s="74"/>
      <c r="AB11" s="74" t="s">
        <v>487</v>
      </c>
      <c r="AC11" s="74" t="s">
        <v>487</v>
      </c>
      <c r="AD11" s="79" t="s">
        <v>558</v>
      </c>
      <c r="AE11" s="79"/>
      <c r="AF11" s="79"/>
      <c r="AG11" s="74" t="s">
        <v>487</v>
      </c>
      <c r="AH11" s="74" t="s">
        <v>487</v>
      </c>
    </row>
    <row r="12" customFormat="false" ht="15" hidden="false" customHeight="false" outlineLevel="0" collapsed="false">
      <c r="A12" s="0" t="e">
        <f aca="false">_xlfn.CONCAT("path_",_xlfn.textafter(C12,"subj"),"_",TEXT(B12,"mm\_dd\_yy"))</f>
        <v>#NAME?</v>
      </c>
      <c r="B12" s="31" t="n">
        <v>44476</v>
      </c>
      <c r="C12" s="75" t="e">
        <f aca="false">INDEX(#REF!,MATCH(D12, #REF!,0),1)</f>
        <v>#VALUE!</v>
      </c>
      <c r="D12" s="57" t="s">
        <v>1160</v>
      </c>
      <c r="E12" s="57" t="s">
        <v>558</v>
      </c>
      <c r="F12" s="76" t="e">
        <f aca="false">INDEX(participants!K:K,MATCH(C12, participants!A:A,0),1)</f>
        <v>#VALUE!</v>
      </c>
      <c r="G12" s="77" t="n">
        <v>101123553</v>
      </c>
      <c r="H12" s="57" t="s">
        <v>5410</v>
      </c>
      <c r="I12" s="74" t="s">
        <v>487</v>
      </c>
      <c r="J12" s="74" t="s">
        <v>487</v>
      </c>
      <c r="K12" s="74"/>
      <c r="L12" s="74" t="s">
        <v>1049</v>
      </c>
      <c r="M12" s="0" t="s">
        <v>5420</v>
      </c>
      <c r="N12" s="71" t="s">
        <v>558</v>
      </c>
      <c r="O12" s="71" t="s">
        <v>558</v>
      </c>
      <c r="P12" s="71" t="s">
        <v>558</v>
      </c>
      <c r="Q12" s="0" t="s">
        <v>558</v>
      </c>
      <c r="R12" s="74" t="s">
        <v>487</v>
      </c>
      <c r="S12" s="0" t="s">
        <v>558</v>
      </c>
      <c r="T12" s="10" t="s">
        <v>5418</v>
      </c>
      <c r="U12" s="0" t="s">
        <v>487</v>
      </c>
      <c r="V12" s="0" t="s">
        <v>487</v>
      </c>
      <c r="W12" s="0" t="s">
        <v>487</v>
      </c>
      <c r="X12" s="0" t="s">
        <v>487</v>
      </c>
      <c r="Y12" s="74" t="s">
        <v>487</v>
      </c>
      <c r="Z12" s="74" t="s">
        <v>487</v>
      </c>
      <c r="AA12" s="74"/>
      <c r="AB12" s="74" t="s">
        <v>487</v>
      </c>
      <c r="AC12" s="74" t="s">
        <v>487</v>
      </c>
      <c r="AD12" s="79" t="s">
        <v>558</v>
      </c>
      <c r="AE12" s="79"/>
      <c r="AF12" s="79"/>
      <c r="AG12" s="74" t="s">
        <v>487</v>
      </c>
      <c r="AH12" s="74" t="s">
        <v>487</v>
      </c>
    </row>
    <row r="13" customFormat="false" ht="15" hidden="false" customHeight="false" outlineLevel="0" collapsed="false">
      <c r="A13" s="0" t="e">
        <f aca="false">_xlfn.CONCAT("path_",_xlfn.textafter(C13,"subj"),"_",TEXT(B13,"mm\_dd\_yy"))</f>
        <v>#NAME?</v>
      </c>
      <c r="B13" s="74" t="n">
        <v>44574</v>
      </c>
      <c r="C13" s="75" t="e">
        <f aca="false">INDEX(#REF!,MATCH(D13, #REF!,0),1)</f>
        <v>#VALUE!</v>
      </c>
      <c r="D13" s="8" t="s">
        <v>1307</v>
      </c>
      <c r="E13" s="83" t="s">
        <v>511</v>
      </c>
      <c r="F13" s="76" t="e">
        <f aca="false">INDEX(participants!K:K,MATCH(C13, participants!A:A,0),1)</f>
        <v>#VALUE!</v>
      </c>
      <c r="G13" s="77" t="n">
        <v>103379081</v>
      </c>
      <c r="H13" s="57" t="s">
        <v>5414</v>
      </c>
      <c r="I13" s="74" t="s">
        <v>487</v>
      </c>
      <c r="J13" s="74" t="s">
        <v>487</v>
      </c>
      <c r="K13" s="74"/>
      <c r="L13" s="74" t="s">
        <v>752</v>
      </c>
      <c r="M13" s="81" t="s">
        <v>752</v>
      </c>
      <c r="N13" s="71" t="s">
        <v>558</v>
      </c>
      <c r="O13" s="0" t="s">
        <v>511</v>
      </c>
      <c r="P13" s="0" t="s">
        <v>511</v>
      </c>
      <c r="Q13" s="0" t="s">
        <v>511</v>
      </c>
      <c r="R13" s="74" t="s">
        <v>487</v>
      </c>
      <c r="S13" s="0" t="s">
        <v>558</v>
      </c>
      <c r="T13" s="84" t="n">
        <v>0.1</v>
      </c>
      <c r="U13" s="0" t="s">
        <v>487</v>
      </c>
      <c r="V13" s="0" t="s">
        <v>487</v>
      </c>
      <c r="W13" s="0" t="s">
        <v>487</v>
      </c>
      <c r="X13" s="0" t="s">
        <v>487</v>
      </c>
      <c r="Y13" s="74" t="s">
        <v>487</v>
      </c>
      <c r="Z13" s="74" t="s">
        <v>487</v>
      </c>
      <c r="AA13" s="74"/>
      <c r="AB13" s="74" t="s">
        <v>487</v>
      </c>
      <c r="AC13" s="74" t="s">
        <v>487</v>
      </c>
      <c r="AD13" s="79" t="s">
        <v>558</v>
      </c>
      <c r="AE13" s="79"/>
      <c r="AF13" s="79"/>
      <c r="AG13" s="74" t="s">
        <v>487</v>
      </c>
      <c r="AH13" s="74" t="s">
        <v>487</v>
      </c>
    </row>
    <row r="14" customFormat="false" ht="15" hidden="false" customHeight="false" outlineLevel="0" collapsed="false">
      <c r="A14" s="0" t="e">
        <f aca="false">_xlfn.CONCAT("path_",_xlfn.textafter(C14,"subj"),"_",TEXT(B14,"mm\_dd\_yy"))</f>
        <v>#NAME?</v>
      </c>
      <c r="B14" s="74" t="n">
        <v>44641</v>
      </c>
      <c r="C14" s="75" t="e">
        <f aca="false">INDEX(#REF!,MATCH(D14, #REF!,0),1)</f>
        <v>#VALUE!</v>
      </c>
      <c r="D14" s="83" t="s">
        <v>1186</v>
      </c>
      <c r="E14" s="83" t="s">
        <v>511</v>
      </c>
      <c r="F14" s="76" t="e">
        <f aca="false">INDEX(participants!K:K,MATCH(C14, participants!A:A,0),1)</f>
        <v>#VALUE!</v>
      </c>
      <c r="G14" s="77" t="n">
        <v>105975970</v>
      </c>
      <c r="H14" s="57" t="s">
        <v>5414</v>
      </c>
      <c r="I14" s="74" t="s">
        <v>487</v>
      </c>
      <c r="J14" s="74" t="s">
        <v>487</v>
      </c>
      <c r="K14" s="74"/>
      <c r="L14" s="74" t="s">
        <v>486</v>
      </c>
      <c r="M14" s="0" t="s">
        <v>5415</v>
      </c>
      <c r="N14" s="71" t="s">
        <v>5421</v>
      </c>
      <c r="O14" s="0" t="s">
        <v>511</v>
      </c>
      <c r="P14" s="0" t="s">
        <v>511</v>
      </c>
      <c r="Q14" s="0" t="s">
        <v>511</v>
      </c>
      <c r="R14" s="74" t="s">
        <v>487</v>
      </c>
      <c r="S14" s="0" t="s">
        <v>558</v>
      </c>
      <c r="T14" s="74" t="s">
        <v>487</v>
      </c>
      <c r="U14" s="0" t="s">
        <v>5422</v>
      </c>
      <c r="V14" s="0" t="s">
        <v>5422</v>
      </c>
      <c r="W14" s="0" t="s">
        <v>487</v>
      </c>
      <c r="X14" s="0" t="s">
        <v>5422</v>
      </c>
      <c r="Y14" s="74" t="s">
        <v>487</v>
      </c>
      <c r="Z14" s="74" t="s">
        <v>487</v>
      </c>
      <c r="AA14" s="74"/>
      <c r="AB14" s="74" t="s">
        <v>487</v>
      </c>
      <c r="AC14" s="74" t="s">
        <v>487</v>
      </c>
      <c r="AD14" s="79" t="s">
        <v>558</v>
      </c>
      <c r="AE14" s="79"/>
      <c r="AF14" s="79"/>
      <c r="AG14" s="74" t="s">
        <v>487</v>
      </c>
      <c r="AH14" s="74" t="s">
        <v>487</v>
      </c>
    </row>
    <row r="15" customFormat="false" ht="15" hidden="false" customHeight="false" outlineLevel="0" collapsed="false">
      <c r="A15" s="0" t="e">
        <f aca="false">_xlfn.CONCAT("path_",_xlfn.textafter(C15,"subj"),"_",TEXT(B15,"mm\_dd\_yy"))</f>
        <v>#NAME?</v>
      </c>
      <c r="B15" s="74" t="n">
        <v>44740</v>
      </c>
      <c r="C15" s="75" t="e">
        <f aca="false">INDEX(#REF!,MATCH(D15, #REF!,0),1)</f>
        <v>#VALUE!</v>
      </c>
      <c r="D15" s="83" t="s">
        <v>1332</v>
      </c>
      <c r="E15" s="83" t="s">
        <v>511</v>
      </c>
      <c r="F15" s="76" t="e">
        <f aca="false">INDEX(participants!K:K,MATCH(C15, participants!A:A,0),1)</f>
        <v>#VALUE!</v>
      </c>
      <c r="G15" s="77" t="n">
        <v>201786244</v>
      </c>
      <c r="H15" s="0" t="s">
        <v>5410</v>
      </c>
      <c r="I15" s="74" t="s">
        <v>487</v>
      </c>
      <c r="J15" s="74" t="s">
        <v>487</v>
      </c>
      <c r="K15" s="74"/>
      <c r="L15" s="74" t="s">
        <v>752</v>
      </c>
      <c r="M15" s="81" t="s">
        <v>752</v>
      </c>
      <c r="N15" s="71" t="s">
        <v>558</v>
      </c>
      <c r="O15" s="0" t="s">
        <v>511</v>
      </c>
      <c r="P15" s="0" t="s">
        <v>511</v>
      </c>
      <c r="Q15" s="0" t="s">
        <v>511</v>
      </c>
      <c r="R15" s="74" t="s">
        <v>487</v>
      </c>
      <c r="S15" s="0" t="s">
        <v>558</v>
      </c>
      <c r="T15" s="74" t="s">
        <v>487</v>
      </c>
      <c r="U15" s="10" t="s">
        <v>5412</v>
      </c>
      <c r="V15" s="0" t="s">
        <v>487</v>
      </c>
      <c r="W15" s="0" t="s">
        <v>487</v>
      </c>
      <c r="X15" s="0" t="s">
        <v>487</v>
      </c>
      <c r="Y15" s="74" t="s">
        <v>487</v>
      </c>
      <c r="Z15" s="74" t="s">
        <v>487</v>
      </c>
      <c r="AA15" s="74"/>
      <c r="AB15" s="74" t="s">
        <v>487</v>
      </c>
      <c r="AC15" s="74" t="s">
        <v>487</v>
      </c>
      <c r="AD15" s="79" t="s">
        <v>558</v>
      </c>
      <c r="AE15" s="79"/>
      <c r="AF15" s="79"/>
      <c r="AG15" s="74" t="s">
        <v>487</v>
      </c>
      <c r="AH15" s="74" t="s">
        <v>487</v>
      </c>
    </row>
    <row r="16" customFormat="false" ht="15" hidden="false" customHeight="false" outlineLevel="0" collapsed="false">
      <c r="A16" s="0" t="e">
        <f aca="false">_xlfn.CONCAT("path_",_xlfn.textafter(C16,"subj"),"_",TEXT(B16,"mm\_dd\_yy"))</f>
        <v>#NAME?</v>
      </c>
      <c r="B16" s="74" t="n">
        <v>44820</v>
      </c>
      <c r="C16" s="75" t="e">
        <f aca="false">INDEX(#REF!,MATCH(D16, #REF!,0),1)</f>
        <v>#VALUE!</v>
      </c>
      <c r="D16" s="83" t="s">
        <v>1332</v>
      </c>
      <c r="E16" s="83" t="s">
        <v>558</v>
      </c>
      <c r="F16" s="76" t="e">
        <f aca="false">INDEX(participants!K:K,MATCH(C16, participants!A:A,0),1)</f>
        <v>#VALUE!</v>
      </c>
      <c r="G16" s="77" t="n">
        <v>201786244</v>
      </c>
      <c r="H16" s="0" t="s">
        <v>5414</v>
      </c>
      <c r="I16" s="74" t="s">
        <v>487</v>
      </c>
      <c r="J16" s="74" t="s">
        <v>487</v>
      </c>
      <c r="K16" s="74"/>
      <c r="L16" s="74" t="s">
        <v>486</v>
      </c>
      <c r="M16" s="0" t="s">
        <v>5415</v>
      </c>
      <c r="N16" s="71" t="s">
        <v>5423</v>
      </c>
      <c r="O16" s="0" t="s">
        <v>511</v>
      </c>
      <c r="P16" s="0" t="s">
        <v>511</v>
      </c>
      <c r="Q16" s="0" t="s">
        <v>511</v>
      </c>
      <c r="R16" s="74" t="s">
        <v>487</v>
      </c>
      <c r="S16" s="0" t="s">
        <v>558</v>
      </c>
      <c r="T16" s="74" t="s">
        <v>487</v>
      </c>
      <c r="U16" s="10" t="s">
        <v>5412</v>
      </c>
      <c r="V16" s="10" t="s">
        <v>5412</v>
      </c>
      <c r="W16" s="0" t="s">
        <v>487</v>
      </c>
      <c r="X16" s="10" t="s">
        <v>5412</v>
      </c>
      <c r="Y16" s="74" t="s">
        <v>487</v>
      </c>
      <c r="Z16" s="74" t="s">
        <v>487</v>
      </c>
      <c r="AA16" s="74"/>
      <c r="AB16" s="74" t="s">
        <v>487</v>
      </c>
      <c r="AC16" s="74" t="s">
        <v>487</v>
      </c>
      <c r="AD16" s="79" t="s">
        <v>558</v>
      </c>
      <c r="AE16" s="79"/>
      <c r="AF16" s="79"/>
      <c r="AG16" s="74" t="s">
        <v>487</v>
      </c>
      <c r="AH16" s="74" t="s">
        <v>487</v>
      </c>
    </row>
    <row r="17" customFormat="false" ht="15" hidden="false" customHeight="false" outlineLevel="0" collapsed="false">
      <c r="A17" s="0" t="e">
        <f aca="false">_xlfn.CONCAT("path_",_xlfn.textafter(C17,"subj"),"_",TEXT(B17,"mm\_dd\_yy"))</f>
        <v>#NAME?</v>
      </c>
      <c r="B17" s="10" t="s">
        <v>829</v>
      </c>
      <c r="C17" s="75" t="e">
        <f aca="false">INDEX(#REF!,MATCH(D17, #REF!,0),1)</f>
        <v>#VALUE!</v>
      </c>
      <c r="D17" s="8" t="s">
        <v>1052</v>
      </c>
      <c r="F17" s="76" t="e">
        <f aca="false">INDEX(participants!K:K,MATCH(C17, participants!A:A,0),1)</f>
        <v>#VALUE!</v>
      </c>
      <c r="H17" s="0" t="s">
        <v>5414</v>
      </c>
      <c r="I17" s="0" t="s">
        <v>487</v>
      </c>
      <c r="J17" s="10" t="s">
        <v>487</v>
      </c>
      <c r="K17" s="10" t="s">
        <v>5424</v>
      </c>
      <c r="L17" s="10" t="s">
        <v>486</v>
      </c>
      <c r="M17" s="10" t="s">
        <v>486</v>
      </c>
      <c r="N17" s="82" t="s">
        <v>5417</v>
      </c>
      <c r="O17" s="10" t="s">
        <v>487</v>
      </c>
      <c r="P17" s="10" t="s">
        <v>511</v>
      </c>
      <c r="Q17" s="10" t="s">
        <v>511</v>
      </c>
      <c r="R17" s="10" t="s">
        <v>487</v>
      </c>
      <c r="S17" s="10" t="s">
        <v>487</v>
      </c>
      <c r="T17" s="78" t="n">
        <v>0.3</v>
      </c>
      <c r="U17" s="10" t="s">
        <v>5425</v>
      </c>
      <c r="V17" s="10" t="s">
        <v>5425</v>
      </c>
      <c r="W17" s="10"/>
      <c r="X17" s="10" t="s">
        <v>5426</v>
      </c>
      <c r="Y17" s="10" t="s">
        <v>5427</v>
      </c>
      <c r="Z17" s="10" t="s">
        <v>5427</v>
      </c>
      <c r="AA17" s="10"/>
      <c r="AB17" s="10" t="s">
        <v>5427</v>
      </c>
      <c r="AC17" s="10" t="s">
        <v>5427</v>
      </c>
      <c r="AD17" s="0" t="s">
        <v>558</v>
      </c>
      <c r="AG17" s="74" t="s">
        <v>487</v>
      </c>
      <c r="AH17" s="74" t="s">
        <v>487</v>
      </c>
    </row>
    <row r="18" customFormat="false" ht="15" hidden="false" customHeight="false" outlineLevel="0" collapsed="false">
      <c r="A18" s="0" t="e">
        <f aca="false">_xlfn.CONCAT("path_",_xlfn.textafter(C18,"subj"),"_",TEXT(B18,"mm\_dd\_yy"))</f>
        <v>#NAME?</v>
      </c>
      <c r="B18" s="10"/>
      <c r="C18" s="75" t="e">
        <f aca="false">INDEX(#REF!,MATCH(D18, #REF!,0),1)</f>
        <v>#VALUE!</v>
      </c>
      <c r="D18" s="8" t="s">
        <v>1039</v>
      </c>
      <c r="F18" s="76" t="e">
        <f aca="false">INDEX(participants!K:K,MATCH(C18, participants!A:A,0),1)</f>
        <v>#VALUE!</v>
      </c>
      <c r="H18" s="0" t="s">
        <v>5410</v>
      </c>
      <c r="J18" s="57"/>
      <c r="K18" s="57" t="s">
        <v>487</v>
      </c>
      <c r="L18" s="57" t="s">
        <v>1049</v>
      </c>
      <c r="M18" s="10" t="s">
        <v>1049</v>
      </c>
      <c r="N18" s="10" t="s">
        <v>5427</v>
      </c>
      <c r="O18" s="10" t="s">
        <v>5427</v>
      </c>
      <c r="P18" s="10" t="s">
        <v>5427</v>
      </c>
      <c r="Q18" s="10" t="s">
        <v>5427</v>
      </c>
      <c r="R18" s="10" t="s">
        <v>5427</v>
      </c>
      <c r="S18" s="10" t="s">
        <v>5427</v>
      </c>
      <c r="T18" s="10" t="s">
        <v>5427</v>
      </c>
      <c r="U18" s="10" t="s">
        <v>5427</v>
      </c>
      <c r="V18" s="10" t="s">
        <v>5427</v>
      </c>
      <c r="W18" s="10" t="s">
        <v>5427</v>
      </c>
      <c r="X18" s="10" t="s">
        <v>5427</v>
      </c>
      <c r="Y18" s="10" t="s">
        <v>5427</v>
      </c>
      <c r="Z18" s="10" t="s">
        <v>5427</v>
      </c>
      <c r="AA18" s="10"/>
      <c r="AB18" s="10" t="s">
        <v>5427</v>
      </c>
      <c r="AC18" s="10" t="s">
        <v>5427</v>
      </c>
      <c r="AD18" s="0" t="s">
        <v>558</v>
      </c>
      <c r="AG18" s="74" t="s">
        <v>487</v>
      </c>
      <c r="AH18" s="74" t="s">
        <v>487</v>
      </c>
    </row>
    <row r="19" customFormat="false" ht="15" hidden="false" customHeight="false" outlineLevel="0" collapsed="false">
      <c r="A19" s="0" t="e">
        <f aca="false">_xlfn.CONCAT("path_",_xlfn.textafter(C19,"subj"),"_",TEXT(B19,"mm\_dd\_yy"))</f>
        <v>#NAME?</v>
      </c>
      <c r="B19" s="74" t="n">
        <v>43741</v>
      </c>
      <c r="C19" s="75" t="e">
        <f aca="false">INDEX(#REF!,MATCH(D19, #REF!,0),1)</f>
        <v>#VALUE!</v>
      </c>
      <c r="D19" s="8" t="s">
        <v>915</v>
      </c>
      <c r="F19" s="76" t="e">
        <f aca="false">INDEX(participants!K:K,MATCH(C19, participants!A:A,0),1)</f>
        <v>#VALUE!</v>
      </c>
      <c r="H19" s="0" t="s">
        <v>5410</v>
      </c>
      <c r="J19" s="57"/>
      <c r="K19" s="57" t="s">
        <v>487</v>
      </c>
      <c r="L19" s="57" t="s">
        <v>752</v>
      </c>
      <c r="M19" s="10" t="s">
        <v>752</v>
      </c>
      <c r="N19" s="82" t="s">
        <v>5416</v>
      </c>
      <c r="O19" s="10" t="s">
        <v>487</v>
      </c>
      <c r="P19" s="10" t="s">
        <v>511</v>
      </c>
      <c r="Q19" s="10" t="s">
        <v>511</v>
      </c>
      <c r="R19" s="10" t="s">
        <v>487</v>
      </c>
      <c r="S19" s="10" t="s">
        <v>487</v>
      </c>
      <c r="T19" s="10" t="s">
        <v>5418</v>
      </c>
      <c r="U19" s="10" t="s">
        <v>5422</v>
      </c>
      <c r="V19" s="10" t="s">
        <v>5412</v>
      </c>
      <c r="W19" s="10" t="s">
        <v>5425</v>
      </c>
      <c r="X19" s="10" t="s">
        <v>5427</v>
      </c>
      <c r="Y19" s="10" t="s">
        <v>5427</v>
      </c>
      <c r="Z19" s="0" t="s">
        <v>5427</v>
      </c>
      <c r="AB19" s="0" t="s">
        <v>5427</v>
      </c>
      <c r="AC19" s="0" t="s">
        <v>5427</v>
      </c>
      <c r="AD19" s="0" t="s">
        <v>558</v>
      </c>
      <c r="AG19" s="74" t="s">
        <v>487</v>
      </c>
      <c r="AH19" s="74" t="s">
        <v>487</v>
      </c>
    </row>
    <row r="20" customFormat="false" ht="15" hidden="false" customHeight="false" outlineLevel="0" collapsed="false">
      <c r="A20" s="0" t="e">
        <f aca="false">_xlfn.CONCAT("path_",_xlfn.textafter(C20,"subj"),"_",TEXT(B20,"mm\_dd\_yy"))</f>
        <v>#NAME?</v>
      </c>
      <c r="B20" s="74" t="n">
        <v>44244</v>
      </c>
      <c r="C20" s="75" t="e">
        <f aca="false">INDEX(#REF!,MATCH(D20, #REF!,0),1)</f>
        <v>#VALUE!</v>
      </c>
      <c r="D20" s="10" t="s">
        <v>1086</v>
      </c>
      <c r="E20" s="10" t="s">
        <v>1086</v>
      </c>
      <c r="F20" s="76" t="e">
        <f aca="false">INDEX(participants!K:K,MATCH(C20, participants!A:A,0),1)</f>
        <v>#VALUE!</v>
      </c>
      <c r="G20" s="59" t="n">
        <v>101497359</v>
      </c>
      <c r="H20" s="10" t="s">
        <v>5410</v>
      </c>
      <c r="I20" s="10"/>
      <c r="J20" s="10" t="s">
        <v>5183</v>
      </c>
      <c r="K20" s="13" t="s">
        <v>487</v>
      </c>
      <c r="L20" s="13" t="s">
        <v>486</v>
      </c>
      <c r="M20" s="13" t="s">
        <v>486</v>
      </c>
      <c r="N20" s="13" t="s">
        <v>487</v>
      </c>
      <c r="O20" s="0" t="s">
        <v>487</v>
      </c>
      <c r="P20" s="10" t="s">
        <v>487</v>
      </c>
      <c r="Q20" s="10" t="s">
        <v>487</v>
      </c>
      <c r="R20" s="10" t="s">
        <v>487</v>
      </c>
      <c r="S20" s="13" t="s">
        <v>487</v>
      </c>
      <c r="T20" s="13" t="s">
        <v>487</v>
      </c>
      <c r="U20" s="13" t="s">
        <v>487</v>
      </c>
      <c r="V20" s="13" t="s">
        <v>487</v>
      </c>
      <c r="W20" s="13" t="s">
        <v>487</v>
      </c>
      <c r="X20" s="13" t="s">
        <v>487</v>
      </c>
      <c r="Y20" s="13" t="s">
        <v>487</v>
      </c>
      <c r="Z20" s="13" t="s">
        <v>487</v>
      </c>
      <c r="AA20" s="13"/>
      <c r="AB20" s="13" t="s">
        <v>487</v>
      </c>
      <c r="AC20" s="13" t="s">
        <v>487</v>
      </c>
      <c r="AD20" s="15" t="s">
        <v>558</v>
      </c>
      <c r="AE20" s="0" t="s">
        <v>5413</v>
      </c>
      <c r="AF20" s="0" t="s">
        <v>487</v>
      </c>
    </row>
    <row r="21" customFormat="false" ht="15" hidden="false" customHeight="false" outlineLevel="0" collapsed="false">
      <c r="A21" s="0" t="e">
        <f aca="false">_xlfn.CONCAT("path_",_xlfn.textafter(C21,"subj"),"_",TEXT(B21,"mm\_dd\_yy"))</f>
        <v>#NAME?</v>
      </c>
      <c r="B21" s="74" t="n">
        <v>44266</v>
      </c>
      <c r="C21" s="75" t="e">
        <f aca="false">INDEX(#REF!,MATCH(D21, #REF!,0),1)</f>
        <v>#VALUE!</v>
      </c>
      <c r="D21" s="10" t="s">
        <v>1086</v>
      </c>
      <c r="E21" s="10" t="s">
        <v>1086</v>
      </c>
      <c r="F21" s="76" t="e">
        <f aca="false">INDEX(participants!K:K,MATCH(C21, participants!A:A,0),1)</f>
        <v>#VALUE!</v>
      </c>
      <c r="G21" s="59" t="n">
        <v>101497359</v>
      </c>
      <c r="H21" s="10" t="s">
        <v>5414</v>
      </c>
      <c r="I21" s="10"/>
      <c r="J21" s="10" t="s">
        <v>5183</v>
      </c>
      <c r="K21" s="13" t="s">
        <v>5428</v>
      </c>
      <c r="L21" s="13" t="s">
        <v>486</v>
      </c>
      <c r="M21" s="13" t="s">
        <v>486</v>
      </c>
      <c r="N21" s="13" t="s">
        <v>558</v>
      </c>
      <c r="O21" s="0" t="s">
        <v>487</v>
      </c>
      <c r="P21" s="0" t="s">
        <v>487</v>
      </c>
      <c r="Q21" s="0" t="s">
        <v>487</v>
      </c>
      <c r="R21" s="0" t="s">
        <v>487</v>
      </c>
      <c r="S21" s="15" t="s">
        <v>487</v>
      </c>
      <c r="T21" s="15" t="s">
        <v>487</v>
      </c>
      <c r="U21" s="15" t="s">
        <v>487</v>
      </c>
      <c r="V21" s="15" t="s">
        <v>487</v>
      </c>
      <c r="W21" s="15" t="s">
        <v>487</v>
      </c>
      <c r="X21" s="15" t="s">
        <v>487</v>
      </c>
      <c r="Y21" s="15" t="s">
        <v>487</v>
      </c>
      <c r="Z21" s="15" t="s">
        <v>487</v>
      </c>
      <c r="AA21" s="15"/>
      <c r="AB21" s="15" t="s">
        <v>487</v>
      </c>
      <c r="AC21" s="15" t="s">
        <v>487</v>
      </c>
      <c r="AD21" s="15" t="s">
        <v>558</v>
      </c>
      <c r="AE21" s="0" t="s">
        <v>5413</v>
      </c>
      <c r="AF21" s="0" t="s">
        <v>487</v>
      </c>
    </row>
    <row r="22" customFormat="false" ht="15" hidden="false" customHeight="false" outlineLevel="0" collapsed="false">
      <c r="A22" s="0" t="e">
        <f aca="false">_xlfn.CONCAT("path_",_xlfn.textafter(C22,"subj"),"_",TEXT(B22,"mm\_dd\_yy"))</f>
        <v>#NAME?</v>
      </c>
      <c r="B22" s="74" t="n">
        <v>42738</v>
      </c>
      <c r="C22" s="75" t="e">
        <f aca="false">INDEX(#REF!,MATCH(D22, #REF!,0),1)</f>
        <v>#VALUE!</v>
      </c>
      <c r="D22" s="10" t="s">
        <v>1081</v>
      </c>
      <c r="E22" s="10" t="s">
        <v>1081</v>
      </c>
      <c r="F22" s="76" t="e">
        <f aca="false">INDEX(participants!K:K,MATCH(C22, participants!A:A,0),1)</f>
        <v>#VALUE!</v>
      </c>
      <c r="G22" s="59" t="n">
        <v>104241418</v>
      </c>
      <c r="H22" s="10" t="s">
        <v>5414</v>
      </c>
      <c r="I22" s="10"/>
      <c r="J22" s="10" t="s">
        <v>5235</v>
      </c>
      <c r="K22" s="13" t="s">
        <v>5424</v>
      </c>
      <c r="L22" s="13" t="s">
        <v>486</v>
      </c>
      <c r="M22" s="13" t="s">
        <v>486</v>
      </c>
      <c r="N22" s="13" t="s">
        <v>487</v>
      </c>
      <c r="O22" s="0" t="s">
        <v>511</v>
      </c>
      <c r="P22" s="10" t="s">
        <v>511</v>
      </c>
      <c r="Q22" s="10" t="s">
        <v>487</v>
      </c>
      <c r="R22" s="10" t="s">
        <v>511</v>
      </c>
      <c r="S22" s="13" t="s">
        <v>487</v>
      </c>
      <c r="T22" s="15" t="s">
        <v>5427</v>
      </c>
      <c r="U22" s="85" t="s">
        <v>5427</v>
      </c>
      <c r="V22" s="85" t="s">
        <v>5425</v>
      </c>
      <c r="W22" s="13" t="s">
        <v>5427</v>
      </c>
      <c r="X22" s="13" t="s">
        <v>5427</v>
      </c>
      <c r="Y22" s="13" t="s">
        <v>5427</v>
      </c>
      <c r="Z22" s="13" t="s">
        <v>5427</v>
      </c>
      <c r="AA22" s="13"/>
      <c r="AB22" s="13" t="s">
        <v>5427</v>
      </c>
      <c r="AC22" s="15" t="s">
        <v>5427</v>
      </c>
      <c r="AD22" s="15" t="s">
        <v>558</v>
      </c>
      <c r="AE22" s="0" t="s">
        <v>5413</v>
      </c>
      <c r="AF22" s="0" t="s">
        <v>487</v>
      </c>
    </row>
    <row r="23" customFormat="false" ht="15" hidden="false" customHeight="false" outlineLevel="0" collapsed="false">
      <c r="A23" s="0" t="e">
        <f aca="false">_xlfn.CONCAT("path_",_xlfn.textafter(C23,"subj"),"_",TEXT(B23,"mm\_dd\_yy"))</f>
        <v>#NAME?</v>
      </c>
      <c r="B23" s="74" t="n">
        <v>43430</v>
      </c>
      <c r="C23" s="75" t="e">
        <f aca="false">INDEX(#REF!,MATCH(D23, #REF!,0),1)</f>
        <v>#VALUE!</v>
      </c>
      <c r="D23" s="10" t="s">
        <v>692</v>
      </c>
      <c r="E23" s="10" t="s">
        <v>692</v>
      </c>
      <c r="F23" s="76" t="e">
        <f aca="false">INDEX(participants!K:K,MATCH(C23, participants!A:A,0),1)</f>
        <v>#VALUE!</v>
      </c>
      <c r="G23" s="58" t="n">
        <v>102158934</v>
      </c>
      <c r="H23" s="10" t="s">
        <v>5410</v>
      </c>
      <c r="I23" s="10"/>
      <c r="J23" s="10" t="s">
        <v>5172</v>
      </c>
      <c r="K23" s="13" t="s">
        <v>487</v>
      </c>
      <c r="L23" s="13" t="s">
        <v>486</v>
      </c>
      <c r="M23" s="13" t="s">
        <v>486</v>
      </c>
      <c r="N23" s="13" t="s">
        <v>558</v>
      </c>
      <c r="O23" s="0" t="s">
        <v>487</v>
      </c>
      <c r="P23" s="0" t="s">
        <v>487</v>
      </c>
      <c r="Q23" s="0" t="s">
        <v>487</v>
      </c>
      <c r="R23" s="0" t="s">
        <v>487</v>
      </c>
      <c r="S23" s="13" t="s">
        <v>487</v>
      </c>
      <c r="T23" s="13" t="s">
        <v>487</v>
      </c>
      <c r="U23" s="13" t="s">
        <v>487</v>
      </c>
      <c r="V23" s="85" t="s">
        <v>5412</v>
      </c>
      <c r="W23" s="13" t="s">
        <v>5427</v>
      </c>
      <c r="X23" s="13" t="s">
        <v>5427</v>
      </c>
      <c r="Y23" s="13" t="s">
        <v>5427</v>
      </c>
      <c r="Z23" s="13" t="s">
        <v>5427</v>
      </c>
      <c r="AA23" s="13"/>
      <c r="AB23" s="13" t="s">
        <v>5427</v>
      </c>
      <c r="AC23" s="15" t="s">
        <v>5427</v>
      </c>
      <c r="AD23" s="15" t="s">
        <v>558</v>
      </c>
      <c r="AE23" s="0" t="s">
        <v>5413</v>
      </c>
      <c r="AF23" s="0" t="s">
        <v>487</v>
      </c>
    </row>
    <row r="24" customFormat="false" ht="15" hidden="false" customHeight="false" outlineLevel="0" collapsed="false">
      <c r="A24" s="0" t="e">
        <f aca="false">_xlfn.CONCAT("path_",_xlfn.textafter(C24,"subj"),"_",TEXT(B24,"mm\_dd\_yy"))</f>
        <v>#NAME?</v>
      </c>
      <c r="B24" s="74" t="n">
        <v>43475</v>
      </c>
      <c r="C24" s="75" t="e">
        <f aca="false">INDEX(#REF!,MATCH(D24, #REF!,0),1)</f>
        <v>#VALUE!</v>
      </c>
      <c r="D24" s="10" t="s">
        <v>692</v>
      </c>
      <c r="E24" s="10" t="s">
        <v>692</v>
      </c>
      <c r="F24" s="76" t="e">
        <f aca="false">INDEX(participants!K:K,MATCH(C24, participants!A:A,0),1)</f>
        <v>#VALUE!</v>
      </c>
      <c r="G24" s="58" t="n">
        <v>102158934</v>
      </c>
      <c r="H24" s="10" t="s">
        <v>5414</v>
      </c>
      <c r="I24" s="10"/>
      <c r="J24" s="10" t="s">
        <v>5172</v>
      </c>
      <c r="K24" s="13" t="s">
        <v>5424</v>
      </c>
      <c r="L24" s="13" t="s">
        <v>486</v>
      </c>
      <c r="M24" s="13" t="s">
        <v>486</v>
      </c>
      <c r="N24" s="13" t="s">
        <v>5429</v>
      </c>
      <c r="O24" s="0" t="s">
        <v>487</v>
      </c>
      <c r="P24" s="0" t="s">
        <v>487</v>
      </c>
      <c r="Q24" s="0" t="s">
        <v>487</v>
      </c>
      <c r="R24" s="0" t="s">
        <v>487</v>
      </c>
      <c r="S24" s="13" t="s">
        <v>487</v>
      </c>
      <c r="T24" s="13" t="s">
        <v>487</v>
      </c>
      <c r="U24" s="13" t="s">
        <v>487</v>
      </c>
      <c r="V24" s="13" t="s">
        <v>487</v>
      </c>
      <c r="W24" s="13" t="s">
        <v>487</v>
      </c>
      <c r="X24" s="13" t="s">
        <v>487</v>
      </c>
      <c r="Y24" s="13" t="s">
        <v>487</v>
      </c>
      <c r="Z24" s="13" t="s">
        <v>487</v>
      </c>
      <c r="AA24" s="13"/>
      <c r="AB24" s="13" t="s">
        <v>487</v>
      </c>
      <c r="AC24" s="15" t="s">
        <v>5427</v>
      </c>
      <c r="AD24" s="15" t="s">
        <v>558</v>
      </c>
      <c r="AE24" s="0" t="s">
        <v>5413</v>
      </c>
      <c r="AF24" s="0" t="s">
        <v>487</v>
      </c>
    </row>
    <row r="25" customFormat="false" ht="15" hidden="false" customHeight="false" outlineLevel="0" collapsed="false">
      <c r="A25" s="0" t="e">
        <f aca="false">_xlfn.CONCAT("path_",_xlfn.textafter(C25,"subj"),"_",TEXT(B25,"mm\_dd\_yy"))</f>
        <v>#NAME?</v>
      </c>
      <c r="B25" s="74" t="n">
        <v>43553</v>
      </c>
      <c r="C25" s="75" t="e">
        <f aca="false">INDEX(#REF!,MATCH(D25, #REF!,0),1)</f>
        <v>#VALUE!</v>
      </c>
      <c r="D25" s="10" t="s">
        <v>696</v>
      </c>
      <c r="E25" s="10" t="s">
        <v>696</v>
      </c>
      <c r="F25" s="76" t="e">
        <f aca="false">INDEX(participants!K:K,MATCH(C25, participants!A:A,0),1)</f>
        <v>#VALUE!</v>
      </c>
      <c r="G25" s="59" t="n">
        <v>107602491</v>
      </c>
      <c r="H25" s="10" t="s">
        <v>5410</v>
      </c>
      <c r="I25" s="10"/>
      <c r="J25" s="10" t="s">
        <v>5174</v>
      </c>
      <c r="K25" s="13" t="s">
        <v>487</v>
      </c>
      <c r="L25" s="13" t="s">
        <v>486</v>
      </c>
      <c r="M25" s="13" t="s">
        <v>486</v>
      </c>
      <c r="N25" s="13" t="s">
        <v>5430</v>
      </c>
      <c r="O25" s="0" t="s">
        <v>487</v>
      </c>
      <c r="P25" s="10" t="s">
        <v>487</v>
      </c>
      <c r="Q25" s="10" t="s">
        <v>487</v>
      </c>
      <c r="R25" s="10" t="s">
        <v>487</v>
      </c>
      <c r="S25" s="13" t="s">
        <v>558</v>
      </c>
      <c r="T25" s="15" t="s">
        <v>487</v>
      </c>
      <c r="U25" s="13" t="s">
        <v>487</v>
      </c>
      <c r="V25" s="13" t="s">
        <v>5425</v>
      </c>
      <c r="W25" s="13" t="s">
        <v>5427</v>
      </c>
      <c r="X25" s="13" t="s">
        <v>487</v>
      </c>
      <c r="Y25" s="13" t="s">
        <v>487</v>
      </c>
      <c r="Z25" s="15" t="s">
        <v>487</v>
      </c>
      <c r="AA25" s="15"/>
      <c r="AB25" s="15" t="s">
        <v>487</v>
      </c>
      <c r="AC25" s="15" t="s">
        <v>487</v>
      </c>
      <c r="AD25" s="15" t="s">
        <v>511</v>
      </c>
      <c r="AE25" s="0" t="s">
        <v>5413</v>
      </c>
      <c r="AF25" s="0" t="s">
        <v>487</v>
      </c>
    </row>
    <row r="26" customFormat="false" ht="15" hidden="false" customHeight="false" outlineLevel="0" collapsed="false">
      <c r="A26" s="0" t="e">
        <f aca="false">_xlfn.CONCAT("path_",_xlfn.textafter(C26,"subj"),"_",TEXT(B26,"mm\_dd\_yy"))</f>
        <v>#NAME?</v>
      </c>
      <c r="B26" s="74" t="n">
        <v>43738</v>
      </c>
      <c r="C26" s="75" t="e">
        <f aca="false">INDEX(#REF!,MATCH(D26, #REF!,0),1)</f>
        <v>#VALUE!</v>
      </c>
      <c r="D26" s="10" t="s">
        <v>696</v>
      </c>
      <c r="E26" s="10" t="s">
        <v>696</v>
      </c>
      <c r="F26" s="76" t="e">
        <f aca="false">INDEX(participants!K:K,MATCH(C26, participants!A:A,0),1)</f>
        <v>#VALUE!</v>
      </c>
      <c r="G26" s="59" t="n">
        <v>107602491</v>
      </c>
      <c r="H26" s="10" t="s">
        <v>5414</v>
      </c>
      <c r="I26" s="10"/>
      <c r="J26" s="10" t="s">
        <v>5174</v>
      </c>
      <c r="K26" s="13" t="s">
        <v>5428</v>
      </c>
      <c r="L26" s="13" t="s">
        <v>486</v>
      </c>
      <c r="M26" s="13" t="s">
        <v>486</v>
      </c>
      <c r="N26" s="13" t="s">
        <v>5431</v>
      </c>
      <c r="O26" s="0" t="s">
        <v>487</v>
      </c>
      <c r="P26" s="10" t="s">
        <v>487</v>
      </c>
      <c r="Q26" s="10" t="s">
        <v>487</v>
      </c>
      <c r="R26" s="10" t="s">
        <v>487</v>
      </c>
      <c r="S26" s="13" t="s">
        <v>511</v>
      </c>
      <c r="T26" s="15" t="s">
        <v>487</v>
      </c>
      <c r="U26" s="13" t="s">
        <v>487</v>
      </c>
      <c r="V26" s="13" t="s">
        <v>487</v>
      </c>
      <c r="W26" s="13" t="s">
        <v>5427</v>
      </c>
      <c r="X26" s="13" t="s">
        <v>487</v>
      </c>
      <c r="Y26" s="13" t="s">
        <v>487</v>
      </c>
      <c r="Z26" s="15" t="s">
        <v>5432</v>
      </c>
      <c r="AA26" s="15"/>
      <c r="AB26" s="15" t="s">
        <v>487</v>
      </c>
      <c r="AC26" s="15" t="s">
        <v>5433</v>
      </c>
      <c r="AD26" s="15" t="s">
        <v>511</v>
      </c>
      <c r="AE26" s="0" t="s">
        <v>5434</v>
      </c>
      <c r="AF26" s="0" t="s">
        <v>5434</v>
      </c>
    </row>
    <row r="27" customFormat="false" ht="15" hidden="false" customHeight="false" outlineLevel="0" collapsed="false">
      <c r="A27" s="0" t="e">
        <f aca="false">_xlfn.CONCAT("path_",_xlfn.textafter(C27,"subj"),"_",TEXT(B27,"mm\_dd\_yy"))</f>
        <v>#NAME?</v>
      </c>
      <c r="B27" s="74" t="n">
        <v>43986</v>
      </c>
      <c r="C27" s="75" t="e">
        <f aca="false">INDEX(#REF!,MATCH(D27, #REF!,0),1)</f>
        <v>#VALUE!</v>
      </c>
      <c r="D27" s="10" t="s">
        <v>696</v>
      </c>
      <c r="E27" s="10" t="s">
        <v>696</v>
      </c>
      <c r="F27" s="76" t="e">
        <f aca="false">INDEX(participants!K:K,MATCH(C27, participants!A:A,0),1)</f>
        <v>#VALUE!</v>
      </c>
      <c r="G27" s="59" t="n">
        <v>107602491</v>
      </c>
      <c r="H27" s="10" t="s">
        <v>5410</v>
      </c>
      <c r="I27" s="10"/>
      <c r="J27" s="10" t="s">
        <v>5435</v>
      </c>
      <c r="K27" s="13" t="s">
        <v>487</v>
      </c>
      <c r="L27" s="13" t="s">
        <v>486</v>
      </c>
      <c r="M27" s="13" t="s">
        <v>486</v>
      </c>
      <c r="N27" s="13" t="s">
        <v>5431</v>
      </c>
      <c r="O27" s="0" t="s">
        <v>487</v>
      </c>
      <c r="P27" s="10" t="s">
        <v>487</v>
      </c>
      <c r="Q27" s="10" t="s">
        <v>487</v>
      </c>
      <c r="R27" s="10" t="s">
        <v>487</v>
      </c>
      <c r="S27" s="13" t="s">
        <v>487</v>
      </c>
      <c r="T27" s="15" t="s">
        <v>487</v>
      </c>
      <c r="U27" s="13" t="s">
        <v>487</v>
      </c>
      <c r="V27" s="13" t="s">
        <v>487</v>
      </c>
      <c r="W27" s="13" t="s">
        <v>5427</v>
      </c>
      <c r="X27" s="13" t="s">
        <v>487</v>
      </c>
      <c r="Y27" s="13" t="s">
        <v>487</v>
      </c>
      <c r="Z27" s="15" t="s">
        <v>5425</v>
      </c>
      <c r="AA27" s="15"/>
      <c r="AB27" s="15" t="s">
        <v>487</v>
      </c>
      <c r="AC27" s="15" t="s">
        <v>5433</v>
      </c>
      <c r="AD27" s="15" t="s">
        <v>511</v>
      </c>
      <c r="AE27" s="0" t="s">
        <v>5434</v>
      </c>
      <c r="AF27" s="0" t="s">
        <v>5434</v>
      </c>
    </row>
    <row r="28" customFormat="false" ht="15" hidden="false" customHeight="false" outlineLevel="0" collapsed="false">
      <c r="A28" s="0" t="e">
        <f aca="false">_xlfn.CONCAT("path_",_xlfn.textafter(C28,"subj"),"_",TEXT(B28,"mm\_dd\_yy"))</f>
        <v>#NAME?</v>
      </c>
      <c r="B28" s="74" t="n">
        <v>44474</v>
      </c>
      <c r="C28" s="75" t="e">
        <f aca="false">INDEX(#REF!,MATCH(D28, #REF!,0),1)</f>
        <v>#VALUE!</v>
      </c>
      <c r="D28" s="10" t="s">
        <v>696</v>
      </c>
      <c r="E28" s="10" t="s">
        <v>696</v>
      </c>
      <c r="F28" s="76" t="e">
        <f aca="false">INDEX(participants!K:K,MATCH(C28, participants!A:A,0),1)</f>
        <v>#VALUE!</v>
      </c>
      <c r="G28" s="59" t="n">
        <v>107602491</v>
      </c>
      <c r="H28" s="10" t="s">
        <v>5414</v>
      </c>
      <c r="I28" s="10"/>
      <c r="J28" s="10" t="s">
        <v>5435</v>
      </c>
      <c r="K28" s="13"/>
      <c r="L28" s="13" t="s">
        <v>486</v>
      </c>
      <c r="M28" s="13" t="s">
        <v>486</v>
      </c>
      <c r="N28" s="13" t="s">
        <v>5431</v>
      </c>
      <c r="O28" s="0" t="s">
        <v>487</v>
      </c>
      <c r="P28" s="10" t="s">
        <v>487</v>
      </c>
      <c r="Q28" s="10" t="s">
        <v>487</v>
      </c>
      <c r="R28" s="10" t="s">
        <v>487</v>
      </c>
      <c r="S28" s="13" t="s">
        <v>511</v>
      </c>
      <c r="T28" s="15" t="s">
        <v>487</v>
      </c>
      <c r="U28" s="13" t="s">
        <v>487</v>
      </c>
      <c r="V28" s="13" t="s">
        <v>487</v>
      </c>
      <c r="W28" s="13" t="s">
        <v>5427</v>
      </c>
      <c r="X28" s="13" t="s">
        <v>487</v>
      </c>
      <c r="Y28" s="13" t="s">
        <v>487</v>
      </c>
      <c r="Z28" s="15" t="s">
        <v>487</v>
      </c>
      <c r="AA28" s="15"/>
      <c r="AB28" s="15" t="s">
        <v>487</v>
      </c>
      <c r="AC28" s="15" t="s">
        <v>487</v>
      </c>
      <c r="AD28" s="15" t="s">
        <v>558</v>
      </c>
      <c r="AE28" s="0" t="s">
        <v>5413</v>
      </c>
      <c r="AF28" s="0" t="s">
        <v>5413</v>
      </c>
    </row>
    <row r="29" customFormat="false" ht="15" hidden="false" customHeight="false" outlineLevel="0" collapsed="false">
      <c r="A29" s="0" t="e">
        <f aca="false">_xlfn.CONCAT("path_",_xlfn.textafter(C29,"subj"),"_",TEXT(B29,"mm\_dd\_yy"))</f>
        <v>#NAME?</v>
      </c>
      <c r="B29" s="74" t="n">
        <v>43570</v>
      </c>
      <c r="C29" s="75" t="e">
        <f aca="false">INDEX(#REF!,MATCH(D29, #REF!,0),1)</f>
        <v>#VALUE!</v>
      </c>
      <c r="D29" s="10" t="s">
        <v>702</v>
      </c>
      <c r="E29" s="10" t="s">
        <v>702</v>
      </c>
      <c r="F29" s="76" t="e">
        <f aca="false">INDEX(participants!K:K,MATCH(C29, participants!A:A,0),1)</f>
        <v>#VALUE!</v>
      </c>
      <c r="G29" s="58" t="n">
        <v>201111010</v>
      </c>
      <c r="H29" s="10" t="s">
        <v>5410</v>
      </c>
      <c r="I29" s="10"/>
      <c r="J29" s="10" t="s">
        <v>5176</v>
      </c>
      <c r="K29" s="13" t="s">
        <v>487</v>
      </c>
      <c r="L29" s="13" t="s">
        <v>486</v>
      </c>
      <c r="M29" s="13" t="s">
        <v>486</v>
      </c>
      <c r="N29" s="13" t="s">
        <v>5429</v>
      </c>
      <c r="O29" s="0" t="s">
        <v>487</v>
      </c>
      <c r="P29" s="10" t="s">
        <v>487</v>
      </c>
      <c r="Q29" s="10" t="s">
        <v>487</v>
      </c>
      <c r="R29" s="10" t="s">
        <v>487</v>
      </c>
      <c r="S29" s="13" t="s">
        <v>511</v>
      </c>
      <c r="T29" s="15" t="s">
        <v>487</v>
      </c>
      <c r="U29" s="15" t="s">
        <v>487</v>
      </c>
      <c r="V29" s="15" t="s">
        <v>487</v>
      </c>
      <c r="W29" s="15" t="s">
        <v>487</v>
      </c>
      <c r="X29" s="15" t="s">
        <v>487</v>
      </c>
      <c r="Y29" s="15" t="s">
        <v>487</v>
      </c>
      <c r="Z29" s="15" t="s">
        <v>487</v>
      </c>
      <c r="AA29" s="15"/>
      <c r="AB29" s="15" t="s">
        <v>487</v>
      </c>
      <c r="AC29" s="15" t="s">
        <v>487</v>
      </c>
      <c r="AD29" s="15" t="s">
        <v>558</v>
      </c>
      <c r="AE29" s="0" t="s">
        <v>5413</v>
      </c>
      <c r="AF29" s="0" t="s">
        <v>5413</v>
      </c>
    </row>
    <row r="30" customFormat="false" ht="15" hidden="false" customHeight="false" outlineLevel="0" collapsed="false">
      <c r="A30" s="0" t="e">
        <f aca="false">_xlfn.CONCAT("path_",_xlfn.textafter(C30,"subj"),"_",TEXT(B30,"mm\_dd\_yy"))</f>
        <v>#NAME?</v>
      </c>
      <c r="B30" s="74" t="n">
        <v>43621</v>
      </c>
      <c r="C30" s="75" t="e">
        <f aca="false">INDEX(#REF!,MATCH(D30, #REF!,0),1)</f>
        <v>#VALUE!</v>
      </c>
      <c r="D30" s="10" t="s">
        <v>707</v>
      </c>
      <c r="E30" s="10" t="s">
        <v>707</v>
      </c>
      <c r="F30" s="76" t="e">
        <f aca="false">INDEX(participants!K:K,MATCH(C30, participants!A:A,0),1)</f>
        <v>#VALUE!</v>
      </c>
      <c r="G30" s="58" t="n">
        <v>201187942</v>
      </c>
      <c r="H30" s="10" t="s">
        <v>5414</v>
      </c>
      <c r="I30" s="10"/>
      <c r="J30" s="10" t="s">
        <v>5178</v>
      </c>
      <c r="K30" s="15" t="s">
        <v>5428</v>
      </c>
      <c r="L30" s="13" t="s">
        <v>486</v>
      </c>
      <c r="M30" s="13" t="s">
        <v>486</v>
      </c>
      <c r="N30" s="13" t="s">
        <v>5436</v>
      </c>
      <c r="O30" s="0" t="s">
        <v>487</v>
      </c>
      <c r="P30" s="0" t="s">
        <v>487</v>
      </c>
      <c r="Q30" s="0" t="s">
        <v>487</v>
      </c>
      <c r="R30" s="0" t="s">
        <v>487</v>
      </c>
      <c r="S30" s="13" t="s">
        <v>511</v>
      </c>
      <c r="T30" s="15" t="s">
        <v>487</v>
      </c>
      <c r="U30" s="13" t="s">
        <v>5425</v>
      </c>
      <c r="V30" s="13" t="s">
        <v>487</v>
      </c>
      <c r="W30" s="13" t="s">
        <v>487</v>
      </c>
      <c r="X30" s="13" t="s">
        <v>487</v>
      </c>
      <c r="Y30" s="13" t="s">
        <v>487</v>
      </c>
      <c r="Z30" s="15" t="s">
        <v>487</v>
      </c>
      <c r="AA30" s="15"/>
      <c r="AB30" s="15" t="s">
        <v>487</v>
      </c>
      <c r="AC30" s="15" t="s">
        <v>5425</v>
      </c>
      <c r="AD30" s="15" t="s">
        <v>558</v>
      </c>
      <c r="AE30" s="0" t="s">
        <v>5434</v>
      </c>
      <c r="AF30" s="0" t="s">
        <v>5413</v>
      </c>
    </row>
    <row r="31" customFormat="false" ht="15" hidden="false" customHeight="false" outlineLevel="0" collapsed="false">
      <c r="A31" s="0" t="e">
        <f aca="false">_xlfn.CONCAT("path_",_xlfn.textafter(C31,"subj"),"_",TEXT(B31,"mm\_dd\_yy"))</f>
        <v>#NAME?</v>
      </c>
      <c r="B31" s="74" t="n">
        <v>43728</v>
      </c>
      <c r="C31" s="75" t="e">
        <f aca="false">INDEX(#REF!,MATCH(D31, #REF!,0),1)</f>
        <v>#VALUE!</v>
      </c>
      <c r="D31" s="10" t="s">
        <v>793</v>
      </c>
      <c r="E31" s="10" t="s">
        <v>793</v>
      </c>
      <c r="F31" s="76" t="e">
        <f aca="false">INDEX(participants!K:K,MATCH(C31, participants!A:A,0),1)</f>
        <v>#VALUE!</v>
      </c>
      <c r="G31" s="61" t="n">
        <v>106881934</v>
      </c>
      <c r="H31" s="10" t="s">
        <v>5410</v>
      </c>
      <c r="I31" s="10"/>
      <c r="J31" s="10" t="s">
        <v>5180</v>
      </c>
      <c r="K31" s="13" t="s">
        <v>487</v>
      </c>
      <c r="L31" s="13" t="s">
        <v>486</v>
      </c>
      <c r="M31" s="13" t="s">
        <v>486</v>
      </c>
      <c r="N31" s="13" t="s">
        <v>558</v>
      </c>
      <c r="O31" s="0" t="s">
        <v>487</v>
      </c>
      <c r="P31" s="0" t="s">
        <v>487</v>
      </c>
      <c r="Q31" s="0" t="s">
        <v>487</v>
      </c>
      <c r="R31" s="0" t="s">
        <v>487</v>
      </c>
      <c r="S31" s="13" t="s">
        <v>511</v>
      </c>
      <c r="T31" s="15" t="s">
        <v>5427</v>
      </c>
      <c r="U31" s="15" t="s">
        <v>5427</v>
      </c>
      <c r="V31" s="15" t="s">
        <v>5427</v>
      </c>
      <c r="W31" s="15" t="s">
        <v>5427</v>
      </c>
      <c r="X31" s="15" t="s">
        <v>5427</v>
      </c>
      <c r="Y31" s="15" t="s">
        <v>5427</v>
      </c>
      <c r="Z31" s="15" t="s">
        <v>5427</v>
      </c>
      <c r="AA31" s="15"/>
      <c r="AB31" s="15" t="s">
        <v>5427</v>
      </c>
      <c r="AC31" s="15" t="s">
        <v>5427</v>
      </c>
      <c r="AD31" s="15" t="s">
        <v>558</v>
      </c>
      <c r="AE31" s="0" t="s">
        <v>5413</v>
      </c>
      <c r="AF31" s="0" t="s">
        <v>5413</v>
      </c>
    </row>
    <row r="32" customFormat="false" ht="15" hidden="false" customHeight="false" outlineLevel="0" collapsed="false">
      <c r="A32" s="0" t="e">
        <f aca="false">_xlfn.CONCAT("path_",_xlfn.textafter(C32,"subj"),"_",TEXT(B32,"mm\_dd\_yy"))</f>
        <v>#NAME?</v>
      </c>
      <c r="B32" s="74" t="n">
        <v>43555</v>
      </c>
      <c r="C32" s="75" t="e">
        <f aca="false">INDEX(#REF!,MATCH(D32, #REF!,0),1)</f>
        <v>#VALUE!</v>
      </c>
      <c r="D32" s="10" t="s">
        <v>793</v>
      </c>
      <c r="E32" s="10" t="s">
        <v>793</v>
      </c>
      <c r="F32" s="76" t="e">
        <f aca="false">INDEX(participants!K:K,MATCH(C32, participants!A:A,0),1)</f>
        <v>#VALUE!</v>
      </c>
      <c r="G32" s="61" t="n">
        <v>106881934</v>
      </c>
      <c r="H32" s="10" t="s">
        <v>5414</v>
      </c>
      <c r="I32" s="10"/>
      <c r="J32" s="10" t="s">
        <v>5180</v>
      </c>
      <c r="K32" s="13" t="s">
        <v>5428</v>
      </c>
      <c r="L32" s="13" t="s">
        <v>486</v>
      </c>
      <c r="M32" s="13" t="s">
        <v>486</v>
      </c>
      <c r="N32" s="13" t="s">
        <v>5437</v>
      </c>
      <c r="O32" s="0" t="s">
        <v>487</v>
      </c>
      <c r="P32" s="0" t="s">
        <v>487</v>
      </c>
      <c r="Q32" s="0" t="s">
        <v>487</v>
      </c>
      <c r="R32" s="0" t="s">
        <v>487</v>
      </c>
      <c r="S32" s="13" t="s">
        <v>511</v>
      </c>
      <c r="T32" s="15" t="s">
        <v>5427</v>
      </c>
      <c r="U32" s="15" t="s">
        <v>5427</v>
      </c>
      <c r="V32" s="15" t="s">
        <v>5427</v>
      </c>
      <c r="W32" s="15" t="s">
        <v>5427</v>
      </c>
      <c r="X32" s="15" t="s">
        <v>5427</v>
      </c>
      <c r="Y32" s="15" t="s">
        <v>5427</v>
      </c>
      <c r="Z32" s="15" t="s">
        <v>5427</v>
      </c>
      <c r="AA32" s="15"/>
      <c r="AB32" s="15" t="s">
        <v>5427</v>
      </c>
      <c r="AC32" s="15" t="s">
        <v>5427</v>
      </c>
      <c r="AD32" s="15" t="s">
        <v>558</v>
      </c>
      <c r="AE32" s="0" t="s">
        <v>5413</v>
      </c>
      <c r="AF32" s="0" t="s">
        <v>5413</v>
      </c>
    </row>
    <row r="33" customFormat="false" ht="15" hidden="false" customHeight="false" outlineLevel="0" collapsed="false">
      <c r="A33" s="0" t="e">
        <f aca="false">_xlfn.CONCAT("path_",_xlfn.textafter(C33,"subj"),"_",TEXT(B33,"mm\_dd\_yy"))</f>
        <v>#NAME?</v>
      </c>
      <c r="B33" s="31" t="n">
        <v>43747</v>
      </c>
      <c r="C33" s="75" t="e">
        <f aca="false">INDEX(#REF!,MATCH(D33, #REF!,0),1)</f>
        <v>#VALUE!</v>
      </c>
      <c r="D33" s="10" t="s">
        <v>713</v>
      </c>
      <c r="E33" s="10" t="s">
        <v>713</v>
      </c>
      <c r="F33" s="76" t="e">
        <f aca="false">INDEX(participants!K:K,MATCH(C33, participants!A:A,0),1)</f>
        <v>#VALUE!</v>
      </c>
      <c r="G33" s="10" t="n">
        <v>201266669</v>
      </c>
      <c r="H33" s="10" t="s">
        <v>5414</v>
      </c>
      <c r="I33" s="10"/>
      <c r="J33" s="10" t="s">
        <v>5180</v>
      </c>
      <c r="K33" s="13" t="s">
        <v>5424</v>
      </c>
      <c r="L33" s="13" t="s">
        <v>486</v>
      </c>
      <c r="M33" s="13" t="s">
        <v>486</v>
      </c>
      <c r="N33" s="13" t="s">
        <v>5438</v>
      </c>
      <c r="O33" s="0" t="s">
        <v>487</v>
      </c>
      <c r="P33" s="0" t="s">
        <v>487</v>
      </c>
      <c r="Q33" s="0" t="s">
        <v>487</v>
      </c>
      <c r="R33" s="0" t="s">
        <v>487</v>
      </c>
      <c r="S33" s="13" t="s">
        <v>558</v>
      </c>
      <c r="T33" s="15" t="s">
        <v>5439</v>
      </c>
      <c r="U33" s="13" t="s">
        <v>5412</v>
      </c>
      <c r="V33" s="15" t="s">
        <v>5412</v>
      </c>
      <c r="W33" s="15" t="s">
        <v>5427</v>
      </c>
      <c r="X33" s="15" t="s">
        <v>5412</v>
      </c>
      <c r="Y33" s="15" t="s">
        <v>5425</v>
      </c>
      <c r="Z33" s="15" t="s">
        <v>5427</v>
      </c>
      <c r="AA33" s="15"/>
      <c r="AB33" s="15" t="s">
        <v>5427</v>
      </c>
      <c r="AC33" s="15" t="s">
        <v>5427</v>
      </c>
      <c r="AD33" s="15" t="s">
        <v>558</v>
      </c>
      <c r="AE33" s="0" t="s">
        <v>5413</v>
      </c>
      <c r="AF33" s="0" t="s">
        <v>5413</v>
      </c>
    </row>
    <row r="34" customFormat="false" ht="15" hidden="false" customHeight="false" outlineLevel="0" collapsed="false">
      <c r="A34" s="0" t="e">
        <f aca="false">_xlfn.CONCAT("path_",_xlfn.textafter(C34,"subj"),"_",TEXT(B34,"mm\_dd\_yy"))</f>
        <v>#NAME?</v>
      </c>
      <c r="B34" s="31" t="n">
        <v>43931</v>
      </c>
      <c r="C34" s="75" t="e">
        <f aca="false">INDEX(#REF!,MATCH(D34, #REF!,0),1)</f>
        <v>#VALUE!</v>
      </c>
      <c r="D34" s="10" t="s">
        <v>713</v>
      </c>
      <c r="E34" s="10" t="s">
        <v>713</v>
      </c>
      <c r="F34" s="76" t="e">
        <f aca="false">INDEX(participants!K:K,MATCH(C34, participants!A:A,0),1)</f>
        <v>#VALUE!</v>
      </c>
      <c r="G34" s="10" t="n">
        <v>201266669</v>
      </c>
      <c r="H34" s="10" t="s">
        <v>5414</v>
      </c>
      <c r="I34" s="10"/>
      <c r="J34" s="10" t="s">
        <v>5180</v>
      </c>
      <c r="K34" s="13" t="s">
        <v>5428</v>
      </c>
      <c r="L34" s="13" t="s">
        <v>486</v>
      </c>
      <c r="M34" s="13" t="s">
        <v>486</v>
      </c>
      <c r="N34" s="13" t="s">
        <v>558</v>
      </c>
      <c r="O34" s="0" t="s">
        <v>487</v>
      </c>
      <c r="P34" s="0" t="s">
        <v>487</v>
      </c>
      <c r="Q34" s="0" t="s">
        <v>487</v>
      </c>
      <c r="R34" s="0" t="s">
        <v>487</v>
      </c>
      <c r="S34" s="13" t="s">
        <v>487</v>
      </c>
      <c r="T34" s="13" t="s">
        <v>487</v>
      </c>
      <c r="U34" s="13" t="s">
        <v>487</v>
      </c>
      <c r="V34" s="13" t="s">
        <v>487</v>
      </c>
      <c r="W34" s="13" t="s">
        <v>487</v>
      </c>
      <c r="X34" s="13" t="s">
        <v>487</v>
      </c>
      <c r="Y34" s="13" t="s">
        <v>487</v>
      </c>
      <c r="Z34" s="13" t="s">
        <v>487</v>
      </c>
      <c r="AA34" s="13"/>
      <c r="AB34" s="13" t="s">
        <v>487</v>
      </c>
      <c r="AC34" s="13" t="s">
        <v>487</v>
      </c>
      <c r="AD34" s="15" t="s">
        <v>558</v>
      </c>
      <c r="AE34" s="0" t="s">
        <v>5413</v>
      </c>
      <c r="AF34" s="0" t="s">
        <v>5413</v>
      </c>
    </row>
    <row r="35" customFormat="false" ht="15" hidden="false" customHeight="false" outlineLevel="0" collapsed="false">
      <c r="A35" s="0" t="e">
        <f aca="false">_xlfn.CONCAT("path_",_xlfn.textafter(C35,"subj"),"_",TEXT(B35,"mm\_dd\_yy"))</f>
        <v>#NAME?</v>
      </c>
      <c r="B35" s="31" t="n">
        <v>43752</v>
      </c>
      <c r="C35" s="75" t="e">
        <f aca="false">INDEX(#REF!,MATCH(D35, #REF!,0),1)</f>
        <v>#VALUE!</v>
      </c>
      <c r="D35" s="10" t="s">
        <v>719</v>
      </c>
      <c r="E35" s="10" t="s">
        <v>719</v>
      </c>
      <c r="F35" s="76" t="e">
        <f aca="false">INDEX(participants!K:K,MATCH(C35, participants!A:A,0),1)</f>
        <v>#VALUE!</v>
      </c>
      <c r="G35" s="60" t="n">
        <v>201280053</v>
      </c>
      <c r="H35" s="10" t="s">
        <v>5414</v>
      </c>
      <c r="I35" s="10"/>
      <c r="J35" s="10" t="s">
        <v>5176</v>
      </c>
      <c r="K35" s="13" t="s">
        <v>487</v>
      </c>
      <c r="L35" s="13" t="s">
        <v>486</v>
      </c>
      <c r="M35" s="13" t="s">
        <v>486</v>
      </c>
      <c r="N35" s="13" t="s">
        <v>558</v>
      </c>
      <c r="O35" s="0" t="s">
        <v>487</v>
      </c>
      <c r="P35" s="0" t="s">
        <v>487</v>
      </c>
      <c r="Q35" s="0" t="s">
        <v>487</v>
      </c>
      <c r="R35" s="0" t="s">
        <v>487</v>
      </c>
      <c r="S35" s="13" t="s">
        <v>487</v>
      </c>
      <c r="T35" s="15" t="s">
        <v>5427</v>
      </c>
      <c r="U35" s="13" t="s">
        <v>5412</v>
      </c>
      <c r="V35" s="13" t="s">
        <v>5425</v>
      </c>
      <c r="W35" s="13" t="s">
        <v>5427</v>
      </c>
      <c r="X35" s="13" t="s">
        <v>5425</v>
      </c>
      <c r="Y35" s="13" t="s">
        <v>5427</v>
      </c>
      <c r="Z35" s="13" t="s">
        <v>5427</v>
      </c>
      <c r="AA35" s="13"/>
      <c r="AB35" s="13" t="s">
        <v>5427</v>
      </c>
      <c r="AC35" s="15" t="s">
        <v>5433</v>
      </c>
      <c r="AD35" s="15" t="s">
        <v>558</v>
      </c>
      <c r="AE35" s="0" t="s">
        <v>5434</v>
      </c>
      <c r="AF35" s="0" t="s">
        <v>5413</v>
      </c>
    </row>
    <row r="36" customFormat="false" ht="15" hidden="false" customHeight="false" outlineLevel="0" collapsed="false">
      <c r="A36" s="0" t="e">
        <f aca="false">_xlfn.CONCAT("path_",_xlfn.textafter(C36,"subj"),"_",TEXT(B36,"mm\_dd\_yy"))</f>
        <v>#NAME?</v>
      </c>
      <c r="B36" s="31" t="n">
        <v>43753</v>
      </c>
      <c r="C36" s="75" t="e">
        <f aca="false">INDEX(#REF!,MATCH(D36, #REF!,0),1)</f>
        <v>#VALUE!</v>
      </c>
      <c r="D36" s="10" t="s">
        <v>724</v>
      </c>
      <c r="E36" s="10" t="s">
        <v>724</v>
      </c>
      <c r="F36" s="76" t="e">
        <f aca="false">INDEX(participants!K:K,MATCH(C36, participants!A:A,0),1)</f>
        <v>#VALUE!</v>
      </c>
      <c r="G36" s="10" t="n">
        <v>106144077</v>
      </c>
      <c r="H36" s="10" t="s">
        <v>5414</v>
      </c>
      <c r="I36" s="10"/>
      <c r="J36" s="10" t="s">
        <v>5183</v>
      </c>
      <c r="K36" s="13" t="s">
        <v>5424</v>
      </c>
      <c r="L36" s="13" t="s">
        <v>486</v>
      </c>
      <c r="M36" s="13" t="s">
        <v>486</v>
      </c>
      <c r="N36" s="13" t="s">
        <v>558</v>
      </c>
      <c r="O36" s="0" t="s">
        <v>487</v>
      </c>
      <c r="P36" s="0" t="s">
        <v>487</v>
      </c>
      <c r="Q36" s="0" t="s">
        <v>487</v>
      </c>
      <c r="R36" s="0" t="s">
        <v>487</v>
      </c>
      <c r="S36" s="13" t="s">
        <v>487</v>
      </c>
      <c r="T36" s="13" t="s">
        <v>487</v>
      </c>
      <c r="U36" s="13" t="s">
        <v>487</v>
      </c>
      <c r="V36" s="13" t="s">
        <v>487</v>
      </c>
      <c r="W36" s="13" t="s">
        <v>487</v>
      </c>
      <c r="X36" s="13" t="s">
        <v>487</v>
      </c>
      <c r="Y36" s="13" t="s">
        <v>487</v>
      </c>
      <c r="Z36" s="13" t="s">
        <v>487</v>
      </c>
      <c r="AA36" s="13"/>
      <c r="AB36" s="13" t="s">
        <v>487</v>
      </c>
      <c r="AC36" s="13" t="s">
        <v>487</v>
      </c>
      <c r="AD36" s="15" t="s">
        <v>558</v>
      </c>
      <c r="AE36" s="0" t="s">
        <v>5413</v>
      </c>
      <c r="AF36" s="0" t="s">
        <v>5413</v>
      </c>
    </row>
    <row r="37" customFormat="false" ht="15" hidden="false" customHeight="false" outlineLevel="0" collapsed="false">
      <c r="A37" s="0" t="e">
        <f aca="false">_xlfn.CONCAT("path_",_xlfn.textafter(C37,"subj"),"_",TEXT(B37,"mm\_dd\_yy"))</f>
        <v>#NAME?</v>
      </c>
      <c r="B37" s="31" t="n">
        <v>44032</v>
      </c>
      <c r="C37" s="75" t="e">
        <f aca="false">INDEX(#REF!,MATCH(D37, #REF!,0),1)</f>
        <v>#VALUE!</v>
      </c>
      <c r="D37" s="10" t="s">
        <v>724</v>
      </c>
      <c r="E37" s="10" t="s">
        <v>724</v>
      </c>
      <c r="F37" s="76" t="e">
        <f aca="false">INDEX(participants!K:K,MATCH(C37, participants!A:A,0),1)</f>
        <v>#VALUE!</v>
      </c>
      <c r="G37" s="10" t="n">
        <v>106144077</v>
      </c>
      <c r="H37" s="10" t="s">
        <v>5414</v>
      </c>
      <c r="I37" s="10"/>
      <c r="J37" s="10" t="s">
        <v>5183</v>
      </c>
      <c r="K37" s="13" t="s">
        <v>5424</v>
      </c>
      <c r="L37" s="13" t="s">
        <v>486</v>
      </c>
      <c r="M37" s="13" t="s">
        <v>486</v>
      </c>
      <c r="N37" s="13" t="s">
        <v>558</v>
      </c>
      <c r="O37" s="0" t="s">
        <v>487</v>
      </c>
      <c r="P37" s="0" t="s">
        <v>487</v>
      </c>
      <c r="Q37" s="0" t="s">
        <v>487</v>
      </c>
      <c r="R37" s="0" t="s">
        <v>487</v>
      </c>
      <c r="S37" s="13" t="s">
        <v>511</v>
      </c>
      <c r="T37" s="15" t="s">
        <v>5427</v>
      </c>
      <c r="U37" s="15" t="s">
        <v>5427</v>
      </c>
      <c r="V37" s="15" t="s">
        <v>5427</v>
      </c>
      <c r="W37" s="15" t="s">
        <v>5427</v>
      </c>
      <c r="X37" s="15" t="s">
        <v>5427</v>
      </c>
      <c r="Y37" s="15" t="s">
        <v>5427</v>
      </c>
      <c r="Z37" s="15" t="s">
        <v>5427</v>
      </c>
      <c r="AA37" s="15"/>
      <c r="AB37" s="15" t="s">
        <v>5427</v>
      </c>
      <c r="AC37" s="15" t="s">
        <v>5427</v>
      </c>
      <c r="AD37" s="15" t="s">
        <v>558</v>
      </c>
      <c r="AE37" s="0" t="s">
        <v>5413</v>
      </c>
      <c r="AF37" s="0" t="s">
        <v>5413</v>
      </c>
    </row>
    <row r="38" customFormat="false" ht="15" hidden="false" customHeight="false" outlineLevel="0" collapsed="false">
      <c r="A38" s="0" t="e">
        <f aca="false">_xlfn.CONCAT("path_",_xlfn.textafter(C38,"subj"),"_",TEXT(B38,"mm\_dd\_yy"))</f>
        <v>#NAME?</v>
      </c>
      <c r="B38" s="31" t="n">
        <v>43788</v>
      </c>
      <c r="C38" s="75" t="e">
        <f aca="false">INDEX(#REF!,MATCH(D38, #REF!,0),1)</f>
        <v>#VALUE!</v>
      </c>
      <c r="D38" s="10" t="s">
        <v>815</v>
      </c>
      <c r="E38" s="10" t="s">
        <v>815</v>
      </c>
      <c r="F38" s="76" t="e">
        <f aca="false">INDEX(participants!K:K,MATCH(C38, participants!A:A,0),1)</f>
        <v>#VALUE!</v>
      </c>
      <c r="G38" s="58" t="n">
        <v>201306279</v>
      </c>
      <c r="H38" s="10" t="s">
        <v>5414</v>
      </c>
      <c r="I38" s="10"/>
      <c r="J38" s="10" t="s">
        <v>5183</v>
      </c>
      <c r="K38" s="13" t="s">
        <v>5424</v>
      </c>
      <c r="L38" s="13" t="s">
        <v>486</v>
      </c>
      <c r="M38" s="13" t="s">
        <v>486</v>
      </c>
      <c r="N38" s="13" t="s">
        <v>5440</v>
      </c>
      <c r="O38" s="0" t="s">
        <v>511</v>
      </c>
      <c r="P38" s="10" t="s">
        <v>511</v>
      </c>
      <c r="Q38" s="10" t="s">
        <v>5441</v>
      </c>
      <c r="R38" s="10" t="s">
        <v>511</v>
      </c>
      <c r="S38" s="13" t="s">
        <v>511</v>
      </c>
      <c r="T38" s="15" t="s">
        <v>5427</v>
      </c>
      <c r="U38" s="13" t="s">
        <v>5427</v>
      </c>
      <c r="V38" s="13" t="s">
        <v>5412</v>
      </c>
      <c r="W38" s="13" t="s">
        <v>5427</v>
      </c>
      <c r="X38" s="13" t="s">
        <v>5427</v>
      </c>
      <c r="Y38" s="13" t="s">
        <v>5427</v>
      </c>
      <c r="Z38" s="13" t="s">
        <v>5427</v>
      </c>
      <c r="AA38" s="13"/>
      <c r="AB38" s="13" t="s">
        <v>5427</v>
      </c>
      <c r="AC38" s="13" t="s">
        <v>5427</v>
      </c>
      <c r="AD38" s="15" t="s">
        <v>558</v>
      </c>
      <c r="AE38" s="0" t="s">
        <v>5413</v>
      </c>
      <c r="AF38" s="0" t="s">
        <v>5413</v>
      </c>
    </row>
    <row r="39" customFormat="false" ht="15" hidden="false" customHeight="false" outlineLevel="0" collapsed="false">
      <c r="A39" s="0" t="e">
        <f aca="false">_xlfn.CONCAT("path_",_xlfn.textafter(C39,"subj"),"_",TEXT(B39,"mm\_dd\_yy"))</f>
        <v>#NAME?</v>
      </c>
      <c r="B39" s="31" t="n">
        <v>43795</v>
      </c>
      <c r="C39" s="75" t="e">
        <f aca="false">INDEX(#REF!,MATCH(D39, #REF!,0),1)</f>
        <v>#VALUE!</v>
      </c>
      <c r="D39" s="10" t="s">
        <v>667</v>
      </c>
      <c r="E39" s="10" t="s">
        <v>667</v>
      </c>
      <c r="F39" s="76" t="e">
        <f aca="false">INDEX(participants!K:K,MATCH(C39, participants!A:A,0),1)</f>
        <v>#VALUE!</v>
      </c>
      <c r="G39" s="58" t="n">
        <v>201307220</v>
      </c>
      <c r="H39" s="10" t="s">
        <v>5410</v>
      </c>
      <c r="I39" s="10"/>
      <c r="J39" s="10" t="s">
        <v>5170</v>
      </c>
      <c r="K39" s="13" t="s">
        <v>487</v>
      </c>
      <c r="L39" s="13" t="s">
        <v>486</v>
      </c>
      <c r="M39" s="13" t="s">
        <v>486</v>
      </c>
      <c r="N39" s="13" t="s">
        <v>511</v>
      </c>
      <c r="O39" s="0" t="s">
        <v>511</v>
      </c>
      <c r="P39" s="10" t="s">
        <v>511</v>
      </c>
      <c r="Q39" s="10" t="s">
        <v>487</v>
      </c>
      <c r="R39" s="10" t="s">
        <v>511</v>
      </c>
      <c r="S39" s="13" t="s">
        <v>558</v>
      </c>
      <c r="T39" s="86" t="n">
        <v>0.3</v>
      </c>
      <c r="U39" s="13" t="s">
        <v>5427</v>
      </c>
      <c r="V39" s="13" t="s">
        <v>5412</v>
      </c>
      <c r="W39" s="13" t="s">
        <v>5427</v>
      </c>
      <c r="X39" s="13" t="s">
        <v>5427</v>
      </c>
      <c r="Y39" s="13" t="s">
        <v>5427</v>
      </c>
      <c r="Z39" s="13" t="s">
        <v>5427</v>
      </c>
      <c r="AA39" s="13"/>
      <c r="AB39" s="13" t="s">
        <v>5427</v>
      </c>
      <c r="AC39" s="15" t="s">
        <v>5427</v>
      </c>
      <c r="AD39" s="15" t="s">
        <v>511</v>
      </c>
      <c r="AE39" s="0" t="s">
        <v>5413</v>
      </c>
      <c r="AF39" s="0" t="s">
        <v>5413</v>
      </c>
    </row>
    <row r="40" customFormat="false" ht="15" hidden="false" customHeight="false" outlineLevel="0" collapsed="false">
      <c r="A40" s="0" t="e">
        <f aca="false">_xlfn.CONCAT("path_",_xlfn.textafter(C40,"subj"),"_",TEXT(B40,"mm\_dd\_yy"))</f>
        <v>#NAME?</v>
      </c>
      <c r="B40" s="31" t="n">
        <v>43958</v>
      </c>
      <c r="C40" s="75" t="e">
        <f aca="false">INDEX(#REF!,MATCH(D40, #REF!,0),1)</f>
        <v>#VALUE!</v>
      </c>
      <c r="D40" s="10" t="s">
        <v>667</v>
      </c>
      <c r="E40" s="10" t="s">
        <v>667</v>
      </c>
      <c r="F40" s="76" t="e">
        <f aca="false">INDEX(participants!K:K,MATCH(C40, participants!A:A,0),1)</f>
        <v>#VALUE!</v>
      </c>
      <c r="G40" s="58" t="n">
        <v>201307220</v>
      </c>
      <c r="H40" s="10" t="s">
        <v>5410</v>
      </c>
      <c r="I40" s="10"/>
      <c r="J40" s="10" t="s">
        <v>5170</v>
      </c>
      <c r="K40" s="13" t="s">
        <v>487</v>
      </c>
      <c r="L40" s="13" t="s">
        <v>486</v>
      </c>
      <c r="M40" s="13" t="s">
        <v>486</v>
      </c>
      <c r="N40" s="87" t="s">
        <v>5442</v>
      </c>
      <c r="O40" s="0" t="s">
        <v>511</v>
      </c>
      <c r="P40" s="10" t="s">
        <v>511</v>
      </c>
      <c r="Q40" s="10" t="s">
        <v>487</v>
      </c>
      <c r="R40" s="10" t="s">
        <v>511</v>
      </c>
      <c r="S40" s="13" t="s">
        <v>558</v>
      </c>
      <c r="T40" s="15" t="s">
        <v>5443</v>
      </c>
      <c r="U40" s="15" t="s">
        <v>5427</v>
      </c>
      <c r="V40" s="15" t="s">
        <v>5412</v>
      </c>
      <c r="W40" s="15" t="s">
        <v>5427</v>
      </c>
      <c r="X40" s="15" t="s">
        <v>5427</v>
      </c>
      <c r="Y40" s="15" t="s">
        <v>5433</v>
      </c>
      <c r="Z40" s="15" t="s">
        <v>5427</v>
      </c>
      <c r="AA40" s="15"/>
      <c r="AB40" s="15" t="s">
        <v>5427</v>
      </c>
      <c r="AC40" s="15" t="s">
        <v>5427</v>
      </c>
      <c r="AD40" s="15" t="s">
        <v>511</v>
      </c>
      <c r="AE40" s="0" t="s">
        <v>5413</v>
      </c>
      <c r="AF40" s="0" t="s">
        <v>5413</v>
      </c>
    </row>
    <row r="41" customFormat="false" ht="15" hidden="false" customHeight="false" outlineLevel="0" collapsed="false">
      <c r="A41" s="0" t="e">
        <f aca="false">_xlfn.CONCAT("path_",_xlfn.textafter(C41,"subj"),"_",TEXT(B41,"mm\_dd\_yy"))</f>
        <v>#NAME?</v>
      </c>
      <c r="B41" s="31" t="n">
        <v>44714</v>
      </c>
      <c r="C41" s="75" t="e">
        <f aca="false">INDEX(#REF!,MATCH(D41, #REF!,0),1)</f>
        <v>#VALUE!</v>
      </c>
      <c r="D41" s="10" t="s">
        <v>1276</v>
      </c>
      <c r="E41" s="10" t="s">
        <v>1276</v>
      </c>
      <c r="F41" s="76" t="e">
        <f aca="false">INDEX(participants!K:K,MATCH(C41, participants!A:A,0),1)</f>
        <v>#VALUE!</v>
      </c>
      <c r="G41" s="59" t="n">
        <v>104623496</v>
      </c>
      <c r="H41" s="10" t="s">
        <v>5410</v>
      </c>
      <c r="I41" s="10"/>
      <c r="J41" s="10" t="s">
        <v>5176</v>
      </c>
      <c r="K41" s="13" t="s">
        <v>487</v>
      </c>
      <c r="L41" s="13" t="s">
        <v>486</v>
      </c>
      <c r="M41" s="13" t="s">
        <v>486</v>
      </c>
      <c r="N41" s="13" t="s">
        <v>558</v>
      </c>
      <c r="O41" s="0" t="s">
        <v>487</v>
      </c>
      <c r="P41" s="0" t="s">
        <v>487</v>
      </c>
      <c r="Q41" s="0" t="s">
        <v>487</v>
      </c>
      <c r="R41" s="0" t="s">
        <v>487</v>
      </c>
      <c r="S41" s="13" t="s">
        <v>558</v>
      </c>
      <c r="T41" s="15" t="s">
        <v>5427</v>
      </c>
      <c r="U41" s="15" t="s">
        <v>5427</v>
      </c>
      <c r="V41" s="15" t="s">
        <v>5412</v>
      </c>
      <c r="W41" s="15" t="s">
        <v>5427</v>
      </c>
      <c r="X41" s="15" t="s">
        <v>5427</v>
      </c>
      <c r="Y41" s="15" t="s">
        <v>5427</v>
      </c>
      <c r="Z41" s="15" t="s">
        <v>5427</v>
      </c>
      <c r="AA41" s="15"/>
      <c r="AB41" s="15" t="s">
        <v>5427</v>
      </c>
      <c r="AC41" s="15" t="s">
        <v>5427</v>
      </c>
      <c r="AD41" s="15" t="s">
        <v>558</v>
      </c>
      <c r="AE41" s="0" t="s">
        <v>5413</v>
      </c>
      <c r="AF41" s="0" t="s">
        <v>5413</v>
      </c>
    </row>
    <row r="42" customFormat="false" ht="15" hidden="false" customHeight="false" outlineLevel="0" collapsed="false">
      <c r="A42" s="0" t="e">
        <f aca="false">_xlfn.CONCAT("path_",_xlfn.textafter(C42,"subj"),"_",TEXT(B42,"mm\_dd\_yy"))</f>
        <v>#NAME?</v>
      </c>
      <c r="B42" s="31" t="n">
        <v>43791</v>
      </c>
      <c r="C42" s="75" t="e">
        <f aca="false">INDEX(#REF!,MATCH(D42, #REF!,0),1)</f>
        <v>#VALUE!</v>
      </c>
      <c r="D42" s="10" t="s">
        <v>891</v>
      </c>
      <c r="E42" s="10" t="s">
        <v>891</v>
      </c>
      <c r="F42" s="76" t="e">
        <f aca="false">INDEX(participants!K:K,MATCH(C42, participants!A:A,0),1)</f>
        <v>#VALUE!</v>
      </c>
      <c r="G42" s="58" t="n">
        <v>106655214</v>
      </c>
      <c r="H42" s="10" t="s">
        <v>5414</v>
      </c>
      <c r="I42" s="10"/>
      <c r="J42" s="10" t="s">
        <v>5170</v>
      </c>
      <c r="K42" s="13" t="s">
        <v>5424</v>
      </c>
      <c r="L42" s="13" t="s">
        <v>486</v>
      </c>
      <c r="M42" s="13" t="s">
        <v>486</v>
      </c>
      <c r="N42" s="13" t="s">
        <v>558</v>
      </c>
      <c r="O42" s="0" t="s">
        <v>5427</v>
      </c>
      <c r="P42" s="0" t="s">
        <v>5427</v>
      </c>
      <c r="Q42" s="0" t="s">
        <v>5427</v>
      </c>
      <c r="R42" s="0" t="s">
        <v>5427</v>
      </c>
      <c r="S42" s="13" t="s">
        <v>487</v>
      </c>
      <c r="T42" s="13" t="s">
        <v>487</v>
      </c>
      <c r="U42" s="13" t="s">
        <v>487</v>
      </c>
      <c r="V42" s="13" t="s">
        <v>487</v>
      </c>
      <c r="W42" s="13" t="s">
        <v>487</v>
      </c>
      <c r="X42" s="13" t="s">
        <v>487</v>
      </c>
      <c r="Y42" s="13" t="s">
        <v>487</v>
      </c>
      <c r="Z42" s="13" t="s">
        <v>487</v>
      </c>
      <c r="AA42" s="13"/>
      <c r="AB42" s="13" t="s">
        <v>487</v>
      </c>
      <c r="AC42" s="15" t="s">
        <v>5427</v>
      </c>
      <c r="AD42" s="15" t="s">
        <v>558</v>
      </c>
      <c r="AE42" s="0" t="s">
        <v>5413</v>
      </c>
      <c r="AF42" s="0" t="s">
        <v>5413</v>
      </c>
    </row>
    <row r="43" customFormat="false" ht="15" hidden="false" customHeight="false" outlineLevel="0" collapsed="false">
      <c r="A43" s="0" t="e">
        <f aca="false">_xlfn.CONCAT("path_",_xlfn.textafter(C43,"subj"),"_",TEXT(B43,"mm\_dd\_yy"))</f>
        <v>#NAME?</v>
      </c>
      <c r="B43" s="31" t="n">
        <v>43467</v>
      </c>
      <c r="C43" s="75" t="e">
        <f aca="false">INDEX(#REF!,MATCH(D43, #REF!,0),1)</f>
        <v>#VALUE!</v>
      </c>
      <c r="D43" s="10" t="s">
        <v>891</v>
      </c>
      <c r="E43" s="10" t="s">
        <v>891</v>
      </c>
      <c r="F43" s="76" t="e">
        <f aca="false">INDEX(participants!K:K,MATCH(C43, participants!A:A,0),1)</f>
        <v>#VALUE!</v>
      </c>
      <c r="G43" s="58" t="n">
        <v>106655214</v>
      </c>
      <c r="H43" s="10" t="s">
        <v>5410</v>
      </c>
      <c r="I43" s="10"/>
      <c r="J43" s="10" t="s">
        <v>5178</v>
      </c>
      <c r="K43" s="13" t="s">
        <v>487</v>
      </c>
      <c r="L43" s="13" t="s">
        <v>486</v>
      </c>
      <c r="M43" s="13" t="s">
        <v>486</v>
      </c>
      <c r="N43" s="13" t="s">
        <v>558</v>
      </c>
      <c r="O43" s="0" t="s">
        <v>5427</v>
      </c>
      <c r="P43" s="10" t="s">
        <v>487</v>
      </c>
      <c r="Q43" s="10" t="s">
        <v>5427</v>
      </c>
      <c r="R43" s="10" t="s">
        <v>5427</v>
      </c>
      <c r="S43" s="13" t="s">
        <v>5427</v>
      </c>
      <c r="T43" s="13" t="s">
        <v>5427</v>
      </c>
      <c r="U43" s="13" t="s">
        <v>5427</v>
      </c>
      <c r="V43" s="13" t="s">
        <v>5427</v>
      </c>
      <c r="W43" s="13" t="s">
        <v>5427</v>
      </c>
      <c r="X43" s="13" t="s">
        <v>5427</v>
      </c>
      <c r="Y43" s="13" t="s">
        <v>5427</v>
      </c>
      <c r="Z43" s="13" t="s">
        <v>5427</v>
      </c>
      <c r="AA43" s="13"/>
      <c r="AB43" s="13" t="s">
        <v>5427</v>
      </c>
      <c r="AC43" s="13" t="s">
        <v>5427</v>
      </c>
      <c r="AD43" s="15" t="s">
        <v>558</v>
      </c>
      <c r="AE43" s="0" t="s">
        <v>5413</v>
      </c>
      <c r="AF43" s="0" t="s">
        <v>5413</v>
      </c>
    </row>
    <row r="44" customFormat="false" ht="15" hidden="false" customHeight="false" outlineLevel="0" collapsed="false">
      <c r="A44" s="0" t="e">
        <f aca="false">_xlfn.CONCAT("path_",_xlfn.textafter(C44,"subj"),"_",TEXT(B44,"mm\_dd\_yy"))</f>
        <v>#NAME?</v>
      </c>
      <c r="B44" s="31" t="n">
        <v>43850</v>
      </c>
      <c r="C44" s="75" t="e">
        <f aca="false">INDEX(#REF!,MATCH(D44, #REF!,0),1)</f>
        <v>#VALUE!</v>
      </c>
      <c r="D44" s="10" t="s">
        <v>899</v>
      </c>
      <c r="E44" s="10" t="s">
        <v>865</v>
      </c>
      <c r="F44" s="76" t="e">
        <f aca="false">INDEX(participants!K:K,MATCH(C44, participants!A:A,0),1)</f>
        <v>#VALUE!</v>
      </c>
      <c r="G44" s="58" t="n">
        <v>201341408</v>
      </c>
      <c r="H44" s="10" t="s">
        <v>5410</v>
      </c>
      <c r="I44" s="10"/>
      <c r="J44" s="10" t="s">
        <v>5180</v>
      </c>
      <c r="K44" s="13" t="s">
        <v>487</v>
      </c>
      <c r="L44" s="13" t="s">
        <v>486</v>
      </c>
      <c r="M44" s="13" t="s">
        <v>486</v>
      </c>
      <c r="N44" s="13" t="s">
        <v>5444</v>
      </c>
      <c r="O44" s="0" t="s">
        <v>487</v>
      </c>
      <c r="P44" s="10" t="s">
        <v>487</v>
      </c>
      <c r="Q44" s="10" t="s">
        <v>487</v>
      </c>
      <c r="R44" s="10" t="s">
        <v>487</v>
      </c>
      <c r="S44" s="88" t="s">
        <v>511</v>
      </c>
      <c r="T44" s="15" t="s">
        <v>5427</v>
      </c>
      <c r="U44" s="15" t="s">
        <v>5427</v>
      </c>
      <c r="V44" s="15" t="s">
        <v>5425</v>
      </c>
      <c r="W44" s="15" t="s">
        <v>5427</v>
      </c>
      <c r="X44" s="15" t="s">
        <v>5425</v>
      </c>
      <c r="Y44" s="15" t="s">
        <v>5427</v>
      </c>
      <c r="Z44" s="15" t="s">
        <v>5427</v>
      </c>
      <c r="AA44" s="15"/>
      <c r="AB44" s="15" t="s">
        <v>5427</v>
      </c>
      <c r="AC44" s="15" t="s">
        <v>558</v>
      </c>
      <c r="AD44" s="15" t="s">
        <v>3409</v>
      </c>
      <c r="AE44" s="0" t="s">
        <v>5413</v>
      </c>
      <c r="AF44" s="0" t="s">
        <v>5434</v>
      </c>
    </row>
    <row r="45" customFormat="false" ht="15" hidden="false" customHeight="false" outlineLevel="0" collapsed="false">
      <c r="A45" s="0" t="e">
        <f aca="false">_xlfn.CONCAT("path_",_xlfn.textafter(C45,"subj"),"_",TEXT(B45,"mm\_dd\_yy"))</f>
        <v>#NAME?</v>
      </c>
      <c r="B45" s="31" t="n">
        <v>43882</v>
      </c>
      <c r="C45" s="75" t="e">
        <f aca="false">INDEX(#REF!,MATCH(D45, #REF!,0),1)</f>
        <v>#VALUE!</v>
      </c>
      <c r="D45" s="10" t="s">
        <v>899</v>
      </c>
      <c r="E45" s="10" t="s">
        <v>865</v>
      </c>
      <c r="F45" s="76" t="e">
        <f aca="false">INDEX(participants!K:K,MATCH(C45, participants!A:A,0),1)</f>
        <v>#VALUE!</v>
      </c>
      <c r="G45" s="58" t="n">
        <v>201341408</v>
      </c>
      <c r="H45" s="10" t="s">
        <v>5414</v>
      </c>
      <c r="I45" s="10"/>
      <c r="J45" s="10" t="s">
        <v>5235</v>
      </c>
      <c r="K45" s="13" t="s">
        <v>5424</v>
      </c>
      <c r="L45" s="13" t="s">
        <v>486</v>
      </c>
      <c r="M45" s="13" t="s">
        <v>486</v>
      </c>
      <c r="N45" s="13" t="s">
        <v>558</v>
      </c>
      <c r="O45" s="0" t="s">
        <v>487</v>
      </c>
      <c r="P45" s="0" t="s">
        <v>487</v>
      </c>
      <c r="Q45" s="0" t="s">
        <v>487</v>
      </c>
      <c r="R45" s="0" t="s">
        <v>487</v>
      </c>
      <c r="S45" s="13" t="s">
        <v>487</v>
      </c>
      <c r="T45" s="13" t="s">
        <v>487</v>
      </c>
      <c r="U45" s="13" t="s">
        <v>487</v>
      </c>
      <c r="V45" s="13" t="s">
        <v>487</v>
      </c>
      <c r="W45" s="13" t="s">
        <v>487</v>
      </c>
      <c r="X45" s="13" t="s">
        <v>487</v>
      </c>
      <c r="Y45" s="13" t="s">
        <v>487</v>
      </c>
      <c r="Z45" s="13" t="s">
        <v>487</v>
      </c>
      <c r="AA45" s="13"/>
      <c r="AB45" s="13" t="s">
        <v>487</v>
      </c>
      <c r="AC45" s="13" t="s">
        <v>487</v>
      </c>
      <c r="AD45" s="15" t="s">
        <v>558</v>
      </c>
      <c r="AE45" s="0" t="s">
        <v>5413</v>
      </c>
      <c r="AF45" s="0" t="s">
        <v>5413</v>
      </c>
    </row>
    <row r="46" customFormat="false" ht="15" hidden="false" customHeight="false" outlineLevel="0" collapsed="false">
      <c r="A46" s="0" t="e">
        <f aca="false">_xlfn.CONCAT("path_",_xlfn.textafter(C46,"subj"),"_",TEXT(B46,"mm\_dd\_yy"))</f>
        <v>#NAME?</v>
      </c>
      <c r="B46" s="31" t="n">
        <v>44000</v>
      </c>
      <c r="C46" s="75" t="e">
        <f aca="false">INDEX(#REF!,MATCH(D46, #REF!,0),1)</f>
        <v>#VALUE!</v>
      </c>
      <c r="D46" s="10" t="s">
        <v>1091</v>
      </c>
      <c r="E46" s="10" t="s">
        <v>1091</v>
      </c>
      <c r="F46" s="76" t="e">
        <f aca="false">INDEX(participants!K:K,MATCH(C46, participants!A:A,0),1)</f>
        <v>#VALUE!</v>
      </c>
      <c r="G46" s="89" t="n">
        <v>201426492</v>
      </c>
      <c r="H46" s="10" t="s">
        <v>5414</v>
      </c>
      <c r="I46" s="10"/>
      <c r="J46" s="10" t="s">
        <v>5176</v>
      </c>
      <c r="K46" s="13" t="s">
        <v>5428</v>
      </c>
      <c r="L46" s="13" t="s">
        <v>486</v>
      </c>
      <c r="M46" s="13" t="s">
        <v>486</v>
      </c>
      <c r="N46" s="13" t="s">
        <v>5445</v>
      </c>
      <c r="O46" s="0" t="s">
        <v>487</v>
      </c>
      <c r="P46" s="0" t="s">
        <v>511</v>
      </c>
      <c r="Q46" s="0" t="s">
        <v>5446</v>
      </c>
      <c r="R46" s="0" t="s">
        <v>487</v>
      </c>
      <c r="S46" s="13" t="s">
        <v>558</v>
      </c>
      <c r="T46" s="90" t="n">
        <v>0.3</v>
      </c>
      <c r="U46" s="15" t="s">
        <v>5427</v>
      </c>
      <c r="V46" s="15" t="s">
        <v>5412</v>
      </c>
      <c r="W46" s="15" t="s">
        <v>5427</v>
      </c>
      <c r="X46" s="15" t="s">
        <v>5427</v>
      </c>
      <c r="Y46" s="15" t="s">
        <v>5427</v>
      </c>
      <c r="Z46" s="15" t="s">
        <v>5427</v>
      </c>
      <c r="AA46" s="15"/>
      <c r="AB46" s="15" t="s">
        <v>5427</v>
      </c>
      <c r="AC46" s="15" t="s">
        <v>5427</v>
      </c>
      <c r="AD46" s="15" t="s">
        <v>558</v>
      </c>
      <c r="AE46" s="0" t="s">
        <v>5413</v>
      </c>
      <c r="AF46" s="0" t="s">
        <v>5413</v>
      </c>
    </row>
    <row r="47" customFormat="false" ht="15" hidden="false" customHeight="false" outlineLevel="0" collapsed="false">
      <c r="A47" s="0" t="e">
        <f aca="false">_xlfn.CONCAT("path_",_xlfn.textafter(C47,"subj"),"_",TEXT(B47,"mm\_dd\_yy"))</f>
        <v>#NAME?</v>
      </c>
      <c r="B47" s="31" t="n">
        <v>44327</v>
      </c>
      <c r="C47" s="75" t="e">
        <f aca="false">INDEX(#REF!,MATCH(D47, #REF!,0),1)</f>
        <v>#VALUE!</v>
      </c>
      <c r="D47" s="10" t="s">
        <v>1091</v>
      </c>
      <c r="E47" s="10" t="s">
        <v>1091</v>
      </c>
      <c r="F47" s="76" t="e">
        <f aca="false">INDEX(participants!K:K,MATCH(C47, participants!A:A,0),1)</f>
        <v>#VALUE!</v>
      </c>
      <c r="G47" s="89" t="n">
        <v>201426492</v>
      </c>
      <c r="H47" s="10" t="s">
        <v>5410</v>
      </c>
      <c r="J47" s="10" t="s">
        <v>5176</v>
      </c>
      <c r="K47" s="13" t="s">
        <v>487</v>
      </c>
      <c r="L47" s="13" t="s">
        <v>486</v>
      </c>
      <c r="M47" s="13" t="s">
        <v>486</v>
      </c>
      <c r="N47" s="13" t="s">
        <v>558</v>
      </c>
      <c r="O47" s="0" t="s">
        <v>487</v>
      </c>
      <c r="P47" s="0" t="s">
        <v>487</v>
      </c>
      <c r="Q47" s="0" t="s">
        <v>487</v>
      </c>
      <c r="R47" s="0" t="s">
        <v>487</v>
      </c>
      <c r="S47" s="15" t="s">
        <v>487</v>
      </c>
      <c r="T47" s="15" t="s">
        <v>487</v>
      </c>
      <c r="U47" s="15" t="s">
        <v>487</v>
      </c>
      <c r="V47" s="15" t="s">
        <v>5412</v>
      </c>
      <c r="W47" s="15" t="s">
        <v>5427</v>
      </c>
      <c r="X47" s="15" t="s">
        <v>5427</v>
      </c>
      <c r="Y47" s="15" t="s">
        <v>5427</v>
      </c>
      <c r="Z47" s="15" t="s">
        <v>5427</v>
      </c>
      <c r="AA47" s="15"/>
      <c r="AB47" s="15" t="s">
        <v>5427</v>
      </c>
      <c r="AC47" s="15" t="s">
        <v>5427</v>
      </c>
      <c r="AD47" s="15" t="s">
        <v>558</v>
      </c>
      <c r="AE47" s="0" t="s">
        <v>5413</v>
      </c>
      <c r="AF47" s="0" t="s">
        <v>5413</v>
      </c>
    </row>
    <row r="48" customFormat="false" ht="15" hidden="false" customHeight="false" outlineLevel="0" collapsed="false">
      <c r="A48" s="0" t="e">
        <f aca="false">_xlfn.CONCAT("path_",_xlfn.textafter(C48,"subj"),"_",TEXT(B48,"mm\_dd\_yy"))</f>
        <v>#NAME?</v>
      </c>
      <c r="B48" s="31" t="n">
        <v>44061</v>
      </c>
      <c r="C48" s="75" t="e">
        <f aca="false">INDEX(#REF!,MATCH(D48, #REF!,0),1)</f>
        <v>#VALUE!</v>
      </c>
      <c r="D48" s="10" t="s">
        <v>1214</v>
      </c>
      <c r="E48" s="10" t="s">
        <v>1214</v>
      </c>
      <c r="F48" s="76" t="e">
        <f aca="false">INDEX(participants!K:K,MATCH(C48, participants!A:A,0),1)</f>
        <v>#VALUE!</v>
      </c>
      <c r="G48" s="59" t="n">
        <v>105386171</v>
      </c>
      <c r="H48" s="10" t="s">
        <v>5410</v>
      </c>
      <c r="I48" s="10"/>
      <c r="J48" s="10" t="s">
        <v>5183</v>
      </c>
      <c r="K48" s="13" t="s">
        <v>487</v>
      </c>
      <c r="L48" s="13" t="s">
        <v>486</v>
      </c>
      <c r="M48" s="13" t="s">
        <v>486</v>
      </c>
      <c r="N48" s="87" t="s">
        <v>5447</v>
      </c>
      <c r="O48" s="0" t="s">
        <v>487</v>
      </c>
      <c r="P48" s="0" t="s">
        <v>487</v>
      </c>
      <c r="Q48" s="0" t="s">
        <v>487</v>
      </c>
      <c r="R48" s="0" t="s">
        <v>487</v>
      </c>
      <c r="S48" s="91" t="s">
        <v>558</v>
      </c>
      <c r="T48" s="90" t="n">
        <v>0.15</v>
      </c>
      <c r="U48" s="15" t="s">
        <v>5427</v>
      </c>
      <c r="V48" s="15" t="s">
        <v>5412</v>
      </c>
      <c r="W48" s="15" t="s">
        <v>5427</v>
      </c>
      <c r="X48" s="15" t="s">
        <v>5427</v>
      </c>
      <c r="Y48" s="15" t="s">
        <v>5448</v>
      </c>
      <c r="Z48" s="15" t="s">
        <v>5427</v>
      </c>
      <c r="AA48" s="15"/>
      <c r="AB48" s="15" t="s">
        <v>5427</v>
      </c>
      <c r="AC48" s="15" t="s">
        <v>5427</v>
      </c>
      <c r="AD48" s="15" t="s">
        <v>558</v>
      </c>
      <c r="AE48" s="0" t="s">
        <v>5413</v>
      </c>
      <c r="AF48" s="0" t="s">
        <v>5413</v>
      </c>
    </row>
    <row r="49" customFormat="false" ht="15" hidden="false" customHeight="false" outlineLevel="0" collapsed="false">
      <c r="A49" s="0" t="e">
        <f aca="false">_xlfn.CONCAT("path_",_xlfn.textafter(C49,"subj"),"_",TEXT(B49,"mm\_dd\_yy"))</f>
        <v>#NAME?</v>
      </c>
      <c r="B49" s="31" t="n">
        <v>44511</v>
      </c>
      <c r="C49" s="75" t="e">
        <f aca="false">INDEX(#REF!,MATCH(D49, #REF!,0),1)</f>
        <v>#VALUE!</v>
      </c>
      <c r="D49" s="10" t="s">
        <v>1214</v>
      </c>
      <c r="E49" s="10" t="s">
        <v>1214</v>
      </c>
      <c r="F49" s="76" t="e">
        <f aca="false">INDEX(participants!K:K,MATCH(C49, participants!A:A,0),1)</f>
        <v>#VALUE!</v>
      </c>
      <c r="G49" s="59" t="n">
        <v>105386171</v>
      </c>
      <c r="H49" s="10" t="s">
        <v>5414</v>
      </c>
      <c r="I49" s="10"/>
      <c r="J49" s="10" t="s">
        <v>5183</v>
      </c>
      <c r="K49" s="13" t="s">
        <v>5424</v>
      </c>
      <c r="L49" s="13" t="s">
        <v>486</v>
      </c>
      <c r="M49" s="13" t="s">
        <v>486</v>
      </c>
      <c r="N49" s="13" t="s">
        <v>558</v>
      </c>
      <c r="O49" s="0" t="s">
        <v>487</v>
      </c>
      <c r="P49" s="0" t="s">
        <v>487</v>
      </c>
      <c r="Q49" s="0" t="s">
        <v>487</v>
      </c>
      <c r="R49" s="0" t="s">
        <v>487</v>
      </c>
      <c r="S49" s="13" t="s">
        <v>511</v>
      </c>
      <c r="T49" s="15" t="s">
        <v>5427</v>
      </c>
      <c r="U49" s="15" t="s">
        <v>5427</v>
      </c>
      <c r="V49" s="15" t="s">
        <v>5427</v>
      </c>
      <c r="W49" s="15" t="s">
        <v>5427</v>
      </c>
      <c r="X49" s="15" t="s">
        <v>5427</v>
      </c>
      <c r="Y49" s="15" t="s">
        <v>5427</v>
      </c>
      <c r="Z49" s="15" t="s">
        <v>5427</v>
      </c>
      <c r="AA49" s="15"/>
      <c r="AB49" s="15" t="s">
        <v>5427</v>
      </c>
      <c r="AC49" s="15" t="s">
        <v>5427</v>
      </c>
      <c r="AD49" s="15" t="s">
        <v>558</v>
      </c>
      <c r="AE49" s="0" t="s">
        <v>5413</v>
      </c>
      <c r="AF49" s="0" t="s">
        <v>5413</v>
      </c>
    </row>
    <row r="50" customFormat="false" ht="15" hidden="false" customHeight="false" outlineLevel="0" collapsed="false">
      <c r="A50" s="0" t="e">
        <f aca="false">_xlfn.CONCAT("path_",_xlfn.textafter(C50,"subj"),"_",TEXT(B50,"mm\_dd\_yy"))</f>
        <v>#NAME?</v>
      </c>
      <c r="B50" s="31" t="n">
        <v>44140</v>
      </c>
      <c r="C50" s="75" t="e">
        <f aca="false">INDEX(#REF!,MATCH(D50, #REF!,0),1)</f>
        <v>#VALUE!</v>
      </c>
      <c r="D50" s="10" t="s">
        <v>1219</v>
      </c>
      <c r="E50" s="10" t="s">
        <v>1219</v>
      </c>
      <c r="F50" s="76" t="e">
        <f aca="false">INDEX(participants!K:K,MATCH(C50, participants!A:A,0),1)</f>
        <v>#VALUE!</v>
      </c>
      <c r="G50" s="59" t="n">
        <v>201512062</v>
      </c>
      <c r="H50" s="10" t="s">
        <v>5410</v>
      </c>
      <c r="I50" s="10"/>
      <c r="J50" s="10" t="s">
        <v>5183</v>
      </c>
      <c r="K50" s="13" t="s">
        <v>487</v>
      </c>
      <c r="L50" s="13" t="s">
        <v>486</v>
      </c>
      <c r="M50" s="13" t="s">
        <v>486</v>
      </c>
      <c r="N50" s="87" t="s">
        <v>5449</v>
      </c>
      <c r="O50" s="0" t="s">
        <v>487</v>
      </c>
      <c r="P50" s="0" t="s">
        <v>487</v>
      </c>
      <c r="Q50" s="0" t="s">
        <v>487</v>
      </c>
      <c r="R50" s="0" t="s">
        <v>487</v>
      </c>
      <c r="S50" s="13" t="s">
        <v>558</v>
      </c>
      <c r="T50" s="15" t="s">
        <v>5427</v>
      </c>
      <c r="U50" s="15" t="s">
        <v>5412</v>
      </c>
      <c r="V50" s="15" t="s">
        <v>5425</v>
      </c>
      <c r="W50" s="15" t="s">
        <v>5427</v>
      </c>
      <c r="X50" s="15" t="s">
        <v>5412</v>
      </c>
      <c r="Y50" s="15" t="s">
        <v>5427</v>
      </c>
      <c r="Z50" s="15" t="s">
        <v>5427</v>
      </c>
      <c r="AA50" s="15"/>
      <c r="AB50" s="15" t="s">
        <v>5427</v>
      </c>
      <c r="AC50" s="15" t="s">
        <v>5427</v>
      </c>
      <c r="AD50" s="15" t="s">
        <v>558</v>
      </c>
      <c r="AE50" s="0" t="s">
        <v>5413</v>
      </c>
      <c r="AF50" s="0" t="s">
        <v>5434</v>
      </c>
    </row>
    <row r="51" customFormat="false" ht="15" hidden="false" customHeight="false" outlineLevel="0" collapsed="false">
      <c r="A51" s="0" t="e">
        <f aca="false">_xlfn.CONCAT("path_",_xlfn.textafter(C51,"subj"),"_",TEXT(B51,"mm\_dd\_yy"))</f>
        <v>#NAME?</v>
      </c>
      <c r="B51" s="31" t="n">
        <v>44244</v>
      </c>
      <c r="C51" s="75" t="e">
        <f aca="false">INDEX(#REF!,MATCH(D51, #REF!,0),1)</f>
        <v>#VALUE!</v>
      </c>
      <c r="D51" s="10" t="s">
        <v>1219</v>
      </c>
      <c r="E51" s="10" t="s">
        <v>1219</v>
      </c>
      <c r="F51" s="76" t="e">
        <f aca="false">INDEX(participants!K:K,MATCH(C51, participants!A:A,0),1)</f>
        <v>#VALUE!</v>
      </c>
      <c r="G51" s="59" t="n">
        <v>201512062</v>
      </c>
      <c r="H51" s="10" t="s">
        <v>5410</v>
      </c>
      <c r="I51" s="10"/>
      <c r="J51" s="10" t="s">
        <v>5183</v>
      </c>
      <c r="K51" s="13" t="s">
        <v>487</v>
      </c>
      <c r="L51" s="13" t="s">
        <v>486</v>
      </c>
      <c r="M51" s="13" t="s">
        <v>486</v>
      </c>
      <c r="N51" s="13" t="s">
        <v>558</v>
      </c>
      <c r="O51" s="0" t="s">
        <v>487</v>
      </c>
      <c r="P51" s="10" t="s">
        <v>487</v>
      </c>
      <c r="Q51" s="10" t="s">
        <v>5446</v>
      </c>
      <c r="R51" s="10" t="s">
        <v>487</v>
      </c>
      <c r="S51" s="13" t="s">
        <v>487</v>
      </c>
      <c r="T51" s="13" t="s">
        <v>487</v>
      </c>
      <c r="U51" s="13" t="s">
        <v>487</v>
      </c>
      <c r="V51" s="13" t="s">
        <v>487</v>
      </c>
      <c r="W51" s="13" t="s">
        <v>487</v>
      </c>
      <c r="X51" s="13" t="s">
        <v>487</v>
      </c>
      <c r="Y51" s="13" t="s">
        <v>487</v>
      </c>
      <c r="Z51" s="13" t="s">
        <v>487</v>
      </c>
      <c r="AA51" s="13"/>
      <c r="AB51" s="13" t="s">
        <v>487</v>
      </c>
      <c r="AC51" s="15" t="s">
        <v>5427</v>
      </c>
      <c r="AD51" s="15" t="s">
        <v>558</v>
      </c>
      <c r="AE51" s="0" t="s">
        <v>5413</v>
      </c>
      <c r="AF51" s="0" t="s">
        <v>5413</v>
      </c>
    </row>
    <row r="52" customFormat="false" ht="15" hidden="false" customHeight="false" outlineLevel="0" collapsed="false">
      <c r="A52" s="0" t="e">
        <f aca="false">_xlfn.CONCAT("path_",_xlfn.textafter(C52,"subj"),"_",TEXT(B52,"mm\_dd\_yy"))</f>
        <v>#NAME?</v>
      </c>
      <c r="B52" s="31" t="n">
        <v>44159</v>
      </c>
      <c r="C52" s="75" t="e">
        <f aca="false">INDEX(#REF!,MATCH(D52, #REF!,0),1)</f>
        <v>#VALUE!</v>
      </c>
      <c r="D52" s="10" t="s">
        <v>1228</v>
      </c>
      <c r="E52" s="10" t="s">
        <v>1228</v>
      </c>
      <c r="F52" s="76" t="e">
        <f aca="false">INDEX(participants!K:K,MATCH(C52, participants!A:A,0),1)</f>
        <v>#VALUE!</v>
      </c>
      <c r="G52" s="10" t="n">
        <v>201527647</v>
      </c>
      <c r="H52" s="10" t="s">
        <v>5410</v>
      </c>
      <c r="I52" s="10"/>
      <c r="J52" s="10" t="s">
        <v>5170</v>
      </c>
      <c r="K52" s="13" t="s">
        <v>487</v>
      </c>
      <c r="L52" s="13" t="s">
        <v>486</v>
      </c>
      <c r="M52" s="13" t="s">
        <v>486</v>
      </c>
      <c r="N52" s="13" t="s">
        <v>558</v>
      </c>
      <c r="O52" s="0" t="s">
        <v>511</v>
      </c>
      <c r="P52" s="10" t="s">
        <v>511</v>
      </c>
      <c r="Q52" s="10" t="s">
        <v>5450</v>
      </c>
      <c r="R52" s="10" t="s">
        <v>511</v>
      </c>
      <c r="S52" s="13" t="s">
        <v>558</v>
      </c>
      <c r="T52" s="90" t="n">
        <v>0.55</v>
      </c>
      <c r="U52" s="15" t="s">
        <v>5412</v>
      </c>
      <c r="V52" s="15" t="s">
        <v>5412</v>
      </c>
      <c r="W52" s="15" t="s">
        <v>5427</v>
      </c>
      <c r="X52" s="15" t="s">
        <v>5425</v>
      </c>
      <c r="Y52" s="15" t="s">
        <v>5448</v>
      </c>
      <c r="Z52" s="15" t="s">
        <v>5427</v>
      </c>
      <c r="AA52" s="15"/>
      <c r="AB52" s="15" t="s">
        <v>5427</v>
      </c>
      <c r="AC52" s="15" t="s">
        <v>5427</v>
      </c>
      <c r="AD52" s="15" t="s">
        <v>511</v>
      </c>
    </row>
    <row r="53" customFormat="false" ht="15" hidden="false" customHeight="false" outlineLevel="0" collapsed="false">
      <c r="A53" s="0" t="e">
        <f aca="false">_xlfn.CONCAT("path_",_xlfn.textafter(C53,"subj"),"_",TEXT(B53,"mm\_dd\_yy"))</f>
        <v>#NAME?</v>
      </c>
      <c r="B53" s="31" t="n">
        <v>44193</v>
      </c>
      <c r="C53" s="75" t="e">
        <f aca="false">INDEX(#REF!,MATCH(D53, #REF!,0),1)</f>
        <v>#VALUE!</v>
      </c>
      <c r="D53" s="10" t="s">
        <v>5451</v>
      </c>
      <c r="E53" s="10" t="s">
        <v>1121</v>
      </c>
      <c r="F53" s="76" t="e">
        <f aca="false">INDEX(participants!K:K,MATCH(C53, participants!A:A,0),1)</f>
        <v>#VALUE!</v>
      </c>
      <c r="G53" s="10" t="n">
        <v>201547007</v>
      </c>
      <c r="H53" s="10" t="s">
        <v>5414</v>
      </c>
      <c r="I53" s="10"/>
      <c r="J53" s="10" t="s">
        <v>5174</v>
      </c>
      <c r="K53" s="13" t="s">
        <v>5428</v>
      </c>
      <c r="L53" s="13" t="s">
        <v>486</v>
      </c>
      <c r="M53" s="13" t="s">
        <v>486</v>
      </c>
      <c r="N53" s="87" t="s">
        <v>5452</v>
      </c>
      <c r="O53" s="0" t="s">
        <v>487</v>
      </c>
      <c r="P53" s="10" t="s">
        <v>487</v>
      </c>
      <c r="Q53" s="10" t="s">
        <v>487</v>
      </c>
      <c r="R53" s="10" t="s">
        <v>487</v>
      </c>
      <c r="S53" s="13" t="s">
        <v>511</v>
      </c>
      <c r="T53" s="15" t="s">
        <v>5427</v>
      </c>
      <c r="U53" s="15" t="s">
        <v>5427</v>
      </c>
      <c r="V53" s="15" t="s">
        <v>5425</v>
      </c>
      <c r="W53" s="15" t="s">
        <v>5427</v>
      </c>
      <c r="X53" s="15" t="s">
        <v>5427</v>
      </c>
      <c r="Y53" s="15" t="s">
        <v>5427</v>
      </c>
      <c r="Z53" s="15" t="s">
        <v>5427</v>
      </c>
      <c r="AA53" s="15"/>
      <c r="AB53" s="15" t="s">
        <v>5427</v>
      </c>
      <c r="AC53" s="15" t="s">
        <v>5427</v>
      </c>
      <c r="AD53" s="15" t="s">
        <v>558</v>
      </c>
    </row>
    <row r="54" customFormat="false" ht="15" hidden="false" customHeight="false" outlineLevel="0" collapsed="false">
      <c r="A54" s="0" t="e">
        <f aca="false">_xlfn.CONCAT("path_",_xlfn.textafter(C54,"subj"),"_",TEXT(B54,"mm\_dd\_yy"))</f>
        <v>#NAME?</v>
      </c>
      <c r="B54" s="31" t="n">
        <v>44217</v>
      </c>
      <c r="C54" s="75" t="e">
        <f aca="false">INDEX(#REF!,MATCH(D54, #REF!,0),1)</f>
        <v>#VALUE!</v>
      </c>
      <c r="D54" s="10" t="s">
        <v>1126</v>
      </c>
      <c r="E54" s="10" t="s">
        <v>1126</v>
      </c>
      <c r="F54" s="76" t="e">
        <f aca="false">INDEX(participants!K:K,MATCH(C54, participants!A:A,0),1)</f>
        <v>#VALUE!</v>
      </c>
      <c r="G54" s="10" t="n">
        <v>104160884</v>
      </c>
      <c r="H54" s="10" t="s">
        <v>5414</v>
      </c>
      <c r="I54" s="10"/>
      <c r="J54" s="10" t="s">
        <v>5176</v>
      </c>
      <c r="K54" s="13" t="s">
        <v>5428</v>
      </c>
      <c r="L54" s="13" t="s">
        <v>486</v>
      </c>
      <c r="M54" s="13" t="s">
        <v>486</v>
      </c>
      <c r="N54" s="13" t="s">
        <v>5453</v>
      </c>
      <c r="O54" s="0" t="s">
        <v>487</v>
      </c>
      <c r="P54" s="10" t="s">
        <v>487</v>
      </c>
      <c r="Q54" s="10" t="s">
        <v>487</v>
      </c>
      <c r="R54" s="10" t="s">
        <v>487</v>
      </c>
      <c r="S54" s="13" t="s">
        <v>511</v>
      </c>
      <c r="T54" s="15" t="s">
        <v>5427</v>
      </c>
      <c r="U54" s="15" t="s">
        <v>5425</v>
      </c>
      <c r="V54" s="15" t="s">
        <v>5425</v>
      </c>
      <c r="W54" s="15" t="s">
        <v>5427</v>
      </c>
      <c r="X54" s="15" t="s">
        <v>5427</v>
      </c>
      <c r="Y54" s="15" t="s">
        <v>5427</v>
      </c>
      <c r="Z54" s="15" t="s">
        <v>5427</v>
      </c>
      <c r="AA54" s="15"/>
      <c r="AB54" s="15" t="s">
        <v>5427</v>
      </c>
      <c r="AC54" s="15" t="s">
        <v>5427</v>
      </c>
      <c r="AD54" s="15" t="s">
        <v>558</v>
      </c>
    </row>
    <row r="55" customFormat="false" ht="15" hidden="false" customHeight="false" outlineLevel="0" collapsed="false">
      <c r="A55" s="0" t="e">
        <f aca="false">_xlfn.CONCAT("path_",_xlfn.textafter(C55,"subj"),"_",TEXT(B55,"mm\_dd\_yy"))</f>
        <v>#NAME?</v>
      </c>
      <c r="B55" s="31" t="n">
        <v>44447</v>
      </c>
      <c r="C55" s="75" t="e">
        <f aca="false">INDEX(#REF!,MATCH(D55, #REF!,0),1)</f>
        <v>#VALUE!</v>
      </c>
      <c r="D55" s="10" t="s">
        <v>1126</v>
      </c>
      <c r="E55" s="10" t="s">
        <v>1126</v>
      </c>
      <c r="F55" s="76" t="e">
        <f aca="false">INDEX(participants!K:K,MATCH(C55, participants!A:A,0),1)</f>
        <v>#VALUE!</v>
      </c>
      <c r="G55" s="10" t="n">
        <v>104160884</v>
      </c>
      <c r="H55" s="10" t="s">
        <v>5414</v>
      </c>
      <c r="I55" s="10"/>
      <c r="J55" s="10" t="s">
        <v>5176</v>
      </c>
      <c r="K55" s="13" t="s">
        <v>5424</v>
      </c>
      <c r="L55" s="13" t="s">
        <v>486</v>
      </c>
      <c r="M55" s="13" t="s">
        <v>486</v>
      </c>
      <c r="N55" s="13" t="s">
        <v>558</v>
      </c>
      <c r="O55" s="0" t="s">
        <v>487</v>
      </c>
      <c r="P55" s="0" t="s">
        <v>487</v>
      </c>
      <c r="Q55" s="0" t="s">
        <v>487</v>
      </c>
      <c r="R55" s="0" t="s">
        <v>487</v>
      </c>
      <c r="S55" s="13" t="s">
        <v>511</v>
      </c>
      <c r="T55" s="15" t="s">
        <v>5427</v>
      </c>
      <c r="U55" s="15" t="s">
        <v>5427</v>
      </c>
      <c r="V55" s="15" t="s">
        <v>5427</v>
      </c>
      <c r="W55" s="15" t="s">
        <v>5427</v>
      </c>
      <c r="X55" s="15" t="s">
        <v>5427</v>
      </c>
      <c r="Y55" s="15" t="s">
        <v>5427</v>
      </c>
      <c r="Z55" s="15" t="s">
        <v>5427</v>
      </c>
      <c r="AA55" s="15"/>
      <c r="AB55" s="15" t="s">
        <v>5427</v>
      </c>
      <c r="AC55" s="15" t="s">
        <v>5427</v>
      </c>
      <c r="AD55" s="15" t="s">
        <v>558</v>
      </c>
    </row>
    <row r="56" customFormat="false" ht="15" hidden="false" customHeight="false" outlineLevel="0" collapsed="false">
      <c r="A56" s="0" t="e">
        <f aca="false">_xlfn.CONCAT("path_",_xlfn.textafter(C56,"subj"),"_",TEXT(B56,"mm\_dd\_yy"))</f>
        <v>#NAME?</v>
      </c>
      <c r="B56" s="31" t="n">
        <v>44235</v>
      </c>
      <c r="C56" s="75" t="e">
        <f aca="false">INDEX(#REF!,MATCH(D56, #REF!,0),1)</f>
        <v>#VALUE!</v>
      </c>
      <c r="D56" s="10" t="s">
        <v>1224</v>
      </c>
      <c r="E56" s="10" t="s">
        <v>1224</v>
      </c>
      <c r="F56" s="76" t="e">
        <f aca="false">INDEX(participants!K:K,MATCH(C56, participants!A:A,0),1)</f>
        <v>#VALUE!</v>
      </c>
      <c r="G56" s="10" t="n">
        <v>201573565</v>
      </c>
      <c r="H56" s="10" t="s">
        <v>5414</v>
      </c>
      <c r="I56" s="10"/>
      <c r="J56" s="10" t="s">
        <v>5176</v>
      </c>
      <c r="K56" s="13" t="s">
        <v>5428</v>
      </c>
      <c r="L56" s="13" t="s">
        <v>486</v>
      </c>
      <c r="M56" s="13" t="s">
        <v>486</v>
      </c>
      <c r="N56" s="13" t="s">
        <v>5454</v>
      </c>
      <c r="O56" s="0" t="s">
        <v>487</v>
      </c>
      <c r="P56" s="10" t="s">
        <v>487</v>
      </c>
      <c r="Q56" s="10" t="s">
        <v>487</v>
      </c>
      <c r="R56" s="10" t="s">
        <v>487</v>
      </c>
      <c r="S56" s="13" t="s">
        <v>511</v>
      </c>
      <c r="T56" s="15" t="s">
        <v>5427</v>
      </c>
      <c r="U56" s="15" t="s">
        <v>5427</v>
      </c>
      <c r="V56" s="15" t="s">
        <v>5425</v>
      </c>
      <c r="W56" s="15" t="s">
        <v>5427</v>
      </c>
      <c r="X56" s="15" t="s">
        <v>5427</v>
      </c>
      <c r="Y56" s="15" t="s">
        <v>5427</v>
      </c>
      <c r="Z56" s="15" t="s">
        <v>5425</v>
      </c>
      <c r="AA56" s="15"/>
      <c r="AB56" s="15" t="s">
        <v>5427</v>
      </c>
      <c r="AC56" s="15" t="s">
        <v>5427</v>
      </c>
      <c r="AD56" s="15" t="s">
        <v>558</v>
      </c>
    </row>
    <row r="57" customFormat="false" ht="15" hidden="false" customHeight="false" outlineLevel="0" collapsed="false">
      <c r="A57" s="0" t="e">
        <f aca="false">_xlfn.CONCAT("path_",_xlfn.textafter(C57,"subj"),"_",TEXT(B57,"mm\_dd\_yy"))</f>
        <v>#NAME?</v>
      </c>
      <c r="B57" s="31" t="n">
        <v>44279</v>
      </c>
      <c r="C57" s="75" t="e">
        <f aca="false">INDEX(#REF!,MATCH(D57, #REF!,0),1)</f>
        <v>#VALUE!</v>
      </c>
      <c r="D57" s="10" t="s">
        <v>5455</v>
      </c>
      <c r="E57" s="10" t="s">
        <v>1130</v>
      </c>
      <c r="F57" s="76" t="e">
        <f aca="false">INDEX(participants!K:K,MATCH(C57, participants!A:A,0),1)</f>
        <v>#VALUE!</v>
      </c>
      <c r="G57" s="58" t="n">
        <v>201598442</v>
      </c>
      <c r="H57" s="10" t="s">
        <v>5414</v>
      </c>
      <c r="I57" s="10"/>
      <c r="J57" s="10" t="s">
        <v>5174</v>
      </c>
      <c r="K57" s="13" t="s">
        <v>5428</v>
      </c>
      <c r="L57" s="13" t="s">
        <v>486</v>
      </c>
      <c r="M57" s="92" t="s">
        <v>5456</v>
      </c>
      <c r="N57" s="13" t="s">
        <v>558</v>
      </c>
      <c r="O57" s="0" t="s">
        <v>487</v>
      </c>
      <c r="P57" s="0" t="s">
        <v>487</v>
      </c>
      <c r="Q57" s="0" t="s">
        <v>487</v>
      </c>
      <c r="R57" s="0" t="s">
        <v>487</v>
      </c>
      <c r="S57" s="13" t="s">
        <v>487</v>
      </c>
      <c r="T57" s="15" t="s">
        <v>5427</v>
      </c>
      <c r="U57" s="15" t="s">
        <v>5427</v>
      </c>
      <c r="V57" s="15" t="s">
        <v>5412</v>
      </c>
      <c r="W57" s="15" t="s">
        <v>5427</v>
      </c>
      <c r="X57" s="15" t="s">
        <v>5427</v>
      </c>
      <c r="Y57" s="15" t="s">
        <v>5427</v>
      </c>
      <c r="Z57" s="15" t="s">
        <v>5427</v>
      </c>
      <c r="AA57" s="15"/>
      <c r="AB57" s="15" t="s">
        <v>5427</v>
      </c>
      <c r="AC57" s="15" t="s">
        <v>5427</v>
      </c>
      <c r="AD57" s="15" t="s">
        <v>558</v>
      </c>
    </row>
    <row r="58" customFormat="false" ht="15" hidden="false" customHeight="false" outlineLevel="0" collapsed="false">
      <c r="A58" s="0" t="e">
        <f aca="false">_xlfn.CONCAT("path_",_xlfn.textafter(C58,"subj"),"_",TEXT(B58,"mm\_dd\_yy"))</f>
        <v>#NAME?</v>
      </c>
      <c r="B58" s="31" t="n">
        <v>44354</v>
      </c>
      <c r="C58" s="75" t="e">
        <f aca="false">INDEX(#REF!,MATCH(D58, #REF!,0),1)</f>
        <v>#VALUE!</v>
      </c>
      <c r="D58" s="10" t="s">
        <v>1232</v>
      </c>
      <c r="E58" s="10" t="s">
        <v>1228</v>
      </c>
      <c r="F58" s="76" t="e">
        <f aca="false">INDEX(participants!K:K,MATCH(C58, participants!A:A,0),1)</f>
        <v>#VALUE!</v>
      </c>
      <c r="G58" s="59" t="n">
        <v>201689152</v>
      </c>
      <c r="H58" s="10" t="s">
        <v>5410</v>
      </c>
      <c r="I58" s="10"/>
      <c r="J58" s="10" t="s">
        <v>5180</v>
      </c>
      <c r="K58" s="13" t="s">
        <v>487</v>
      </c>
      <c r="L58" s="13" t="s">
        <v>486</v>
      </c>
      <c r="M58" s="92" t="s">
        <v>486</v>
      </c>
      <c r="N58" s="13" t="s">
        <v>558</v>
      </c>
      <c r="O58" s="0" t="s">
        <v>487</v>
      </c>
      <c r="P58" s="10" t="s">
        <v>487</v>
      </c>
      <c r="Q58" s="10" t="s">
        <v>487</v>
      </c>
      <c r="R58" s="10" t="s">
        <v>487</v>
      </c>
      <c r="S58" s="13" t="s">
        <v>487</v>
      </c>
      <c r="T58" s="15" t="s">
        <v>5427</v>
      </c>
      <c r="U58" s="15" t="s">
        <v>5425</v>
      </c>
      <c r="V58" s="15" t="s">
        <v>5425</v>
      </c>
      <c r="W58" s="15" t="s">
        <v>5427</v>
      </c>
      <c r="X58" s="15" t="s">
        <v>5425</v>
      </c>
      <c r="Y58" s="15" t="s">
        <v>5427</v>
      </c>
      <c r="Z58" s="15" t="s">
        <v>5425</v>
      </c>
      <c r="AA58" s="15"/>
      <c r="AB58" s="15" t="s">
        <v>5427</v>
      </c>
      <c r="AC58" s="15" t="s">
        <v>5427</v>
      </c>
      <c r="AD58" s="15" t="s">
        <v>558</v>
      </c>
    </row>
    <row r="59" customFormat="false" ht="15" hidden="false" customHeight="false" outlineLevel="0" collapsed="false">
      <c r="A59" s="0" t="e">
        <f aca="false">_xlfn.CONCAT("path_",_xlfn.textafter(C59,"subj"),"_",TEXT(B59,"mm\_dd\_yy"))</f>
        <v>#NAME?</v>
      </c>
      <c r="B59" s="31" t="n">
        <v>44411</v>
      </c>
      <c r="C59" s="75" t="e">
        <f aca="false">INDEX(#REF!,MATCH(D59, #REF!,0),1)</f>
        <v>#VALUE!</v>
      </c>
      <c r="D59" s="10" t="s">
        <v>1232</v>
      </c>
      <c r="E59" s="10" t="s">
        <v>1228</v>
      </c>
      <c r="F59" s="76" t="e">
        <f aca="false">INDEX(participants!K:K,MATCH(C59, participants!A:A,0),1)</f>
        <v>#VALUE!</v>
      </c>
      <c r="G59" s="59" t="n">
        <v>201689152</v>
      </c>
      <c r="H59" s="10" t="s">
        <v>5414</v>
      </c>
      <c r="I59" s="10"/>
      <c r="J59" s="10" t="s">
        <v>5180</v>
      </c>
      <c r="K59" s="13" t="s">
        <v>5424</v>
      </c>
      <c r="L59" s="13" t="s">
        <v>486</v>
      </c>
      <c r="M59" s="92" t="s">
        <v>486</v>
      </c>
      <c r="N59" s="87" t="s">
        <v>5457</v>
      </c>
      <c r="O59" s="0" t="s">
        <v>487</v>
      </c>
      <c r="P59" s="10" t="s">
        <v>487</v>
      </c>
      <c r="Q59" s="10" t="s">
        <v>487</v>
      </c>
      <c r="R59" s="10" t="s">
        <v>487</v>
      </c>
      <c r="S59" s="13" t="s">
        <v>511</v>
      </c>
      <c r="T59" s="15" t="s">
        <v>5427</v>
      </c>
      <c r="U59" s="15" t="s">
        <v>5427</v>
      </c>
      <c r="V59" s="15" t="s">
        <v>5427</v>
      </c>
      <c r="W59" s="15" t="s">
        <v>5427</v>
      </c>
      <c r="X59" s="15" t="s">
        <v>5425</v>
      </c>
      <c r="Y59" s="15" t="s">
        <v>5427</v>
      </c>
      <c r="Z59" s="15" t="s">
        <v>5427</v>
      </c>
      <c r="AA59" s="15"/>
      <c r="AB59" s="15" t="s">
        <v>5427</v>
      </c>
      <c r="AC59" s="15" t="s">
        <v>5427</v>
      </c>
      <c r="AD59" s="15" t="s">
        <v>511</v>
      </c>
    </row>
    <row r="60" customFormat="false" ht="15" hidden="false" customHeight="false" outlineLevel="0" collapsed="false">
      <c r="A60" s="0" t="e">
        <f aca="false">_xlfn.CONCAT("path_",_xlfn.textafter(C60,"subj"),"_",TEXT(B60,"mm\_dd\_yy"))</f>
        <v>#NAME?</v>
      </c>
      <c r="B60" s="31" t="n">
        <v>44328</v>
      </c>
      <c r="C60" s="75" t="e">
        <f aca="false">INDEX(#REF!,MATCH(D60, #REF!,0),1)</f>
        <v>#VALUE!</v>
      </c>
      <c r="D60" s="10" t="s">
        <v>5458</v>
      </c>
      <c r="E60" s="10" t="s">
        <v>1236</v>
      </c>
      <c r="F60" s="76" t="e">
        <f aca="false">INDEX(participants!K:K,MATCH(C60, participants!A:A,0),1)</f>
        <v>#VALUE!</v>
      </c>
      <c r="G60" s="59" t="n">
        <v>201669257</v>
      </c>
      <c r="H60" s="10" t="s">
        <v>5410</v>
      </c>
      <c r="I60" s="10"/>
      <c r="J60" s="10" t="s">
        <v>5174</v>
      </c>
      <c r="K60" s="13" t="s">
        <v>487</v>
      </c>
      <c r="L60" s="13" t="s">
        <v>486</v>
      </c>
      <c r="M60" s="13" t="s">
        <v>486</v>
      </c>
      <c r="N60" s="13" t="s">
        <v>511</v>
      </c>
      <c r="O60" s="0" t="s">
        <v>487</v>
      </c>
      <c r="P60" s="10" t="s">
        <v>487</v>
      </c>
      <c r="Q60" s="10" t="s">
        <v>487</v>
      </c>
      <c r="R60" s="10" t="s">
        <v>487</v>
      </c>
      <c r="S60" s="13" t="s">
        <v>511</v>
      </c>
      <c r="T60" s="15" t="s">
        <v>5427</v>
      </c>
      <c r="U60" s="15" t="s">
        <v>5425</v>
      </c>
      <c r="V60" s="15" t="s">
        <v>5425</v>
      </c>
      <c r="W60" s="15" t="s">
        <v>5427</v>
      </c>
      <c r="X60" s="15" t="s">
        <v>5427</v>
      </c>
      <c r="Y60" s="15" t="s">
        <v>5427</v>
      </c>
      <c r="Z60" s="15" t="s">
        <v>5427</v>
      </c>
      <c r="AA60" s="15"/>
      <c r="AB60" s="15" t="s">
        <v>5427</v>
      </c>
      <c r="AC60" s="15" t="s">
        <v>5427</v>
      </c>
      <c r="AD60" s="15" t="s">
        <v>511</v>
      </c>
    </row>
    <row r="61" customFormat="false" ht="15" hidden="false" customHeight="false" outlineLevel="0" collapsed="false">
      <c r="A61" s="0" t="e">
        <f aca="false">_xlfn.CONCAT("path_",_xlfn.textafter(C61,"subj"),"_",TEXT(B61,"mm\_dd\_yy"))</f>
        <v>#NAME?</v>
      </c>
      <c r="B61" s="31" t="n">
        <v>44342</v>
      </c>
      <c r="C61" s="75" t="e">
        <f aca="false">INDEX(#REF!,MATCH(D61, #REF!,0),1)</f>
        <v>#VALUE!</v>
      </c>
      <c r="D61" s="10" t="s">
        <v>5458</v>
      </c>
      <c r="E61" s="10" t="s">
        <v>1236</v>
      </c>
      <c r="F61" s="76" t="e">
        <f aca="false">INDEX(participants!K:K,MATCH(C61, participants!A:A,0),1)</f>
        <v>#VALUE!</v>
      </c>
      <c r="G61" s="59" t="n">
        <v>201669257</v>
      </c>
      <c r="H61" s="10" t="s">
        <v>5414</v>
      </c>
      <c r="I61" s="10"/>
      <c r="J61" s="10" t="s">
        <v>5174</v>
      </c>
      <c r="K61" s="13" t="s">
        <v>5424</v>
      </c>
      <c r="L61" s="13" t="s">
        <v>486</v>
      </c>
      <c r="M61" s="13" t="s">
        <v>486</v>
      </c>
      <c r="N61" s="13" t="s">
        <v>5438</v>
      </c>
      <c r="O61" s="0" t="s">
        <v>487</v>
      </c>
      <c r="P61" s="10" t="s">
        <v>487</v>
      </c>
      <c r="Q61" s="10" t="s">
        <v>487</v>
      </c>
      <c r="R61" s="10" t="s">
        <v>487</v>
      </c>
      <c r="S61" s="13" t="s">
        <v>511</v>
      </c>
      <c r="T61" s="15" t="s">
        <v>5427</v>
      </c>
      <c r="U61" s="15" t="s">
        <v>5427</v>
      </c>
      <c r="V61" s="15" t="s">
        <v>5425</v>
      </c>
      <c r="W61" s="15" t="s">
        <v>5427</v>
      </c>
      <c r="X61" s="15" t="s">
        <v>5425</v>
      </c>
      <c r="Y61" s="15" t="s">
        <v>5427</v>
      </c>
      <c r="Z61" s="15" t="s">
        <v>5427</v>
      </c>
      <c r="AA61" s="15"/>
      <c r="AB61" s="15" t="s">
        <v>5427</v>
      </c>
      <c r="AC61" s="15" t="s">
        <v>5427</v>
      </c>
      <c r="AD61" s="15" t="s">
        <v>558</v>
      </c>
    </row>
    <row r="62" customFormat="false" ht="15" hidden="false" customHeight="false" outlineLevel="0" collapsed="false">
      <c r="A62" s="0" t="e">
        <f aca="false">_xlfn.CONCAT("path_",_xlfn.textafter(C62,"subj"),"_",TEXT(B62,"mm\_dd\_yy"))</f>
        <v>#NAME?</v>
      </c>
      <c r="B62" s="31" t="n">
        <v>44428</v>
      </c>
      <c r="C62" s="75" t="e">
        <f aca="false">INDEX(#REF!,MATCH(D62, #REF!,0),1)</f>
        <v>#VALUE!</v>
      </c>
      <c r="D62" s="10" t="s">
        <v>5458</v>
      </c>
      <c r="E62" s="10" t="s">
        <v>1236</v>
      </c>
      <c r="F62" s="76" t="e">
        <f aca="false">INDEX(participants!K:K,MATCH(C62, participants!A:A,0),1)</f>
        <v>#VALUE!</v>
      </c>
      <c r="G62" s="59" t="n">
        <v>201669257</v>
      </c>
      <c r="H62" s="10" t="s">
        <v>5410</v>
      </c>
      <c r="I62" s="10"/>
      <c r="J62" s="10" t="s">
        <v>5183</v>
      </c>
      <c r="K62" s="13" t="s">
        <v>487</v>
      </c>
      <c r="L62" s="13" t="s">
        <v>486</v>
      </c>
      <c r="M62" s="93" t="s">
        <v>486</v>
      </c>
      <c r="N62" s="13" t="s">
        <v>487</v>
      </c>
      <c r="O62" s="0" t="s">
        <v>487</v>
      </c>
      <c r="P62" s="0" t="s">
        <v>487</v>
      </c>
      <c r="Q62" s="0" t="s">
        <v>487</v>
      </c>
      <c r="R62" s="0" t="s">
        <v>487</v>
      </c>
      <c r="S62" s="13" t="s">
        <v>487</v>
      </c>
      <c r="T62" s="13" t="s">
        <v>487</v>
      </c>
      <c r="U62" s="13" t="s">
        <v>487</v>
      </c>
      <c r="V62" s="13" t="s">
        <v>487</v>
      </c>
      <c r="W62" s="13" t="s">
        <v>487</v>
      </c>
      <c r="X62" s="13" t="s">
        <v>487</v>
      </c>
      <c r="Y62" s="13" t="s">
        <v>487</v>
      </c>
      <c r="Z62" s="13" t="s">
        <v>487</v>
      </c>
      <c r="AA62" s="13"/>
      <c r="AB62" s="13" t="s">
        <v>487</v>
      </c>
      <c r="AC62" s="13" t="s">
        <v>487</v>
      </c>
      <c r="AD62" s="15" t="s">
        <v>558</v>
      </c>
    </row>
    <row r="63" customFormat="false" ht="15" hidden="false" customHeight="false" outlineLevel="0" collapsed="false">
      <c r="A63" s="0" t="e">
        <f aca="false">_xlfn.CONCAT("path_",_xlfn.textafter(C63,"subj"),"_",TEXT(B63,"mm\_dd\_yy"))</f>
        <v>#NAME?</v>
      </c>
      <c r="B63" s="31" t="n">
        <v>44414</v>
      </c>
      <c r="C63" s="75" t="e">
        <f aca="false">INDEX(#REF!,MATCH(D63, #REF!,0),1)</f>
        <v>#VALUE!</v>
      </c>
      <c r="D63" s="10" t="s">
        <v>1459</v>
      </c>
      <c r="E63" s="10" t="s">
        <v>1151</v>
      </c>
      <c r="F63" s="76" t="e">
        <f aca="false">INDEX(participants!K:K,MATCH(C63, participants!A:A,0),1)</f>
        <v>#VALUE!</v>
      </c>
      <c r="G63" s="59" t="n">
        <v>201496726</v>
      </c>
      <c r="H63" s="10" t="s">
        <v>5410</v>
      </c>
      <c r="I63" s="10"/>
      <c r="J63" s="10" t="s">
        <v>5176</v>
      </c>
      <c r="K63" s="13" t="s">
        <v>487</v>
      </c>
      <c r="L63" s="13" t="s">
        <v>486</v>
      </c>
      <c r="M63" s="92"/>
      <c r="N63" s="13"/>
      <c r="P63" s="10"/>
      <c r="Q63" s="10"/>
      <c r="R63" s="10"/>
      <c r="S63" s="13"/>
      <c r="T63" s="15"/>
      <c r="U63" s="13"/>
      <c r="V63" s="15"/>
      <c r="W63" s="15"/>
      <c r="X63" s="15"/>
      <c r="Y63" s="15"/>
      <c r="Z63" s="15"/>
      <c r="AA63" s="15"/>
      <c r="AB63" s="15"/>
      <c r="AC63" s="15"/>
      <c r="AD63" s="15"/>
    </row>
    <row r="64" customFormat="false" ht="15" hidden="false" customHeight="false" outlineLevel="0" collapsed="false">
      <c r="A64" s="0" t="e">
        <f aca="false">_xlfn.CONCAT("path_",_xlfn.textafter(C64,"subj"),"_",TEXT(B64,"mm\_dd\_yy"))</f>
        <v>#NAME?</v>
      </c>
      <c r="B64" s="31" t="n">
        <v>44476</v>
      </c>
      <c r="C64" s="75" t="e">
        <f aca="false">INDEX(#REF!,MATCH(D64, #REF!,0),1)</f>
        <v>#VALUE!</v>
      </c>
      <c r="D64" s="10" t="s">
        <v>1459</v>
      </c>
      <c r="E64" s="10" t="s">
        <v>1151</v>
      </c>
      <c r="F64" s="76" t="e">
        <f aca="false">INDEX(participants!K:K,MATCH(C64, participants!A:A,0),1)</f>
        <v>#VALUE!</v>
      </c>
      <c r="G64" s="59" t="n">
        <v>201496726</v>
      </c>
      <c r="H64" s="10" t="s">
        <v>5410</v>
      </c>
      <c r="I64" s="10"/>
      <c r="J64" s="10" t="s">
        <v>5176</v>
      </c>
      <c r="K64" s="13" t="s">
        <v>487</v>
      </c>
      <c r="L64" s="13" t="s">
        <v>486</v>
      </c>
      <c r="M64" s="13" t="s">
        <v>486</v>
      </c>
      <c r="N64" s="13" t="s">
        <v>487</v>
      </c>
      <c r="O64" s="0" t="s">
        <v>487</v>
      </c>
      <c r="P64" s="0" t="s">
        <v>487</v>
      </c>
      <c r="Q64" s="0" t="s">
        <v>487</v>
      </c>
      <c r="R64" s="0" t="s">
        <v>487</v>
      </c>
      <c r="S64" s="13" t="s">
        <v>487</v>
      </c>
      <c r="T64" s="15" t="s">
        <v>5427</v>
      </c>
      <c r="U64" s="13" t="s">
        <v>5412</v>
      </c>
      <c r="V64" s="15" t="s">
        <v>5425</v>
      </c>
      <c r="W64" s="15" t="s">
        <v>5427</v>
      </c>
      <c r="X64" s="15" t="s">
        <v>5427</v>
      </c>
      <c r="Y64" s="15" t="s">
        <v>5427</v>
      </c>
      <c r="Z64" s="15" t="s">
        <v>5427</v>
      </c>
      <c r="AA64" s="15"/>
      <c r="AB64" s="15" t="s">
        <v>5427</v>
      </c>
      <c r="AC64" s="15" t="s">
        <v>5427</v>
      </c>
      <c r="AD64" s="15" t="s">
        <v>558</v>
      </c>
    </row>
    <row r="65" customFormat="false" ht="15" hidden="false" customHeight="false" outlineLevel="0" collapsed="false">
      <c r="A65" s="0" t="e">
        <f aca="false">_xlfn.CONCAT("path_",_xlfn.textafter(C65,"subj"),"_",TEXT(B65,"mm\_dd\_yy"))</f>
        <v>#NAME?</v>
      </c>
      <c r="B65" s="31" t="n">
        <v>44522</v>
      </c>
      <c r="C65" s="75" t="e">
        <f aca="false">INDEX(#REF!,MATCH(D65, #REF!,0),1)</f>
        <v>#VALUE!</v>
      </c>
      <c r="D65" s="10" t="s">
        <v>1307</v>
      </c>
      <c r="E65" s="10" t="s">
        <v>1307</v>
      </c>
      <c r="F65" s="76" t="e">
        <f aca="false">INDEX(participants!K:K,MATCH(C65, participants!A:A,0),1)</f>
        <v>#VALUE!</v>
      </c>
      <c r="G65" s="59" t="n">
        <v>103379081</v>
      </c>
      <c r="H65" s="10" t="s">
        <v>5414</v>
      </c>
      <c r="I65" s="10"/>
      <c r="J65" s="10" t="s">
        <v>5235</v>
      </c>
      <c r="K65" s="13" t="s">
        <v>5424</v>
      </c>
      <c r="L65" s="13" t="s">
        <v>486</v>
      </c>
      <c r="M65" s="13" t="s">
        <v>486</v>
      </c>
      <c r="N65" s="87" t="s">
        <v>5459</v>
      </c>
      <c r="O65" s="0" t="s">
        <v>511</v>
      </c>
      <c r="P65" s="10" t="s">
        <v>511</v>
      </c>
      <c r="Q65" s="10" t="s">
        <v>5441</v>
      </c>
      <c r="R65" s="10" t="s">
        <v>511</v>
      </c>
      <c r="S65" s="13" t="s">
        <v>558</v>
      </c>
      <c r="T65" s="90" t="n">
        <v>0.4</v>
      </c>
      <c r="U65" s="15" t="s">
        <v>5427</v>
      </c>
      <c r="V65" s="15" t="s">
        <v>5412</v>
      </c>
      <c r="W65" s="15" t="s">
        <v>5427</v>
      </c>
      <c r="X65" s="15" t="s">
        <v>5460</v>
      </c>
      <c r="Y65" s="15" t="s">
        <v>5427</v>
      </c>
      <c r="Z65" s="15" t="s">
        <v>5427</v>
      </c>
      <c r="AA65" s="15"/>
      <c r="AB65" s="15" t="s">
        <v>5427</v>
      </c>
      <c r="AC65" s="15" t="s">
        <v>5427</v>
      </c>
      <c r="AD65" s="15" t="s">
        <v>558</v>
      </c>
    </row>
    <row r="66" customFormat="false" ht="15" hidden="false" customHeight="false" outlineLevel="0" collapsed="false">
      <c r="A66" s="0" t="e">
        <f aca="false">_xlfn.CONCAT("path_",_xlfn.textafter(C66,"subj"),"_",TEXT(B66,"mm\_dd\_yy"))</f>
        <v>#NAME?</v>
      </c>
      <c r="B66" s="31" t="n">
        <v>44699</v>
      </c>
      <c r="C66" s="75" t="e">
        <f aca="false">INDEX(#REF!,MATCH(D66, #REF!,0),1)</f>
        <v>#VALUE!</v>
      </c>
      <c r="D66" s="10" t="s">
        <v>1328</v>
      </c>
      <c r="E66" s="10" t="s">
        <v>1328</v>
      </c>
      <c r="F66" s="76" t="e">
        <f aca="false">INDEX(participants!K:K,MATCH(C66, participants!A:A,0),1)</f>
        <v>#VALUE!</v>
      </c>
      <c r="G66" s="10" t="n">
        <v>201230394</v>
      </c>
      <c r="H66" s="10" t="s">
        <v>5414</v>
      </c>
      <c r="I66" s="10"/>
      <c r="J66" s="10" t="s">
        <v>5176</v>
      </c>
      <c r="K66" s="13" t="s">
        <v>5424</v>
      </c>
      <c r="L66" s="13" t="s">
        <v>542</v>
      </c>
      <c r="M66" s="13" t="s">
        <v>5461</v>
      </c>
      <c r="N66" s="13"/>
      <c r="O66" s="0" t="s">
        <v>487</v>
      </c>
      <c r="P66" s="10" t="s">
        <v>487</v>
      </c>
      <c r="Q66" s="10" t="s">
        <v>487</v>
      </c>
      <c r="R66" s="10" t="s">
        <v>487</v>
      </c>
      <c r="S66" s="13" t="s">
        <v>487</v>
      </c>
      <c r="T66" s="15" t="s">
        <v>5427</v>
      </c>
      <c r="U66" s="15" t="s">
        <v>5427</v>
      </c>
      <c r="V66" s="15" t="s">
        <v>5412</v>
      </c>
      <c r="W66" s="15" t="s">
        <v>5427</v>
      </c>
      <c r="X66" s="15" t="s">
        <v>5412</v>
      </c>
      <c r="Y66" s="15" t="s">
        <v>5427</v>
      </c>
      <c r="Z66" s="15" t="s">
        <v>5427</v>
      </c>
      <c r="AA66" s="15"/>
      <c r="AB66" s="15" t="s">
        <v>5427</v>
      </c>
      <c r="AC66" s="15" t="s">
        <v>5427</v>
      </c>
      <c r="AD66" s="15" t="s">
        <v>558</v>
      </c>
    </row>
    <row r="67" customFormat="false" ht="15" hidden="false" customHeight="false" outlineLevel="0" collapsed="false">
      <c r="A67" s="0" t="e">
        <f aca="false">_xlfn.CONCAT("path_",_xlfn.textafter(C67,"subj"),"_",TEXT(B67,"mm\_dd\_yy"))</f>
        <v>#NAME?</v>
      </c>
      <c r="B67" s="31" t="n">
        <v>44601</v>
      </c>
      <c r="C67" s="75" t="e">
        <f aca="false">INDEX(#REF!,MATCH(D67, #REF!,0),1)</f>
        <v>#VALUE!</v>
      </c>
      <c r="D67" s="10" t="s">
        <v>1195</v>
      </c>
      <c r="E67" s="10" t="s">
        <v>1195</v>
      </c>
      <c r="F67" s="76" t="e">
        <f aca="false">INDEX(participants!K:K,MATCH(C67, participants!A:A,0),1)</f>
        <v>#VALUE!</v>
      </c>
      <c r="G67" s="59" t="n">
        <v>103851322</v>
      </c>
      <c r="H67" s="10" t="s">
        <v>5410</v>
      </c>
      <c r="I67" s="10"/>
      <c r="J67" s="10" t="s">
        <v>5176</v>
      </c>
      <c r="K67" s="13" t="s">
        <v>487</v>
      </c>
      <c r="L67" s="13" t="s">
        <v>486</v>
      </c>
      <c r="M67" s="92" t="s">
        <v>486</v>
      </c>
      <c r="N67" s="13" t="s">
        <v>487</v>
      </c>
      <c r="O67" s="0" t="s">
        <v>487</v>
      </c>
      <c r="P67" s="10" t="s">
        <v>487</v>
      </c>
      <c r="Q67" s="10" t="s">
        <v>5462</v>
      </c>
      <c r="R67" s="10" t="s">
        <v>487</v>
      </c>
      <c r="S67" s="13" t="s">
        <v>487</v>
      </c>
      <c r="T67" s="15" t="s">
        <v>5427</v>
      </c>
      <c r="U67" s="15" t="s">
        <v>5427</v>
      </c>
      <c r="V67" s="15" t="s">
        <v>5425</v>
      </c>
      <c r="W67" s="15" t="s">
        <v>5427</v>
      </c>
      <c r="X67" s="15" t="s">
        <v>5425</v>
      </c>
      <c r="Y67" s="15" t="s">
        <v>5427</v>
      </c>
      <c r="Z67" s="15" t="s">
        <v>5463</v>
      </c>
      <c r="AA67" s="15"/>
      <c r="AB67" s="15" t="s">
        <v>5427</v>
      </c>
      <c r="AC67" s="15" t="s">
        <v>5427</v>
      </c>
      <c r="AD67" s="15" t="s">
        <v>558</v>
      </c>
    </row>
    <row r="68" customFormat="false" ht="15" hidden="false" customHeight="false" outlineLevel="0" collapsed="false">
      <c r="A68" s="0" t="e">
        <f aca="false">_xlfn.CONCAT("path_",_xlfn.textafter(C68,"subj"),"_",TEXT(B68,"mm\_dd\_yy"))</f>
        <v>#NAME?</v>
      </c>
      <c r="B68" s="31" t="n">
        <v>44840</v>
      </c>
      <c r="C68" s="75" t="e">
        <f aca="false">INDEX(#REF!,MATCH(D68, #REF!,0),1)</f>
        <v>#VALUE!</v>
      </c>
      <c r="D68" s="10" t="s">
        <v>1195</v>
      </c>
      <c r="E68" s="10" t="s">
        <v>1195</v>
      </c>
      <c r="F68" s="76" t="e">
        <f aca="false">INDEX(participants!K:K,MATCH(C68, participants!A:A,0),1)</f>
        <v>#VALUE!</v>
      </c>
      <c r="G68" s="59" t="n">
        <v>103851322</v>
      </c>
      <c r="H68" s="10" t="s">
        <v>5414</v>
      </c>
      <c r="I68" s="10"/>
      <c r="J68" s="10" t="s">
        <v>5176</v>
      </c>
      <c r="K68" s="13" t="s">
        <v>487</v>
      </c>
      <c r="L68" s="13" t="s">
        <v>486</v>
      </c>
      <c r="M68" s="92" t="s">
        <v>486</v>
      </c>
      <c r="N68" s="13" t="s">
        <v>5444</v>
      </c>
      <c r="O68" s="0" t="s">
        <v>487</v>
      </c>
      <c r="P68" s="0" t="s">
        <v>487</v>
      </c>
      <c r="Q68" s="0" t="s">
        <v>487</v>
      </c>
      <c r="R68" s="0" t="s">
        <v>487</v>
      </c>
      <c r="S68" s="13" t="s">
        <v>511</v>
      </c>
      <c r="T68" s="15" t="s">
        <v>5427</v>
      </c>
      <c r="U68" s="15" t="s">
        <v>5427</v>
      </c>
      <c r="V68" s="15" t="s">
        <v>5427</v>
      </c>
      <c r="W68" s="15" t="s">
        <v>5427</v>
      </c>
      <c r="X68" s="15" t="s">
        <v>5427</v>
      </c>
      <c r="Y68" s="15" t="s">
        <v>5427</v>
      </c>
      <c r="Z68" s="15" t="s">
        <v>5427</v>
      </c>
      <c r="AA68" s="15"/>
      <c r="AB68" s="15" t="s">
        <v>5427</v>
      </c>
      <c r="AC68" s="15" t="s">
        <v>5427</v>
      </c>
      <c r="AD68" s="15" t="s">
        <v>558</v>
      </c>
    </row>
    <row r="69" customFormat="false" ht="15" hidden="false" customHeight="false" outlineLevel="0" collapsed="false">
      <c r="A69" s="0" t="e">
        <f aca="false">_xlfn.CONCAT("path_",_xlfn.textafter(C69,"subj"),"_",TEXT(B69,"mm\_dd\_yy"))</f>
        <v>#NAME?</v>
      </c>
      <c r="B69" s="31" t="n">
        <v>44721</v>
      </c>
      <c r="C69" s="75" t="e">
        <f aca="false">INDEX(#REF!,MATCH(D69, #REF!,0),1)</f>
        <v>#VALUE!</v>
      </c>
      <c r="D69" s="10" t="s">
        <v>1199</v>
      </c>
      <c r="E69" s="10" t="s">
        <v>1199</v>
      </c>
      <c r="F69" s="76" t="e">
        <f aca="false">INDEX(participants!K:K,MATCH(C69, participants!A:A,0),1)</f>
        <v>#VALUE!</v>
      </c>
      <c r="G69" s="59" t="n">
        <v>109043364</v>
      </c>
      <c r="H69" s="10" t="s">
        <v>5410</v>
      </c>
      <c r="I69" s="10"/>
      <c r="J69" s="10" t="s">
        <v>5235</v>
      </c>
      <c r="K69" s="13" t="s">
        <v>487</v>
      </c>
      <c r="L69" s="13" t="s">
        <v>486</v>
      </c>
      <c r="M69" s="92" t="s">
        <v>5456</v>
      </c>
      <c r="N69" s="13"/>
      <c r="O69" s="0" t="s">
        <v>487</v>
      </c>
      <c r="P69" s="0" t="s">
        <v>487</v>
      </c>
      <c r="Q69" s="0" t="s">
        <v>487</v>
      </c>
      <c r="R69" s="0" t="s">
        <v>487</v>
      </c>
      <c r="S69" s="13" t="s">
        <v>511</v>
      </c>
      <c r="T69" s="90" t="n">
        <v>0.15</v>
      </c>
      <c r="U69" s="15" t="s">
        <v>5427</v>
      </c>
      <c r="V69" s="15" t="s">
        <v>5427</v>
      </c>
      <c r="W69" s="15" t="s">
        <v>5427</v>
      </c>
      <c r="X69" s="15" t="s">
        <v>5422</v>
      </c>
      <c r="Y69" s="15" t="s">
        <v>5427</v>
      </c>
      <c r="Z69" s="15" t="s">
        <v>5427</v>
      </c>
      <c r="AA69" s="15"/>
      <c r="AB69" s="15" t="s">
        <v>5427</v>
      </c>
      <c r="AC69" s="15" t="s">
        <v>5427</v>
      </c>
      <c r="AD69" s="15" t="s">
        <v>558</v>
      </c>
    </row>
    <row r="70" customFormat="false" ht="15" hidden="false" customHeight="false" outlineLevel="0" collapsed="false">
      <c r="A70" s="0" t="e">
        <f aca="false">_xlfn.CONCAT("path_",_xlfn.textafter(C70,"subj"),"_",TEXT(B70,"mm\_dd\_yy"))</f>
        <v>#NAME?</v>
      </c>
      <c r="B70" s="31" t="n">
        <v>44784</v>
      </c>
      <c r="C70" s="75" t="e">
        <f aca="false">INDEX(#REF!,MATCH(D70, #REF!,0),1)</f>
        <v>#VALUE!</v>
      </c>
      <c r="D70" s="10" t="s">
        <v>1199</v>
      </c>
      <c r="E70" s="10" t="s">
        <v>1199</v>
      </c>
      <c r="F70" s="76" t="e">
        <f aca="false">INDEX(participants!K:K,MATCH(C70, participants!A:A,0),1)</f>
        <v>#VALUE!</v>
      </c>
      <c r="G70" s="59" t="n">
        <v>109043364</v>
      </c>
      <c r="H70" s="10" t="s">
        <v>5414</v>
      </c>
      <c r="I70" s="10"/>
      <c r="J70" s="10" t="s">
        <v>5235</v>
      </c>
      <c r="K70" s="15" t="s">
        <v>5424</v>
      </c>
      <c r="L70" s="15" t="s">
        <v>486</v>
      </c>
      <c r="M70" s="92" t="s">
        <v>486</v>
      </c>
      <c r="N70" s="94" t="s">
        <v>487</v>
      </c>
      <c r="O70" s="0" t="s">
        <v>487</v>
      </c>
      <c r="P70" s="0" t="s">
        <v>487</v>
      </c>
      <c r="Q70" s="0" t="s">
        <v>487</v>
      </c>
      <c r="R70" s="0" t="s">
        <v>487</v>
      </c>
      <c r="S70" s="15" t="s">
        <v>487</v>
      </c>
      <c r="T70" s="15" t="s">
        <v>487</v>
      </c>
      <c r="U70" s="15" t="s">
        <v>487</v>
      </c>
      <c r="V70" s="15" t="s">
        <v>487</v>
      </c>
      <c r="W70" s="15" t="s">
        <v>487</v>
      </c>
      <c r="X70" s="15" t="s">
        <v>487</v>
      </c>
      <c r="Y70" s="15" t="s">
        <v>487</v>
      </c>
      <c r="Z70" s="15" t="s">
        <v>487</v>
      </c>
      <c r="AA70" s="15"/>
      <c r="AB70" s="15" t="s">
        <v>487</v>
      </c>
      <c r="AC70" s="15" t="s">
        <v>487</v>
      </c>
      <c r="AD70" s="15" t="s">
        <v>558</v>
      </c>
    </row>
    <row r="71" customFormat="false" ht="15" hidden="false" customHeight="false" outlineLevel="0" collapsed="false">
      <c r="A71" s="0" t="e">
        <f aca="false">_xlfn.CONCAT("path_",_xlfn.textafter(C71,"subj"),"_",TEXT(B71,"mm\_dd\_yy"))</f>
        <v>#NAME?</v>
      </c>
      <c r="C71" s="0" t="s">
        <v>507</v>
      </c>
      <c r="D71" s="75" t="e">
        <f aca="false">INDEX(#REF!,MATCH(C71, #REF!,0),1)</f>
        <v>#VALUE!</v>
      </c>
      <c r="E71" s="95"/>
      <c r="F71" s="76" t="e">
        <f aca="false">INDEX(participants!K:K,MATCH(C71, participants!A:A,0),1)</f>
        <v>#N/A</v>
      </c>
    </row>
    <row r="72" customFormat="false" ht="15" hidden="false" customHeight="false" outlineLevel="0" collapsed="false">
      <c r="A72" s="0" t="e">
        <f aca="false">_xlfn.CONCAT("path_",_xlfn.textafter(C72,"subj"),"_",TEXT(B72,"mm\_dd\_yy"))</f>
        <v>#NAME?</v>
      </c>
      <c r="B72" s="31" t="n">
        <v>44071</v>
      </c>
      <c r="C72" s="0" t="s">
        <v>514</v>
      </c>
      <c r="D72" s="75" t="e">
        <f aca="false">INDEX(#REF!,MATCH(C72, #REF!,0),1)</f>
        <v>#VALUE!</v>
      </c>
      <c r="E72" s="95"/>
      <c r="F72" s="76" t="e">
        <f aca="false">INDEX(participants!K:K,MATCH(C72, participants!A:A,0),1)</f>
        <v>#N/A</v>
      </c>
      <c r="H72" s="0" t="s">
        <v>5414</v>
      </c>
      <c r="J72" s="0" t="s">
        <v>5183</v>
      </c>
      <c r="L72" s="0" t="s">
        <v>1049</v>
      </c>
      <c r="M72" s="0" t="s">
        <v>5464</v>
      </c>
      <c r="N72" s="71" t="s">
        <v>487</v>
      </c>
      <c r="O72" s="0" t="s">
        <v>558</v>
      </c>
      <c r="P72" s="0" t="s">
        <v>5465</v>
      </c>
      <c r="Q72" s="0" t="s">
        <v>558</v>
      </c>
      <c r="R72" s="0" t="s">
        <v>5427</v>
      </c>
      <c r="S72" s="0" t="s">
        <v>5427</v>
      </c>
      <c r="T72" s="0" t="s">
        <v>5427</v>
      </c>
      <c r="U72" s="0" t="s">
        <v>5427</v>
      </c>
      <c r="V72" s="0" t="s">
        <v>5427</v>
      </c>
      <c r="W72" s="0" t="s">
        <v>5427</v>
      </c>
      <c r="X72" s="0" t="s">
        <v>5427</v>
      </c>
      <c r="Y72" s="0" t="s">
        <v>5427</v>
      </c>
      <c r="Z72" s="0" t="s">
        <v>487</v>
      </c>
      <c r="AB72" s="0" t="s">
        <v>5427</v>
      </c>
      <c r="AC72" s="0" t="s">
        <v>5427</v>
      </c>
      <c r="AD72" s="0" t="s">
        <v>558</v>
      </c>
    </row>
    <row r="73" customFormat="false" ht="15" hidden="false" customHeight="false" outlineLevel="0" collapsed="false">
      <c r="A73" s="0" t="e">
        <f aca="false">_xlfn.CONCAT("path_",_xlfn.textafter(C73,"subj"),"_",TEXT(B73,"mm\_dd\_yy"))</f>
        <v>#NAME?</v>
      </c>
      <c r="B73" s="31" t="n">
        <v>43637</v>
      </c>
      <c r="C73" s="0" t="s">
        <v>514</v>
      </c>
      <c r="D73" s="75" t="e">
        <f aca="false">INDEX(#REF!,MATCH(C73, #REF!,0),1)</f>
        <v>#VALUE!</v>
      </c>
      <c r="F73" s="76" t="e">
        <f aca="false">INDEX(participants!K:K,MATCH(C73, participants!A:A,0),1)</f>
        <v>#N/A</v>
      </c>
      <c r="H73" s="0" t="s">
        <v>5414</v>
      </c>
      <c r="J73" s="0" t="s">
        <v>5466</v>
      </c>
      <c r="L73" s="0" t="s">
        <v>1049</v>
      </c>
      <c r="M73" s="0" t="s">
        <v>5467</v>
      </c>
      <c r="N73" s="71" t="s">
        <v>558</v>
      </c>
      <c r="O73" s="0" t="s">
        <v>558</v>
      </c>
      <c r="P73" s="0" t="s">
        <v>511</v>
      </c>
      <c r="Q73" s="0" t="s">
        <v>5446</v>
      </c>
      <c r="R73" s="0" t="s">
        <v>5427</v>
      </c>
      <c r="S73" s="0" t="s">
        <v>5427</v>
      </c>
      <c r="T73" s="0" t="s">
        <v>5468</v>
      </c>
      <c r="U73" s="0" t="s">
        <v>5412</v>
      </c>
      <c r="V73" s="0" t="s">
        <v>5412</v>
      </c>
      <c r="W73" s="0" t="s">
        <v>5425</v>
      </c>
      <c r="X73" s="0" t="s">
        <v>5412</v>
      </c>
      <c r="Y73" s="0" t="s">
        <v>5427</v>
      </c>
      <c r="Z73" s="0" t="s">
        <v>487</v>
      </c>
      <c r="AB73" s="0" t="s">
        <v>5427</v>
      </c>
      <c r="AC73" s="0" t="s">
        <v>5427</v>
      </c>
      <c r="AD73" s="0" t="s">
        <v>558</v>
      </c>
      <c r="AE73" s="0" t="s">
        <v>5413</v>
      </c>
      <c r="AF73" s="0" t="s">
        <v>5434</v>
      </c>
    </row>
    <row r="74" customFormat="false" ht="15" hidden="false" customHeight="false" outlineLevel="0" collapsed="false">
      <c r="A74" s="0" t="e">
        <f aca="false">_xlfn.CONCAT("path_",_xlfn.textafter(C74,"subj"),"_",TEXT(B74,"mm\_dd\_yy"))</f>
        <v>#NAME?</v>
      </c>
      <c r="B74" s="31" t="n">
        <v>43070</v>
      </c>
      <c r="C74" s="0" t="s">
        <v>514</v>
      </c>
      <c r="D74" s="75" t="e">
        <f aca="false">INDEX(#REF!,MATCH(C74, #REF!,0),1)</f>
        <v>#VALUE!</v>
      </c>
      <c r="F74" s="76" t="e">
        <f aca="false">INDEX(participants!K:K,MATCH(C74, participants!A:A,0),1)</f>
        <v>#N/A</v>
      </c>
      <c r="H74" s="0" t="s">
        <v>5410</v>
      </c>
      <c r="J74" s="0" t="s">
        <v>5174</v>
      </c>
      <c r="K74" s="0" t="s">
        <v>487</v>
      </c>
      <c r="L74" s="0" t="s">
        <v>486</v>
      </c>
      <c r="M74" s="0" t="s">
        <v>5469</v>
      </c>
      <c r="N74" s="71" t="s">
        <v>558</v>
      </c>
      <c r="O74" s="0" t="s">
        <v>511</v>
      </c>
      <c r="P74" s="0" t="s">
        <v>511</v>
      </c>
      <c r="Q74" s="0" t="s">
        <v>5427</v>
      </c>
      <c r="R74" s="0" t="s">
        <v>5427</v>
      </c>
      <c r="S74" s="0" t="s">
        <v>511</v>
      </c>
      <c r="T74" s="84" t="n">
        <v>0.2</v>
      </c>
      <c r="U74" s="0" t="s">
        <v>5425</v>
      </c>
      <c r="V74" s="0" t="s">
        <v>5427</v>
      </c>
      <c r="W74" s="0" t="s">
        <v>5427</v>
      </c>
      <c r="X74" s="0" t="s">
        <v>5427</v>
      </c>
      <c r="Y74" s="0" t="s">
        <v>5427</v>
      </c>
      <c r="Z74" s="0" t="s">
        <v>487</v>
      </c>
      <c r="AB74" s="0" t="s">
        <v>5427</v>
      </c>
      <c r="AC74" s="0" t="s">
        <v>5427</v>
      </c>
      <c r="AD74" s="0" t="s">
        <v>558</v>
      </c>
    </row>
    <row r="75" customFormat="false" ht="15" hidden="false" customHeight="false" outlineLevel="0" collapsed="false">
      <c r="A75" s="0" t="e">
        <f aca="false">_xlfn.CONCAT("path_",_xlfn.textafter(C75,"subj"),"_",TEXT(B75,"mm\_dd\_yy"))</f>
        <v>#NAME?</v>
      </c>
      <c r="B75" s="31" t="n">
        <v>42748</v>
      </c>
      <c r="C75" s="0" t="s">
        <v>514</v>
      </c>
      <c r="D75" s="75" t="e">
        <f aca="false">INDEX(#REF!,MATCH(C75, #REF!,0),1)</f>
        <v>#VALUE!</v>
      </c>
      <c r="F75" s="76" t="e">
        <f aca="false">INDEX(participants!K:K,MATCH(C75, participants!A:A,0),1)</f>
        <v>#N/A</v>
      </c>
      <c r="H75" s="0" t="s">
        <v>5414</v>
      </c>
      <c r="J75" s="0" t="s">
        <v>5470</v>
      </c>
      <c r="K75" s="0" t="s">
        <v>487</v>
      </c>
      <c r="L75" s="0" t="s">
        <v>752</v>
      </c>
      <c r="M75" s="0" t="s">
        <v>5471</v>
      </c>
      <c r="N75" s="71" t="s">
        <v>5472</v>
      </c>
      <c r="O75" s="0" t="s">
        <v>558</v>
      </c>
      <c r="P75" s="0" t="s">
        <v>511</v>
      </c>
      <c r="Q75" s="0" t="s">
        <v>558</v>
      </c>
      <c r="R75" s="0" t="s">
        <v>5427</v>
      </c>
      <c r="S75" s="0" t="s">
        <v>5427</v>
      </c>
      <c r="T75" s="84" t="s">
        <v>5427</v>
      </c>
      <c r="U75" s="0" t="s">
        <v>5427</v>
      </c>
      <c r="V75" s="0" t="s">
        <v>5427</v>
      </c>
      <c r="W75" s="0" t="s">
        <v>5427</v>
      </c>
      <c r="X75" s="0" t="s">
        <v>5427</v>
      </c>
      <c r="Y75" s="0" t="s">
        <v>5427</v>
      </c>
      <c r="Z75" s="0" t="s">
        <v>487</v>
      </c>
      <c r="AB75" s="0" t="s">
        <v>5427</v>
      </c>
      <c r="AC75" s="0" t="s">
        <v>5427</v>
      </c>
      <c r="AD75" s="0" t="s">
        <v>558</v>
      </c>
    </row>
    <row r="76" customFormat="false" ht="15" hidden="false" customHeight="false" outlineLevel="0" collapsed="false">
      <c r="A76" s="0" t="e">
        <f aca="false">_xlfn.CONCAT("path_",_xlfn.textafter(C76,"subj"),"_",TEXT(B76,"mm\_dd\_yy"))</f>
        <v>#NAME?</v>
      </c>
      <c r="B76" s="31" t="n">
        <v>44776</v>
      </c>
      <c r="C76" s="0" t="s">
        <v>519</v>
      </c>
      <c r="D76" s="75" t="e">
        <f aca="false">INDEX(#REF!,MATCH(C76, #REF!,0),1)</f>
        <v>#VALUE!</v>
      </c>
      <c r="F76" s="76" t="e">
        <f aca="false">INDEX(participants!K:K,MATCH(C76, participants!A:A,0),1)</f>
        <v>#N/A</v>
      </c>
      <c r="H76" s="0" t="s">
        <v>5410</v>
      </c>
      <c r="J76" s="0" t="s">
        <v>5180</v>
      </c>
      <c r="K76" s="0" t="s">
        <v>487</v>
      </c>
      <c r="L76" s="0" t="s">
        <v>486</v>
      </c>
      <c r="M76" s="10" t="s">
        <v>5473</v>
      </c>
      <c r="N76" s="71" t="s">
        <v>5474</v>
      </c>
      <c r="O76" s="0" t="s">
        <v>5427</v>
      </c>
      <c r="P76" s="0" t="s">
        <v>5427</v>
      </c>
      <c r="Q76" s="0" t="s">
        <v>5427</v>
      </c>
      <c r="R76" s="0" t="s">
        <v>5427</v>
      </c>
      <c r="S76" s="0" t="s">
        <v>487</v>
      </c>
      <c r="T76" s="0" t="s">
        <v>487</v>
      </c>
      <c r="U76" s="0" t="s">
        <v>487</v>
      </c>
      <c r="V76" s="0" t="s">
        <v>5412</v>
      </c>
      <c r="W76" s="0" t="s">
        <v>487</v>
      </c>
      <c r="X76" s="0" t="s">
        <v>5425</v>
      </c>
      <c r="Y76" s="0" t="s">
        <v>487</v>
      </c>
      <c r="Z76" s="0" t="s">
        <v>5425</v>
      </c>
      <c r="AA76" s="0" t="s">
        <v>5412</v>
      </c>
      <c r="AB76" s="0" t="s">
        <v>487</v>
      </c>
      <c r="AC76" s="0" t="s">
        <v>487</v>
      </c>
      <c r="AD76" s="0" t="s">
        <v>511</v>
      </c>
      <c r="AE76" s="0" t="s">
        <v>5434</v>
      </c>
      <c r="AF76" s="0" t="s">
        <v>5434</v>
      </c>
      <c r="AG76" s="0" t="s">
        <v>5475</v>
      </c>
      <c r="AH76" s="0" t="s">
        <v>5476</v>
      </c>
    </row>
    <row r="77" customFormat="false" ht="15" hidden="false" customHeight="false" outlineLevel="0" collapsed="false">
      <c r="A77" s="0" t="e">
        <f aca="false">_xlfn.CONCAT("path_",_xlfn.textafter(C77,"subj"),"_",TEXT(B77,"mm\_dd\_yy"))</f>
        <v>#NAME?</v>
      </c>
      <c r="B77" s="31" t="n">
        <v>44866</v>
      </c>
      <c r="C77" s="0" t="s">
        <v>519</v>
      </c>
      <c r="D77" s="75" t="e">
        <f aca="false">INDEX(#REF!,MATCH(C77, #REF!,0),1)</f>
        <v>#VALUE!</v>
      </c>
      <c r="F77" s="76" t="e">
        <f aca="false">INDEX(participants!K:K,MATCH(C77, participants!A:A,0),1)</f>
        <v>#N/A</v>
      </c>
      <c r="H77" s="0" t="s">
        <v>5414</v>
      </c>
      <c r="J77" s="0" t="s">
        <v>5180</v>
      </c>
      <c r="K77" s="0" t="s">
        <v>487</v>
      </c>
      <c r="L77" s="0" t="s">
        <v>486</v>
      </c>
      <c r="M77" s="10" t="s">
        <v>486</v>
      </c>
      <c r="N77" s="71" t="s">
        <v>5474</v>
      </c>
      <c r="O77" s="0" t="s">
        <v>5427</v>
      </c>
      <c r="P77" s="0" t="s">
        <v>5427</v>
      </c>
      <c r="Q77" s="0" t="s">
        <v>5427</v>
      </c>
      <c r="R77" s="0" t="s">
        <v>5427</v>
      </c>
      <c r="S77" s="0" t="s">
        <v>511</v>
      </c>
      <c r="T77" s="0" t="s">
        <v>487</v>
      </c>
      <c r="U77" s="0" t="s">
        <v>487</v>
      </c>
      <c r="V77" s="0" t="s">
        <v>487</v>
      </c>
      <c r="W77" s="0" t="s">
        <v>487</v>
      </c>
      <c r="X77" s="0" t="s">
        <v>5425</v>
      </c>
      <c r="Y77" s="0" t="s">
        <v>487</v>
      </c>
      <c r="Z77" s="0" t="s">
        <v>487</v>
      </c>
      <c r="AB77" s="0" t="s">
        <v>487</v>
      </c>
      <c r="AC77" s="0" t="s">
        <v>487</v>
      </c>
      <c r="AD77" s="0" t="s">
        <v>558</v>
      </c>
      <c r="AE77" s="0" t="s">
        <v>5434</v>
      </c>
      <c r="AG77" s="0" t="s">
        <v>1002</v>
      </c>
      <c r="AH77" s="0" t="s">
        <v>487</v>
      </c>
    </row>
    <row r="78" customFormat="false" ht="15" hidden="false" customHeight="false" outlineLevel="0" collapsed="false">
      <c r="A78" s="0" t="e">
        <f aca="false">_xlfn.CONCAT("path_",_xlfn.textafter(C78,"subj"),"_",TEXT(B78,"mm\_dd\_yy"))</f>
        <v>#NAME?</v>
      </c>
      <c r="B78" s="31" t="n">
        <v>44666</v>
      </c>
      <c r="C78" s="0" t="s">
        <v>519</v>
      </c>
      <c r="D78" s="75" t="e">
        <f aca="false">INDEX(#REF!,MATCH(C78, #REF!,0),1)</f>
        <v>#VALUE!</v>
      </c>
      <c r="F78" s="76" t="e">
        <f aca="false">INDEX(participants!K:K,MATCH(C78, participants!A:A,0),1)</f>
        <v>#N/A</v>
      </c>
      <c r="H78" s="0" t="s">
        <v>5414</v>
      </c>
      <c r="J78" s="0" t="s">
        <v>5477</v>
      </c>
      <c r="K78" s="0" t="s">
        <v>5428</v>
      </c>
      <c r="L78" s="0" t="s">
        <v>486</v>
      </c>
      <c r="M78" s="10" t="s">
        <v>486</v>
      </c>
      <c r="N78" s="71" t="s">
        <v>5478</v>
      </c>
      <c r="O78" s="0" t="s">
        <v>5427</v>
      </c>
      <c r="P78" s="0" t="s">
        <v>558</v>
      </c>
      <c r="Q78" s="0" t="s">
        <v>5441</v>
      </c>
      <c r="R78" s="0" t="s">
        <v>511</v>
      </c>
      <c r="S78" s="0" t="s">
        <v>511</v>
      </c>
      <c r="T78" s="0" t="s">
        <v>5427</v>
      </c>
      <c r="U78" s="0" t="s">
        <v>5427</v>
      </c>
      <c r="V78" s="0" t="s">
        <v>5427</v>
      </c>
      <c r="W78" s="0" t="s">
        <v>5427</v>
      </c>
      <c r="X78" s="0" t="s">
        <v>5427</v>
      </c>
      <c r="Y78" s="0" t="s">
        <v>5427</v>
      </c>
      <c r="Z78" s="0" t="s">
        <v>5412</v>
      </c>
      <c r="AA78" s="0" t="s">
        <v>5412</v>
      </c>
      <c r="AB78" s="0" t="s">
        <v>5427</v>
      </c>
      <c r="AC78" s="0" t="s">
        <v>5427</v>
      </c>
      <c r="AD78" s="0" t="s">
        <v>511</v>
      </c>
      <c r="AF78" s="0" t="s">
        <v>5413</v>
      </c>
      <c r="AG78" s="0" t="s">
        <v>5479</v>
      </c>
      <c r="AH78" s="0" t="s">
        <v>5480</v>
      </c>
    </row>
    <row r="79" customFormat="false" ht="15" hidden="false" customHeight="false" outlineLevel="0" collapsed="false">
      <c r="A79" s="0" t="e">
        <f aca="false">_xlfn.CONCAT("path_",_xlfn.textafter(C79,"subj"),"_",TEXT(B79,"mm\_dd\_yy"))</f>
        <v>#NAME?</v>
      </c>
      <c r="B79" s="31" t="n">
        <v>44642</v>
      </c>
      <c r="C79" s="0" t="s">
        <v>519</v>
      </c>
      <c r="D79" s="75" t="e">
        <f aca="false">INDEX(#REF!,MATCH(C79, #REF!,0),1)</f>
        <v>#VALUE!</v>
      </c>
      <c r="F79" s="76" t="e">
        <f aca="false">INDEX(participants!K:K,MATCH(C79, participants!A:A,0),1)</f>
        <v>#N/A</v>
      </c>
      <c r="H79" s="0" t="s">
        <v>5410</v>
      </c>
      <c r="J79" s="0" t="s">
        <v>5481</v>
      </c>
      <c r="K79" s="0" t="s">
        <v>487</v>
      </c>
      <c r="L79" s="0" t="s">
        <v>752</v>
      </c>
      <c r="M79" s="10" t="s">
        <v>752</v>
      </c>
      <c r="N79" s="71" t="s">
        <v>487</v>
      </c>
      <c r="O79" s="0" t="s">
        <v>5427</v>
      </c>
      <c r="P79" s="0" t="s">
        <v>511</v>
      </c>
      <c r="Q79" s="0" t="s">
        <v>511</v>
      </c>
      <c r="R79" s="0" t="s">
        <v>5427</v>
      </c>
      <c r="S79" s="0" t="s">
        <v>5427</v>
      </c>
      <c r="T79" s="84" t="n">
        <v>0.15</v>
      </c>
      <c r="U79" s="0" t="s">
        <v>5422</v>
      </c>
      <c r="V79" s="0" t="s">
        <v>5427</v>
      </c>
      <c r="W79" s="0" t="s">
        <v>5427</v>
      </c>
      <c r="X79" s="0" t="s">
        <v>5422</v>
      </c>
      <c r="Y79" s="0" t="s">
        <v>487</v>
      </c>
      <c r="Z79" s="0" t="s">
        <v>5412</v>
      </c>
      <c r="AA79" s="0" t="s">
        <v>5412</v>
      </c>
      <c r="AB79" s="0" t="s">
        <v>487</v>
      </c>
      <c r="AC79" s="0" t="s">
        <v>487</v>
      </c>
      <c r="AD79" s="0" t="s">
        <v>511</v>
      </c>
      <c r="AE79" s="0" t="s">
        <v>5422</v>
      </c>
      <c r="AF79" s="0" t="s">
        <v>5413</v>
      </c>
      <c r="AG79" s="0" t="s">
        <v>5482</v>
      </c>
      <c r="AH79" s="0" t="s">
        <v>5483</v>
      </c>
    </row>
    <row r="80" customFormat="false" ht="15" hidden="false" customHeight="false" outlineLevel="0" collapsed="false">
      <c r="A80" s="0" t="e">
        <f aca="false">_xlfn.CONCAT("path_",_xlfn.textafter(C80,"subj"),"_",TEXT(B80,"mm\_dd\_yy"))</f>
        <v>#NAME?</v>
      </c>
      <c r="B80" s="31" t="n">
        <v>42719</v>
      </c>
      <c r="C80" s="0" t="s">
        <v>523</v>
      </c>
      <c r="D80" s="75" t="e">
        <f aca="false">INDEX(#REF!,MATCH(C80, #REF!,0),1)</f>
        <v>#VALUE!</v>
      </c>
      <c r="F80" s="76" t="e">
        <f aca="false">INDEX(participants!K:K,MATCH(C80, participants!A:A,0),1)</f>
        <v>#N/A</v>
      </c>
      <c r="H80" s="0" t="s">
        <v>5410</v>
      </c>
      <c r="J80" s="0" t="s">
        <v>5484</v>
      </c>
      <c r="L80" s="0" t="s">
        <v>1049</v>
      </c>
      <c r="M80" s="0" t="s">
        <v>5420</v>
      </c>
      <c r="N80" s="71" t="s">
        <v>487</v>
      </c>
      <c r="O80" s="0" t="s">
        <v>487</v>
      </c>
      <c r="P80" s="0" t="s">
        <v>487</v>
      </c>
      <c r="Q80" s="0" t="s">
        <v>487</v>
      </c>
      <c r="R80" s="0" t="s">
        <v>487</v>
      </c>
      <c r="S80" s="0" t="s">
        <v>487</v>
      </c>
      <c r="T80" s="0" t="s">
        <v>5485</v>
      </c>
      <c r="U80" s="0" t="s">
        <v>5412</v>
      </c>
      <c r="V80" s="0" t="s">
        <v>5412</v>
      </c>
      <c r="W80" s="0" t="s">
        <v>487</v>
      </c>
      <c r="X80" s="0" t="s">
        <v>487</v>
      </c>
      <c r="Y80" s="0" t="s">
        <v>487</v>
      </c>
      <c r="Z80" s="0" t="s">
        <v>487</v>
      </c>
      <c r="AB80" s="0" t="s">
        <v>487</v>
      </c>
      <c r="AC80" s="0" t="s">
        <v>487</v>
      </c>
      <c r="AD80" s="0" t="s">
        <v>558</v>
      </c>
    </row>
    <row r="81" customFormat="false" ht="15" hidden="false" customHeight="false" outlineLevel="0" collapsed="false">
      <c r="A81" s="0" t="e">
        <f aca="false">_xlfn.CONCAT("path_",_xlfn.textafter(C81,"subj"),"_",TEXT(B81,"mm\_dd\_yy"))</f>
        <v>#NAME?</v>
      </c>
      <c r="B81" s="0" t="s">
        <v>689</v>
      </c>
      <c r="C81" s="0" t="s">
        <v>528</v>
      </c>
      <c r="D81" s="75" t="e">
        <f aca="false">INDEX(#REF!,MATCH(C81, #REF!,0),1)</f>
        <v>#VALUE!</v>
      </c>
      <c r="F81" s="76" t="e">
        <f aca="false">INDEX(participants!K:K,MATCH(C81, participants!A:A,0),1)</f>
        <v>#N/A</v>
      </c>
    </row>
    <row r="82" customFormat="false" ht="15" hidden="false" customHeight="false" outlineLevel="0" collapsed="false">
      <c r="A82" s="0" t="e">
        <f aca="false">_xlfn.CONCAT("path_",_xlfn.textafter(C82,"subj"),"_",TEXT(B82,"mm\_dd\_yy"))</f>
        <v>#NAME?</v>
      </c>
      <c r="B82" s="31" t="n">
        <v>42979</v>
      </c>
      <c r="C82" s="0" t="s">
        <v>531</v>
      </c>
      <c r="D82" s="75" t="e">
        <f aca="false">INDEX(#REF!,MATCH(C82, #REF!,0),1)</f>
        <v>#VALUE!</v>
      </c>
      <c r="F82" s="76" t="e">
        <f aca="false">INDEX(participants!K:K,MATCH(C82, participants!A:A,0),1)</f>
        <v>#N/A</v>
      </c>
      <c r="H82" s="0" t="s">
        <v>5410</v>
      </c>
      <c r="J82" s="0" t="s">
        <v>5486</v>
      </c>
      <c r="K82" s="0" t="s">
        <v>487</v>
      </c>
      <c r="L82" s="0" t="s">
        <v>1049</v>
      </c>
      <c r="M82" s="0" t="s">
        <v>5487</v>
      </c>
      <c r="N82" s="71" t="s">
        <v>558</v>
      </c>
      <c r="O82" s="0" t="s">
        <v>558</v>
      </c>
      <c r="P82" s="0" t="s">
        <v>558</v>
      </c>
      <c r="Q82" s="0" t="s">
        <v>558</v>
      </c>
      <c r="R82" s="0" t="s">
        <v>558</v>
      </c>
      <c r="S82" s="0" t="s">
        <v>558</v>
      </c>
      <c r="T82" s="0" t="s">
        <v>5427</v>
      </c>
      <c r="U82" s="0" t="s">
        <v>5427</v>
      </c>
      <c r="V82" s="0" t="s">
        <v>5427</v>
      </c>
      <c r="W82" s="0" t="s">
        <v>5427</v>
      </c>
      <c r="X82" s="0" t="s">
        <v>487</v>
      </c>
      <c r="Y82" s="0" t="s">
        <v>5427</v>
      </c>
      <c r="Z82" s="0" t="s">
        <v>5427</v>
      </c>
      <c r="AA82" s="0" t="s">
        <v>5427</v>
      </c>
      <c r="AB82" s="0" t="s">
        <v>5427</v>
      </c>
      <c r="AC82" s="0" t="s">
        <v>5427</v>
      </c>
      <c r="AD82" s="0" t="s">
        <v>558</v>
      </c>
    </row>
    <row r="83" customFormat="false" ht="15" hidden="false" customHeight="false" outlineLevel="0" collapsed="false">
      <c r="A83" s="0" t="e">
        <f aca="false">_xlfn.CONCAT("path_",_xlfn.textafter(C83,"subj"),"_",TEXT(B83,"mm\_dd\_yy"))</f>
        <v>#NAME?</v>
      </c>
      <c r="B83" s="31" t="n">
        <v>42976</v>
      </c>
      <c r="C83" s="0" t="s">
        <v>531</v>
      </c>
      <c r="D83" s="75" t="e">
        <f aca="false">INDEX(#REF!,MATCH(C83, #REF!,0),1)</f>
        <v>#VALUE!</v>
      </c>
      <c r="F83" s="76" t="e">
        <f aca="false">INDEX(participants!K:K,MATCH(C83, participants!A:A,0),1)</f>
        <v>#N/A</v>
      </c>
      <c r="H83" s="0" t="s">
        <v>5410</v>
      </c>
      <c r="J83" s="0" t="s">
        <v>5180</v>
      </c>
      <c r="K83" s="0" t="s">
        <v>487</v>
      </c>
      <c r="L83" s="0" t="s">
        <v>1049</v>
      </c>
      <c r="M83" s="0" t="s">
        <v>5420</v>
      </c>
      <c r="N83" s="71" t="s">
        <v>558</v>
      </c>
      <c r="O83" s="0" t="s">
        <v>558</v>
      </c>
      <c r="P83" s="0" t="s">
        <v>558</v>
      </c>
      <c r="Q83" s="0" t="s">
        <v>558</v>
      </c>
      <c r="R83" s="0" t="s">
        <v>558</v>
      </c>
      <c r="S83" s="0" t="s">
        <v>558</v>
      </c>
      <c r="T83" s="0" t="s">
        <v>5427</v>
      </c>
      <c r="U83" s="0" t="s">
        <v>5427</v>
      </c>
      <c r="V83" s="0" t="s">
        <v>5427</v>
      </c>
      <c r="W83" s="0" t="s">
        <v>5427</v>
      </c>
      <c r="X83" s="0" t="s">
        <v>487</v>
      </c>
      <c r="Y83" s="0" t="s">
        <v>5427</v>
      </c>
      <c r="Z83" s="0" t="s">
        <v>5427</v>
      </c>
      <c r="AA83" s="0" t="s">
        <v>5427</v>
      </c>
      <c r="AB83" s="0" t="s">
        <v>5427</v>
      </c>
      <c r="AC83" s="0" t="s">
        <v>5427</v>
      </c>
      <c r="AD83" s="0" t="s">
        <v>558</v>
      </c>
    </row>
    <row r="84" customFormat="false" ht="15" hidden="false" customHeight="false" outlineLevel="0" collapsed="false">
      <c r="A84" s="0" t="e">
        <f aca="false">_xlfn.CONCAT("path_",_xlfn.textafter(C84,"subj"),"_",TEXT(B84,"mm\_dd\_yy"))</f>
        <v>#NAME?</v>
      </c>
      <c r="B84" s="31" t="n">
        <v>43826</v>
      </c>
      <c r="C84" s="0" t="s">
        <v>535</v>
      </c>
      <c r="D84" s="75" t="e">
        <f aca="false">INDEX(#REF!,MATCH(C84, #REF!,0),1)</f>
        <v>#VALUE!</v>
      </c>
      <c r="F84" s="76" t="e">
        <f aca="false">INDEX(participants!K:K,MATCH(C84, participants!A:A,0),1)</f>
        <v>#N/A</v>
      </c>
      <c r="H84" s="0" t="s">
        <v>5410</v>
      </c>
      <c r="J84" s="0" t="s">
        <v>5180</v>
      </c>
      <c r="K84" s="0" t="s">
        <v>487</v>
      </c>
      <c r="L84" s="0" t="s">
        <v>1049</v>
      </c>
      <c r="M84" s="0" t="s">
        <v>5488</v>
      </c>
      <c r="N84" s="71" t="s">
        <v>558</v>
      </c>
      <c r="O84" s="0" t="s">
        <v>558</v>
      </c>
      <c r="P84" s="0" t="s">
        <v>558</v>
      </c>
      <c r="Q84" s="0" t="s">
        <v>558</v>
      </c>
      <c r="R84" s="0" t="s">
        <v>558</v>
      </c>
      <c r="S84" s="0" t="s">
        <v>558</v>
      </c>
      <c r="T84" s="0" t="s">
        <v>5427</v>
      </c>
      <c r="U84" s="0" t="s">
        <v>5427</v>
      </c>
      <c r="V84" s="0" t="s">
        <v>5427</v>
      </c>
      <c r="W84" s="0" t="s">
        <v>5427</v>
      </c>
      <c r="X84" s="0" t="s">
        <v>487</v>
      </c>
      <c r="Y84" s="0" t="s">
        <v>5427</v>
      </c>
      <c r="Z84" s="0" t="s">
        <v>5427</v>
      </c>
      <c r="AA84" s="0" t="s">
        <v>487</v>
      </c>
      <c r="AB84" s="0" t="s">
        <v>5427</v>
      </c>
      <c r="AC84" s="0" t="s">
        <v>5427</v>
      </c>
      <c r="AD84" s="0" t="s">
        <v>558</v>
      </c>
    </row>
    <row r="85" customFormat="false" ht="15" hidden="false" customHeight="false" outlineLevel="0" collapsed="false">
      <c r="A85" s="0" t="e">
        <f aca="false">_xlfn.CONCAT("path_",_xlfn.textafter(C85,"subj"),"_",TEXT(B85,"mm\_dd\_yy"))</f>
        <v>#NAME?</v>
      </c>
      <c r="B85" s="31" t="n">
        <v>42979</v>
      </c>
      <c r="C85" s="0" t="s">
        <v>539</v>
      </c>
      <c r="D85" s="75" t="e">
        <f aca="false">INDEX(#REF!,MATCH(C85, #REF!,0),1)</f>
        <v>#VALUE!</v>
      </c>
      <c r="F85" s="76" t="e">
        <f aca="false">INDEX(participants!K:K,MATCH(C85, participants!A:A,0),1)</f>
        <v>#N/A</v>
      </c>
      <c r="H85" s="0" t="s">
        <v>5414</v>
      </c>
      <c r="J85" s="0" t="s">
        <v>5489</v>
      </c>
      <c r="L85" s="0" t="s">
        <v>5490</v>
      </c>
      <c r="M85" s="0" t="s">
        <v>5491</v>
      </c>
      <c r="N85" s="71" t="s">
        <v>558</v>
      </c>
      <c r="O85" s="0" t="s">
        <v>487</v>
      </c>
      <c r="P85" s="0" t="s">
        <v>5427</v>
      </c>
      <c r="Q85" s="0" t="s">
        <v>487</v>
      </c>
      <c r="R85" s="0" t="s">
        <v>5427</v>
      </c>
      <c r="S85" s="0" t="s">
        <v>558</v>
      </c>
      <c r="T85" s="0" t="s">
        <v>5492</v>
      </c>
      <c r="U85" s="0" t="s">
        <v>5427</v>
      </c>
      <c r="V85" s="0" t="s">
        <v>5427</v>
      </c>
      <c r="W85" s="0" t="s">
        <v>5427</v>
      </c>
      <c r="X85" s="0" t="s">
        <v>487</v>
      </c>
      <c r="Y85" s="0" t="s">
        <v>5425</v>
      </c>
      <c r="Z85" s="0" t="s">
        <v>5427</v>
      </c>
      <c r="AA85" s="0" t="s">
        <v>487</v>
      </c>
      <c r="AB85" s="0" t="s">
        <v>5427</v>
      </c>
      <c r="AC85" s="0" t="s">
        <v>5427</v>
      </c>
      <c r="AD85" s="0" t="s">
        <v>558</v>
      </c>
    </row>
    <row r="86" customFormat="false" ht="15" hidden="false" customHeight="false" outlineLevel="0" collapsed="false">
      <c r="A86" s="0" t="e">
        <f aca="false">_xlfn.CONCAT("path_",_xlfn.textafter(C86,"subj"),"_",TEXT(B86,"mm\_dd\_yy"))</f>
        <v>#NAME?</v>
      </c>
      <c r="B86" s="0" t="s">
        <v>689</v>
      </c>
      <c r="C86" s="0" t="s">
        <v>544</v>
      </c>
      <c r="D86" s="75" t="e">
        <f aca="false">INDEX(#REF!,MATCH(C86, #REF!,0),1)</f>
        <v>#VALUE!</v>
      </c>
      <c r="F86" s="76" t="e">
        <f aca="false">INDEX(participants!K:K,MATCH(C86, participants!A:A,0),1)</f>
        <v>#N/A</v>
      </c>
      <c r="L86" s="0" t="s">
        <v>1049</v>
      </c>
    </row>
    <row r="87" customFormat="false" ht="15" hidden="false" customHeight="false" outlineLevel="0" collapsed="false">
      <c r="A87" s="0" t="e">
        <f aca="false">_xlfn.CONCAT("path_",_xlfn.textafter(C87,"subj"),"_",TEXT(B87,"mm\_dd\_yy"))</f>
        <v>#NAME?</v>
      </c>
      <c r="B87" s="0" t="s">
        <v>689</v>
      </c>
      <c r="C87" s="0" t="s">
        <v>548</v>
      </c>
      <c r="D87" s="75" t="e">
        <f aca="false">INDEX(#REF!,MATCH(C87, #REF!,0),1)</f>
        <v>#VALUE!</v>
      </c>
      <c r="F87" s="76" t="e">
        <f aca="false">INDEX(participants!K:K,MATCH(C87, participants!A:A,0),1)</f>
        <v>#N/A</v>
      </c>
      <c r="L87" s="0" t="s">
        <v>1049</v>
      </c>
    </row>
    <row r="88" customFormat="false" ht="15" hidden="false" customHeight="false" outlineLevel="0" collapsed="false">
      <c r="A88" s="0" t="e">
        <f aca="false">_xlfn.CONCAT("path_",_xlfn.textafter(C88,"subj"),"_",TEXT(B88,"mm\_dd\_yy"))</f>
        <v>#NAME?</v>
      </c>
      <c r="B88" s="31" t="n">
        <v>43571</v>
      </c>
      <c r="C88" s="0" t="s">
        <v>552</v>
      </c>
      <c r="D88" s="75" t="e">
        <f aca="false">INDEX(#REF!,MATCH(C88, #REF!,0),1)</f>
        <v>#VALUE!</v>
      </c>
      <c r="F88" s="76" t="e">
        <f aca="false">INDEX(participants!K:K,MATCH(C88, participants!A:A,0),1)</f>
        <v>#N/A</v>
      </c>
      <c r="H88" s="0" t="s">
        <v>5410</v>
      </c>
      <c r="J88" s="0" t="s">
        <v>5176</v>
      </c>
      <c r="K88" s="0" t="s">
        <v>5493</v>
      </c>
      <c r="L88" s="0" t="s">
        <v>1049</v>
      </c>
      <c r="M88" s="0" t="s">
        <v>5494</v>
      </c>
      <c r="N88" s="71" t="s">
        <v>487</v>
      </c>
      <c r="O88" s="0" t="s">
        <v>487</v>
      </c>
      <c r="P88" s="0" t="s">
        <v>487</v>
      </c>
      <c r="Q88" s="0" t="s">
        <v>487</v>
      </c>
      <c r="R88" s="0" t="s">
        <v>487</v>
      </c>
      <c r="S88" s="0" t="s">
        <v>487</v>
      </c>
      <c r="T88" s="0" t="s">
        <v>5427</v>
      </c>
      <c r="U88" s="0" t="s">
        <v>5427</v>
      </c>
      <c r="V88" s="0" t="s">
        <v>5427</v>
      </c>
      <c r="W88" s="0" t="s">
        <v>5427</v>
      </c>
      <c r="X88" s="0" t="s">
        <v>487</v>
      </c>
      <c r="Y88" s="0" t="s">
        <v>5427</v>
      </c>
      <c r="Z88" s="0" t="s">
        <v>5427</v>
      </c>
      <c r="AA88" s="0" t="s">
        <v>487</v>
      </c>
      <c r="AB88" s="0" t="s">
        <v>5427</v>
      </c>
      <c r="AC88" s="0" t="s">
        <v>5427</v>
      </c>
      <c r="AD88" s="0" t="s">
        <v>558</v>
      </c>
    </row>
    <row r="89" customFormat="false" ht="15" hidden="false" customHeight="false" outlineLevel="0" collapsed="false">
      <c r="A89" s="0" t="e">
        <f aca="false">_xlfn.CONCAT("path_",_xlfn.textafter(C89,"subj"),"_",TEXT(B89,"mm\_dd\_yy"))</f>
        <v>#NAME?</v>
      </c>
      <c r="B89" s="31" t="n">
        <v>43572</v>
      </c>
      <c r="C89" s="0" t="s">
        <v>552</v>
      </c>
      <c r="D89" s="75" t="e">
        <f aca="false">INDEX(#REF!,MATCH(C89, #REF!,0),1)</f>
        <v>#VALUE!</v>
      </c>
      <c r="F89" s="57" t="s">
        <v>526</v>
      </c>
      <c r="H89" s="0" t="s">
        <v>5410</v>
      </c>
      <c r="J89" s="0" t="s">
        <v>5172</v>
      </c>
      <c r="L89" s="0" t="s">
        <v>1049</v>
      </c>
      <c r="M89" s="0" t="s">
        <v>5495</v>
      </c>
      <c r="N89" s="71" t="s">
        <v>558</v>
      </c>
      <c r="O89" s="0" t="s">
        <v>558</v>
      </c>
      <c r="P89" s="0" t="s">
        <v>558</v>
      </c>
      <c r="Q89" s="0" t="s">
        <v>558</v>
      </c>
      <c r="R89" s="0" t="s">
        <v>5427</v>
      </c>
      <c r="S89" s="0" t="s">
        <v>558</v>
      </c>
      <c r="T89" s="0" t="s">
        <v>5427</v>
      </c>
      <c r="U89" s="0" t="s">
        <v>5427</v>
      </c>
      <c r="V89" s="0" t="s">
        <v>5427</v>
      </c>
      <c r="W89" s="0" t="s">
        <v>5427</v>
      </c>
      <c r="X89" s="0" t="s">
        <v>487</v>
      </c>
      <c r="Y89" s="0" t="s">
        <v>5427</v>
      </c>
      <c r="Z89" s="0" t="s">
        <v>5427</v>
      </c>
      <c r="AA89" s="0" t="s">
        <v>487</v>
      </c>
      <c r="AB89" s="0" t="s">
        <v>5427</v>
      </c>
      <c r="AC89" s="0" t="s">
        <v>5427</v>
      </c>
      <c r="AD89" s="0" t="s">
        <v>558</v>
      </c>
    </row>
    <row r="90" customFormat="false" ht="15" hidden="false" customHeight="false" outlineLevel="0" collapsed="false">
      <c r="A90" s="0" t="e">
        <f aca="false">_xlfn.CONCAT("path_",_xlfn.textafter(C90,"subj"),"_",TEXT(B90,"mm\_dd\_yy"))</f>
        <v>#NAME?</v>
      </c>
      <c r="B90" s="31" t="n">
        <v>43522</v>
      </c>
      <c r="C90" s="0" t="s">
        <v>552</v>
      </c>
      <c r="D90" s="75" t="e">
        <f aca="false">INDEX(#REF!,MATCH(C90, #REF!,0),1)</f>
        <v>#VALUE!</v>
      </c>
      <c r="F90" s="57" t="s">
        <v>526</v>
      </c>
      <c r="H90" s="0" t="s">
        <v>5410</v>
      </c>
      <c r="J90" s="0" t="s">
        <v>5180</v>
      </c>
      <c r="L90" s="0" t="s">
        <v>1049</v>
      </c>
      <c r="M90" s="0" t="s">
        <v>5420</v>
      </c>
      <c r="N90" s="71" t="s">
        <v>487</v>
      </c>
      <c r="O90" s="0" t="s">
        <v>487</v>
      </c>
      <c r="P90" s="0" t="s">
        <v>5427</v>
      </c>
      <c r="Q90" s="0" t="s">
        <v>487</v>
      </c>
      <c r="R90" s="0" t="s">
        <v>5427</v>
      </c>
      <c r="S90" s="0" t="s">
        <v>558</v>
      </c>
      <c r="T90" s="0" t="s">
        <v>5427</v>
      </c>
      <c r="U90" s="0" t="s">
        <v>5427</v>
      </c>
      <c r="V90" s="0" t="s">
        <v>5427</v>
      </c>
      <c r="W90" s="0" t="s">
        <v>5427</v>
      </c>
      <c r="X90" s="0" t="s">
        <v>487</v>
      </c>
      <c r="Y90" s="0" t="s">
        <v>5427</v>
      </c>
      <c r="Z90" s="0" t="s">
        <v>5427</v>
      </c>
      <c r="AA90" s="0" t="s">
        <v>487</v>
      </c>
      <c r="AB90" s="0" t="s">
        <v>5427</v>
      </c>
      <c r="AC90" s="0" t="s">
        <v>5427</v>
      </c>
      <c r="AD90" s="0" t="s">
        <v>558</v>
      </c>
    </row>
    <row r="91" customFormat="false" ht="15" hidden="false" customHeight="false" outlineLevel="0" collapsed="false">
      <c r="A91" s="0" t="e">
        <f aca="false">_xlfn.CONCAT("path_",_xlfn.textafter(C91,"subj"),"_",TEXT(B91,"mm\_dd\_yy"))</f>
        <v>#NAME?</v>
      </c>
      <c r="B91" s="31" t="n">
        <v>43369</v>
      </c>
      <c r="C91" s="0" t="s">
        <v>556</v>
      </c>
      <c r="D91" s="75" t="e">
        <f aca="false">INDEX(#REF!,MATCH(C91, #REF!,0),1)</f>
        <v>#VALUE!</v>
      </c>
      <c r="F91" s="76" t="e">
        <f aca="false">INDEX(participants!K:K,MATCH(C91, participants!A:A,0),1)</f>
        <v>#N/A</v>
      </c>
      <c r="H91" s="0" t="s">
        <v>5414</v>
      </c>
      <c r="J91" s="0" t="s">
        <v>5176</v>
      </c>
      <c r="L91" s="0" t="s">
        <v>1049</v>
      </c>
      <c r="M91" s="0" t="s">
        <v>5487</v>
      </c>
      <c r="N91" s="71" t="s">
        <v>558</v>
      </c>
      <c r="O91" s="71" t="s">
        <v>558</v>
      </c>
      <c r="P91" s="71" t="s">
        <v>558</v>
      </c>
      <c r="Q91" s="71" t="s">
        <v>558</v>
      </c>
      <c r="R91" s="0" t="s">
        <v>5427</v>
      </c>
      <c r="S91" s="0" t="s">
        <v>558</v>
      </c>
      <c r="T91" s="0" t="s">
        <v>5418</v>
      </c>
      <c r="U91" s="0" t="s">
        <v>5427</v>
      </c>
      <c r="V91" s="0" t="s">
        <v>5412</v>
      </c>
      <c r="W91" s="0" t="s">
        <v>5427</v>
      </c>
      <c r="X91" s="0" t="s">
        <v>5427</v>
      </c>
      <c r="Y91" s="0" t="s">
        <v>5427</v>
      </c>
      <c r="Z91" s="0" t="s">
        <v>5427</v>
      </c>
      <c r="AA91" s="0" t="s">
        <v>5427</v>
      </c>
      <c r="AB91" s="0" t="s">
        <v>5427</v>
      </c>
      <c r="AC91" s="0" t="s">
        <v>5427</v>
      </c>
      <c r="AD91" s="0" t="s">
        <v>558</v>
      </c>
    </row>
    <row r="92" customFormat="false" ht="15" hidden="false" customHeight="false" outlineLevel="0" collapsed="false">
      <c r="A92" s="0" t="e">
        <f aca="false">_xlfn.CONCAT("path_",_xlfn.textafter(C92,"subj"),"_",TEXT(B92,"mm\_dd\_yy"))</f>
        <v>#NAME?</v>
      </c>
      <c r="B92" s="31" t="n">
        <v>43369</v>
      </c>
      <c r="C92" s="0" t="s">
        <v>556</v>
      </c>
      <c r="D92" s="75" t="e">
        <f aca="false">INDEX(#REF!,MATCH(C92, #REF!,0),1)</f>
        <v>#VALUE!</v>
      </c>
      <c r="F92" s="76" t="e">
        <f aca="false">INDEX(participants!K:K,MATCH(C92, participants!A:A,0),1)</f>
        <v>#N/A</v>
      </c>
      <c r="H92" s="0" t="s">
        <v>5414</v>
      </c>
      <c r="J92" s="0" t="s">
        <v>5496</v>
      </c>
      <c r="L92" s="0" t="s">
        <v>1049</v>
      </c>
      <c r="M92" s="0" t="s">
        <v>5497</v>
      </c>
      <c r="N92" s="71" t="s">
        <v>558</v>
      </c>
      <c r="O92" s="71" t="s">
        <v>558</v>
      </c>
      <c r="P92" s="71" t="s">
        <v>558</v>
      </c>
      <c r="Q92" s="71" t="s">
        <v>558</v>
      </c>
      <c r="R92" s="0" t="s">
        <v>5427</v>
      </c>
      <c r="S92" s="0" t="s">
        <v>558</v>
      </c>
      <c r="T92" s="0" t="s">
        <v>5427</v>
      </c>
      <c r="U92" s="0" t="s">
        <v>5427</v>
      </c>
      <c r="V92" s="0" t="s">
        <v>5427</v>
      </c>
      <c r="W92" s="0" t="s">
        <v>5427</v>
      </c>
      <c r="X92" s="0" t="s">
        <v>5427</v>
      </c>
      <c r="Y92" s="0" t="s">
        <v>5427</v>
      </c>
      <c r="Z92" s="0" t="s">
        <v>5427</v>
      </c>
      <c r="AA92" s="0" t="s">
        <v>5427</v>
      </c>
      <c r="AB92" s="0" t="s">
        <v>5427</v>
      </c>
      <c r="AC92" s="0" t="s">
        <v>5427</v>
      </c>
      <c r="AD92" s="0" t="s">
        <v>558</v>
      </c>
    </row>
    <row r="93" customFormat="false" ht="15" hidden="false" customHeight="false" outlineLevel="0" collapsed="false">
      <c r="A93" s="0" t="e">
        <f aca="false">_xlfn.CONCAT("path_",_xlfn.textafter(C93,"subj"),"_",TEXT(B93,"mm\_dd\_yy"))</f>
        <v>#NAME?</v>
      </c>
      <c r="B93" s="31" t="n">
        <v>43369</v>
      </c>
      <c r="C93" s="0" t="s">
        <v>556</v>
      </c>
      <c r="D93" s="75" t="e">
        <f aca="false">INDEX(#REF!,MATCH(C93, #REF!,0),1)</f>
        <v>#VALUE!</v>
      </c>
      <c r="F93" s="76" t="e">
        <f aca="false">INDEX(participants!K:K,MATCH(C93, participants!A:A,0),1)</f>
        <v>#N/A</v>
      </c>
      <c r="H93" s="0" t="s">
        <v>5414</v>
      </c>
      <c r="J93" s="0" t="s">
        <v>5496</v>
      </c>
      <c r="L93" s="0" t="s">
        <v>1049</v>
      </c>
      <c r="M93" s="0" t="s">
        <v>5497</v>
      </c>
      <c r="N93" s="71" t="s">
        <v>558</v>
      </c>
      <c r="O93" s="71" t="s">
        <v>558</v>
      </c>
      <c r="P93" s="71" t="s">
        <v>558</v>
      </c>
      <c r="Q93" s="71" t="s">
        <v>558</v>
      </c>
      <c r="R93" s="0" t="s">
        <v>5427</v>
      </c>
      <c r="S93" s="0" t="s">
        <v>558</v>
      </c>
      <c r="T93" s="0" t="s">
        <v>5427</v>
      </c>
      <c r="U93" s="0" t="s">
        <v>5427</v>
      </c>
      <c r="V93" s="0" t="s">
        <v>5427</v>
      </c>
      <c r="W93" s="0" t="s">
        <v>5427</v>
      </c>
      <c r="X93" s="0" t="s">
        <v>5427</v>
      </c>
      <c r="Y93" s="0" t="s">
        <v>5427</v>
      </c>
      <c r="Z93" s="0" t="s">
        <v>5427</v>
      </c>
      <c r="AA93" s="0" t="s">
        <v>5427</v>
      </c>
      <c r="AB93" s="0" t="s">
        <v>5427</v>
      </c>
      <c r="AC93" s="0" t="s">
        <v>5427</v>
      </c>
      <c r="AD93" s="0" t="s">
        <v>558</v>
      </c>
    </row>
    <row r="94" customFormat="false" ht="15" hidden="false" customHeight="false" outlineLevel="0" collapsed="false">
      <c r="A94" s="0" t="e">
        <f aca="false">_xlfn.CONCAT("path_",_xlfn.textafter(C94,"subj"),"_",TEXT(B94,"mm\_dd\_yy"))</f>
        <v>#NAME?</v>
      </c>
      <c r="B94" s="31" t="n">
        <v>43369</v>
      </c>
      <c r="C94" s="0" t="s">
        <v>556</v>
      </c>
      <c r="D94" s="75" t="e">
        <f aca="false">INDEX(#REF!,MATCH(C94, #REF!,0),1)</f>
        <v>#VALUE!</v>
      </c>
      <c r="F94" s="76" t="e">
        <f aca="false">INDEX(participants!K:K,MATCH(C94, participants!A:A,0),1)</f>
        <v>#N/A</v>
      </c>
      <c r="H94" s="0" t="s">
        <v>5414</v>
      </c>
      <c r="J94" s="0" t="s">
        <v>5496</v>
      </c>
      <c r="L94" s="0" t="s">
        <v>1049</v>
      </c>
      <c r="M94" s="0" t="s">
        <v>5497</v>
      </c>
      <c r="N94" s="71" t="s">
        <v>558</v>
      </c>
      <c r="O94" s="71" t="s">
        <v>558</v>
      </c>
      <c r="P94" s="71" t="s">
        <v>558</v>
      </c>
      <c r="Q94" s="71" t="s">
        <v>558</v>
      </c>
      <c r="R94" s="0" t="s">
        <v>5427</v>
      </c>
      <c r="S94" s="0" t="s">
        <v>558</v>
      </c>
      <c r="T94" s="0" t="s">
        <v>5427</v>
      </c>
      <c r="U94" s="0" t="s">
        <v>5427</v>
      </c>
      <c r="V94" s="0" t="s">
        <v>5427</v>
      </c>
      <c r="W94" s="0" t="s">
        <v>5427</v>
      </c>
      <c r="X94" s="0" t="s">
        <v>5427</v>
      </c>
      <c r="Y94" s="0" t="s">
        <v>5427</v>
      </c>
      <c r="Z94" s="0" t="s">
        <v>5427</v>
      </c>
      <c r="AA94" s="0" t="s">
        <v>5427</v>
      </c>
      <c r="AB94" s="0" t="s">
        <v>5427</v>
      </c>
      <c r="AC94" s="0" t="s">
        <v>5427</v>
      </c>
      <c r="AD94" s="0" t="s">
        <v>558</v>
      </c>
    </row>
    <row r="95" customFormat="false" ht="15" hidden="false" customHeight="false" outlineLevel="0" collapsed="false">
      <c r="A95" s="0" t="e">
        <f aca="false">_xlfn.CONCAT("path_",_xlfn.textafter(C95,"subj"),"_",TEXT(B95,"mm\_dd\_yy"))</f>
        <v>#NAME?</v>
      </c>
      <c r="B95" s="31" t="n">
        <v>43369</v>
      </c>
      <c r="C95" s="0" t="s">
        <v>556</v>
      </c>
      <c r="D95" s="75" t="e">
        <f aca="false">INDEX(#REF!,MATCH(C95, #REF!,0),1)</f>
        <v>#VALUE!</v>
      </c>
      <c r="F95" s="76" t="e">
        <f aca="false">INDEX(participants!K:K,MATCH(C95, participants!A:A,0),1)</f>
        <v>#N/A</v>
      </c>
      <c r="H95" s="0" t="s">
        <v>5414</v>
      </c>
      <c r="J95" s="0" t="s">
        <v>5498</v>
      </c>
      <c r="L95" s="0" t="s">
        <v>1049</v>
      </c>
      <c r="M95" s="0" t="s">
        <v>5494</v>
      </c>
      <c r="N95" s="71" t="s">
        <v>558</v>
      </c>
      <c r="O95" s="71" t="s">
        <v>558</v>
      </c>
      <c r="P95" s="71" t="s">
        <v>558</v>
      </c>
      <c r="Q95" s="71" t="s">
        <v>558</v>
      </c>
      <c r="R95" s="0" t="s">
        <v>5427</v>
      </c>
      <c r="S95" s="0" t="s">
        <v>558</v>
      </c>
      <c r="T95" s="0" t="s">
        <v>5427</v>
      </c>
      <c r="U95" s="0" t="s">
        <v>5427</v>
      </c>
      <c r="V95" s="0" t="s">
        <v>5427</v>
      </c>
      <c r="W95" s="0" t="s">
        <v>5427</v>
      </c>
      <c r="X95" s="0" t="s">
        <v>5427</v>
      </c>
      <c r="Y95" s="0" t="s">
        <v>5427</v>
      </c>
      <c r="Z95" s="0" t="s">
        <v>5427</v>
      </c>
      <c r="AA95" s="0" t="s">
        <v>5427</v>
      </c>
      <c r="AB95" s="0" t="s">
        <v>5427</v>
      </c>
      <c r="AC95" s="0" t="s">
        <v>5427</v>
      </c>
      <c r="AD95" s="0" t="s">
        <v>558</v>
      </c>
    </row>
    <row r="96" customFormat="false" ht="15" hidden="false" customHeight="false" outlineLevel="0" collapsed="false">
      <c r="A96" s="0" t="e">
        <f aca="false">_xlfn.CONCAT("path_",_xlfn.textafter(C96,"subj"),"_",TEXT(B96,"mm\_dd\_yy"))</f>
        <v>#NAME?</v>
      </c>
      <c r="B96" s="0" t="s">
        <v>689</v>
      </c>
      <c r="C96" s="0" t="s">
        <v>561</v>
      </c>
      <c r="D96" s="75" t="e">
        <f aca="false">INDEX(#REF!,MATCH(C96, #REF!,0),1)</f>
        <v>#VALUE!</v>
      </c>
      <c r="F96" s="76" t="e">
        <f aca="false">INDEX(participants!K:K,MATCH(C96, participants!A:A,0),1)</f>
        <v>#N/A</v>
      </c>
      <c r="L96" s="0" t="s">
        <v>1049</v>
      </c>
    </row>
    <row r="97" customFormat="false" ht="15" hidden="false" customHeight="false" outlineLevel="0" collapsed="false">
      <c r="A97" s="0" t="e">
        <f aca="false">_xlfn.CONCAT("path_",_xlfn.textafter(C97,"subj"),"_",TEXT(B97,"mm\_dd\_yy"))</f>
        <v>#NAME?</v>
      </c>
      <c r="B97" s="31" t="n">
        <v>43046</v>
      </c>
      <c r="C97" s="0" t="s">
        <v>564</v>
      </c>
      <c r="D97" s="75" t="e">
        <f aca="false">INDEX(#REF!,MATCH(C97, #REF!,0),1)</f>
        <v>#VALUE!</v>
      </c>
      <c r="F97" s="76" t="e">
        <f aca="false">INDEX(participants!K:K,MATCH(C97, participants!A:A,0),1)</f>
        <v>#N/A</v>
      </c>
      <c r="H97" s="0" t="s">
        <v>5414</v>
      </c>
      <c r="J97" s="0" t="s">
        <v>5180</v>
      </c>
      <c r="L97" s="0" t="s">
        <v>1049</v>
      </c>
      <c r="M97" s="0" t="s">
        <v>5420</v>
      </c>
      <c r="N97" s="71" t="s">
        <v>558</v>
      </c>
      <c r="O97" s="71" t="s">
        <v>558</v>
      </c>
      <c r="P97" s="71" t="s">
        <v>558</v>
      </c>
      <c r="Q97" s="71" t="s">
        <v>558</v>
      </c>
      <c r="R97" s="0" t="s">
        <v>5427</v>
      </c>
      <c r="S97" s="0" t="s">
        <v>558</v>
      </c>
      <c r="T97" s="0" t="s">
        <v>5427</v>
      </c>
      <c r="U97" s="0" t="s">
        <v>5427</v>
      </c>
      <c r="V97" s="0" t="s">
        <v>5427</v>
      </c>
      <c r="W97" s="0" t="s">
        <v>5427</v>
      </c>
      <c r="X97" s="0" t="s">
        <v>5427</v>
      </c>
      <c r="Y97" s="0" t="s">
        <v>5427</v>
      </c>
      <c r="Z97" s="0" t="s">
        <v>5427</v>
      </c>
      <c r="AA97" s="0" t="s">
        <v>5427</v>
      </c>
      <c r="AB97" s="0" t="s">
        <v>5427</v>
      </c>
      <c r="AC97" s="0" t="s">
        <v>5427</v>
      </c>
      <c r="AD97" s="0" t="s">
        <v>558</v>
      </c>
    </row>
    <row r="98" customFormat="false" ht="15" hidden="false" customHeight="false" outlineLevel="0" collapsed="false">
      <c r="A98" s="0" t="e">
        <f aca="false">_xlfn.CONCAT("path_",_xlfn.textafter(C98,"subj"),"_",TEXT(B98,"mm\_dd\_yy"))</f>
        <v>#NAME?</v>
      </c>
      <c r="B98" s="31" t="n">
        <v>43046</v>
      </c>
      <c r="C98" s="0" t="s">
        <v>564</v>
      </c>
      <c r="D98" s="75" t="e">
        <f aca="false">INDEX(#REF!,MATCH(C98, #REF!,0),1)</f>
        <v>#VALUE!</v>
      </c>
      <c r="F98" s="76" t="e">
        <f aca="false">INDEX(participants!K:K,MATCH(C98, participants!A:A,0),1)</f>
        <v>#N/A</v>
      </c>
      <c r="H98" s="0" t="s">
        <v>5414</v>
      </c>
      <c r="J98" s="0" t="s">
        <v>5180</v>
      </c>
      <c r="L98" s="0" t="s">
        <v>1049</v>
      </c>
      <c r="M98" s="0" t="s">
        <v>5499</v>
      </c>
      <c r="N98" s="71" t="s">
        <v>558</v>
      </c>
      <c r="O98" s="71" t="s">
        <v>558</v>
      </c>
      <c r="P98" s="71" t="s">
        <v>558</v>
      </c>
      <c r="Q98" s="71" t="s">
        <v>558</v>
      </c>
      <c r="R98" s="0" t="s">
        <v>5427</v>
      </c>
      <c r="S98" s="0" t="s">
        <v>558</v>
      </c>
      <c r="T98" s="0" t="s">
        <v>5427</v>
      </c>
      <c r="U98" s="0" t="s">
        <v>5427</v>
      </c>
      <c r="V98" s="0" t="s">
        <v>5427</v>
      </c>
      <c r="W98" s="0" t="s">
        <v>5427</v>
      </c>
      <c r="X98" s="0" t="s">
        <v>5427</v>
      </c>
      <c r="Y98" s="0" t="s">
        <v>5427</v>
      </c>
      <c r="Z98" s="0" t="s">
        <v>5427</v>
      </c>
      <c r="AA98" s="0" t="s">
        <v>5427</v>
      </c>
      <c r="AB98" s="0" t="s">
        <v>5427</v>
      </c>
      <c r="AC98" s="0" t="s">
        <v>5427</v>
      </c>
      <c r="AD98" s="0" t="s">
        <v>558</v>
      </c>
    </row>
    <row r="99" customFormat="false" ht="15" hidden="false" customHeight="false" outlineLevel="0" collapsed="false">
      <c r="A99" s="0" t="e">
        <f aca="false">_xlfn.CONCAT("path_",_xlfn.textafter(C99,"subj"),"_",TEXT(B99,"mm\_dd\_yy"))</f>
        <v>#NAME?</v>
      </c>
      <c r="B99" s="31" t="n">
        <v>43046</v>
      </c>
      <c r="C99" s="0" t="s">
        <v>564</v>
      </c>
      <c r="D99" s="75" t="e">
        <f aca="false">INDEX(#REF!,MATCH(C99, #REF!,0),1)</f>
        <v>#VALUE!</v>
      </c>
      <c r="F99" s="76" t="e">
        <f aca="false">INDEX(participants!K:K,MATCH(C99, participants!A:A,0),1)</f>
        <v>#N/A</v>
      </c>
      <c r="H99" s="0" t="s">
        <v>5414</v>
      </c>
      <c r="J99" s="0" t="s">
        <v>5180</v>
      </c>
      <c r="L99" s="0" t="s">
        <v>1049</v>
      </c>
      <c r="M99" s="0" t="s">
        <v>5499</v>
      </c>
      <c r="N99" s="71" t="s">
        <v>558</v>
      </c>
      <c r="O99" s="71" t="s">
        <v>558</v>
      </c>
      <c r="P99" s="71" t="s">
        <v>558</v>
      </c>
      <c r="Q99" s="71" t="s">
        <v>558</v>
      </c>
      <c r="R99" s="0" t="s">
        <v>5427</v>
      </c>
      <c r="S99" s="0" t="s">
        <v>558</v>
      </c>
      <c r="T99" s="0" t="s">
        <v>5427</v>
      </c>
      <c r="U99" s="0" t="s">
        <v>5427</v>
      </c>
      <c r="V99" s="0" t="s">
        <v>5427</v>
      </c>
      <c r="W99" s="0" t="s">
        <v>5427</v>
      </c>
      <c r="X99" s="0" t="s">
        <v>5427</v>
      </c>
      <c r="Y99" s="0" t="s">
        <v>5427</v>
      </c>
      <c r="Z99" s="0" t="s">
        <v>5427</v>
      </c>
      <c r="AA99" s="0" t="s">
        <v>5427</v>
      </c>
      <c r="AB99" s="0" t="s">
        <v>5427</v>
      </c>
      <c r="AC99" s="0" t="s">
        <v>5427</v>
      </c>
      <c r="AD99" s="0" t="s">
        <v>558</v>
      </c>
    </row>
    <row r="100" customFormat="false" ht="15" hidden="false" customHeight="false" outlineLevel="0" collapsed="false">
      <c r="A100" s="0" t="e">
        <f aca="false">_xlfn.CONCAT("path_",_xlfn.textafter(C100,"subj"),"_",TEXT(B100,"mm\_dd\_yy"))</f>
        <v>#NAME?</v>
      </c>
      <c r="B100" s="31" t="n">
        <v>43159</v>
      </c>
      <c r="C100" s="0" t="s">
        <v>564</v>
      </c>
      <c r="D100" s="75" t="e">
        <f aca="false">INDEX(#REF!,MATCH(C100, #REF!,0),1)</f>
        <v>#VALUE!</v>
      </c>
      <c r="F100" s="76" t="e">
        <f aca="false">INDEX(participants!K:K,MATCH(C100, participants!A:A,0),1)</f>
        <v>#N/A</v>
      </c>
      <c r="H100" s="0" t="s">
        <v>5414</v>
      </c>
      <c r="J100" s="0" t="s">
        <v>5180</v>
      </c>
      <c r="M100" s="0" t="s">
        <v>5500</v>
      </c>
      <c r="N100" s="71" t="s">
        <v>558</v>
      </c>
      <c r="O100" s="0" t="s">
        <v>5501</v>
      </c>
      <c r="P100" s="0" t="s">
        <v>511</v>
      </c>
      <c r="Q100" s="0" t="s">
        <v>558</v>
      </c>
      <c r="R100" s="0" t="s">
        <v>5427</v>
      </c>
      <c r="S100" s="0" t="s">
        <v>558</v>
      </c>
      <c r="T100" s="0" t="s">
        <v>5427</v>
      </c>
      <c r="U100" s="0" t="s">
        <v>5427</v>
      </c>
      <c r="V100" s="0" t="s">
        <v>5427</v>
      </c>
      <c r="W100" s="0" t="s">
        <v>5427</v>
      </c>
      <c r="X100" s="0" t="s">
        <v>5427</v>
      </c>
      <c r="Y100" s="0" t="s">
        <v>5427</v>
      </c>
      <c r="Z100" s="0" t="s">
        <v>5412</v>
      </c>
      <c r="AA100" s="0" t="s">
        <v>5412</v>
      </c>
      <c r="AB100" s="0" t="s">
        <v>5427</v>
      </c>
      <c r="AC100" s="0" t="s">
        <v>5427</v>
      </c>
      <c r="AD100" s="0" t="s">
        <v>511</v>
      </c>
      <c r="AF100" s="0" t="s">
        <v>5413</v>
      </c>
    </row>
    <row r="101" customFormat="false" ht="15" hidden="false" customHeight="false" outlineLevel="0" collapsed="false">
      <c r="A101" s="0" t="e">
        <f aca="false">_xlfn.CONCAT("path_",_xlfn.textafter(C101,"subj"),"_",TEXT(B101,"mm\_dd\_yy"))</f>
        <v>#NAME?</v>
      </c>
      <c r="B101" s="31" t="n">
        <v>43221</v>
      </c>
      <c r="C101" s="0" t="s">
        <v>564</v>
      </c>
      <c r="D101" s="75" t="e">
        <f aca="false">INDEX(#REF!,MATCH(C101, #REF!,0),1)</f>
        <v>#VALUE!</v>
      </c>
      <c r="F101" s="76" t="e">
        <f aca="false">INDEX(participants!K:K,MATCH(C101, participants!A:A,0),1)</f>
        <v>#N/A</v>
      </c>
      <c r="H101" s="0" t="s">
        <v>5410</v>
      </c>
      <c r="J101" s="0" t="s">
        <v>5176</v>
      </c>
      <c r="L101" s="0" t="s">
        <v>1049</v>
      </c>
      <c r="M101" s="0" t="s">
        <v>5420</v>
      </c>
      <c r="N101" s="71" t="s">
        <v>558</v>
      </c>
      <c r="O101" s="71" t="s">
        <v>558</v>
      </c>
      <c r="P101" s="71" t="s">
        <v>558</v>
      </c>
      <c r="Q101" s="71" t="s">
        <v>558</v>
      </c>
      <c r="R101" s="0" t="s">
        <v>5427</v>
      </c>
      <c r="S101" s="0" t="s">
        <v>558</v>
      </c>
      <c r="T101" s="0" t="s">
        <v>5427</v>
      </c>
      <c r="U101" s="0" t="s">
        <v>5427</v>
      </c>
      <c r="V101" s="0" t="s">
        <v>5427</v>
      </c>
      <c r="W101" s="0" t="s">
        <v>5427</v>
      </c>
      <c r="X101" s="0" t="s">
        <v>5427</v>
      </c>
      <c r="Y101" s="0" t="s">
        <v>5427</v>
      </c>
      <c r="Z101" s="0" t="s">
        <v>5427</v>
      </c>
      <c r="AA101" s="0" t="s">
        <v>5427</v>
      </c>
      <c r="AB101" s="0" t="s">
        <v>5427</v>
      </c>
      <c r="AC101" s="0" t="s">
        <v>5427</v>
      </c>
      <c r="AD101" s="0" t="s">
        <v>558</v>
      </c>
    </row>
    <row r="102" customFormat="false" ht="15" hidden="false" customHeight="false" outlineLevel="0" collapsed="false">
      <c r="A102" s="0" t="e">
        <f aca="false">_xlfn.CONCAT("path_",_xlfn.textafter(C102,"subj"),"_",TEXT(B102,"mm\_dd\_yy"))</f>
        <v>#NAME?</v>
      </c>
      <c r="B102" s="31" t="n">
        <v>43223</v>
      </c>
      <c r="C102" s="0" t="s">
        <v>564</v>
      </c>
      <c r="D102" s="75" t="e">
        <f aca="false">INDEX(#REF!,MATCH(C102, #REF!,0),1)</f>
        <v>#VALUE!</v>
      </c>
      <c r="F102" s="76" t="e">
        <f aca="false">INDEX(participants!K:K,MATCH(C102, participants!A:A,0),1)</f>
        <v>#N/A</v>
      </c>
      <c r="H102" s="0" t="s">
        <v>5410</v>
      </c>
      <c r="J102" s="0" t="s">
        <v>5180</v>
      </c>
      <c r="L102" s="0" t="s">
        <v>1049</v>
      </c>
      <c r="M102" s="0" t="s">
        <v>5420</v>
      </c>
      <c r="N102" s="71" t="s">
        <v>558</v>
      </c>
      <c r="O102" s="71" t="s">
        <v>558</v>
      </c>
      <c r="P102" s="71" t="s">
        <v>558</v>
      </c>
      <c r="Q102" s="71" t="s">
        <v>558</v>
      </c>
      <c r="R102" s="0" t="s">
        <v>5427</v>
      </c>
      <c r="S102" s="0" t="s">
        <v>558</v>
      </c>
      <c r="T102" s="0" t="s">
        <v>5427</v>
      </c>
      <c r="U102" s="0" t="s">
        <v>5427</v>
      </c>
      <c r="V102" s="0" t="s">
        <v>5427</v>
      </c>
      <c r="W102" s="0" t="s">
        <v>5427</v>
      </c>
      <c r="X102" s="0" t="s">
        <v>5427</v>
      </c>
      <c r="Y102" s="0" t="s">
        <v>5427</v>
      </c>
      <c r="Z102" s="0" t="s">
        <v>5427</v>
      </c>
      <c r="AA102" s="0" t="s">
        <v>5427</v>
      </c>
      <c r="AB102" s="0" t="s">
        <v>5427</v>
      </c>
      <c r="AC102" s="0" t="s">
        <v>5427</v>
      </c>
      <c r="AD102" s="0" t="s">
        <v>558</v>
      </c>
    </row>
    <row r="103" customFormat="false" ht="15" hidden="false" customHeight="false" outlineLevel="0" collapsed="false">
      <c r="A103" s="0" t="e">
        <f aca="false">_xlfn.CONCAT("path_",_xlfn.textafter(C103,"subj"),"_",TEXT(B103,"mm\_dd\_yy"))</f>
        <v>#NAME?</v>
      </c>
      <c r="B103" s="31" t="n">
        <v>43223</v>
      </c>
      <c r="C103" s="0" t="s">
        <v>564</v>
      </c>
      <c r="D103" s="75" t="e">
        <f aca="false">INDEX(#REF!,MATCH(C103, #REF!,0),1)</f>
        <v>#VALUE!</v>
      </c>
      <c r="F103" s="76" t="e">
        <f aca="false">INDEX(participants!K:K,MATCH(C103, participants!A:A,0),1)</f>
        <v>#N/A</v>
      </c>
      <c r="H103" s="0" t="s">
        <v>5410</v>
      </c>
      <c r="J103" s="0" t="s">
        <v>5502</v>
      </c>
      <c r="L103" s="0" t="s">
        <v>1049</v>
      </c>
      <c r="M103" s="0" t="s">
        <v>5420</v>
      </c>
      <c r="N103" s="71" t="s">
        <v>558</v>
      </c>
      <c r="O103" s="71" t="s">
        <v>558</v>
      </c>
      <c r="P103" s="71" t="s">
        <v>511</v>
      </c>
      <c r="Q103" s="71" t="s">
        <v>5465</v>
      </c>
      <c r="R103" s="0" t="s">
        <v>5427</v>
      </c>
      <c r="S103" s="0" t="s">
        <v>558</v>
      </c>
      <c r="T103" s="0" t="s">
        <v>5427</v>
      </c>
      <c r="U103" s="0" t="s">
        <v>5427</v>
      </c>
      <c r="V103" s="0" t="s">
        <v>5427</v>
      </c>
      <c r="W103" s="0" t="s">
        <v>5427</v>
      </c>
      <c r="X103" s="0" t="s">
        <v>5427</v>
      </c>
      <c r="Y103" s="0" t="s">
        <v>5427</v>
      </c>
      <c r="Z103" s="0" t="s">
        <v>5427</v>
      </c>
      <c r="AA103" s="0" t="s">
        <v>5427</v>
      </c>
      <c r="AB103" s="0" t="s">
        <v>5427</v>
      </c>
      <c r="AC103" s="0" t="s">
        <v>5427</v>
      </c>
      <c r="AD103" s="0" t="s">
        <v>558</v>
      </c>
    </row>
    <row r="104" customFormat="false" ht="15" hidden="false" customHeight="false" outlineLevel="0" collapsed="false">
      <c r="A104" s="0" t="e">
        <f aca="false">_xlfn.CONCAT("path_",_xlfn.textafter(C104,"subj"),"_",TEXT(B104,"mm\_dd\_yy"))</f>
        <v>#NAME?</v>
      </c>
      <c r="B104" s="31" t="n">
        <v>43278</v>
      </c>
      <c r="C104" s="0" t="s">
        <v>564</v>
      </c>
      <c r="D104" s="75" t="e">
        <f aca="false">INDEX(#REF!,MATCH(C104, #REF!,0),1)</f>
        <v>#VALUE!</v>
      </c>
      <c r="F104" s="76" t="e">
        <f aca="false">INDEX(participants!K:K,MATCH(C104, participants!A:A,0),1)</f>
        <v>#N/A</v>
      </c>
      <c r="H104" s="0" t="s">
        <v>5410</v>
      </c>
      <c r="J104" s="0" t="s">
        <v>5180</v>
      </c>
      <c r="L104" s="0" t="s">
        <v>1049</v>
      </c>
      <c r="M104" s="0" t="s">
        <v>5420</v>
      </c>
      <c r="N104" s="71" t="s">
        <v>558</v>
      </c>
      <c r="O104" s="71" t="s">
        <v>558</v>
      </c>
      <c r="P104" s="71" t="s">
        <v>511</v>
      </c>
      <c r="Q104" s="71" t="s">
        <v>5465</v>
      </c>
      <c r="R104" s="0" t="s">
        <v>5427</v>
      </c>
      <c r="S104" s="0" t="s">
        <v>558</v>
      </c>
      <c r="T104" s="0" t="s">
        <v>5427</v>
      </c>
      <c r="U104" s="0" t="s">
        <v>5427</v>
      </c>
      <c r="V104" s="0" t="s">
        <v>5427</v>
      </c>
      <c r="W104" s="0" t="s">
        <v>5427</v>
      </c>
      <c r="X104" s="0" t="s">
        <v>5427</v>
      </c>
      <c r="Y104" s="0" t="s">
        <v>5427</v>
      </c>
      <c r="Z104" s="0" t="s">
        <v>5427</v>
      </c>
      <c r="AA104" s="0" t="s">
        <v>5427</v>
      </c>
      <c r="AB104" s="0" t="s">
        <v>5427</v>
      </c>
      <c r="AC104" s="0" t="s">
        <v>5427</v>
      </c>
      <c r="AD104" s="0" t="s">
        <v>558</v>
      </c>
    </row>
    <row r="105" customFormat="false" ht="15" hidden="false" customHeight="false" outlineLevel="0" collapsed="false">
      <c r="A105" s="0" t="e">
        <f aca="false">_xlfn.CONCAT("path_",_xlfn.textafter(C105,"subj"),"_",TEXT(B105,"mm\_dd\_yy"))</f>
        <v>#NAME?</v>
      </c>
      <c r="B105" s="31" t="n">
        <v>43278</v>
      </c>
      <c r="C105" s="0" t="s">
        <v>564</v>
      </c>
      <c r="D105" s="75" t="e">
        <f aca="false">INDEX(#REF!,MATCH(C105, #REF!,0),1)</f>
        <v>#VALUE!</v>
      </c>
      <c r="F105" s="76" t="e">
        <f aca="false">INDEX(participants!K:K,MATCH(C105, participants!A:A,0),1)</f>
        <v>#N/A</v>
      </c>
      <c r="H105" s="0" t="s">
        <v>5410</v>
      </c>
      <c r="J105" s="0" t="s">
        <v>5502</v>
      </c>
      <c r="L105" s="0" t="s">
        <v>1049</v>
      </c>
      <c r="M105" s="0" t="s">
        <v>5420</v>
      </c>
      <c r="N105" s="71" t="s">
        <v>558</v>
      </c>
      <c r="O105" s="71" t="s">
        <v>558</v>
      </c>
      <c r="P105" s="71" t="s">
        <v>558</v>
      </c>
      <c r="Q105" s="71" t="s">
        <v>558</v>
      </c>
      <c r="R105" s="0" t="s">
        <v>5427</v>
      </c>
      <c r="S105" s="0" t="s">
        <v>558</v>
      </c>
      <c r="T105" s="0" t="s">
        <v>5427</v>
      </c>
      <c r="U105" s="0" t="s">
        <v>5427</v>
      </c>
      <c r="V105" s="0" t="s">
        <v>5427</v>
      </c>
      <c r="W105" s="0" t="s">
        <v>5427</v>
      </c>
      <c r="X105" s="0" t="s">
        <v>5427</v>
      </c>
      <c r="Y105" s="0" t="s">
        <v>5427</v>
      </c>
      <c r="Z105" s="0" t="s">
        <v>5427</v>
      </c>
      <c r="AA105" s="0" t="s">
        <v>5427</v>
      </c>
      <c r="AB105" s="0" t="s">
        <v>5427</v>
      </c>
      <c r="AC105" s="0" t="s">
        <v>5427</v>
      </c>
      <c r="AD105" s="0" t="s">
        <v>558</v>
      </c>
    </row>
    <row r="106" customFormat="false" ht="15" hidden="false" customHeight="false" outlineLevel="0" collapsed="false">
      <c r="A106" s="0" t="e">
        <f aca="false">_xlfn.CONCAT("path_",_xlfn.textafter(C106,"subj"),"_",TEXT(B106,"mm\_dd\_yy"))</f>
        <v>#NAME?</v>
      </c>
      <c r="B106" s="0" t="s">
        <v>689</v>
      </c>
      <c r="C106" s="0" t="s">
        <v>568</v>
      </c>
      <c r="D106" s="75" t="e">
        <f aca="false">INDEX(#REF!,MATCH(C106, #REF!,0),1)</f>
        <v>#VALUE!</v>
      </c>
      <c r="F106" s="76" t="e">
        <f aca="false">INDEX(participants!K:K,MATCH(C106, participants!A:A,0),1)</f>
        <v>#N/A</v>
      </c>
      <c r="L106" s="0" t="s">
        <v>1049</v>
      </c>
    </row>
    <row r="107" customFormat="false" ht="15" hidden="false" customHeight="false" outlineLevel="0" collapsed="false">
      <c r="A107" s="0" t="e">
        <f aca="false">_xlfn.CONCAT("path_",_xlfn.textafter(C107,"subj"),"_",TEXT(B107,"mm\_dd\_yy"))</f>
        <v>#NAME?</v>
      </c>
      <c r="B107" s="0" t="s">
        <v>689</v>
      </c>
      <c r="C107" s="0" t="s">
        <v>571</v>
      </c>
      <c r="D107" s="75" t="e">
        <f aca="false">INDEX(#REF!,MATCH(C107, #REF!,0),1)</f>
        <v>#VALUE!</v>
      </c>
      <c r="F107" s="76" t="e">
        <f aca="false">INDEX(participants!K:K,MATCH(C107, participants!A:A,0),1)</f>
        <v>#N/A</v>
      </c>
      <c r="L107" s="0" t="s">
        <v>1049</v>
      </c>
    </row>
    <row r="108" customFormat="false" ht="23.85" hidden="false" customHeight="false" outlineLevel="0" collapsed="false">
      <c r="A108" s="0" t="e">
        <f aca="false">_xlfn.CONCAT("path_",_xlfn.textafter(C108,"subj"),"_",TEXT(B108,"mm\_dd\_yy"))</f>
        <v>#NAME?</v>
      </c>
      <c r="B108" s="31" t="n">
        <v>43021</v>
      </c>
      <c r="C108" s="0" t="s">
        <v>575</v>
      </c>
      <c r="D108" s="75" t="e">
        <f aca="false">INDEX(#REF!,MATCH(C108, #REF!,0),1)</f>
        <v>#VALUE!</v>
      </c>
      <c r="F108" s="76" t="e">
        <f aca="false">INDEX(participants!K:K,MATCH(C108, participants!A:A,0),1)</f>
        <v>#N/A</v>
      </c>
      <c r="H108" s="0" t="s">
        <v>5410</v>
      </c>
      <c r="J108" s="0" t="s">
        <v>5502</v>
      </c>
      <c r="L108" s="0" t="s">
        <v>5503</v>
      </c>
      <c r="M108" s="96" t="s">
        <v>5504</v>
      </c>
      <c r="N108" s="71" t="s">
        <v>558</v>
      </c>
      <c r="O108" s="0" t="s">
        <v>558</v>
      </c>
      <c r="P108" s="0" t="s">
        <v>511</v>
      </c>
      <c r="Q108" s="0" t="s">
        <v>5465</v>
      </c>
      <c r="R108" s="0" t="s">
        <v>5427</v>
      </c>
      <c r="S108" s="0" t="s">
        <v>558</v>
      </c>
      <c r="T108" s="0" t="s">
        <v>5427</v>
      </c>
      <c r="U108" s="0" t="s">
        <v>5427</v>
      </c>
      <c r="V108" s="0" t="s">
        <v>5427</v>
      </c>
      <c r="W108" s="0" t="s">
        <v>5427</v>
      </c>
      <c r="X108" s="0" t="s">
        <v>5427</v>
      </c>
      <c r="Y108" s="0" t="s">
        <v>5427</v>
      </c>
      <c r="Z108" s="0" t="s">
        <v>5427</v>
      </c>
      <c r="AA108" s="0" t="s">
        <v>5427</v>
      </c>
      <c r="AB108" s="0" t="s">
        <v>5427</v>
      </c>
      <c r="AC108" s="0" t="s">
        <v>5427</v>
      </c>
      <c r="AD108" s="0" t="s">
        <v>558</v>
      </c>
    </row>
    <row r="109" customFormat="false" ht="15" hidden="false" customHeight="false" outlineLevel="0" collapsed="false">
      <c r="A109" s="0" t="e">
        <f aca="false">_xlfn.CONCAT("path_",_xlfn.textafter(C109,"subj"),"_",TEXT(B109,"mm\_dd\_yy"))</f>
        <v>#NAME?</v>
      </c>
      <c r="B109" s="31" t="n">
        <v>43077</v>
      </c>
      <c r="C109" s="0" t="s">
        <v>575</v>
      </c>
      <c r="D109" s="75" t="e">
        <f aca="false">INDEX(#REF!,MATCH(C109, #REF!,0),1)</f>
        <v>#VALUE!</v>
      </c>
      <c r="F109" s="57" t="s">
        <v>526</v>
      </c>
      <c r="H109" s="0" t="s">
        <v>5410</v>
      </c>
      <c r="J109" s="0" t="s">
        <v>5502</v>
      </c>
      <c r="L109" s="0" t="s">
        <v>5503</v>
      </c>
      <c r="M109" s="0" t="s">
        <v>5505</v>
      </c>
      <c r="N109" s="71" t="s">
        <v>558</v>
      </c>
      <c r="O109" s="0" t="s">
        <v>558</v>
      </c>
      <c r="P109" s="0" t="s">
        <v>511</v>
      </c>
      <c r="Q109" s="0" t="s">
        <v>5506</v>
      </c>
      <c r="R109" s="0" t="s">
        <v>5427</v>
      </c>
      <c r="S109" s="0" t="s">
        <v>558</v>
      </c>
      <c r="T109" s="0" t="s">
        <v>5427</v>
      </c>
      <c r="U109" s="0" t="s">
        <v>5427</v>
      </c>
      <c r="V109" s="0" t="s">
        <v>5427</v>
      </c>
      <c r="W109" s="0" t="s">
        <v>5427</v>
      </c>
      <c r="X109" s="0" t="s">
        <v>5427</v>
      </c>
      <c r="Y109" s="0" t="s">
        <v>5427</v>
      </c>
      <c r="Z109" s="0" t="s">
        <v>5427</v>
      </c>
      <c r="AA109" s="0" t="s">
        <v>5427</v>
      </c>
      <c r="AB109" s="0" t="s">
        <v>5427</v>
      </c>
      <c r="AC109" s="0" t="s">
        <v>5427</v>
      </c>
      <c r="AD109" s="0" t="s">
        <v>558</v>
      </c>
    </row>
    <row r="110" customFormat="false" ht="15" hidden="false" customHeight="false" outlineLevel="0" collapsed="false">
      <c r="A110" s="0" t="e">
        <f aca="false">_xlfn.CONCAT("path_",_xlfn.textafter(C110,"subj"),"_",TEXT(B110,"mm\_dd\_yy"))</f>
        <v>#NAME?</v>
      </c>
      <c r="B110" s="0" t="s">
        <v>689</v>
      </c>
      <c r="C110" s="0" t="s">
        <v>578</v>
      </c>
      <c r="D110" s="75" t="e">
        <f aca="false">INDEX(#REF!,MATCH(C110, #REF!,0),1)</f>
        <v>#VALUE!</v>
      </c>
      <c r="F110" s="76" t="e">
        <f aca="false">INDEX(participants!K:K,MATCH(C110, participants!A:A,0),1)</f>
        <v>#N/A</v>
      </c>
      <c r="L110" s="0" t="s">
        <v>1049</v>
      </c>
    </row>
    <row r="111" customFormat="false" ht="13.8" hidden="false" customHeight="false" outlineLevel="0" collapsed="false">
      <c r="A111" s="0" t="e">
        <f aca="false">_xlfn.CONCAT("path_",_xlfn.textafter(C111,"subj"),"_",TEXT(B111,"mm\_dd\_yy"))</f>
        <v>#NAME?</v>
      </c>
      <c r="B111" s="31" t="n">
        <v>44323</v>
      </c>
      <c r="C111" s="0" t="s">
        <v>582</v>
      </c>
      <c r="D111" s="8" t="e">
        <f aca="false">_xlfn.CONCAT("path_",_xlfn.textafter(G111,"subj"),"_",TEXT(F111,"mm\_dd\_yy"))</f>
        <v>#NAME?</v>
      </c>
      <c r="E111" s="0" t="s">
        <v>5507</v>
      </c>
      <c r="F111" s="31" t="n">
        <v>44324</v>
      </c>
      <c r="G111" s="0" t="s">
        <v>587</v>
      </c>
      <c r="H111" s="0" t="e">
        <f aca="false">_xlfn.CONCAT("path_",_xlfn.textafter(K111,"subj"),"_",TEXT(J111,"mm\_dd\_yy"))</f>
        <v>#NAME?</v>
      </c>
      <c r="I111" s="0" t="s">
        <v>5508</v>
      </c>
      <c r="J111" s="31" t="n">
        <v>44325</v>
      </c>
      <c r="K111" s="0" t="s">
        <v>590</v>
      </c>
      <c r="L111" s="0" t="s">
        <v>1049</v>
      </c>
      <c r="M111" s="0" t="s">
        <v>5487</v>
      </c>
      <c r="N111" s="71" t="s">
        <v>558</v>
      </c>
      <c r="O111" s="0" t="s">
        <v>558</v>
      </c>
      <c r="P111" s="0" t="s">
        <v>558</v>
      </c>
      <c r="Q111" s="0" t="s">
        <v>558</v>
      </c>
      <c r="R111" s="0" t="s">
        <v>487</v>
      </c>
      <c r="S111" s="0" t="s">
        <v>487</v>
      </c>
      <c r="T111" s="0" t="s">
        <v>487</v>
      </c>
      <c r="U111" s="0" t="s">
        <v>487</v>
      </c>
      <c r="V111" s="0" t="s">
        <v>487</v>
      </c>
      <c r="W111" s="0" t="s">
        <v>487</v>
      </c>
      <c r="X111" s="0" t="s">
        <v>487</v>
      </c>
      <c r="Y111" s="0" t="s">
        <v>487</v>
      </c>
      <c r="Z111" s="0" t="s">
        <v>487</v>
      </c>
      <c r="AA111" s="0" t="s">
        <v>487</v>
      </c>
      <c r="AB111" s="0" t="s">
        <v>487</v>
      </c>
      <c r="AC111" s="0" t="s">
        <v>487</v>
      </c>
      <c r="AD111" s="0" t="s">
        <v>558</v>
      </c>
    </row>
    <row r="112" customFormat="false" ht="15" hidden="false" customHeight="false" outlineLevel="0" collapsed="false">
      <c r="A112" s="0" t="e">
        <f aca="false">_xlfn.CONCAT("path_",_xlfn.textafter(C112,"subj"),"_",TEXT(B112,"mm\_dd\_yy"))</f>
        <v>#NAME?</v>
      </c>
      <c r="B112" s="0" t="s">
        <v>689</v>
      </c>
      <c r="C112" s="0" t="s">
        <v>587</v>
      </c>
      <c r="D112" s="75" t="e">
        <f aca="false">INDEX(#REF!,MATCH(C112, #REF!,0),1)</f>
        <v>#VALUE!</v>
      </c>
      <c r="F112" s="76" t="e">
        <f aca="false">INDEX(participants!K:K,MATCH(C112, participants!A:A,0),1)</f>
        <v>#N/A</v>
      </c>
      <c r="L112" s="0" t="s">
        <v>1049</v>
      </c>
    </row>
    <row r="113" customFormat="false" ht="15" hidden="false" customHeight="false" outlineLevel="0" collapsed="false">
      <c r="A113" s="0" t="e">
        <f aca="false">_xlfn.CONCAT("path_",_xlfn.textafter(C113,"subj"),"_",TEXT(B113,"mm\_dd\_yy"))</f>
        <v>#NAME?</v>
      </c>
      <c r="B113" s="31" t="n">
        <v>43521</v>
      </c>
      <c r="C113" s="0" t="s">
        <v>590</v>
      </c>
      <c r="D113" s="75" t="e">
        <f aca="false">INDEX(#REF!,MATCH(C113, #REF!,0),1)</f>
        <v>#VALUE!</v>
      </c>
      <c r="F113" s="76" t="e">
        <f aca="false">INDEX(participants!K:K,MATCH(C113, participants!A:A,0),1)</f>
        <v>#N/A</v>
      </c>
      <c r="H113" s="0" t="s">
        <v>5414</v>
      </c>
      <c r="J113" s="0" t="s">
        <v>5235</v>
      </c>
      <c r="K113" s="0" t="s">
        <v>5509</v>
      </c>
      <c r="L113" s="0" t="s">
        <v>486</v>
      </c>
      <c r="M113" s="0" t="s">
        <v>5510</v>
      </c>
      <c r="N113" s="71" t="s">
        <v>5429</v>
      </c>
      <c r="O113" s="0" t="s">
        <v>487</v>
      </c>
      <c r="P113" s="0" t="s">
        <v>487</v>
      </c>
      <c r="Q113" s="0" t="s">
        <v>487</v>
      </c>
      <c r="R113" s="0" t="s">
        <v>487</v>
      </c>
      <c r="S113" s="0" t="s">
        <v>511</v>
      </c>
      <c r="T113" s="0" t="s">
        <v>487</v>
      </c>
      <c r="U113" s="0" t="s">
        <v>5425</v>
      </c>
      <c r="V113" s="0" t="s">
        <v>5425</v>
      </c>
      <c r="W113" s="0" t="s">
        <v>487</v>
      </c>
      <c r="X113" s="0" t="s">
        <v>5425</v>
      </c>
      <c r="Y113" s="0" t="s">
        <v>5427</v>
      </c>
      <c r="Z113" s="0" t="s">
        <v>5427</v>
      </c>
      <c r="AA113" s="0" t="s">
        <v>487</v>
      </c>
      <c r="AB113" s="0" t="s">
        <v>5427</v>
      </c>
      <c r="AC113" s="0" t="s">
        <v>5427</v>
      </c>
      <c r="AD113" s="0" t="s">
        <v>558</v>
      </c>
      <c r="AE113" s="0" t="s">
        <v>5434</v>
      </c>
    </row>
    <row r="114" customFormat="false" ht="15" hidden="false" customHeight="false" outlineLevel="0" collapsed="false">
      <c r="A114" s="0" t="e">
        <f aca="false">_xlfn.CONCAT("path_",_xlfn.textafter(C114,"subj"),"_",TEXT(B114,"mm\_dd\_yy"))</f>
        <v>#NAME?</v>
      </c>
      <c r="B114" s="31" t="n">
        <v>44021</v>
      </c>
      <c r="C114" s="0" t="s">
        <v>590</v>
      </c>
      <c r="D114" s="75" t="e">
        <f aca="false">INDEX(#REF!,MATCH(C114, #REF!,0),1)</f>
        <v>#VALUE!</v>
      </c>
      <c r="F114" s="76" t="e">
        <f aca="false">INDEX(participants!K:K,MATCH(C114, participants!A:A,0),1)</f>
        <v>#N/A</v>
      </c>
      <c r="H114" s="0" t="s">
        <v>5414</v>
      </c>
      <c r="J114" s="0" t="s">
        <v>5199</v>
      </c>
      <c r="K114" s="0" t="s">
        <v>487</v>
      </c>
      <c r="L114" s="0" t="s">
        <v>486</v>
      </c>
      <c r="M114" s="0" t="s">
        <v>5510</v>
      </c>
      <c r="N114" s="71" t="s">
        <v>5478</v>
      </c>
      <c r="O114" s="0" t="s">
        <v>5511</v>
      </c>
      <c r="P114" s="0" t="s">
        <v>5427</v>
      </c>
      <c r="Q114" s="0" t="s">
        <v>5441</v>
      </c>
      <c r="R114" s="0" t="s">
        <v>5427</v>
      </c>
      <c r="S114" s="0" t="s">
        <v>511</v>
      </c>
      <c r="T114" s="0" t="s">
        <v>5427</v>
      </c>
      <c r="U114" s="0" t="s">
        <v>5427</v>
      </c>
      <c r="V114" s="0" t="s">
        <v>5427</v>
      </c>
      <c r="W114" s="0" t="s">
        <v>5427</v>
      </c>
      <c r="X114" s="0" t="s">
        <v>5425</v>
      </c>
      <c r="Y114" s="0" t="s">
        <v>5427</v>
      </c>
      <c r="Z114" s="0" t="s">
        <v>5427</v>
      </c>
      <c r="AA114" s="0" t="s">
        <v>487</v>
      </c>
      <c r="AB114" s="0" t="s">
        <v>5427</v>
      </c>
      <c r="AC114" s="0" t="s">
        <v>5427</v>
      </c>
      <c r="AD114" s="0" t="s">
        <v>558</v>
      </c>
      <c r="AE114" s="0" t="s">
        <v>5434</v>
      </c>
    </row>
    <row r="115" customFormat="false" ht="15" hidden="false" customHeight="false" outlineLevel="0" collapsed="false">
      <c r="A115" s="0" t="e">
        <f aca="false">_xlfn.CONCAT("path_",_xlfn.textafter(C115,"subj"),"_",TEXT(B115,"mm\_dd\_yy"))</f>
        <v>#NAME?</v>
      </c>
      <c r="B115" s="31" t="n">
        <v>43844</v>
      </c>
      <c r="C115" s="0" t="s">
        <v>593</v>
      </c>
      <c r="D115" s="75" t="e">
        <f aca="false">INDEX(#REF!,MATCH(C115, #REF!,0),1)</f>
        <v>#VALUE!</v>
      </c>
      <c r="F115" s="76" t="e">
        <f aca="false">INDEX(participants!K:K,MATCH(C115, participants!A:A,0),1)</f>
        <v>#N/A</v>
      </c>
      <c r="H115" s="0" t="s">
        <v>5414</v>
      </c>
      <c r="J115" s="0" t="s">
        <v>5235</v>
      </c>
      <c r="K115" s="0" t="s">
        <v>487</v>
      </c>
      <c r="M115" s="0" t="s">
        <v>5512</v>
      </c>
      <c r="N115" s="71" t="s">
        <v>487</v>
      </c>
      <c r="O115" s="71" t="s">
        <v>487</v>
      </c>
      <c r="P115" s="71" t="s">
        <v>487</v>
      </c>
      <c r="Q115" s="71" t="s">
        <v>487</v>
      </c>
      <c r="R115" s="71" t="s">
        <v>487</v>
      </c>
      <c r="S115" s="71" t="s">
        <v>487</v>
      </c>
      <c r="T115" s="71" t="s">
        <v>487</v>
      </c>
      <c r="U115" s="71" t="s">
        <v>487</v>
      </c>
      <c r="V115" s="71" t="s">
        <v>487</v>
      </c>
      <c r="W115" s="71" t="s">
        <v>487</v>
      </c>
      <c r="X115" s="71" t="s">
        <v>487</v>
      </c>
      <c r="Y115" s="71" t="s">
        <v>487</v>
      </c>
      <c r="Z115" s="71" t="s">
        <v>5433</v>
      </c>
      <c r="AA115" s="71" t="s">
        <v>5412</v>
      </c>
      <c r="AB115" s="71" t="s">
        <v>487</v>
      </c>
      <c r="AC115" s="71" t="s">
        <v>487</v>
      </c>
      <c r="AD115" s="0" t="s">
        <v>511</v>
      </c>
      <c r="AF115" s="0" t="s">
        <v>5434</v>
      </c>
    </row>
    <row r="116" customFormat="false" ht="15" hidden="false" customHeight="false" outlineLevel="0" collapsed="false">
      <c r="A116" s="0" t="e">
        <f aca="false">_xlfn.CONCAT("path_",_xlfn.textafter(C116,"subj"),"_",TEXT(B116,"mm\_dd\_yy"))</f>
        <v>#NAME?</v>
      </c>
      <c r="B116" s="0" t="s">
        <v>689</v>
      </c>
      <c r="C116" s="0" t="s">
        <v>597</v>
      </c>
      <c r="D116" s="75" t="e">
        <f aca="false">INDEX(#REF!,MATCH(C116, #REF!,0),1)</f>
        <v>#VALUE!</v>
      </c>
      <c r="F116" s="76" t="e">
        <f aca="false">INDEX(participants!K:K,MATCH(C116, participants!A:A,0),1)</f>
        <v>#N/A</v>
      </c>
      <c r="L116" s="0" t="s">
        <v>1049</v>
      </c>
    </row>
    <row r="117" customFormat="false" ht="15" hidden="false" customHeight="false" outlineLevel="0" collapsed="false">
      <c r="A117" s="0" t="e">
        <f aca="false">_xlfn.CONCAT("path_",_xlfn.textafter(C117,"subj"),"_",TEXT(B117,"mm\_dd\_yy"))</f>
        <v>#NAME?</v>
      </c>
      <c r="B117" s="31" t="n">
        <v>44783</v>
      </c>
      <c r="C117" s="0" t="s">
        <v>600</v>
      </c>
      <c r="D117" s="75" t="e">
        <f aca="false">INDEX(#REF!,MATCH(C117, #REF!,0),1)</f>
        <v>#VALUE!</v>
      </c>
      <c r="F117" s="76" t="e">
        <f aca="false">INDEX(participants!K:K,MATCH(C117, participants!A:A,0),1)</f>
        <v>#N/A</v>
      </c>
      <c r="H117" s="0" t="s">
        <v>2586</v>
      </c>
      <c r="J117" s="0" t="s">
        <v>5513</v>
      </c>
      <c r="K117" s="0" t="s">
        <v>487</v>
      </c>
      <c r="L117" s="0" t="s">
        <v>1049</v>
      </c>
      <c r="M117" s="0" t="s">
        <v>5420</v>
      </c>
      <c r="N117" s="71" t="s">
        <v>487</v>
      </c>
      <c r="O117" s="71" t="s">
        <v>487</v>
      </c>
      <c r="P117" s="71" t="s">
        <v>487</v>
      </c>
      <c r="Q117" s="71" t="s">
        <v>487</v>
      </c>
      <c r="R117" s="71" t="s">
        <v>487</v>
      </c>
      <c r="S117" s="71" t="s">
        <v>487</v>
      </c>
      <c r="T117" s="71" t="s">
        <v>487</v>
      </c>
      <c r="U117" s="71" t="s">
        <v>487</v>
      </c>
      <c r="V117" s="71" t="s">
        <v>487</v>
      </c>
      <c r="W117" s="71" t="s">
        <v>487</v>
      </c>
      <c r="X117" s="71" t="s">
        <v>487</v>
      </c>
      <c r="Y117" s="71" t="s">
        <v>487</v>
      </c>
      <c r="Z117" s="71" t="s">
        <v>487</v>
      </c>
      <c r="AA117" s="71" t="s">
        <v>487</v>
      </c>
      <c r="AB117" s="71" t="s">
        <v>487</v>
      </c>
      <c r="AC117" s="71" t="s">
        <v>487</v>
      </c>
      <c r="AD117" s="0" t="s">
        <v>5514</v>
      </c>
    </row>
    <row r="118" customFormat="false" ht="15" hidden="false" customHeight="false" outlineLevel="0" collapsed="false">
      <c r="A118" s="0" t="e">
        <f aca="false">_xlfn.CONCAT("path_",_xlfn.textafter(C118,"subj"),"_",TEXT(B118,"mm\_dd\_yy"))</f>
        <v>#NAME?</v>
      </c>
      <c r="C118" s="0" t="s">
        <v>604</v>
      </c>
      <c r="D118" s="75" t="e">
        <f aca="false">INDEX(#REF!,MATCH(C118, #REF!,0),1)</f>
        <v>#VALUE!</v>
      </c>
      <c r="F118" s="76" t="e">
        <f aca="false">INDEX(participants!K:K,MATCH(C118, participants!A:A,0),1)</f>
        <v>#N/A</v>
      </c>
      <c r="L118" s="0" t="s">
        <v>1049</v>
      </c>
    </row>
    <row r="119" customFormat="false" ht="15" hidden="false" customHeight="false" outlineLevel="0" collapsed="false">
      <c r="A119" s="0" t="e">
        <f aca="false">_xlfn.CONCAT("path_",_xlfn.textafter(C119,"subj"),"_",TEXT(B119,"mm\_dd\_yy"))</f>
        <v>#NAME?</v>
      </c>
      <c r="C119" s="0" t="s">
        <v>608</v>
      </c>
      <c r="D119" s="75" t="e">
        <f aca="false">INDEX(#REF!,MATCH(C119, #REF!,0),1)</f>
        <v>#VALUE!</v>
      </c>
      <c r="F119" s="76" t="e">
        <f aca="false">INDEX(participants!K:K,MATCH(C119, participants!A:A,0),1)</f>
        <v>#N/A</v>
      </c>
      <c r="L119" s="0" t="s">
        <v>1049</v>
      </c>
    </row>
    <row r="120" customFormat="false" ht="15" hidden="false" customHeight="false" outlineLevel="0" collapsed="false">
      <c r="A120" s="0" t="e">
        <f aca="false">_xlfn.CONCAT("path_",_xlfn.textafter(C120,"subj"),"_",TEXT(B120,"mm\_dd\_yy"))</f>
        <v>#NAME?</v>
      </c>
      <c r="B120" s="31" t="n">
        <v>44531</v>
      </c>
      <c r="C120" s="0" t="s">
        <v>611</v>
      </c>
      <c r="D120" s="75" t="e">
        <f aca="false">INDEX(#REF!,MATCH(C120, #REF!,0),1)</f>
        <v>#VALUE!</v>
      </c>
      <c r="F120" s="76" t="e">
        <f aca="false">INDEX(participants!K:K,MATCH(C120, participants!A:A,0),1)</f>
        <v>#N/A</v>
      </c>
      <c r="H120" s="0" t="s">
        <v>5410</v>
      </c>
      <c r="K120" s="0" t="s">
        <v>487</v>
      </c>
      <c r="L120" s="0" t="s">
        <v>5515</v>
      </c>
      <c r="M120" s="0" t="s">
        <v>5516</v>
      </c>
      <c r="N120" s="71" t="s">
        <v>558</v>
      </c>
      <c r="O120" s="0" t="s">
        <v>558</v>
      </c>
      <c r="P120" s="0" t="s">
        <v>511</v>
      </c>
      <c r="Q120" s="0" t="s">
        <v>5517</v>
      </c>
      <c r="R120" s="0" t="s">
        <v>487</v>
      </c>
      <c r="S120" s="0" t="s">
        <v>487</v>
      </c>
      <c r="T120" s="0" t="s">
        <v>5518</v>
      </c>
      <c r="U120" s="0" t="s">
        <v>487</v>
      </c>
      <c r="V120" s="0" t="s">
        <v>5412</v>
      </c>
      <c r="W120" s="0" t="s">
        <v>487</v>
      </c>
      <c r="X120" s="0" t="s">
        <v>487</v>
      </c>
      <c r="Y120" s="0" t="s">
        <v>487</v>
      </c>
      <c r="Z120" s="0" t="s">
        <v>5425</v>
      </c>
      <c r="AA120" s="0" t="s">
        <v>5412</v>
      </c>
      <c r="AB120" s="0" t="s">
        <v>487</v>
      </c>
      <c r="AC120" s="0" t="s">
        <v>487</v>
      </c>
      <c r="AD120" s="0" t="s">
        <v>511</v>
      </c>
      <c r="AF120" s="0" t="s">
        <v>5413</v>
      </c>
    </row>
    <row r="121" customFormat="false" ht="15" hidden="false" customHeight="false" outlineLevel="0" collapsed="false">
      <c r="A121" s="0" t="e">
        <f aca="false">_xlfn.CONCAT("path_",_xlfn.textafter(C121,"subj"),"_",TEXT(B121,"mm\_dd\_yy"))</f>
        <v>#NAME?</v>
      </c>
      <c r="C121" s="0" t="s">
        <v>615</v>
      </c>
      <c r="D121" s="75" t="e">
        <f aca="false">INDEX(#REF!,MATCH(C121, #REF!,0),1)</f>
        <v>#VALUE!</v>
      </c>
      <c r="F121" s="76" t="e">
        <f aca="false">INDEX(participants!K:K,MATCH(C121, participants!A:A,0),1)</f>
        <v>#N/A</v>
      </c>
      <c r="L121" s="0" t="s">
        <v>1049</v>
      </c>
    </row>
    <row r="122" customFormat="false" ht="15" hidden="false" customHeight="false" outlineLevel="0" collapsed="false">
      <c r="A122" s="0" t="e">
        <f aca="false">_xlfn.CONCAT("path_",_xlfn.textafter(C122,"subj"),"_",TEXT(B122,"mm\_dd\_yy"))</f>
        <v>#NAME?</v>
      </c>
      <c r="B122" s="31" t="n">
        <v>44784</v>
      </c>
      <c r="C122" s="0" t="s">
        <v>618</v>
      </c>
      <c r="D122" s="75" t="e">
        <f aca="false">INDEX(#REF!,MATCH(C122, #REF!,0),1)</f>
        <v>#VALUE!</v>
      </c>
      <c r="F122" s="76" t="e">
        <f aca="false">INDEX(participants!K:K,MATCH(C122, participants!A:A,0),1)</f>
        <v>#N/A</v>
      </c>
      <c r="H122" s="0" t="s">
        <v>5414</v>
      </c>
      <c r="J122" s="0" t="s">
        <v>5174</v>
      </c>
      <c r="K122" s="0" t="s">
        <v>487</v>
      </c>
      <c r="L122" s="0" t="s">
        <v>1049</v>
      </c>
      <c r="M122" s="0" t="s">
        <v>5519</v>
      </c>
      <c r="N122" s="71" t="s">
        <v>558</v>
      </c>
      <c r="O122" s="0" t="s">
        <v>558</v>
      </c>
      <c r="P122" s="0" t="s">
        <v>511</v>
      </c>
      <c r="Q122" s="0" t="s">
        <v>558</v>
      </c>
      <c r="R122" s="0" t="s">
        <v>487</v>
      </c>
      <c r="S122" s="0" t="s">
        <v>487</v>
      </c>
      <c r="T122" s="0" t="s">
        <v>5520</v>
      </c>
      <c r="U122" s="0" t="s">
        <v>487</v>
      </c>
      <c r="V122" s="0" t="s">
        <v>487</v>
      </c>
      <c r="W122" s="0" t="s">
        <v>487</v>
      </c>
      <c r="X122" s="0" t="s">
        <v>487</v>
      </c>
      <c r="Y122" s="0" t="s">
        <v>487</v>
      </c>
      <c r="Z122" s="0" t="s">
        <v>5412</v>
      </c>
      <c r="AA122" s="0" t="s">
        <v>5425</v>
      </c>
      <c r="AB122" s="0" t="s">
        <v>487</v>
      </c>
      <c r="AC122" s="0" t="s">
        <v>487</v>
      </c>
      <c r="AD122" s="0" t="s">
        <v>511</v>
      </c>
      <c r="AF122" s="0" t="s">
        <v>5434</v>
      </c>
    </row>
    <row r="123" customFormat="false" ht="15" hidden="false" customHeight="false" outlineLevel="0" collapsed="false">
      <c r="A123" s="0" t="e">
        <f aca="false">_xlfn.CONCAT("path_",_xlfn.textafter(C123,"subj"),"_",TEXT(B123,"mm\_dd\_yy"))</f>
        <v>#NAME?</v>
      </c>
      <c r="C123" s="0" t="s">
        <v>621</v>
      </c>
      <c r="D123" s="75" t="e">
        <f aca="false">INDEX(#REF!,MATCH(C123, #REF!,0),1)</f>
        <v>#VALUE!</v>
      </c>
      <c r="F123" s="76" t="e">
        <f aca="false">INDEX(participants!K:K,MATCH(C123, participants!A:A,0),1)</f>
        <v>#N/A</v>
      </c>
      <c r="L123" s="0" t="s">
        <v>1049</v>
      </c>
    </row>
    <row r="124" customFormat="false" ht="15" hidden="false" customHeight="false" outlineLevel="0" collapsed="false">
      <c r="A124" s="0" t="e">
        <f aca="false">_xlfn.CONCAT("path_",_xlfn.textafter(C124,"subj"),"_",TEXT(B124,"mm\_dd\_yy"))</f>
        <v>#NAME?</v>
      </c>
      <c r="C124" s="0" t="s">
        <v>624</v>
      </c>
      <c r="D124" s="75" t="e">
        <f aca="false">INDEX(#REF!,MATCH(C124, #REF!,0),1)</f>
        <v>#VALUE!</v>
      </c>
      <c r="F124" s="76" t="e">
        <f aca="false">INDEX(participants!K:K,MATCH(C124, participants!A:A,0),1)</f>
        <v>#N/A</v>
      </c>
      <c r="L124" s="0" t="s">
        <v>1049</v>
      </c>
    </row>
    <row r="125" customFormat="false" ht="15" hidden="false" customHeight="false" outlineLevel="0" collapsed="false">
      <c r="A125" s="0" t="e">
        <f aca="false">_xlfn.CONCAT("path_",_xlfn.textafter(C125,"subj"),"_",TEXT(B125,"mm\_dd\_yy"))</f>
        <v>#NAME?</v>
      </c>
      <c r="C125" s="0" t="s">
        <v>628</v>
      </c>
      <c r="D125" s="75" t="e">
        <f aca="false">INDEX(#REF!,MATCH(C125, #REF!,0),1)</f>
        <v>#VALUE!</v>
      </c>
      <c r="F125" s="76" t="e">
        <f aca="false">INDEX(participants!K:K,MATCH(C125, participants!A:A,0),1)</f>
        <v>#N/A</v>
      </c>
      <c r="L125" s="0" t="s">
        <v>1049</v>
      </c>
    </row>
    <row r="126" customFormat="false" ht="15" hidden="false" customHeight="false" outlineLevel="0" collapsed="false">
      <c r="A126" s="0" t="e">
        <f aca="false">_xlfn.CONCAT("path_",_xlfn.textafter(C126,"subj"),"_",TEXT(B126,"mm\_dd\_yy"))</f>
        <v>#NAME?</v>
      </c>
      <c r="C126" s="0" t="s">
        <v>631</v>
      </c>
      <c r="D126" s="75" t="e">
        <f aca="false">INDEX(#REF!,MATCH(C126, #REF!,0),1)</f>
        <v>#VALUE!</v>
      </c>
      <c r="F126" s="76" t="e">
        <f aca="false">INDEX(participants!K:K,MATCH(C126, participants!A:A,0),1)</f>
        <v>#N/A</v>
      </c>
      <c r="L126" s="0" t="s">
        <v>1049</v>
      </c>
    </row>
    <row r="127" customFormat="false" ht="15" hidden="false" customHeight="false" outlineLevel="0" collapsed="false">
      <c r="A127" s="0" t="e">
        <f aca="false">_xlfn.CONCAT("path_",_xlfn.textafter(C127,"subj"),"_",TEXT(B127,"mm\_dd\_yy"))</f>
        <v>#NAME?</v>
      </c>
      <c r="C127" s="0" t="s">
        <v>634</v>
      </c>
      <c r="D127" s="75" t="e">
        <f aca="false">INDEX(#REF!,MATCH(C127, #REF!,0),1)</f>
        <v>#VALUE!</v>
      </c>
      <c r="F127" s="76" t="e">
        <f aca="false">INDEX(participants!K:K,MATCH(C127, participants!A:A,0),1)</f>
        <v>#N/A</v>
      </c>
      <c r="L127" s="0" t="s">
        <v>1049</v>
      </c>
    </row>
    <row r="128" customFormat="false" ht="15" hidden="false" customHeight="false" outlineLevel="0" collapsed="false">
      <c r="A128" s="0" t="e">
        <f aca="false">_xlfn.CONCAT("path_",_xlfn.textafter(C128,"subj"),"_",TEXT(B128,"mm\_dd\_yy"))</f>
        <v>#NAME?</v>
      </c>
      <c r="C128" s="0" t="s">
        <v>637</v>
      </c>
      <c r="D128" s="75" t="e">
        <f aca="false">INDEX(#REF!,MATCH(C128, #REF!,0),1)</f>
        <v>#VALUE!</v>
      </c>
      <c r="F128" s="76" t="e">
        <f aca="false">INDEX(participants!K:K,MATCH(C128, participants!A:A,0),1)</f>
        <v>#N/A</v>
      </c>
      <c r="L128" s="0" t="s">
        <v>1049</v>
      </c>
    </row>
    <row r="129" customFormat="false" ht="15" hidden="false" customHeight="false" outlineLevel="0" collapsed="false">
      <c r="A129" s="0" t="e">
        <f aca="false">_xlfn.CONCAT("path_",_xlfn.textafter(C129,"subj"),"_",TEXT(B129,"mm\_dd\_yy"))</f>
        <v>#NAME?</v>
      </c>
      <c r="C129" s="0" t="s">
        <v>640</v>
      </c>
      <c r="D129" s="75" t="e">
        <f aca="false">INDEX(#REF!,MATCH(C129, #REF!,0),1)</f>
        <v>#VALUE!</v>
      </c>
      <c r="F129" s="76" t="e">
        <f aca="false">INDEX(participants!K:K,MATCH(C129, participants!A:A,0),1)</f>
        <v>#N/A</v>
      </c>
      <c r="L129" s="0" t="s">
        <v>1049</v>
      </c>
    </row>
    <row r="130" customFormat="false" ht="15" hidden="false" customHeight="false" outlineLevel="0" collapsed="false">
      <c r="A130" s="0" t="e">
        <f aca="false">_xlfn.CONCAT("path_",_xlfn.textafter(C130,"subj"),"_",TEXT(B130,"mm\_dd\_yy"))</f>
        <v>#NAME?</v>
      </c>
      <c r="C130" s="0" t="s">
        <v>644</v>
      </c>
      <c r="D130" s="75" t="e">
        <f aca="false">INDEX(#REF!,MATCH(C130, #REF!,0),1)</f>
        <v>#VALUE!</v>
      </c>
      <c r="F130" s="76" t="e">
        <f aca="false">INDEX(participants!K:K,MATCH(C130, participants!A:A,0),1)</f>
        <v>#N/A</v>
      </c>
      <c r="L130" s="0" t="s">
        <v>1049</v>
      </c>
    </row>
    <row r="131" customFormat="false" ht="15" hidden="false" customHeight="false" outlineLevel="0" collapsed="false">
      <c r="A131" s="0" t="e">
        <f aca="false">_xlfn.CONCAT("path_",_xlfn.textafter(C131,"subj"),"_",TEXT(B131,"mm\_dd\_yy"))</f>
        <v>#NAME?</v>
      </c>
      <c r="C131" s="0" t="s">
        <v>647</v>
      </c>
      <c r="D131" s="75" t="e">
        <f aca="false">INDEX(#REF!,MATCH(C131, #REF!,0),1)</f>
        <v>#VALUE!</v>
      </c>
      <c r="F131" s="76" t="e">
        <f aca="false">INDEX(participants!K:K,MATCH(C131, participants!A:A,0),1)</f>
        <v>#N/A</v>
      </c>
      <c r="L131" s="0" t="s">
        <v>1049</v>
      </c>
    </row>
    <row r="132" customFormat="false" ht="15" hidden="false" customHeight="false" outlineLevel="0" collapsed="false">
      <c r="A132" s="0" t="e">
        <f aca="false">_xlfn.CONCAT("path_",_xlfn.textafter(C132,"subj"),"_",TEXT(B132,"mm\_dd\_yy"))</f>
        <v>#NAME?</v>
      </c>
      <c r="C132" s="0" t="s">
        <v>650</v>
      </c>
      <c r="D132" s="75" t="e">
        <f aca="false">INDEX(#REF!,MATCH(C132, #REF!,0),1)</f>
        <v>#VALUE!</v>
      </c>
      <c r="F132" s="76" t="e">
        <f aca="false">INDEX(participants!K:K,MATCH(C132, participants!A:A,0),1)</f>
        <v>#N/A</v>
      </c>
      <c r="L132" s="0" t="s">
        <v>1049</v>
      </c>
    </row>
    <row r="133" customFormat="false" ht="15" hidden="false" customHeight="false" outlineLevel="0" collapsed="false">
      <c r="A133" s="0" t="e">
        <f aca="false">_xlfn.CONCAT("path_",_xlfn.textafter(C133,"subj"),"_",TEXT(B133,"mm\_dd\_yy"))</f>
        <v>#NAME?</v>
      </c>
      <c r="C133" s="0" t="s">
        <v>654</v>
      </c>
      <c r="D133" s="75" t="e">
        <f aca="false">INDEX(#REF!,MATCH(C133, #REF!,0),1)</f>
        <v>#VALUE!</v>
      </c>
      <c r="F133" s="76" t="e">
        <f aca="false">INDEX(participants!K:K,MATCH(C133, participants!A:A,0),1)</f>
        <v>#N/A</v>
      </c>
      <c r="L133" s="0" t="s">
        <v>1049</v>
      </c>
    </row>
    <row r="134" customFormat="false" ht="15" hidden="false" customHeight="false" outlineLevel="0" collapsed="false">
      <c r="A134" s="0" t="e">
        <f aca="false">_xlfn.CONCAT("path_",_xlfn.textafter(C134,"subj"),"_",TEXT(B134,"mm\_dd\_yy"))</f>
        <v>#NAME?</v>
      </c>
      <c r="C134" s="0" t="s">
        <v>657</v>
      </c>
      <c r="D134" s="75" t="e">
        <f aca="false">INDEX(#REF!,MATCH(C134, #REF!,0),1)</f>
        <v>#VALUE!</v>
      </c>
      <c r="F134" s="76" t="e">
        <f aca="false">INDEX(participants!K:K,MATCH(C134, participants!A:A,0),1)</f>
        <v>#N/A</v>
      </c>
      <c r="L134" s="0" t="s">
        <v>1049</v>
      </c>
    </row>
    <row r="135" customFormat="false" ht="15" hidden="false" customHeight="false" outlineLevel="0" collapsed="false">
      <c r="A135" s="0" t="e">
        <f aca="false">_xlfn.CONCAT("path_",_xlfn.textafter(C135,"subj"),"_",TEXT(B135,"mm\_dd\_yy"))</f>
        <v>#NAME?</v>
      </c>
      <c r="C135" s="0" t="s">
        <v>874</v>
      </c>
      <c r="D135" s="75" t="e">
        <f aca="false">INDEX(#REF!,MATCH(C135, #REF!,0),1)</f>
        <v>#VALUE!</v>
      </c>
      <c r="F135" s="57" t="str">
        <f aca="false">INDEX(participants!K:K,MATCH(C135, participants!A:A,0),1)</f>
        <v>annubp</v>
      </c>
    </row>
    <row r="136" customFormat="false" ht="15" hidden="false" customHeight="false" outlineLevel="0" collapsed="false">
      <c r="A136" s="0" t="e">
        <f aca="false">_xlfn.CONCAT("path_",_xlfn.textafter(C136,"subj"),"_",TEXT(B136,"mm\_dd\_yy"))</f>
        <v>#NAME?</v>
      </c>
      <c r="C136" s="0" t="s">
        <v>877</v>
      </c>
      <c r="D136" s="75" t="e">
        <f aca="false">INDEX(#REF!,MATCH(C136, #REF!,0),1)</f>
        <v>#VALUE!</v>
      </c>
      <c r="F136" s="57" t="str">
        <f aca="false">INDEX(participants!K:K,MATCH(C136, participants!A:A,0),1)</f>
        <v>plexiform</v>
      </c>
      <c r="L136" s="0" t="s">
        <v>1049</v>
      </c>
    </row>
    <row r="137" customFormat="false" ht="15" hidden="false" customHeight="false" outlineLevel="0" collapsed="false">
      <c r="A137" s="0" t="e">
        <f aca="false">_xlfn.CONCAT("path_",_xlfn.textafter(C137,"subj"),"_",TEXT(B137,"mm\_dd\_yy"))</f>
        <v>#NAME?</v>
      </c>
      <c r="C137" s="0" t="s">
        <v>880</v>
      </c>
      <c r="D137" s="75" t="e">
        <f aca="false">INDEX(#REF!,MATCH(C137, #REF!,0),1)</f>
        <v>#VALUE!</v>
      </c>
      <c r="F137" s="57" t="str">
        <f aca="false">INDEX(participants!K:K,MATCH(C137, participants!A:A,0),1)</f>
        <v>plexiform</v>
      </c>
      <c r="L137" s="0" t="s">
        <v>1049</v>
      </c>
    </row>
    <row r="138" customFormat="false" ht="15" hidden="false" customHeight="false" outlineLevel="0" collapsed="false">
      <c r="A138" s="0" t="e">
        <f aca="false">_xlfn.CONCAT("path_",_xlfn.textafter(C138,"subj"),"_",TEXT(B138,"mm\_dd\_yy"))</f>
        <v>#NAME?</v>
      </c>
      <c r="B138" s="31" t="n">
        <v>44021</v>
      </c>
      <c r="C138" s="0" t="s">
        <v>883</v>
      </c>
      <c r="D138" s="75" t="e">
        <f aca="false">INDEX(#REF!,MATCH(C138, #REF!,0),1)</f>
        <v>#VALUE!</v>
      </c>
      <c r="F138" s="57" t="str">
        <f aca="false">INDEX(participants!K:K,MATCH(C138, participants!A:A,0),1)</f>
        <v>mpnst</v>
      </c>
      <c r="H138" s="0" t="s">
        <v>5414</v>
      </c>
      <c r="K138" s="0" t="s">
        <v>5428</v>
      </c>
      <c r="L138" s="0" t="s">
        <v>486</v>
      </c>
      <c r="M138" s="0" t="s">
        <v>5521</v>
      </c>
      <c r="N138" s="72" t="s">
        <v>5478</v>
      </c>
      <c r="O138" s="0" t="s">
        <v>487</v>
      </c>
      <c r="P138" s="0" t="s">
        <v>487</v>
      </c>
      <c r="Q138" s="0" t="s">
        <v>487</v>
      </c>
      <c r="R138" s="0" t="s">
        <v>487</v>
      </c>
      <c r="S138" s="0" t="s">
        <v>487</v>
      </c>
      <c r="T138" s="0" t="s">
        <v>487</v>
      </c>
      <c r="U138" s="0" t="s">
        <v>487</v>
      </c>
      <c r="V138" s="0" t="s">
        <v>487</v>
      </c>
      <c r="W138" s="0" t="s">
        <v>487</v>
      </c>
      <c r="X138" s="0" t="s">
        <v>5425</v>
      </c>
      <c r="Y138" s="0" t="s">
        <v>487</v>
      </c>
      <c r="Z138" s="0" t="s">
        <v>487</v>
      </c>
      <c r="AA138" s="0" t="s">
        <v>487</v>
      </c>
      <c r="AB138" s="0" t="s">
        <v>487</v>
      </c>
      <c r="AC138" s="0" t="s">
        <v>487</v>
      </c>
    </row>
    <row r="139" customFormat="false" ht="46.25" hidden="false" customHeight="false" outlineLevel="0" collapsed="false">
      <c r="A139" s="0" t="e">
        <f aca="false">_xlfn.CONCAT("path_",_xlfn.textafter(C139,"subj"),"_",TEXT(B139,"mm\_dd\_yy"))</f>
        <v>#NAME?</v>
      </c>
      <c r="B139" s="31" t="n">
        <v>43521</v>
      </c>
      <c r="C139" s="0" t="s">
        <v>883</v>
      </c>
      <c r="D139" s="75" t="e">
        <f aca="false">INDEX(#REF!,MATCH(C139, #REF!,0),1)</f>
        <v>#VALUE!</v>
      </c>
      <c r="F139" s="57" t="str">
        <f aca="false">INDEX(participants!K:K,MATCH(C139, participants!A:A,0),1)</f>
        <v>mpnst</v>
      </c>
      <c r="H139" s="0" t="s">
        <v>5414</v>
      </c>
      <c r="K139" s="0" t="s">
        <v>5424</v>
      </c>
      <c r="L139" s="0" t="s">
        <v>486</v>
      </c>
      <c r="M139" s="96" t="s">
        <v>5522</v>
      </c>
      <c r="N139" s="71" t="s">
        <v>5429</v>
      </c>
      <c r="O139" s="0" t="s">
        <v>511</v>
      </c>
      <c r="P139" s="0" t="s">
        <v>511</v>
      </c>
      <c r="Q139" s="0" t="s">
        <v>5523</v>
      </c>
      <c r="R139" s="0" t="s">
        <v>487</v>
      </c>
      <c r="S139" s="0" t="s">
        <v>487</v>
      </c>
      <c r="T139" s="0" t="s">
        <v>487</v>
      </c>
      <c r="U139" s="0" t="s">
        <v>5425</v>
      </c>
      <c r="V139" s="0" t="s">
        <v>5425</v>
      </c>
      <c r="W139" s="0" t="s">
        <v>487</v>
      </c>
      <c r="X139" s="0" t="s">
        <v>5425</v>
      </c>
      <c r="Y139" s="0" t="s">
        <v>487</v>
      </c>
      <c r="Z139" s="0" t="s">
        <v>487</v>
      </c>
      <c r="AA139" s="0" t="s">
        <v>487</v>
      </c>
      <c r="AB139" s="0" t="s">
        <v>487</v>
      </c>
      <c r="AC139" s="0" t="s">
        <v>487</v>
      </c>
    </row>
    <row r="140" customFormat="false" ht="15" hidden="false" customHeight="false" outlineLevel="0" collapsed="false">
      <c r="A140" s="0" t="e">
        <f aca="false">_xlfn.CONCAT("path_",_xlfn.textafter(C140,"subj"),"_",TEXT(B140,"mm\_dd\_yy"))</f>
        <v>#NAME?</v>
      </c>
      <c r="B140" s="31"/>
      <c r="C140" s="0" t="s">
        <v>883</v>
      </c>
      <c r="D140" s="75" t="e">
        <f aca="false">INDEX(#REF!,MATCH(C140, #REF!,0),1)</f>
        <v>#VALUE!</v>
      </c>
      <c r="F140" s="57" t="str">
        <f aca="false">INDEX(participants!K:K,MATCH(C140, participants!A:A,0),1)</f>
        <v>mpnst</v>
      </c>
    </row>
    <row r="141" customFormat="false" ht="15" hidden="false" customHeight="false" outlineLevel="0" collapsed="false">
      <c r="A141" s="0" t="e">
        <f aca="false">_xlfn.CONCAT("path_",_xlfn.textafter(C141,"subj"),"_",TEXT(B141,"mm\_dd\_yy"))</f>
        <v>#NAME?</v>
      </c>
      <c r="B141" s="31"/>
      <c r="C141" s="0" t="s">
        <v>883</v>
      </c>
      <c r="D141" s="75" t="e">
        <f aca="false">INDEX(#REF!,MATCH(C141, #REF!,0),1)</f>
        <v>#VALUE!</v>
      </c>
      <c r="F141" s="57" t="str">
        <f aca="false">INDEX(participants!K:K,MATCH(C141, participants!A:A,0),1)</f>
        <v>mpnst</v>
      </c>
    </row>
    <row r="142" customFormat="false" ht="15" hidden="false" customHeight="false" outlineLevel="0" collapsed="false">
      <c r="A142" s="0" t="e">
        <f aca="false">_xlfn.CONCAT("path_",_xlfn.textafter(C142,"subj"),"_",TEXT(B142,"mm\_dd\_yy"))</f>
        <v>#NAME?</v>
      </c>
      <c r="C142" s="0" t="s">
        <v>887</v>
      </c>
      <c r="D142" s="75" t="e">
        <f aca="false">INDEX(#REF!,MATCH(C142, #REF!,0),1)</f>
        <v>#VALUE!</v>
      </c>
      <c r="F142" s="57" t="str">
        <f aca="false">INDEX(participants!K:K,MATCH(C142, participants!A:A,0),1)</f>
        <v>mpnst</v>
      </c>
    </row>
    <row r="143" customFormat="false" ht="15" hidden="false" customHeight="false" outlineLevel="0" collapsed="false">
      <c r="A143" s="0" t="e">
        <f aca="false">_xlfn.CONCAT("path_",_xlfn.textafter(C143,"subj"),"_",TEXT(B143,"mm\_dd\_yy"))</f>
        <v>#NAME?</v>
      </c>
      <c r="C143" s="0" t="s">
        <v>917</v>
      </c>
      <c r="D143" s="75" t="e">
        <f aca="false">INDEX(#REF!,MATCH(C143, #REF!,0),1)</f>
        <v>#VALUE!</v>
      </c>
      <c r="F143" s="57" t="str">
        <f aca="false">INDEX(participants!K:K,MATCH(C143, participants!A:A,0),1)</f>
        <v>anf</v>
      </c>
    </row>
    <row r="144" customFormat="false" ht="15" hidden="false" customHeight="false" outlineLevel="0" collapsed="false">
      <c r="A144" s="0" t="e">
        <f aca="false">_xlfn.CONCAT("path_",_xlfn.textafter(C144,"subj"),"_",TEXT(B144,"mm\_dd\_yy"))</f>
        <v>#NAME?</v>
      </c>
      <c r="B144" s="31" t="n">
        <v>44089</v>
      </c>
      <c r="C144" s="0" t="s">
        <v>987</v>
      </c>
      <c r="D144" s="75" t="e">
        <f aca="false">INDEX(#REF!,MATCH(C144, #REF!,0),1)</f>
        <v>#VALUE!</v>
      </c>
      <c r="F144" s="57" t="str">
        <f aca="false">INDEX(participants!K:K,MATCH(C144, participants!A:A,0),1)</f>
        <v>mpnst</v>
      </c>
      <c r="H144" s="0" t="s">
        <v>5414</v>
      </c>
      <c r="J144" s="0" t="s">
        <v>5199</v>
      </c>
      <c r="L144" s="0" t="s">
        <v>486</v>
      </c>
      <c r="M144" s="0" t="s">
        <v>486</v>
      </c>
      <c r="N144" s="71" t="s">
        <v>5524</v>
      </c>
      <c r="O144" s="0" t="s">
        <v>487</v>
      </c>
      <c r="P144" s="0" t="s">
        <v>487</v>
      </c>
      <c r="Q144" s="0" t="s">
        <v>5441</v>
      </c>
      <c r="R144" s="0" t="s">
        <v>487</v>
      </c>
      <c r="S144" s="0" t="s">
        <v>511</v>
      </c>
      <c r="T144" s="0" t="s">
        <v>487</v>
      </c>
      <c r="U144" s="0" t="s">
        <v>487</v>
      </c>
      <c r="V144" s="0" t="s">
        <v>487</v>
      </c>
      <c r="W144" s="0" t="s">
        <v>487</v>
      </c>
      <c r="X144" s="0" t="s">
        <v>487</v>
      </c>
      <c r="Y144" s="0" t="s">
        <v>487</v>
      </c>
      <c r="Z144" s="0" t="s">
        <v>487</v>
      </c>
      <c r="AA144" s="0" t="s">
        <v>487</v>
      </c>
      <c r="AB144" s="0" t="s">
        <v>487</v>
      </c>
      <c r="AC144" s="0" t="s">
        <v>487</v>
      </c>
      <c r="AD144" s="0" t="s">
        <v>558</v>
      </c>
    </row>
    <row r="145" customFormat="false" ht="15" hidden="false" customHeight="false" outlineLevel="0" collapsed="false">
      <c r="A145" s="0" t="e">
        <f aca="false">_xlfn.CONCAT("path_",_xlfn.textafter(C145,"subj"),"_",TEXT(B145,"mm\_dd\_yy"))</f>
        <v>#NAME?</v>
      </c>
      <c r="B145" s="31" t="n">
        <v>44258</v>
      </c>
      <c r="C145" s="0" t="s">
        <v>998</v>
      </c>
      <c r="D145" s="75" t="e">
        <f aca="false">INDEX(#REF!,MATCH(C145, #REF!,0),1)</f>
        <v>#VALUE!</v>
      </c>
      <c r="F145" s="57" t="str">
        <f aca="false">INDEX(participants!K:K,MATCH(C145, participants!A:A,0),1)</f>
        <v>mpnst</v>
      </c>
      <c r="H145" s="0" t="s">
        <v>5414</v>
      </c>
      <c r="J145" s="0" t="s">
        <v>5525</v>
      </c>
      <c r="L145" s="0" t="s">
        <v>486</v>
      </c>
      <c r="M145" s="0" t="s">
        <v>486</v>
      </c>
      <c r="N145" s="71" t="s">
        <v>5436</v>
      </c>
      <c r="O145" s="0" t="s">
        <v>487</v>
      </c>
      <c r="P145" s="0" t="s">
        <v>487</v>
      </c>
      <c r="Q145" s="0" t="s">
        <v>5441</v>
      </c>
      <c r="R145" s="0" t="s">
        <v>487</v>
      </c>
      <c r="S145" s="0" t="s">
        <v>558</v>
      </c>
      <c r="T145" s="0" t="s">
        <v>487</v>
      </c>
      <c r="U145" s="0" t="s">
        <v>487</v>
      </c>
      <c r="V145" s="0" t="s">
        <v>487</v>
      </c>
      <c r="W145" s="0" t="s">
        <v>487</v>
      </c>
      <c r="X145" s="0" t="s">
        <v>487</v>
      </c>
      <c r="Y145" s="0" t="s">
        <v>5433</v>
      </c>
      <c r="Z145" s="0" t="s">
        <v>5425</v>
      </c>
      <c r="AA145" s="0" t="s">
        <v>5412</v>
      </c>
      <c r="AB145" s="0" t="s">
        <v>487</v>
      </c>
      <c r="AC145" s="0" t="s">
        <v>487</v>
      </c>
      <c r="AD145" s="0" t="s">
        <v>511</v>
      </c>
      <c r="AF145" s="0" t="s">
        <v>5434</v>
      </c>
    </row>
    <row r="146" customFormat="false" ht="15" hidden="false" customHeight="false" outlineLevel="0" collapsed="false">
      <c r="A146" s="0" t="e">
        <f aca="false">_xlfn.CONCAT("path_",_xlfn.textafter(C146,"subj"),"_",TEXT(B146,"mm\_dd\_yy"))</f>
        <v>#NAME?</v>
      </c>
      <c r="B146" s="31" t="n">
        <v>43948</v>
      </c>
      <c r="C146" s="0" t="s">
        <v>998</v>
      </c>
      <c r="D146" s="75" t="e">
        <f aca="false">INDEX(#REF!,MATCH(C146, #REF!,0),1)</f>
        <v>#VALUE!</v>
      </c>
      <c r="F146" s="57" t="str">
        <f aca="false">INDEX(participants!K:K,MATCH(C146, participants!A:A,0),1)</f>
        <v>mpnst</v>
      </c>
      <c r="H146" s="0" t="s">
        <v>5414</v>
      </c>
      <c r="J146" s="0" t="s">
        <v>5526</v>
      </c>
      <c r="L146" s="0" t="s">
        <v>752</v>
      </c>
      <c r="M146" s="0" t="s">
        <v>752</v>
      </c>
      <c r="N146" s="71" t="s">
        <v>5527</v>
      </c>
      <c r="O146" s="0" t="s">
        <v>487</v>
      </c>
      <c r="P146" s="0" t="s">
        <v>511</v>
      </c>
      <c r="Q146" s="0" t="s">
        <v>5441</v>
      </c>
      <c r="R146" s="0" t="s">
        <v>487</v>
      </c>
      <c r="S146" s="0" t="s">
        <v>511</v>
      </c>
      <c r="T146" s="0" t="s">
        <v>487</v>
      </c>
      <c r="U146" s="0" t="s">
        <v>487</v>
      </c>
      <c r="V146" s="0" t="s">
        <v>487</v>
      </c>
      <c r="W146" s="0" t="s">
        <v>487</v>
      </c>
      <c r="X146" s="0" t="s">
        <v>487</v>
      </c>
      <c r="Y146" s="0" t="s">
        <v>487</v>
      </c>
      <c r="Z146" s="0" t="s">
        <v>487</v>
      </c>
      <c r="AA146" s="0" t="s">
        <v>487</v>
      </c>
      <c r="AB146" s="0" t="s">
        <v>487</v>
      </c>
      <c r="AC146" s="0" t="s">
        <v>487</v>
      </c>
      <c r="AD146" s="0" t="s">
        <v>558</v>
      </c>
    </row>
    <row r="147" customFormat="false" ht="15" hidden="false" customHeight="false" outlineLevel="0" collapsed="false">
      <c r="A147" s="0" t="e">
        <f aca="false">_xlfn.CONCAT("path_",_xlfn.textafter(C147,"subj"),"_",TEXT(B147,"mm\_dd\_yy"))</f>
        <v>#NAME?</v>
      </c>
      <c r="B147" s="31" t="n">
        <v>43837</v>
      </c>
      <c r="C147" s="0" t="s">
        <v>998</v>
      </c>
      <c r="D147" s="75" t="e">
        <f aca="false">INDEX(#REF!,MATCH(C147, #REF!,0),1)</f>
        <v>#VALUE!</v>
      </c>
      <c r="F147" s="57" t="str">
        <f aca="false">INDEX(participants!K:K,MATCH(C147, participants!A:A,0),1)</f>
        <v>mpnst</v>
      </c>
      <c r="H147" s="0" t="s">
        <v>5414</v>
      </c>
      <c r="J147" s="0" t="s">
        <v>5526</v>
      </c>
      <c r="L147" s="0" t="s">
        <v>486</v>
      </c>
      <c r="M147" s="0" t="s">
        <v>5510</v>
      </c>
      <c r="N147" s="71" t="s">
        <v>5436</v>
      </c>
      <c r="O147" s="0" t="s">
        <v>487</v>
      </c>
      <c r="P147" s="0" t="s">
        <v>487</v>
      </c>
      <c r="Q147" s="0" t="s">
        <v>487</v>
      </c>
      <c r="R147" s="0" t="s">
        <v>487</v>
      </c>
      <c r="S147" s="0" t="s">
        <v>487</v>
      </c>
      <c r="T147" s="84" t="n">
        <v>0.6</v>
      </c>
      <c r="U147" s="0" t="s">
        <v>5422</v>
      </c>
      <c r="V147" s="0" t="s">
        <v>5412</v>
      </c>
      <c r="W147" s="0" t="s">
        <v>487</v>
      </c>
      <c r="X147" s="0" t="s">
        <v>487</v>
      </c>
      <c r="Y147" s="0" t="s">
        <v>487</v>
      </c>
      <c r="Z147" s="0" t="s">
        <v>487</v>
      </c>
      <c r="AA147" s="0" t="s">
        <v>487</v>
      </c>
      <c r="AB147" s="0" t="s">
        <v>487</v>
      </c>
      <c r="AC147" s="0" t="s">
        <v>487</v>
      </c>
      <c r="AD147" s="0" t="s">
        <v>558</v>
      </c>
    </row>
    <row r="148" customFormat="false" ht="15" hidden="false" customHeight="false" outlineLevel="0" collapsed="false">
      <c r="A148" s="0" t="e">
        <f aca="false">_xlfn.CONCAT("path_",_xlfn.textafter(C148,"subj"),"_",TEXT(B148,"mm\_dd\_yy"))</f>
        <v>#NAME?</v>
      </c>
      <c r="B148" s="31" t="n">
        <v>44459</v>
      </c>
      <c r="C148" s="0" t="s">
        <v>1004</v>
      </c>
      <c r="D148" s="75" t="e">
        <f aca="false">INDEX(#REF!,MATCH(C148, #REF!,0),1)</f>
        <v>#VALUE!</v>
      </c>
      <c r="F148" s="57" t="str">
        <f aca="false">INDEX(participants!K:K,MATCH(C148, participants!A:A,0),1)</f>
        <v>plexiform</v>
      </c>
      <c r="H148" s="0" t="s">
        <v>5410</v>
      </c>
      <c r="J148" s="0" t="s">
        <v>5528</v>
      </c>
      <c r="L148" s="0" t="s">
        <v>1049</v>
      </c>
      <c r="M148" s="0" t="s">
        <v>5420</v>
      </c>
      <c r="N148" s="71" t="s">
        <v>487</v>
      </c>
      <c r="O148" s="71" t="s">
        <v>487</v>
      </c>
      <c r="P148" s="71" t="s">
        <v>487</v>
      </c>
      <c r="Q148" s="71" t="s">
        <v>487</v>
      </c>
      <c r="R148" s="71" t="s">
        <v>487</v>
      </c>
      <c r="S148" s="71" t="s">
        <v>487</v>
      </c>
      <c r="T148" s="71" t="s">
        <v>487</v>
      </c>
      <c r="U148" s="71" t="s">
        <v>487</v>
      </c>
      <c r="V148" s="71" t="s">
        <v>487</v>
      </c>
      <c r="W148" s="71" t="s">
        <v>487</v>
      </c>
      <c r="X148" s="71" t="s">
        <v>487</v>
      </c>
      <c r="Y148" s="71" t="s">
        <v>487</v>
      </c>
      <c r="Z148" s="71" t="s">
        <v>487</v>
      </c>
      <c r="AA148" s="71" t="s">
        <v>487</v>
      </c>
      <c r="AB148" s="71" t="s">
        <v>487</v>
      </c>
      <c r="AC148" s="71" t="s">
        <v>487</v>
      </c>
      <c r="AD148" s="0" t="s">
        <v>558</v>
      </c>
    </row>
    <row r="149" customFormat="false" ht="15" hidden="false" customHeight="false" outlineLevel="0" collapsed="false">
      <c r="F149" s="57"/>
    </row>
    <row r="150" customFormat="false" ht="15" hidden="false" customHeight="false" outlineLevel="0" collapsed="false">
      <c r="A150" s="0" t="e">
        <f aca="false">_xlfn.CONCAT("path_",_xlfn.textafter(C150,"subj"),"_",TEXT(B150,"mm\_dd\_yy"))</f>
        <v>#NAME?</v>
      </c>
      <c r="C150" s="0" t="s">
        <v>1007</v>
      </c>
      <c r="D150" s="75" t="e">
        <f aca="false">INDEX(#REF!,MATCH(C150, #REF!,0),1)</f>
        <v>#VALUE!</v>
      </c>
      <c r="F150" s="57" t="str">
        <f aca="false">INDEX(participants!K:K,MATCH(C150, participants!A:A,0),1)</f>
        <v>plexiform</v>
      </c>
      <c r="L150" s="0" t="s">
        <v>1049</v>
      </c>
    </row>
    <row r="151" customFormat="false" ht="15" hidden="false" customHeight="false" outlineLevel="0" collapsed="false">
      <c r="A151" s="0" t="e">
        <f aca="false">_xlfn.CONCAT("path_",_xlfn.textafter(C151,"subj"),"_",TEXT(B151,"mm\_dd\_yy"))</f>
        <v>#NAME?</v>
      </c>
      <c r="B151" s="0" t="s">
        <v>689</v>
      </c>
      <c r="C151" s="0" t="s">
        <v>1010</v>
      </c>
      <c r="D151" s="75" t="e">
        <f aca="false">INDEX(#REF!,MATCH(C151, #REF!,0),1)</f>
        <v>#VALUE!</v>
      </c>
      <c r="F151" s="57" t="str">
        <f aca="false">INDEX(participants!K:K,MATCH(C151, participants!A:A,0),1)</f>
        <v>nf1_noplex</v>
      </c>
      <c r="L151" s="0" t="s">
        <v>1049</v>
      </c>
    </row>
    <row r="152" customFormat="false" ht="15" hidden="false" customHeight="false" outlineLevel="0" collapsed="false">
      <c r="A152" s="0" t="e">
        <f aca="false">_xlfn.CONCAT("path_",_xlfn.textafter(C152,"subj"),"_",TEXT(B152,"mm\_dd\_yy"))</f>
        <v>#NAME?</v>
      </c>
      <c r="B152" s="0" t="s">
        <v>689</v>
      </c>
      <c r="C152" s="0" t="s">
        <v>1014</v>
      </c>
      <c r="D152" s="75" t="e">
        <f aca="false">INDEX(#REF!,MATCH(C152, #REF!,0),1)</f>
        <v>#VALUE!</v>
      </c>
      <c r="F152" s="57" t="str">
        <f aca="false">INDEX(participants!K:K,MATCH(C152, participants!A:A,0),1)</f>
        <v>plexiform</v>
      </c>
      <c r="L152" s="0" t="s">
        <v>1049</v>
      </c>
    </row>
    <row r="153" customFormat="false" ht="15" hidden="false" customHeight="false" outlineLevel="0" collapsed="false">
      <c r="A153" s="0" t="e">
        <f aca="false">_xlfn.CONCAT("path_",_xlfn.textafter(C153,"subj"),"_",TEXT(B153,"mm\_dd\_yy"))</f>
        <v>#NAME?</v>
      </c>
      <c r="B153" s="0" t="s">
        <v>689</v>
      </c>
      <c r="C153" s="0" t="s">
        <v>1017</v>
      </c>
      <c r="D153" s="75" t="e">
        <f aca="false">INDEX(#REF!,MATCH(C153, #REF!,0),1)</f>
        <v>#VALUE!</v>
      </c>
      <c r="F153" s="57" t="str">
        <f aca="false">INDEX(participants!K:K,MATCH(C153, participants!A:A,0),1)</f>
        <v>plexiform</v>
      </c>
      <c r="L153" s="0" t="s">
        <v>1049</v>
      </c>
    </row>
    <row r="154" customFormat="false" ht="15" hidden="false" customHeight="false" outlineLevel="0" collapsed="false">
      <c r="A154" s="0" t="e">
        <f aca="false">_xlfn.CONCAT("path_",_xlfn.textafter(C154,"subj"),"_",TEXT(B154,"mm\_dd\_yy"))</f>
        <v>#NAME?</v>
      </c>
      <c r="B154" s="0" t="s">
        <v>689</v>
      </c>
      <c r="C154" s="0" t="s">
        <v>1020</v>
      </c>
      <c r="D154" s="75" t="e">
        <f aca="false">INDEX(#REF!,MATCH(C154, #REF!,0),1)</f>
        <v>#VALUE!</v>
      </c>
      <c r="F154" s="57" t="str">
        <f aca="false">INDEX(participants!K:K,MATCH(C154, participants!A:A,0),1)</f>
        <v>plexiform</v>
      </c>
      <c r="L154" s="0" t="s">
        <v>1049</v>
      </c>
    </row>
    <row r="155" customFormat="false" ht="15" hidden="false" customHeight="false" outlineLevel="0" collapsed="false">
      <c r="A155" s="0" t="e">
        <f aca="false">_xlfn.CONCAT("path_",_xlfn.textafter(C155,"subj"),"_",TEXT(B155,"mm\_dd\_yy"))</f>
        <v>#NAME?</v>
      </c>
      <c r="B155" s="0" t="s">
        <v>689</v>
      </c>
      <c r="C155" s="0" t="s">
        <v>1023</v>
      </c>
      <c r="D155" s="75" t="e">
        <f aca="false">INDEX(#REF!,MATCH(C155, #REF!,0),1)</f>
        <v>#VALUE!</v>
      </c>
      <c r="F155" s="57" t="str">
        <f aca="false">INDEX(participants!K:K,MATCH(C155, participants!A:A,0),1)</f>
        <v>plexiform</v>
      </c>
      <c r="L155" s="0" t="s">
        <v>1049</v>
      </c>
    </row>
    <row r="156" customFormat="false" ht="15" hidden="false" customHeight="false" outlineLevel="0" collapsed="false">
      <c r="A156" s="0" t="e">
        <f aca="false">_xlfn.CONCAT("path_",_xlfn.textafter(C156,"subj"),"_",TEXT(B156,"mm\_dd\_yy"))</f>
        <v>#NAME?</v>
      </c>
      <c r="B156" s="31" t="n">
        <v>42682</v>
      </c>
      <c r="C156" s="0" t="s">
        <v>1026</v>
      </c>
      <c r="D156" s="75" t="e">
        <f aca="false">INDEX(#REF!,MATCH(C156, #REF!,0),1)</f>
        <v>#VALUE!</v>
      </c>
      <c r="F156" s="57" t="str">
        <f aca="false">INDEX(participants!K:K,MATCH(C156, participants!A:A,0),1)</f>
        <v>plexiform</v>
      </c>
      <c r="H156" s="0" t="s">
        <v>5410</v>
      </c>
      <c r="J156" s="0" t="s">
        <v>5180</v>
      </c>
      <c r="L156" s="0" t="s">
        <v>1049</v>
      </c>
      <c r="M156" s="0" t="s">
        <v>5529</v>
      </c>
      <c r="N156" s="71" t="s">
        <v>558</v>
      </c>
      <c r="O156" s="0" t="s">
        <v>487</v>
      </c>
      <c r="P156" s="0" t="s">
        <v>511</v>
      </c>
      <c r="Q156" s="0" t="s">
        <v>5530</v>
      </c>
      <c r="R156" s="0" t="s">
        <v>487</v>
      </c>
      <c r="S156" s="0" t="s">
        <v>487</v>
      </c>
      <c r="T156" s="0" t="s">
        <v>5531</v>
      </c>
      <c r="U156" s="0" t="s">
        <v>5412</v>
      </c>
      <c r="V156" s="0" t="s">
        <v>5412</v>
      </c>
      <c r="W156" s="0" t="s">
        <v>5412</v>
      </c>
      <c r="X156" s="0" t="s">
        <v>487</v>
      </c>
      <c r="Y156" s="0" t="s">
        <v>5428</v>
      </c>
      <c r="Z156" s="0" t="s">
        <v>487</v>
      </c>
      <c r="AA156" s="0" t="s">
        <v>487</v>
      </c>
      <c r="AB156" s="0" t="s">
        <v>487</v>
      </c>
      <c r="AC156" s="0" t="s">
        <v>487</v>
      </c>
      <c r="AD156" s="0" t="s">
        <v>558</v>
      </c>
    </row>
    <row r="157" customFormat="false" ht="15" hidden="false" customHeight="false" outlineLevel="0" collapsed="false">
      <c r="A157" s="0" t="e">
        <f aca="false">_xlfn.CONCAT("path_",_xlfn.textafter(C157,"subj"),"_",TEXT(B157,"mm\_dd\_yy"))</f>
        <v>#NAME?</v>
      </c>
      <c r="B157" s="31" t="n">
        <v>42802</v>
      </c>
      <c r="C157" s="0" t="s">
        <v>1029</v>
      </c>
      <c r="D157" s="75" t="e">
        <f aca="false">INDEX(#REF!,MATCH(C157, #REF!,0),1)</f>
        <v>#VALUE!</v>
      </c>
      <c r="F157" s="57" t="str">
        <f aca="false">INDEX(participants!K:K,MATCH(C157, participants!A:A,0),1)</f>
        <v>plexiform</v>
      </c>
      <c r="H157" s="0" t="s">
        <v>5410</v>
      </c>
      <c r="J157" s="0" t="s">
        <v>5532</v>
      </c>
      <c r="L157" s="0" t="s">
        <v>1049</v>
      </c>
      <c r="M157" s="0" t="s">
        <v>5420</v>
      </c>
      <c r="N157" s="71" t="s">
        <v>487</v>
      </c>
      <c r="O157" s="0" t="s">
        <v>487</v>
      </c>
      <c r="P157" s="0" t="s">
        <v>487</v>
      </c>
      <c r="Q157" s="0" t="s">
        <v>487</v>
      </c>
      <c r="R157" s="0" t="s">
        <v>487</v>
      </c>
      <c r="S157" s="0" t="s">
        <v>487</v>
      </c>
      <c r="T157" s="0" t="s">
        <v>487</v>
      </c>
      <c r="U157" s="0" t="s">
        <v>5412</v>
      </c>
      <c r="V157" s="0" t="s">
        <v>5412</v>
      </c>
      <c r="W157" s="0" t="s">
        <v>487</v>
      </c>
      <c r="X157" s="0" t="s">
        <v>487</v>
      </c>
      <c r="Y157" s="0" t="s">
        <v>487</v>
      </c>
      <c r="Z157" s="0" t="s">
        <v>487</v>
      </c>
      <c r="AA157" s="0" t="s">
        <v>487</v>
      </c>
      <c r="AB157" s="0" t="s">
        <v>487</v>
      </c>
      <c r="AC157" s="0" t="s">
        <v>487</v>
      </c>
      <c r="AD157" s="0" t="s">
        <v>558</v>
      </c>
    </row>
    <row r="158" customFormat="false" ht="15" hidden="false" customHeight="false" outlineLevel="0" collapsed="false">
      <c r="A158" s="0" t="e">
        <f aca="false">_xlfn.CONCAT("path_",_xlfn.textafter(C158,"subj"),"_",TEXT(B158,"mm\_dd\_yy"))</f>
        <v>#NAME?</v>
      </c>
      <c r="B158" s="31" t="n">
        <v>42781</v>
      </c>
      <c r="C158" s="0" t="s">
        <v>1029</v>
      </c>
      <c r="D158" s="75" t="e">
        <f aca="false">INDEX(#REF!,MATCH(C158, #REF!,0),1)</f>
        <v>#VALUE!</v>
      </c>
      <c r="F158" s="57" t="str">
        <f aca="false">INDEX(participants!K:K,MATCH(C158, participants!A:A,0),1)</f>
        <v>plexiform</v>
      </c>
      <c r="H158" s="0" t="s">
        <v>5410</v>
      </c>
      <c r="J158" s="0" t="s">
        <v>5533</v>
      </c>
      <c r="L158" s="0" t="s">
        <v>1049</v>
      </c>
      <c r="M158" s="0" t="s">
        <v>5534</v>
      </c>
      <c r="N158" s="71" t="s">
        <v>558</v>
      </c>
      <c r="O158" s="71" t="s">
        <v>558</v>
      </c>
      <c r="P158" s="0" t="s">
        <v>511</v>
      </c>
      <c r="Q158" s="71" t="s">
        <v>558</v>
      </c>
      <c r="R158" s="0" t="s">
        <v>487</v>
      </c>
      <c r="S158" s="0" t="s">
        <v>487</v>
      </c>
      <c r="T158" s="0" t="s">
        <v>487</v>
      </c>
      <c r="U158" s="0" t="s">
        <v>487</v>
      </c>
      <c r="V158" s="0" t="s">
        <v>487</v>
      </c>
      <c r="W158" s="0" t="s">
        <v>487</v>
      </c>
      <c r="X158" s="0" t="s">
        <v>487</v>
      </c>
      <c r="Y158" s="0" t="s">
        <v>487</v>
      </c>
      <c r="Z158" s="0" t="s">
        <v>487</v>
      </c>
      <c r="AA158" s="0" t="s">
        <v>487</v>
      </c>
      <c r="AB158" s="0" t="s">
        <v>487</v>
      </c>
      <c r="AC158" s="0" t="s">
        <v>487</v>
      </c>
      <c r="AD158" s="0" t="s">
        <v>558</v>
      </c>
    </row>
    <row r="159" customFormat="false" ht="15" hidden="false" customHeight="false" outlineLevel="0" collapsed="false">
      <c r="A159" s="0" t="e">
        <f aca="false">_xlfn.CONCAT("path_",_xlfn.textafter(C159,"subj"),"_",TEXT(B159,"mm\_dd\_yy"))</f>
        <v>#NAME?</v>
      </c>
      <c r="B159" s="31" t="n">
        <v>42781</v>
      </c>
      <c r="C159" s="0" t="s">
        <v>1029</v>
      </c>
      <c r="D159" s="75" t="e">
        <f aca="false">INDEX(#REF!,MATCH(C159, #REF!,0),1)</f>
        <v>#VALUE!</v>
      </c>
      <c r="F159" s="57" t="str">
        <f aca="false">INDEX(participants!K:K,MATCH(C159, participants!A:A,0),1)</f>
        <v>plexiform</v>
      </c>
      <c r="H159" s="0" t="s">
        <v>5410</v>
      </c>
      <c r="J159" s="0" t="s">
        <v>5533</v>
      </c>
      <c r="L159" s="0" t="s">
        <v>1049</v>
      </c>
      <c r="M159" s="0" t="s">
        <v>5420</v>
      </c>
      <c r="N159" s="71" t="s">
        <v>558</v>
      </c>
      <c r="O159" s="71" t="s">
        <v>558</v>
      </c>
      <c r="P159" s="0" t="s">
        <v>558</v>
      </c>
      <c r="Q159" s="71" t="s">
        <v>558</v>
      </c>
      <c r="R159" s="0" t="s">
        <v>487</v>
      </c>
      <c r="S159" s="0" t="s">
        <v>487</v>
      </c>
      <c r="T159" s="0" t="s">
        <v>487</v>
      </c>
      <c r="U159" s="0" t="s">
        <v>487</v>
      </c>
      <c r="V159" s="0" t="s">
        <v>487</v>
      </c>
      <c r="W159" s="0" t="s">
        <v>487</v>
      </c>
      <c r="X159" s="0" t="s">
        <v>487</v>
      </c>
      <c r="Y159" s="0" t="s">
        <v>487</v>
      </c>
      <c r="Z159" s="0" t="s">
        <v>487</v>
      </c>
      <c r="AA159" s="0" t="s">
        <v>487</v>
      </c>
      <c r="AB159" s="0" t="s">
        <v>487</v>
      </c>
      <c r="AC159" s="0" t="s">
        <v>487</v>
      </c>
      <c r="AD159" s="0" t="s">
        <v>558</v>
      </c>
    </row>
    <row r="160" customFormat="false" ht="15" hidden="false" customHeight="false" outlineLevel="0" collapsed="false">
      <c r="A160" s="0" t="e">
        <f aca="false">_xlfn.CONCAT("path_",_xlfn.textafter(C160,"subj"),"_",TEXT(B160,"mm\_dd\_yy"))</f>
        <v>#NAME?</v>
      </c>
      <c r="B160" s="31" t="n">
        <v>42781</v>
      </c>
      <c r="C160" s="0" t="s">
        <v>1029</v>
      </c>
      <c r="D160" s="75" t="e">
        <f aca="false">INDEX(#REF!,MATCH(C160, #REF!,0),1)</f>
        <v>#VALUE!</v>
      </c>
      <c r="F160" s="57" t="str">
        <f aca="false">INDEX(participants!K:K,MATCH(C160, participants!A:A,0),1)</f>
        <v>plexiform</v>
      </c>
      <c r="H160" s="0" t="s">
        <v>5410</v>
      </c>
      <c r="J160" s="0" t="s">
        <v>5535</v>
      </c>
      <c r="L160" s="0" t="s">
        <v>1049</v>
      </c>
      <c r="M160" s="0" t="s">
        <v>5534</v>
      </c>
      <c r="N160" s="71" t="s">
        <v>558</v>
      </c>
      <c r="O160" s="71" t="s">
        <v>558</v>
      </c>
      <c r="P160" s="0" t="s">
        <v>511</v>
      </c>
      <c r="Q160" s="71" t="s">
        <v>558</v>
      </c>
      <c r="R160" s="0" t="s">
        <v>487</v>
      </c>
      <c r="S160" s="0" t="s">
        <v>487</v>
      </c>
      <c r="T160" s="0" t="s">
        <v>487</v>
      </c>
      <c r="U160" s="0" t="s">
        <v>487</v>
      </c>
      <c r="V160" s="0" t="s">
        <v>487</v>
      </c>
      <c r="W160" s="0" t="s">
        <v>487</v>
      </c>
      <c r="X160" s="0" t="s">
        <v>487</v>
      </c>
      <c r="Y160" s="0" t="s">
        <v>487</v>
      </c>
      <c r="Z160" s="0" t="s">
        <v>487</v>
      </c>
      <c r="AA160" s="0" t="s">
        <v>487</v>
      </c>
      <c r="AB160" s="0" t="s">
        <v>487</v>
      </c>
      <c r="AC160" s="0" t="s">
        <v>487</v>
      </c>
      <c r="AD160" s="0" t="s">
        <v>558</v>
      </c>
    </row>
    <row r="161" customFormat="false" ht="15" hidden="false" customHeight="false" outlineLevel="0" collapsed="false">
      <c r="A161" s="0" t="e">
        <f aca="false">_xlfn.CONCAT("path_",_xlfn.textafter(C161,"subj"),"_",TEXT(B161,"mm\_dd\_yy"))</f>
        <v>#NAME?</v>
      </c>
      <c r="B161" s="0" t="s">
        <v>689</v>
      </c>
      <c r="C161" s="0" t="s">
        <v>1032</v>
      </c>
      <c r="D161" s="75" t="e">
        <f aca="false">INDEX(#REF!,MATCH(C161, #REF!,0),1)</f>
        <v>#VALUE!</v>
      </c>
      <c r="F161" s="57" t="str">
        <f aca="false">INDEX(participants!K:K,MATCH(C161, participants!A:A,0),1)</f>
        <v>plexiform</v>
      </c>
      <c r="L161" s="0" t="s">
        <v>1049</v>
      </c>
    </row>
    <row r="162" customFormat="false" ht="15" hidden="false" customHeight="false" outlineLevel="0" collapsed="false">
      <c r="A162" s="0" t="e">
        <f aca="false">_xlfn.CONCAT("path_",_xlfn.textafter(C162,"subj"),"_",TEXT(B162,"mm\_dd\_yy"))</f>
        <v>#NAME?</v>
      </c>
      <c r="B162" s="31" t="n">
        <v>42594</v>
      </c>
      <c r="C162" s="0" t="s">
        <v>1035</v>
      </c>
      <c r="D162" s="75" t="e">
        <f aca="false">INDEX(#REF!,MATCH(C162, #REF!,0),1)</f>
        <v>#VALUE!</v>
      </c>
      <c r="F162" s="57" t="str">
        <f aca="false">INDEX(participants!K:K,MATCH(C162, participants!A:A,0),1)</f>
        <v>plexiform</v>
      </c>
      <c r="H162" s="0" t="s">
        <v>5410</v>
      </c>
      <c r="J162" s="0" t="s">
        <v>5180</v>
      </c>
      <c r="L162" s="0" t="s">
        <v>1049</v>
      </c>
      <c r="M162" s="0" t="s">
        <v>5536</v>
      </c>
      <c r="N162" s="71" t="s">
        <v>558</v>
      </c>
      <c r="O162" s="0" t="s">
        <v>558</v>
      </c>
      <c r="P162" s="0" t="s">
        <v>511</v>
      </c>
      <c r="Q162" s="0" t="s">
        <v>5446</v>
      </c>
      <c r="R162" s="0" t="s">
        <v>487</v>
      </c>
      <c r="S162" s="0" t="s">
        <v>487</v>
      </c>
      <c r="T162" s="0" t="s">
        <v>487</v>
      </c>
      <c r="U162" s="0" t="s">
        <v>487</v>
      </c>
      <c r="V162" s="0" t="s">
        <v>487</v>
      </c>
      <c r="W162" s="0" t="s">
        <v>487</v>
      </c>
      <c r="X162" s="0" t="s">
        <v>487</v>
      </c>
      <c r="Y162" s="0" t="s">
        <v>487</v>
      </c>
      <c r="Z162" s="0" t="s">
        <v>487</v>
      </c>
      <c r="AA162" s="0" t="s">
        <v>487</v>
      </c>
      <c r="AB162" s="0" t="s">
        <v>487</v>
      </c>
      <c r="AC162" s="0" t="s">
        <v>487</v>
      </c>
      <c r="AD162" s="0" t="s">
        <v>558</v>
      </c>
    </row>
    <row r="163" customFormat="false" ht="15" hidden="false" customHeight="false" outlineLevel="0" collapsed="false">
      <c r="A163" s="0" t="e">
        <f aca="false">_xlfn.CONCAT("path_",_xlfn.textafter(C163,"subj"),"_",TEXT(B163,"mm\_dd\_yy"))</f>
        <v>#NAME?</v>
      </c>
      <c r="B163" s="31" t="n">
        <v>44090</v>
      </c>
      <c r="C163" s="0" t="s">
        <v>1038</v>
      </c>
      <c r="D163" s="75" t="e">
        <f aca="false">INDEX(#REF!,MATCH(C163, #REF!,0),1)</f>
        <v>#VALUE!</v>
      </c>
      <c r="F163" s="57" t="str">
        <f aca="false">INDEX(participants!K:K,MATCH(C163, participants!A:A,0),1)</f>
        <v>plexiform</v>
      </c>
      <c r="H163" s="0" t="s">
        <v>5410</v>
      </c>
      <c r="J163" s="0" t="s">
        <v>5537</v>
      </c>
      <c r="L163" s="0" t="s">
        <v>1049</v>
      </c>
      <c r="M163" s="0" t="s">
        <v>5420</v>
      </c>
      <c r="N163" s="71" t="s">
        <v>558</v>
      </c>
      <c r="O163" s="0" t="s">
        <v>558</v>
      </c>
      <c r="P163" s="0" t="s">
        <v>558</v>
      </c>
      <c r="Q163" s="0" t="s">
        <v>558</v>
      </c>
      <c r="R163" s="0" t="s">
        <v>487</v>
      </c>
      <c r="S163" s="0" t="s">
        <v>487</v>
      </c>
      <c r="T163" s="0" t="s">
        <v>487</v>
      </c>
      <c r="U163" s="0" t="s">
        <v>487</v>
      </c>
      <c r="V163" s="0" t="s">
        <v>487</v>
      </c>
      <c r="W163" s="0" t="s">
        <v>487</v>
      </c>
      <c r="X163" s="0" t="s">
        <v>487</v>
      </c>
      <c r="Y163" s="0" t="s">
        <v>487</v>
      </c>
      <c r="Z163" s="0" t="s">
        <v>487</v>
      </c>
      <c r="AA163" s="0" t="s">
        <v>487</v>
      </c>
      <c r="AB163" s="0" t="s">
        <v>487</v>
      </c>
      <c r="AC163" s="0" t="s">
        <v>487</v>
      </c>
      <c r="AD163" s="0" t="s">
        <v>558</v>
      </c>
    </row>
    <row r="164" customFormat="false" ht="15" hidden="false" customHeight="false" outlineLevel="0" collapsed="false">
      <c r="A164" s="0" t="e">
        <f aca="false">_xlfn.CONCAT("path_",_xlfn.textafter(C164,"subj"),"_",TEXT(B164,"mm\_dd\_yy"))</f>
        <v>#NAME?</v>
      </c>
      <c r="B164" s="31" t="n">
        <v>44020</v>
      </c>
      <c r="C164" s="0" t="s">
        <v>1038</v>
      </c>
      <c r="D164" s="75" t="e">
        <f aca="false">INDEX(#REF!,MATCH(C164, #REF!,0),1)</f>
        <v>#VALUE!</v>
      </c>
      <c r="F164" s="57" t="str">
        <f aca="false">INDEX(participants!K:K,MATCH(C164, participants!A:A,0),1)</f>
        <v>plexiform</v>
      </c>
      <c r="H164" s="0" t="s">
        <v>5410</v>
      </c>
      <c r="J164" s="0" t="s">
        <v>5537</v>
      </c>
      <c r="L164" s="0" t="s">
        <v>1049</v>
      </c>
      <c r="M164" s="0" t="s">
        <v>5538</v>
      </c>
      <c r="N164" s="71" t="s">
        <v>558</v>
      </c>
      <c r="O164" s="0" t="s">
        <v>558</v>
      </c>
      <c r="P164" s="0" t="s">
        <v>558</v>
      </c>
      <c r="Q164" s="0" t="s">
        <v>558</v>
      </c>
      <c r="R164" s="0" t="s">
        <v>487</v>
      </c>
      <c r="S164" s="0" t="s">
        <v>487</v>
      </c>
      <c r="T164" s="0" t="s">
        <v>487</v>
      </c>
      <c r="U164" s="0" t="s">
        <v>487</v>
      </c>
      <c r="V164" s="0" t="s">
        <v>487</v>
      </c>
      <c r="W164" s="0" t="s">
        <v>487</v>
      </c>
      <c r="X164" s="0" t="s">
        <v>487</v>
      </c>
      <c r="Y164" s="0" t="s">
        <v>487</v>
      </c>
      <c r="Z164" s="0" t="s">
        <v>487</v>
      </c>
      <c r="AA164" s="0" t="s">
        <v>487</v>
      </c>
      <c r="AB164" s="0" t="s">
        <v>487</v>
      </c>
      <c r="AC164" s="0" t="s">
        <v>487</v>
      </c>
      <c r="AD164" s="0" t="s">
        <v>558</v>
      </c>
    </row>
    <row r="165" customFormat="false" ht="15" hidden="false" customHeight="false" outlineLevel="0" collapsed="false">
      <c r="A165" s="0" t="e">
        <f aca="false">_xlfn.CONCAT("path_",_xlfn.textafter(C165,"subj"),"_",TEXT(B165,"mm\_dd\_yy"))</f>
        <v>#NAME?</v>
      </c>
      <c r="B165" s="31" t="n">
        <v>44020</v>
      </c>
      <c r="C165" s="0" t="s">
        <v>1038</v>
      </c>
      <c r="D165" s="75" t="e">
        <f aca="false">INDEX(#REF!,MATCH(C165, #REF!,0),1)</f>
        <v>#VALUE!</v>
      </c>
      <c r="F165" s="57" t="str">
        <f aca="false">INDEX(participants!K:K,MATCH(C165, participants!A:A,0),1)</f>
        <v>plexiform</v>
      </c>
      <c r="H165" s="0" t="s">
        <v>5410</v>
      </c>
      <c r="J165" s="0" t="s">
        <v>5537</v>
      </c>
      <c r="L165" s="0" t="s">
        <v>1049</v>
      </c>
      <c r="M165" s="0" t="s">
        <v>5538</v>
      </c>
      <c r="N165" s="71" t="s">
        <v>558</v>
      </c>
      <c r="O165" s="0" t="s">
        <v>558</v>
      </c>
      <c r="P165" s="0" t="s">
        <v>558</v>
      </c>
      <c r="Q165" s="0" t="s">
        <v>558</v>
      </c>
      <c r="R165" s="0" t="s">
        <v>487</v>
      </c>
      <c r="S165" s="0" t="s">
        <v>487</v>
      </c>
      <c r="T165" s="0" t="s">
        <v>487</v>
      </c>
      <c r="U165" s="0" t="s">
        <v>487</v>
      </c>
      <c r="V165" s="0" t="s">
        <v>487</v>
      </c>
      <c r="W165" s="0" t="s">
        <v>487</v>
      </c>
      <c r="X165" s="0" t="s">
        <v>487</v>
      </c>
      <c r="Y165" s="0" t="s">
        <v>487</v>
      </c>
      <c r="Z165" s="0" t="s">
        <v>487</v>
      </c>
      <c r="AA165" s="0" t="s">
        <v>487</v>
      </c>
      <c r="AB165" s="0" t="s">
        <v>487</v>
      </c>
      <c r="AC165" s="0" t="s">
        <v>487</v>
      </c>
      <c r="AD165" s="0" t="s">
        <v>558</v>
      </c>
    </row>
    <row r="166" customFormat="false" ht="15" hidden="false" customHeight="false" outlineLevel="0" collapsed="false">
      <c r="A166" s="0" t="e">
        <f aca="false">_xlfn.CONCAT("path_",_xlfn.textafter(C166,"subj"),"_",TEXT(B166,"mm\_dd\_yy"))</f>
        <v>#NAME?</v>
      </c>
      <c r="B166" s="0" t="s">
        <v>689</v>
      </c>
      <c r="C166" s="0" t="s">
        <v>1041</v>
      </c>
      <c r="D166" s="75" t="e">
        <f aca="false">INDEX(#REF!,MATCH(C166, #REF!,0),1)</f>
        <v>#VALUE!</v>
      </c>
      <c r="F166" s="57" t="str">
        <f aca="false">INDEX(participants!K:K,MATCH(C166, participants!A:A,0),1)</f>
        <v>mpnst</v>
      </c>
    </row>
    <row r="167" customFormat="false" ht="15" hidden="false" customHeight="false" outlineLevel="0" collapsed="false">
      <c r="A167" s="0" t="e">
        <f aca="false">_xlfn.CONCAT("path_",_xlfn.textafter(C167,"subj"),"_",TEXT(B167,"mm\_dd\_yy"))</f>
        <v>#NAME?</v>
      </c>
      <c r="B167" s="31" t="n">
        <v>44678</v>
      </c>
      <c r="C167" s="0" t="s">
        <v>1044</v>
      </c>
      <c r="D167" s="75" t="e">
        <f aca="false">INDEX(#REF!,MATCH(C167, #REF!,0),1)</f>
        <v>#VALUE!</v>
      </c>
      <c r="F167" s="57" t="str">
        <f aca="false">INDEX(participants!K:K,MATCH(C167, participants!A:A,0),1)</f>
        <v>anf</v>
      </c>
      <c r="H167" s="0" t="s">
        <v>5410</v>
      </c>
      <c r="J167" s="0" t="s">
        <v>5539</v>
      </c>
      <c r="L167" s="0" t="s">
        <v>1049</v>
      </c>
      <c r="M167" s="0" t="s">
        <v>5538</v>
      </c>
      <c r="N167" s="71" t="s">
        <v>487</v>
      </c>
      <c r="O167" s="0" t="s">
        <v>487</v>
      </c>
      <c r="P167" s="0" t="s">
        <v>5540</v>
      </c>
      <c r="Q167" s="0" t="s">
        <v>5541</v>
      </c>
      <c r="R167" s="0" t="s">
        <v>487</v>
      </c>
      <c r="S167" s="0" t="s">
        <v>487</v>
      </c>
      <c r="T167" s="0" t="s">
        <v>487</v>
      </c>
      <c r="U167" s="0" t="s">
        <v>487</v>
      </c>
      <c r="V167" s="0" t="s">
        <v>487</v>
      </c>
      <c r="W167" s="0" t="s">
        <v>487</v>
      </c>
      <c r="X167" s="0" t="s">
        <v>487</v>
      </c>
      <c r="Y167" s="0" t="s">
        <v>487</v>
      </c>
      <c r="Z167" s="0" t="s">
        <v>487</v>
      </c>
      <c r="AA167" s="0" t="s">
        <v>487</v>
      </c>
      <c r="AB167" s="0" t="s">
        <v>487</v>
      </c>
      <c r="AC167" s="0" t="s">
        <v>487</v>
      </c>
      <c r="AD167" s="0" t="s">
        <v>558</v>
      </c>
    </row>
    <row r="168" customFormat="false" ht="15" hidden="false" customHeight="false" outlineLevel="0" collapsed="false">
      <c r="A168" s="0" t="e">
        <f aca="false">_xlfn.CONCAT("path_",_xlfn.textafter(C168,"subj"),"_",TEXT(B168,"mm\_dd\_yy"))</f>
        <v>#NAME?</v>
      </c>
      <c r="B168" s="31" t="n">
        <v>44587</v>
      </c>
      <c r="C168" s="0" t="s">
        <v>1044</v>
      </c>
      <c r="D168" s="75" t="e">
        <f aca="false">INDEX(#REF!,MATCH(C168, #REF!,0),1)</f>
        <v>#VALUE!</v>
      </c>
      <c r="F168" s="57" t="str">
        <f aca="false">INDEX(participants!K:K,MATCH(C168, participants!A:A,0),1)</f>
        <v>anf</v>
      </c>
      <c r="H168" s="0" t="s">
        <v>5410</v>
      </c>
      <c r="J168" s="0" t="s">
        <v>5539</v>
      </c>
      <c r="L168" s="0" t="s">
        <v>1049</v>
      </c>
      <c r="M168" s="0" t="s">
        <v>5487</v>
      </c>
      <c r="N168" s="71" t="s">
        <v>558</v>
      </c>
      <c r="O168" s="0" t="s">
        <v>558</v>
      </c>
      <c r="P168" s="0" t="s">
        <v>5465</v>
      </c>
      <c r="Q168" s="0" t="s">
        <v>5517</v>
      </c>
      <c r="R168" s="0" t="s">
        <v>487</v>
      </c>
      <c r="S168" s="0" t="s">
        <v>487</v>
      </c>
      <c r="T168" s="0" t="s">
        <v>487</v>
      </c>
      <c r="U168" s="0" t="s">
        <v>487</v>
      </c>
      <c r="V168" s="0" t="s">
        <v>5412</v>
      </c>
      <c r="W168" s="0" t="s">
        <v>5425</v>
      </c>
      <c r="X168" s="0" t="s">
        <v>487</v>
      </c>
      <c r="Y168" s="0" t="s">
        <v>487</v>
      </c>
      <c r="Z168" s="0" t="s">
        <v>487</v>
      </c>
      <c r="AA168" s="0" t="s">
        <v>487</v>
      </c>
      <c r="AB168" s="0" t="s">
        <v>487</v>
      </c>
      <c r="AC168" s="0" t="s">
        <v>487</v>
      </c>
      <c r="AD168" s="0" t="s">
        <v>558</v>
      </c>
      <c r="AF168" s="0" t="s">
        <v>5434</v>
      </c>
    </row>
    <row r="169" customFormat="false" ht="15" hidden="false" customHeight="false" outlineLevel="0" collapsed="false">
      <c r="A169" s="0" t="e">
        <f aca="false">_xlfn.CONCAT("path_",_xlfn.textafter(C169,"subj"),"_",TEXT(B169,"mm\_dd\_yy"))</f>
        <v>#NAME?</v>
      </c>
      <c r="B169" s="31" t="n">
        <v>44398</v>
      </c>
      <c r="C169" s="0" t="s">
        <v>1047</v>
      </c>
      <c r="D169" s="75" t="e">
        <f aca="false">INDEX(#REF!,MATCH(C169, #REF!,0),1)</f>
        <v>#VALUE!</v>
      </c>
      <c r="F169" s="57" t="s">
        <v>526</v>
      </c>
      <c r="H169" s="0" t="s">
        <v>5414</v>
      </c>
      <c r="L169" s="0" t="s">
        <v>1049</v>
      </c>
      <c r="M169" s="0" t="s">
        <v>5420</v>
      </c>
      <c r="N169" s="71" t="s">
        <v>558</v>
      </c>
      <c r="O169" s="0" t="s">
        <v>558</v>
      </c>
      <c r="P169" s="0" t="s">
        <v>558</v>
      </c>
      <c r="Q169" s="0" t="s">
        <v>558</v>
      </c>
      <c r="R169" s="0" t="s">
        <v>5542</v>
      </c>
      <c r="S169" s="0" t="s">
        <v>487</v>
      </c>
      <c r="T169" s="0" t="s">
        <v>487</v>
      </c>
      <c r="U169" s="0" t="s">
        <v>487</v>
      </c>
      <c r="V169" s="0" t="s">
        <v>487</v>
      </c>
      <c r="W169" s="0" t="s">
        <v>487</v>
      </c>
      <c r="X169" s="0" t="s">
        <v>487</v>
      </c>
      <c r="Y169" s="0" t="s">
        <v>487</v>
      </c>
      <c r="Z169" s="0" t="s">
        <v>487</v>
      </c>
      <c r="AA169" s="0" t="s">
        <v>487</v>
      </c>
      <c r="AB169" s="0" t="s">
        <v>487</v>
      </c>
      <c r="AC169" s="0" t="s">
        <v>487</v>
      </c>
      <c r="AD169" s="0" t="s">
        <v>558</v>
      </c>
    </row>
    <row r="170" customFormat="false" ht="15" hidden="false" customHeight="false" outlineLevel="0" collapsed="false">
      <c r="A170" s="0" t="e">
        <f aca="false">_xlfn.CONCAT("path_",_xlfn.textafter(C170,"subj"),"_",TEXT(B170,"mm\_dd\_yy"))</f>
        <v>#NAME?</v>
      </c>
      <c r="B170" s="31" t="n">
        <v>43020</v>
      </c>
      <c r="C170" s="0" t="s">
        <v>1047</v>
      </c>
      <c r="D170" s="75" t="e">
        <f aca="false">INDEX(#REF!,MATCH(C170, #REF!,0),1)</f>
        <v>#VALUE!</v>
      </c>
      <c r="F170" s="57" t="s">
        <v>526</v>
      </c>
      <c r="H170" s="0" t="s">
        <v>5414</v>
      </c>
      <c r="J170" s="0" t="s">
        <v>5539</v>
      </c>
      <c r="L170" s="0" t="s">
        <v>1049</v>
      </c>
      <c r="M170" s="0" t="s">
        <v>5516</v>
      </c>
      <c r="N170" s="71" t="s">
        <v>558</v>
      </c>
      <c r="O170" s="0" t="s">
        <v>558</v>
      </c>
      <c r="P170" s="0" t="s">
        <v>511</v>
      </c>
      <c r="Q170" s="0" t="s">
        <v>487</v>
      </c>
      <c r="R170" s="0" t="s">
        <v>487</v>
      </c>
      <c r="S170" s="0" t="s">
        <v>487</v>
      </c>
      <c r="T170" s="0" t="s">
        <v>5468</v>
      </c>
      <c r="U170" s="0" t="s">
        <v>5425</v>
      </c>
      <c r="V170" s="0" t="s">
        <v>5412</v>
      </c>
      <c r="W170" s="0" t="s">
        <v>5425</v>
      </c>
      <c r="X170" s="0" t="s">
        <v>487</v>
      </c>
      <c r="Y170" s="0" t="s">
        <v>487</v>
      </c>
      <c r="Z170" s="0" t="s">
        <v>487</v>
      </c>
      <c r="AA170" s="0" t="s">
        <v>487</v>
      </c>
      <c r="AB170" s="0" t="s">
        <v>487</v>
      </c>
      <c r="AC170" s="0" t="s">
        <v>487</v>
      </c>
      <c r="AD170" s="0" t="s">
        <v>558</v>
      </c>
      <c r="AF170" s="0" t="s">
        <v>5434</v>
      </c>
    </row>
  </sheetData>
  <autoFilter ref="A1:AU17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D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3671875" defaultRowHeight="13.8" zeroHeight="false" outlineLevelRow="0" outlineLevelCol="0"/>
  <cols>
    <col collapsed="false" customWidth="false" hidden="false" outlineLevel="0" max="1" min="1" style="97" width="9.13"/>
    <col collapsed="false" customWidth="true" hidden="false" outlineLevel="0" max="2" min="2" style="98" width="67.71"/>
    <col collapsed="false" customWidth="true" hidden="false" outlineLevel="0" max="3" min="3" style="98" width="8"/>
    <col collapsed="false" customWidth="true" hidden="false" outlineLevel="0" max="4" min="4" style="98" width="10.29"/>
    <col collapsed="false" customWidth="true" hidden="false" outlineLevel="0" max="5" min="5" style="98" width="12.42"/>
    <col collapsed="false" customWidth="true" hidden="false" outlineLevel="0" max="9" min="6" style="98" width="16.29"/>
    <col collapsed="false" customWidth="true" hidden="false" outlineLevel="0" max="10" min="10" style="73" width="11.42"/>
    <col collapsed="false" customWidth="true" hidden="false" outlineLevel="0" max="11" min="11" style="73" width="16"/>
    <col collapsed="false" customWidth="true" hidden="false" outlineLevel="0" max="12" min="12" style="73" width="21.29"/>
    <col collapsed="false" customWidth="true" hidden="false" outlineLevel="0" max="13" min="13" style="73" width="19"/>
    <col collapsed="false" customWidth="true" hidden="false" outlineLevel="0" max="14" min="14" style="73" width="21.43"/>
    <col collapsed="false" customWidth="true" hidden="false" outlineLevel="0" max="15" min="15" style="73" width="10.85"/>
    <col collapsed="false" customWidth="true" hidden="false" outlineLevel="0" max="16" min="16" style="73" width="20.42"/>
    <col collapsed="false" customWidth="true" hidden="false" outlineLevel="0" max="17" min="17" style="73" width="15.88"/>
    <col collapsed="false" customWidth="true" hidden="false" outlineLevel="0" max="18" min="18" style="73" width="14.43"/>
    <col collapsed="false" customWidth="true" hidden="false" outlineLevel="0" max="19" min="19" style="73" width="15"/>
    <col collapsed="false" customWidth="true" hidden="false" outlineLevel="0" max="20" min="20" style="73" width="11.42"/>
    <col collapsed="false" customWidth="true" hidden="false" outlineLevel="0" max="21" min="21" style="73" width="17.86"/>
    <col collapsed="false" customWidth="true" hidden="false" outlineLevel="0" max="22" min="22" style="73" width="37.3"/>
    <col collapsed="false" customWidth="true" hidden="false" outlineLevel="0" max="23" min="23" style="73" width="11.3"/>
    <col collapsed="false" customWidth="true" hidden="false" outlineLevel="0" max="24" min="24" style="73" width="73.86"/>
    <col collapsed="false" customWidth="true" hidden="false" outlineLevel="0" max="25" min="25" style="73" width="19.42"/>
    <col collapsed="false" customWidth="true" hidden="false" outlineLevel="0" max="27" min="26" style="73" width="15.29"/>
    <col collapsed="false" customWidth="true" hidden="false" outlineLevel="0" max="28" min="28" style="73" width="14.57"/>
    <col collapsed="false" customWidth="true" hidden="false" outlineLevel="0" max="29" min="29" style="73" width="24.29"/>
    <col collapsed="false" customWidth="false" hidden="false" outlineLevel="0" max="1024" min="30" style="73" width="9.13"/>
  </cols>
  <sheetData>
    <row r="1" customFormat="false" ht="13.8" hidden="false" customHeight="false" outlineLevel="0" collapsed="false">
      <c r="A1" s="99" t="s">
        <v>5543</v>
      </c>
      <c r="B1" s="100" t="s">
        <v>5544</v>
      </c>
      <c r="C1" s="100" t="s">
        <v>5545</v>
      </c>
      <c r="D1" s="100" t="s">
        <v>5546</v>
      </c>
      <c r="E1" s="100" t="s">
        <v>5547</v>
      </c>
      <c r="F1" s="100" t="s">
        <v>5548</v>
      </c>
      <c r="G1" s="100" t="s">
        <v>5549</v>
      </c>
      <c r="H1" s="100" t="s">
        <v>5550</v>
      </c>
      <c r="I1" s="100" t="s">
        <v>5551</v>
      </c>
      <c r="J1" s="101" t="s">
        <v>5552</v>
      </c>
      <c r="K1" s="101" t="s">
        <v>259</v>
      </c>
      <c r="L1" s="101" t="s">
        <v>109</v>
      </c>
      <c r="M1" s="101" t="s">
        <v>170</v>
      </c>
      <c r="N1" s="101" t="s">
        <v>334</v>
      </c>
      <c r="O1" s="101" t="s">
        <v>332</v>
      </c>
      <c r="P1" s="101" t="s">
        <v>5553</v>
      </c>
      <c r="Q1" s="101" t="s">
        <v>93</v>
      </c>
      <c r="R1" s="101" t="s">
        <v>151</v>
      </c>
      <c r="S1" s="101" t="s">
        <v>412</v>
      </c>
      <c r="T1" s="101" t="s">
        <v>248</v>
      </c>
      <c r="U1" s="101" t="s">
        <v>244</v>
      </c>
      <c r="V1" s="73" t="s">
        <v>405</v>
      </c>
      <c r="W1" s="73" t="s">
        <v>318</v>
      </c>
      <c r="X1" s="73" t="s">
        <v>310</v>
      </c>
      <c r="Y1" s="73" t="s">
        <v>375</v>
      </c>
      <c r="Z1" s="73" t="s">
        <v>384</v>
      </c>
      <c r="AA1" s="73" t="s">
        <v>377</v>
      </c>
      <c r="AB1" s="73" t="s">
        <v>299</v>
      </c>
    </row>
    <row r="2" customFormat="false" ht="13.8" hidden="false" customHeight="false" outlineLevel="0" collapsed="false">
      <c r="A2" s="102" t="s">
        <v>5554</v>
      </c>
      <c r="B2" s="103" t="e">
        <f aca="false">INDEX(#REF!,MATCH(A2, #REF!,0),1)</f>
        <v>#VALUE!</v>
      </c>
      <c r="C2" s="103" t="e">
        <f aca="false">INDEX(#REF!,MATCH(A2, #REF!,0),1)</f>
        <v>#VALUE!</v>
      </c>
      <c r="D2" s="103" t="e">
        <f aca="false">INDEX(#REF!,MATCH(A2, #REF!,0),1)</f>
        <v>#VALUE!</v>
      </c>
      <c r="E2" s="104" t="e">
        <f aca="false">INDEX(participants!$B$1:$B$506,MATCH($C2, participants!$A$1:$A$515,0),1)</f>
        <v>#VALUE!</v>
      </c>
      <c r="F2" s="103" t="e">
        <f aca="false">INDEX(#REF!,MATCH(A2, #REF!,0),1)</f>
        <v>#VALUE!</v>
      </c>
      <c r="G2" s="105" t="e">
        <f aca="false">INDEX(samples!$C$1:$C$944,MATCH(F2, #REF!,0),1)</f>
        <v>#VALUE!</v>
      </c>
      <c r="H2" s="104" t="e">
        <f aca="false">INDEX(participants!$K$1:$K$506,MATCH($C2, participants!$A$1:$A$515,0),1)</f>
        <v>#VALUE!</v>
      </c>
      <c r="I2" s="104" t="e">
        <f aca="false">INDEX(#REF!,MATCH($A2, #REF!,0),1)</f>
        <v>#VALUE!</v>
      </c>
      <c r="J2" s="106" t="s">
        <v>511</v>
      </c>
      <c r="K2" s="106" t="s">
        <v>511</v>
      </c>
      <c r="L2" s="107" t="n">
        <v>40299</v>
      </c>
      <c r="M2" s="101" t="s">
        <v>5555</v>
      </c>
      <c r="N2" s="101" t="s">
        <v>558</v>
      </c>
      <c r="O2" s="101" t="s">
        <v>487</v>
      </c>
      <c r="P2" s="101" t="s">
        <v>5556</v>
      </c>
      <c r="Q2" s="101" t="s">
        <v>5557</v>
      </c>
      <c r="R2" s="101" t="s">
        <v>1002</v>
      </c>
      <c r="S2" s="101" t="s">
        <v>1002</v>
      </c>
      <c r="T2" s="101" t="s">
        <v>1002</v>
      </c>
      <c r="U2" s="101" t="s">
        <v>1002</v>
      </c>
      <c r="V2" s="73" t="s">
        <v>487</v>
      </c>
      <c r="W2" s="73" t="s">
        <v>487</v>
      </c>
      <c r="X2" s="73" t="s">
        <v>487</v>
      </c>
      <c r="Y2" s="73" t="s">
        <v>5558</v>
      </c>
      <c r="Z2" s="73" t="s">
        <v>487</v>
      </c>
      <c r="AA2" s="73" t="s">
        <v>486</v>
      </c>
      <c r="AB2" s="107" t="n">
        <v>43591</v>
      </c>
    </row>
    <row r="3" customFormat="false" ht="13.8" hidden="false" customHeight="false" outlineLevel="0" collapsed="false">
      <c r="A3" s="102" t="s">
        <v>5559</v>
      </c>
      <c r="B3" s="103" t="e">
        <f aca="false">INDEX(#REF!,MATCH(A3, #REF!,0),1)</f>
        <v>#VALUE!</v>
      </c>
      <c r="C3" s="103" t="e">
        <f aca="false">INDEX(#REF!,MATCH(A3, #REF!,0),1)</f>
        <v>#VALUE!</v>
      </c>
      <c r="D3" s="103" t="e">
        <f aca="false">INDEX(#REF!,MATCH(A3, #REF!,0),1)</f>
        <v>#VALUE!</v>
      </c>
      <c r="E3" s="104" t="e">
        <f aca="false">INDEX(participants!$B$1:$B$506,MATCH($C3, participants!$A$1:$A$515,0),1)</f>
        <v>#VALUE!</v>
      </c>
      <c r="F3" s="103" t="e">
        <f aca="false">INDEX(#REF!,MATCH(A3, #REF!,0),1)</f>
        <v>#VALUE!</v>
      </c>
      <c r="G3" s="105" t="e">
        <f aca="false">INDEX(samples!$C$1:$C$944,MATCH(F3, #REF!,0),1)</f>
        <v>#VALUE!</v>
      </c>
      <c r="H3" s="104" t="e">
        <f aca="false">INDEX(participants!$K$1:$K$506,MATCH($C3, participants!$A$1:$A$515,0),1)</f>
        <v>#VALUE!</v>
      </c>
      <c r="I3" s="104" t="e">
        <f aca="false">INDEX(#REF!,MATCH($A3, #REF!,0),1)</f>
        <v>#VALUE!</v>
      </c>
      <c r="J3" s="106" t="s">
        <v>511</v>
      </c>
      <c r="K3" s="106" t="s">
        <v>511</v>
      </c>
      <c r="L3" s="107" t="n">
        <v>42891</v>
      </c>
      <c r="M3" s="101" t="s">
        <v>5560</v>
      </c>
      <c r="N3" s="101" t="s">
        <v>558</v>
      </c>
      <c r="O3" s="101" t="s">
        <v>487</v>
      </c>
      <c r="P3" s="101" t="s">
        <v>5556</v>
      </c>
      <c r="Q3" s="101" t="s">
        <v>5556</v>
      </c>
      <c r="R3" s="101" t="s">
        <v>3150</v>
      </c>
      <c r="S3" s="101" t="s">
        <v>5561</v>
      </c>
      <c r="T3" s="107" t="n">
        <v>42923</v>
      </c>
      <c r="U3" s="107" t="n">
        <v>43069</v>
      </c>
      <c r="V3" s="73" t="s">
        <v>5562</v>
      </c>
      <c r="W3" s="73" t="s">
        <v>487</v>
      </c>
      <c r="X3" s="73" t="s">
        <v>487</v>
      </c>
      <c r="Y3" s="73" t="s">
        <v>5558</v>
      </c>
      <c r="Z3" s="73" t="s">
        <v>487</v>
      </c>
      <c r="AA3" s="73" t="s">
        <v>5563</v>
      </c>
      <c r="AB3" s="107" t="n">
        <v>43070</v>
      </c>
    </row>
    <row r="4" customFormat="false" ht="13.8" hidden="false" customHeight="false" outlineLevel="0" collapsed="false">
      <c r="A4" s="102" t="s">
        <v>5564</v>
      </c>
      <c r="B4" s="103" t="e">
        <f aca="false">INDEX(#REF!,MATCH(A4, #REF!,0),1)</f>
        <v>#VALUE!</v>
      </c>
      <c r="C4" s="103" t="e">
        <f aca="false">INDEX(#REF!,MATCH(A4, #REF!,0),1)</f>
        <v>#VALUE!</v>
      </c>
      <c r="D4" s="103" t="e">
        <f aca="false">INDEX(#REF!,MATCH(A4, #REF!,0),1)</f>
        <v>#VALUE!</v>
      </c>
      <c r="E4" s="104" t="e">
        <f aca="false">INDEX(participants!$B$1:$B$506,MATCH($C4, participants!$A$1:$A$515,0),1)</f>
        <v>#VALUE!</v>
      </c>
      <c r="F4" s="103" t="e">
        <f aca="false">INDEX(#REF!,MATCH(A4, #REF!,0),1)</f>
        <v>#VALUE!</v>
      </c>
      <c r="G4" s="105" t="e">
        <f aca="false">INDEX(samples!$C$1:$C$944,MATCH(F4, #REF!,0),1)</f>
        <v>#VALUE!</v>
      </c>
      <c r="H4" s="104" t="e">
        <f aca="false">INDEX(participants!$K$1:$K$506,MATCH($C4, participants!$A$1:$A$515,0),1)</f>
        <v>#VALUE!</v>
      </c>
      <c r="I4" s="104" t="e">
        <f aca="false">INDEX(#REF!,MATCH($A4, #REF!,0),1)</f>
        <v>#VALUE!</v>
      </c>
      <c r="J4" s="106" t="s">
        <v>511</v>
      </c>
      <c r="K4" s="106" t="s">
        <v>511</v>
      </c>
      <c r="L4" s="107" t="n">
        <v>43466</v>
      </c>
      <c r="M4" s="101" t="s">
        <v>5560</v>
      </c>
      <c r="N4" s="101" t="s">
        <v>511</v>
      </c>
      <c r="O4" s="101" t="n">
        <v>1</v>
      </c>
      <c r="P4" s="101" t="s">
        <v>5556</v>
      </c>
      <c r="Q4" s="101" t="s">
        <v>5557</v>
      </c>
      <c r="R4" s="101" t="s">
        <v>1002</v>
      </c>
      <c r="S4" s="101" t="s">
        <v>487</v>
      </c>
      <c r="T4" s="101" t="s">
        <v>487</v>
      </c>
      <c r="U4" s="101" t="s">
        <v>487</v>
      </c>
      <c r="V4" s="73" t="s">
        <v>487</v>
      </c>
      <c r="W4" s="73" t="s">
        <v>487</v>
      </c>
      <c r="X4" s="73" t="s">
        <v>487</v>
      </c>
      <c r="Y4" s="73" t="s">
        <v>1002</v>
      </c>
      <c r="Z4" s="73" t="s">
        <v>487</v>
      </c>
    </row>
    <row r="5" customFormat="false" ht="13.8" hidden="false" customHeight="false" outlineLevel="0" collapsed="false">
      <c r="A5" s="102" t="s">
        <v>5565</v>
      </c>
      <c r="B5" s="103" t="e">
        <f aca="false">INDEX(#REF!,MATCH(A5, #REF!,0),1)</f>
        <v>#VALUE!</v>
      </c>
      <c r="C5" s="103" t="e">
        <f aca="false">INDEX(#REF!,MATCH(A5, #REF!,0),1)</f>
        <v>#VALUE!</v>
      </c>
      <c r="D5" s="103" t="e">
        <f aca="false">INDEX(#REF!,MATCH(A5, #REF!,0),1)</f>
        <v>#VALUE!</v>
      </c>
      <c r="E5" s="104" t="e">
        <f aca="false">INDEX(participants!$B$1:$B$506,MATCH($C5, participants!$A$1:$A$515,0),1)</f>
        <v>#VALUE!</v>
      </c>
      <c r="F5" s="103" t="e">
        <f aca="false">INDEX(#REF!,MATCH(A5, #REF!,0),1)</f>
        <v>#VALUE!</v>
      </c>
      <c r="G5" s="105" t="e">
        <f aca="false">INDEX(samples!$C$1:$C$944,MATCH(F5, #REF!,0),1)</f>
        <v>#VALUE!</v>
      </c>
      <c r="H5" s="104" t="e">
        <f aca="false">INDEX(participants!$K$1:$K$506,MATCH($C5, participants!$A$1:$A$515,0),1)</f>
        <v>#VALUE!</v>
      </c>
      <c r="I5" s="104" t="e">
        <f aca="false">INDEX(#REF!,MATCH($A5, #REF!,0),1)</f>
        <v>#VALUE!</v>
      </c>
      <c r="J5" s="106" t="s">
        <v>558</v>
      </c>
      <c r="K5" s="106" t="s">
        <v>511</v>
      </c>
      <c r="L5" s="107" t="n">
        <v>43466</v>
      </c>
      <c r="M5" s="101" t="s">
        <v>5560</v>
      </c>
      <c r="N5" s="101" t="s">
        <v>511</v>
      </c>
      <c r="O5" s="101" t="n">
        <v>2</v>
      </c>
      <c r="P5" s="101" t="s">
        <v>5556</v>
      </c>
      <c r="Q5" s="101" t="s">
        <v>5557</v>
      </c>
      <c r="R5" s="101" t="s">
        <v>1002</v>
      </c>
      <c r="S5" s="101" t="s">
        <v>487</v>
      </c>
      <c r="T5" s="101" t="s">
        <v>487</v>
      </c>
      <c r="U5" s="101" t="s">
        <v>487</v>
      </c>
      <c r="V5" s="73" t="s">
        <v>487</v>
      </c>
      <c r="W5" s="73" t="s">
        <v>487</v>
      </c>
      <c r="X5" s="73" t="s">
        <v>487</v>
      </c>
      <c r="Y5" s="73" t="s">
        <v>5558</v>
      </c>
      <c r="Z5" s="73" t="s">
        <v>487</v>
      </c>
      <c r="AA5" s="73" t="s">
        <v>486</v>
      </c>
      <c r="AB5" s="107" t="n">
        <v>43523</v>
      </c>
    </row>
    <row r="6" customFormat="false" ht="13.8" hidden="false" customHeight="false" outlineLevel="0" collapsed="false">
      <c r="A6" s="102" t="s">
        <v>5566</v>
      </c>
      <c r="B6" s="103" t="e">
        <f aca="false">INDEX(#REF!,MATCH(A6, #REF!,0),1)</f>
        <v>#VALUE!</v>
      </c>
      <c r="C6" s="103" t="e">
        <f aca="false">INDEX(#REF!,MATCH(A6, #REF!,0),1)</f>
        <v>#VALUE!</v>
      </c>
      <c r="D6" s="103" t="e">
        <f aca="false">INDEX(#REF!,MATCH(A6, #REF!,0),1)</f>
        <v>#VALUE!</v>
      </c>
      <c r="E6" s="104" t="e">
        <f aca="false">INDEX(participants!$B$1:$B$506,MATCH($C6, participants!$A$1:$A$515,0),1)</f>
        <v>#VALUE!</v>
      </c>
      <c r="F6" s="103" t="e">
        <f aca="false">INDEX(#REF!,MATCH(A6, #REF!,0),1)</f>
        <v>#VALUE!</v>
      </c>
      <c r="G6" s="105" t="e">
        <f aca="false">INDEX(samples!$C$1:$C$944,MATCH(F6, #REF!,0),1)</f>
        <v>#VALUE!</v>
      </c>
      <c r="H6" s="104" t="e">
        <f aca="false">INDEX(participants!$K$1:$K$506,MATCH($C6, participants!$A$1:$A$515,0),1)</f>
        <v>#VALUE!</v>
      </c>
      <c r="I6" s="104" t="e">
        <f aca="false">INDEX(#REF!,MATCH($A6, #REF!,0),1)</f>
        <v>#VALUE!</v>
      </c>
      <c r="J6" s="106" t="s">
        <v>558</v>
      </c>
      <c r="K6" s="106" t="s">
        <v>511</v>
      </c>
      <c r="L6" s="107" t="n">
        <v>43466</v>
      </c>
      <c r="M6" s="101" t="s">
        <v>5560</v>
      </c>
      <c r="N6" s="101" t="s">
        <v>511</v>
      </c>
      <c r="O6" s="101" t="n">
        <v>2</v>
      </c>
      <c r="P6" s="101" t="s">
        <v>5556</v>
      </c>
      <c r="Q6" s="101" t="s">
        <v>5557</v>
      </c>
      <c r="R6" s="101" t="s">
        <v>1002</v>
      </c>
      <c r="S6" s="101" t="s">
        <v>487</v>
      </c>
      <c r="T6" s="101" t="s">
        <v>487</v>
      </c>
      <c r="U6" s="101" t="s">
        <v>487</v>
      </c>
      <c r="V6" s="73" t="s">
        <v>487</v>
      </c>
      <c r="W6" s="73" t="s">
        <v>487</v>
      </c>
      <c r="X6" s="73" t="s">
        <v>487</v>
      </c>
      <c r="Y6" s="73" t="s">
        <v>5558</v>
      </c>
      <c r="Z6" s="73" t="s">
        <v>487</v>
      </c>
      <c r="AA6" s="73" t="s">
        <v>486</v>
      </c>
      <c r="AB6" s="107" t="n">
        <v>43523</v>
      </c>
    </row>
    <row r="7" customFormat="false" ht="13.8" hidden="false" customHeight="false" outlineLevel="0" collapsed="false">
      <c r="A7" s="99" t="s">
        <v>5567</v>
      </c>
      <c r="B7" s="103" t="e">
        <f aca="false">INDEX(#REF!,MATCH(A7, #REF!,0),1)</f>
        <v>#VALUE!</v>
      </c>
      <c r="C7" s="103" t="e">
        <f aca="false">INDEX(#REF!,MATCH(A7, #REF!,0),1)</f>
        <v>#VALUE!</v>
      </c>
      <c r="D7" s="103" t="e">
        <f aca="false">INDEX(#REF!,MATCH(A7, #REF!,0),1)</f>
        <v>#VALUE!</v>
      </c>
      <c r="E7" s="104" t="e">
        <f aca="false">INDEX(participants!$B$1:$B$506,MATCH($C7, participants!$A$1:$A$515,0),1)</f>
        <v>#VALUE!</v>
      </c>
      <c r="F7" s="103" t="e">
        <f aca="false">INDEX(#REF!,MATCH(A7, #REF!,0),1)</f>
        <v>#VALUE!</v>
      </c>
      <c r="G7" s="105" t="e">
        <f aca="false">INDEX(samples!$C$1:$C$944,MATCH(F7, #REF!,0),1)</f>
        <v>#VALUE!</v>
      </c>
      <c r="H7" s="104" t="e">
        <f aca="false">INDEX(participants!$K$1:$K$506,MATCH($C7, participants!$A$1:$A$515,0),1)</f>
        <v>#VALUE!</v>
      </c>
      <c r="I7" s="104" t="e">
        <f aca="false">INDEX(#REF!,MATCH($A7, #REF!,0),1)</f>
        <v>#VALUE!</v>
      </c>
      <c r="J7" s="101" t="s">
        <v>558</v>
      </c>
      <c r="K7" s="101" t="s">
        <v>511</v>
      </c>
      <c r="L7" s="107" t="n">
        <v>43738</v>
      </c>
      <c r="M7" s="101" t="s">
        <v>5414</v>
      </c>
      <c r="N7" s="101" t="s">
        <v>511</v>
      </c>
      <c r="O7" s="101" t="n">
        <v>6</v>
      </c>
      <c r="P7" s="101" t="s">
        <v>5556</v>
      </c>
      <c r="Q7" s="101" t="s">
        <v>487</v>
      </c>
      <c r="R7" s="101" t="s">
        <v>558</v>
      </c>
      <c r="S7" s="101" t="s">
        <v>487</v>
      </c>
      <c r="T7" s="101" t="s">
        <v>487</v>
      </c>
      <c r="U7" s="101" t="s">
        <v>487</v>
      </c>
      <c r="V7" s="73" t="s">
        <v>487</v>
      </c>
      <c r="X7" s="73" t="s">
        <v>5568</v>
      </c>
      <c r="Y7" s="73" t="s">
        <v>511</v>
      </c>
      <c r="Z7" s="73" t="s">
        <v>5569</v>
      </c>
      <c r="AA7" s="73" t="s">
        <v>5570</v>
      </c>
      <c r="AB7" s="107" t="n">
        <v>43738</v>
      </c>
      <c r="AD7" s="73" t="s">
        <v>1382</v>
      </c>
    </row>
    <row r="8" customFormat="false" ht="13.8" hidden="false" customHeight="false" outlineLevel="0" collapsed="false">
      <c r="A8" s="99" t="s">
        <v>5571</v>
      </c>
      <c r="B8" s="103" t="e">
        <f aca="false">INDEX(#REF!,MATCH(A8, #REF!,0),1)</f>
        <v>#VALUE!</v>
      </c>
      <c r="C8" s="103" t="e">
        <f aca="false">INDEX(#REF!,MATCH(A8, #REF!,0),1)</f>
        <v>#VALUE!</v>
      </c>
      <c r="D8" s="103" t="e">
        <f aca="false">INDEX(#REF!,MATCH(A8, #REF!,0),1)</f>
        <v>#VALUE!</v>
      </c>
      <c r="E8" s="104" t="e">
        <f aca="false">INDEX(participants!$B$1:$B$506,MATCH($C8, participants!$A$1:$A$515,0),1)</f>
        <v>#VALUE!</v>
      </c>
      <c r="F8" s="103" t="e">
        <f aca="false">INDEX(#REF!,MATCH(A8, #REF!,0),1)</f>
        <v>#VALUE!</v>
      </c>
      <c r="G8" s="105" t="e">
        <f aca="false">INDEX(samples!$C$1:$C$944,MATCH(F8, #REF!,0),1)</f>
        <v>#VALUE!</v>
      </c>
      <c r="H8" s="104" t="e">
        <f aca="false">INDEX(participants!$K$1:$K$506,MATCH($C8, participants!$A$1:$A$515,0),1)</f>
        <v>#VALUE!</v>
      </c>
      <c r="I8" s="104" t="e">
        <f aca="false">INDEX(#REF!,MATCH($A8, #REF!,0),1)</f>
        <v>#VALUE!</v>
      </c>
      <c r="J8" s="101" t="s">
        <v>511</v>
      </c>
      <c r="K8" s="101" t="s">
        <v>511</v>
      </c>
      <c r="L8" s="107" t="n">
        <v>43791</v>
      </c>
      <c r="M8" s="101" t="s">
        <v>5414</v>
      </c>
      <c r="N8" s="101" t="s">
        <v>558</v>
      </c>
      <c r="O8" s="101" t="s">
        <v>487</v>
      </c>
      <c r="P8" s="101" t="s">
        <v>5557</v>
      </c>
      <c r="Q8" s="101" t="s">
        <v>5557</v>
      </c>
      <c r="R8" s="101" t="s">
        <v>487</v>
      </c>
      <c r="S8" s="101" t="s">
        <v>487</v>
      </c>
      <c r="T8" s="101" t="s">
        <v>487</v>
      </c>
      <c r="U8" s="101" t="s">
        <v>487</v>
      </c>
      <c r="V8" s="73" t="s">
        <v>487</v>
      </c>
      <c r="W8" s="73" t="s">
        <v>487</v>
      </c>
      <c r="X8" s="73" t="s">
        <v>5572</v>
      </c>
      <c r="Y8" s="73" t="s">
        <v>558</v>
      </c>
      <c r="Z8" s="73" t="s">
        <v>487</v>
      </c>
      <c r="AA8" s="73" t="s">
        <v>558</v>
      </c>
      <c r="AB8" s="107" t="n">
        <v>43857</v>
      </c>
      <c r="AD8" s="73" t="s">
        <v>5573</v>
      </c>
    </row>
    <row r="9" customFormat="false" ht="13.8" hidden="false" customHeight="false" outlineLevel="0" collapsed="false">
      <c r="A9" s="99" t="s">
        <v>5574</v>
      </c>
      <c r="B9" s="103" t="e">
        <f aca="false">INDEX(#REF!,MATCH(A9, #REF!,0),1)</f>
        <v>#VALUE!</v>
      </c>
      <c r="C9" s="103" t="e">
        <f aca="false">INDEX(#REF!,MATCH(A9, #REF!,0),1)</f>
        <v>#VALUE!</v>
      </c>
      <c r="D9" s="103" t="e">
        <f aca="false">INDEX(#REF!,MATCH(A9, #REF!,0),1)</f>
        <v>#VALUE!</v>
      </c>
      <c r="E9" s="104" t="e">
        <f aca="false">INDEX(participants!$B$1:$B$506,MATCH($C9, participants!$A$1:$A$515,0),1)</f>
        <v>#VALUE!</v>
      </c>
      <c r="F9" s="103" t="e">
        <f aca="false">INDEX(#REF!,MATCH(A9, #REF!,0),1)</f>
        <v>#VALUE!</v>
      </c>
      <c r="G9" s="105" t="e">
        <f aca="false">INDEX(samples!$C$1:$C$944,MATCH(F9, #REF!,0),1)</f>
        <v>#VALUE!</v>
      </c>
      <c r="H9" s="104" t="e">
        <f aca="false">INDEX(participants!$K$1:$K$506,MATCH($C9, participants!$A$1:$A$515,0),1)</f>
        <v>#VALUE!</v>
      </c>
      <c r="I9" s="104" t="e">
        <f aca="false">INDEX(#REF!,MATCH($A9, #REF!,0),1)</f>
        <v>#VALUE!</v>
      </c>
      <c r="J9" s="101" t="s">
        <v>558</v>
      </c>
      <c r="K9" s="101" t="s">
        <v>511</v>
      </c>
      <c r="L9" s="107" t="n">
        <v>43864</v>
      </c>
      <c r="M9" s="101" t="s">
        <v>5561</v>
      </c>
      <c r="N9" s="101" t="s">
        <v>511</v>
      </c>
      <c r="O9" s="101" t="n">
        <v>2</v>
      </c>
      <c r="P9" s="101" t="s">
        <v>5557</v>
      </c>
      <c r="Q9" s="101" t="s">
        <v>5557</v>
      </c>
      <c r="R9" s="101" t="s">
        <v>511</v>
      </c>
      <c r="S9" s="101" t="s">
        <v>5561</v>
      </c>
      <c r="T9" s="107" t="n">
        <v>43794</v>
      </c>
      <c r="U9" s="107" t="n">
        <v>43864</v>
      </c>
      <c r="V9" s="73" t="s">
        <v>5575</v>
      </c>
      <c r="X9" s="73" t="s">
        <v>5576</v>
      </c>
      <c r="Y9" s="73" t="s">
        <v>558</v>
      </c>
      <c r="Z9" s="73" t="s">
        <v>487</v>
      </c>
      <c r="AA9" s="73" t="s">
        <v>558</v>
      </c>
      <c r="AB9" s="107" t="n">
        <v>43788</v>
      </c>
      <c r="AC9" s="73" t="s">
        <v>5577</v>
      </c>
      <c r="AD9" s="73" t="s">
        <v>1382</v>
      </c>
    </row>
    <row r="10" customFormat="false" ht="13.8" hidden="false" customHeight="false" outlineLevel="0" collapsed="false">
      <c r="A10" s="99" t="s">
        <v>5578</v>
      </c>
      <c r="B10" s="103" t="e">
        <f aca="false">INDEX(#REF!,MATCH(A10, #REF!,0),1)</f>
        <v>#VALUE!</v>
      </c>
      <c r="C10" s="103" t="e">
        <f aca="false">INDEX(#REF!,MATCH(A10, #REF!,0),1)</f>
        <v>#VALUE!</v>
      </c>
      <c r="D10" s="103" t="e">
        <f aca="false">INDEX(#REF!,MATCH(A10, #REF!,0),1)</f>
        <v>#VALUE!</v>
      </c>
      <c r="E10" s="104" t="e">
        <f aca="false">INDEX(participants!$B$1:$B$506,MATCH($C10, participants!$A$1:$A$515,0),1)</f>
        <v>#VALUE!</v>
      </c>
      <c r="F10" s="103" t="e">
        <f aca="false">INDEX(#REF!,MATCH(A10, #REF!,0),1)</f>
        <v>#VALUE!</v>
      </c>
      <c r="G10" s="105" t="e">
        <f aca="false">INDEX(samples!$C$1:$C$944,MATCH(F10, #REF!,0),1)</f>
        <v>#VALUE!</v>
      </c>
      <c r="H10" s="104" t="e">
        <f aca="false">INDEX(participants!$K$1:$K$506,MATCH($C10, participants!$A$1:$A$515,0),1)</f>
        <v>#VALUE!</v>
      </c>
      <c r="I10" s="104" t="e">
        <f aca="false">INDEX(#REF!,MATCH($A10, #REF!,0),1)</f>
        <v>#VALUE!</v>
      </c>
      <c r="J10" s="101" t="s">
        <v>558</v>
      </c>
      <c r="K10" s="101" t="s">
        <v>558</v>
      </c>
      <c r="L10" s="107" t="n">
        <v>43825</v>
      </c>
      <c r="M10" s="101" t="s">
        <v>5561</v>
      </c>
      <c r="N10" s="101" t="s">
        <v>511</v>
      </c>
      <c r="O10" s="101" t="n">
        <v>2</v>
      </c>
      <c r="P10" s="101" t="s">
        <v>5557</v>
      </c>
      <c r="Q10" s="101" t="s">
        <v>5557</v>
      </c>
      <c r="R10" s="101" t="s">
        <v>511</v>
      </c>
      <c r="S10" s="101" t="s">
        <v>5561</v>
      </c>
      <c r="T10" s="107" t="n">
        <v>43763</v>
      </c>
      <c r="U10" s="101" t="s">
        <v>5579</v>
      </c>
      <c r="V10" s="73" t="s">
        <v>5580</v>
      </c>
      <c r="X10" s="73" t="s">
        <v>5581</v>
      </c>
      <c r="Y10" s="73" t="s">
        <v>558</v>
      </c>
      <c r="Z10" s="73" t="s">
        <v>487</v>
      </c>
      <c r="AA10" s="73" t="s">
        <v>558</v>
      </c>
      <c r="AB10" s="107" t="n">
        <v>43753</v>
      </c>
      <c r="AC10" s="73" t="s">
        <v>5582</v>
      </c>
      <c r="AD10" s="73" t="s">
        <v>1382</v>
      </c>
    </row>
    <row r="11" customFormat="false" ht="13.8" hidden="false" customHeight="false" outlineLevel="0" collapsed="false">
      <c r="A11" s="99" t="s">
        <v>5583</v>
      </c>
      <c r="B11" s="103" t="e">
        <f aca="false">INDEX(#REF!,MATCH(A11, #REF!,0),1)</f>
        <v>#VALUE!</v>
      </c>
      <c r="C11" s="103" t="e">
        <f aca="false">INDEX(#REF!,MATCH(A11, #REF!,0),1)</f>
        <v>#VALUE!</v>
      </c>
      <c r="D11" s="103" t="e">
        <f aca="false">INDEX(#REF!,MATCH(A11, #REF!,0),1)</f>
        <v>#VALUE!</v>
      </c>
      <c r="E11" s="104" t="e">
        <f aca="false">INDEX(participants!$B$1:$B$506,MATCH($C11, participants!$A$1:$A$515,0),1)</f>
        <v>#VALUE!</v>
      </c>
      <c r="F11" s="103" t="e">
        <f aca="false">INDEX(#REF!,MATCH(A11, #REF!,0),1)</f>
        <v>#VALUE!</v>
      </c>
      <c r="G11" s="105" t="e">
        <f aca="false">INDEX(samples!$C$1:$C$944,MATCH(F11, #REF!,0),1)</f>
        <v>#VALUE!</v>
      </c>
      <c r="H11" s="104" t="e">
        <f aca="false">INDEX(participants!$K$1:$K$506,MATCH($C11, participants!$A$1:$A$515,0),1)</f>
        <v>#VALUE!</v>
      </c>
      <c r="I11" s="104" t="e">
        <f aca="false">INDEX(#REF!,MATCH($A11, #REF!,0),1)</f>
        <v>#VALUE!</v>
      </c>
      <c r="J11" s="101" t="s">
        <v>558</v>
      </c>
      <c r="K11" s="101" t="s">
        <v>511</v>
      </c>
      <c r="L11" s="107" t="n">
        <v>43853</v>
      </c>
      <c r="M11" s="101" t="s">
        <v>5561</v>
      </c>
      <c r="N11" s="101" t="s">
        <v>511</v>
      </c>
      <c r="O11" s="101" t="n">
        <v>4</v>
      </c>
      <c r="P11" s="101" t="s">
        <v>5557</v>
      </c>
      <c r="Q11" s="101" t="s">
        <v>5557</v>
      </c>
      <c r="R11" s="101" t="s">
        <v>511</v>
      </c>
      <c r="S11" s="101" t="s">
        <v>5561</v>
      </c>
      <c r="T11" s="107" t="n">
        <v>43832</v>
      </c>
      <c r="U11" s="107" t="n">
        <v>43853</v>
      </c>
      <c r="V11" s="73" t="s">
        <v>5584</v>
      </c>
      <c r="X11" s="73" t="s">
        <v>5585</v>
      </c>
      <c r="Y11" s="73" t="s">
        <v>558</v>
      </c>
      <c r="Z11" s="73" t="s">
        <v>487</v>
      </c>
      <c r="AA11" s="73" t="s">
        <v>558</v>
      </c>
      <c r="AB11" s="107" t="n">
        <v>43753</v>
      </c>
      <c r="AC11" s="73" t="s">
        <v>5582</v>
      </c>
      <c r="AD11" s="73" t="s">
        <v>1382</v>
      </c>
    </row>
    <row r="12" customFormat="false" ht="13.8" hidden="false" customHeight="false" outlineLevel="0" collapsed="false">
      <c r="A12" s="99" t="s">
        <v>5586</v>
      </c>
      <c r="B12" s="103" t="e">
        <f aca="false">INDEX(#REF!,MATCH(A12, #REF!,0),1)</f>
        <v>#VALUE!</v>
      </c>
      <c r="C12" s="103" t="e">
        <f aca="false">INDEX(#REF!,MATCH(A12, #REF!,0),1)</f>
        <v>#VALUE!</v>
      </c>
      <c r="D12" s="103" t="e">
        <f aca="false">INDEX(#REF!,MATCH(A12, #REF!,0),1)</f>
        <v>#VALUE!</v>
      </c>
      <c r="E12" s="104" t="e">
        <f aca="false">INDEX(participants!$B$1:$B$506,MATCH($C12, participants!$A$1:$A$515,0),1)</f>
        <v>#VALUE!</v>
      </c>
      <c r="F12" s="103" t="e">
        <f aca="false">INDEX(#REF!,MATCH(A12, #REF!,0),1)</f>
        <v>#VALUE!</v>
      </c>
      <c r="G12" s="105" t="e">
        <f aca="false">INDEX(samples!$C$1:$C$944,MATCH(F12, #REF!,0),1)</f>
        <v>#VALUE!</v>
      </c>
      <c r="H12" s="104" t="e">
        <f aca="false">INDEX(participants!$K$1:$K$506,MATCH($C12, participants!$A$1:$A$515,0),1)</f>
        <v>#VALUE!</v>
      </c>
      <c r="I12" s="104" t="e">
        <f aca="false">INDEX(#REF!,MATCH($A12, #REF!,0),1)</f>
        <v>#VALUE!</v>
      </c>
      <c r="J12" s="101" t="s">
        <v>558</v>
      </c>
      <c r="K12" s="101" t="s">
        <v>558</v>
      </c>
      <c r="L12" s="107" t="n">
        <v>43665</v>
      </c>
      <c r="M12" s="73" t="s">
        <v>5587</v>
      </c>
      <c r="N12" s="101" t="s">
        <v>511</v>
      </c>
      <c r="O12" s="101" t="n">
        <v>3</v>
      </c>
      <c r="P12" s="101" t="s">
        <v>5556</v>
      </c>
      <c r="Q12" s="101" t="s">
        <v>5556</v>
      </c>
      <c r="R12" s="101" t="s">
        <v>511</v>
      </c>
      <c r="S12" s="101" t="s">
        <v>5588</v>
      </c>
      <c r="T12" s="107" t="n">
        <v>43594</v>
      </c>
      <c r="U12" s="107" t="n">
        <v>43665</v>
      </c>
      <c r="V12" s="73" t="s">
        <v>5589</v>
      </c>
      <c r="X12" s="73" t="s">
        <v>487</v>
      </c>
      <c r="Y12" s="73" t="s">
        <v>511</v>
      </c>
      <c r="Z12" s="73" t="s">
        <v>5590</v>
      </c>
      <c r="AA12" s="73" t="s">
        <v>5570</v>
      </c>
      <c r="AB12" s="107" t="n">
        <v>43570</v>
      </c>
      <c r="AD12" s="73" t="s">
        <v>1382</v>
      </c>
    </row>
    <row r="13" customFormat="false" ht="13.8" hidden="false" customHeight="false" outlineLevel="0" collapsed="false">
      <c r="A13" s="99" t="s">
        <v>5591</v>
      </c>
      <c r="B13" s="103" t="e">
        <f aca="false">INDEX(#REF!,MATCH(A13, #REF!,0),1)</f>
        <v>#VALUE!</v>
      </c>
      <c r="C13" s="103" t="e">
        <f aca="false">INDEX(#REF!,MATCH(A13, #REF!,0),1)</f>
        <v>#VALUE!</v>
      </c>
      <c r="D13" s="103" t="e">
        <f aca="false">INDEX(#REF!,MATCH(A13, #REF!,0),1)</f>
        <v>#VALUE!</v>
      </c>
      <c r="E13" s="104" t="e">
        <f aca="false">INDEX(participants!$B$1:$B$506,MATCH($C13, participants!$A$1:$A$515,0),1)</f>
        <v>#VALUE!</v>
      </c>
      <c r="F13" s="103" t="e">
        <f aca="false">INDEX(#REF!,MATCH(A13, #REF!,0),1)</f>
        <v>#VALUE!</v>
      </c>
      <c r="G13" s="105" t="e">
        <f aca="false">INDEX(samples!$C$1:$C$944,MATCH(F13, #REF!,0),1)</f>
        <v>#VALUE!</v>
      </c>
      <c r="H13" s="104" t="e">
        <f aca="false">INDEX(participants!$K$1:$K$506,MATCH($C13, participants!$A$1:$A$515,0),1)</f>
        <v>#VALUE!</v>
      </c>
      <c r="I13" s="104" t="e">
        <f aca="false">INDEX(#REF!,MATCH($A13, #REF!,0),1)</f>
        <v>#VALUE!</v>
      </c>
      <c r="J13" s="101" t="s">
        <v>511</v>
      </c>
      <c r="K13" s="101" t="s">
        <v>511</v>
      </c>
      <c r="L13" s="107" t="n">
        <v>43475</v>
      </c>
      <c r="M13" s="101" t="s">
        <v>5414</v>
      </c>
      <c r="N13" s="101" t="s">
        <v>511</v>
      </c>
      <c r="O13" s="101" t="n">
        <v>1</v>
      </c>
      <c r="P13" s="101" t="s">
        <v>5556</v>
      </c>
      <c r="Q13" s="101" t="s">
        <v>5556</v>
      </c>
      <c r="R13" s="101" t="s">
        <v>487</v>
      </c>
      <c r="S13" s="101" t="s">
        <v>487</v>
      </c>
      <c r="T13" s="101" t="s">
        <v>487</v>
      </c>
      <c r="U13" s="101" t="s">
        <v>487</v>
      </c>
      <c r="V13" s="73" t="s">
        <v>487</v>
      </c>
      <c r="W13" s="73" t="s">
        <v>487</v>
      </c>
      <c r="X13" s="73" t="s">
        <v>5592</v>
      </c>
      <c r="Y13" s="73" t="s">
        <v>558</v>
      </c>
      <c r="Z13" s="73" t="s">
        <v>487</v>
      </c>
      <c r="AA13" s="73" t="s">
        <v>558</v>
      </c>
      <c r="AB13" s="107" t="n">
        <v>43475</v>
      </c>
    </row>
    <row r="14" customFormat="false" ht="13.8" hidden="false" customHeight="false" outlineLevel="0" collapsed="false">
      <c r="A14" s="99" t="s">
        <v>5593</v>
      </c>
      <c r="B14" s="103" t="e">
        <f aca="false">INDEX(#REF!,MATCH(A14, #REF!,0),1)</f>
        <v>#VALUE!</v>
      </c>
      <c r="C14" s="103" t="e">
        <f aca="false">INDEX(#REF!,MATCH(A14, #REF!,0),1)</f>
        <v>#VALUE!</v>
      </c>
      <c r="D14" s="103" t="e">
        <f aca="false">INDEX(#REF!,MATCH(A14, #REF!,0),1)</f>
        <v>#VALUE!</v>
      </c>
      <c r="E14" s="104" t="e">
        <f aca="false">INDEX(participants!$B$1:$B$506,MATCH($C14, participants!$A$1:$A$515,0),1)</f>
        <v>#VALUE!</v>
      </c>
      <c r="F14" s="103" t="e">
        <f aca="false">INDEX(#REF!,MATCH(A14, #REF!,0),1)</f>
        <v>#VALUE!</v>
      </c>
      <c r="G14" s="105" t="e">
        <f aca="false">INDEX(samples!$C$1:$C$944,MATCH(F14, #REF!,0),1)</f>
        <v>#VALUE!</v>
      </c>
      <c r="H14" s="104" t="e">
        <f aca="false">INDEX(participants!$K$1:$K$506,MATCH($C14, participants!$A$1:$A$515,0),1)</f>
        <v>#VALUE!</v>
      </c>
      <c r="I14" s="104" t="e">
        <f aca="false">INDEX(#REF!,MATCH($A14, #REF!,0),1)</f>
        <v>#VALUE!</v>
      </c>
      <c r="J14" s="101" t="s">
        <v>558</v>
      </c>
      <c r="K14" s="101" t="s">
        <v>558</v>
      </c>
      <c r="L14" s="107" t="n">
        <v>43692</v>
      </c>
      <c r="M14" s="101" t="s">
        <v>5561</v>
      </c>
      <c r="N14" s="101" t="s">
        <v>511</v>
      </c>
      <c r="O14" s="101" t="n">
        <v>4</v>
      </c>
      <c r="P14" s="101" t="s">
        <v>5556</v>
      </c>
      <c r="Q14" s="101" t="s">
        <v>5556</v>
      </c>
      <c r="R14" s="101" t="s">
        <v>511</v>
      </c>
      <c r="S14" s="101" t="s">
        <v>5561</v>
      </c>
      <c r="T14" s="107" t="n">
        <v>43671</v>
      </c>
      <c r="U14" s="107" t="n">
        <v>43692</v>
      </c>
      <c r="V14" s="73" t="s">
        <v>5594</v>
      </c>
      <c r="X14" s="73" t="s">
        <v>487</v>
      </c>
      <c r="Y14" s="73" t="s">
        <v>511</v>
      </c>
      <c r="Z14" s="73" t="s">
        <v>5569</v>
      </c>
      <c r="AA14" s="73" t="s">
        <v>5570</v>
      </c>
      <c r="AB14" s="107" t="n">
        <v>43553</v>
      </c>
      <c r="AD14" s="73" t="s">
        <v>1382</v>
      </c>
    </row>
    <row r="15" customFormat="false" ht="13.8" hidden="false" customHeight="false" outlineLevel="0" collapsed="false">
      <c r="A15" s="99" t="s">
        <v>5595</v>
      </c>
      <c r="B15" s="103" t="e">
        <f aca="false">INDEX(#REF!,MATCH(A15, #REF!,0),1)</f>
        <v>#VALUE!</v>
      </c>
      <c r="C15" s="103" t="e">
        <f aca="false">INDEX(#REF!,MATCH(A15, #REF!,0),1)</f>
        <v>#VALUE!</v>
      </c>
      <c r="D15" s="103" t="e">
        <f aca="false">INDEX(#REF!,MATCH(A15, #REF!,0),1)</f>
        <v>#VALUE!</v>
      </c>
      <c r="E15" s="104" t="e">
        <f aca="false">INDEX(participants!$B$1:$B$506,MATCH($C15, participants!$A$1:$A$515,0),1)</f>
        <v>#VALUE!</v>
      </c>
      <c r="F15" s="103" t="e">
        <f aca="false">INDEX(#REF!,MATCH(A15, #REF!,0),1)</f>
        <v>#VALUE!</v>
      </c>
      <c r="G15" s="105" t="e">
        <f aca="false">INDEX(samples!$C$1:$C$944,MATCH(F15, #REF!,0),1)</f>
        <v>#VALUE!</v>
      </c>
      <c r="H15" s="104" t="e">
        <f aca="false">INDEX(participants!$K$1:$K$506,MATCH($C15, participants!$A$1:$A$515,0),1)</f>
        <v>#VALUE!</v>
      </c>
      <c r="I15" s="104" t="e">
        <f aca="false">INDEX(#REF!,MATCH($A15, #REF!,0),1)</f>
        <v>#VALUE!</v>
      </c>
      <c r="J15" s="101" t="s">
        <v>511</v>
      </c>
      <c r="K15" s="101" t="s">
        <v>558</v>
      </c>
      <c r="L15" s="107" t="n">
        <v>43861</v>
      </c>
      <c r="M15" s="101" t="s">
        <v>5561</v>
      </c>
      <c r="N15" s="101" t="s">
        <v>558</v>
      </c>
      <c r="O15" s="101" t="s">
        <v>487</v>
      </c>
      <c r="P15" s="101" t="s">
        <v>5556</v>
      </c>
      <c r="Q15" s="101" t="s">
        <v>487</v>
      </c>
      <c r="R15" s="101" t="s">
        <v>487</v>
      </c>
      <c r="S15" s="101" t="s">
        <v>487</v>
      </c>
      <c r="T15" s="101" t="s">
        <v>487</v>
      </c>
      <c r="U15" s="101" t="s">
        <v>487</v>
      </c>
      <c r="V15" s="73" t="s">
        <v>487</v>
      </c>
      <c r="W15" s="73" t="s">
        <v>487</v>
      </c>
      <c r="X15" s="73" t="s">
        <v>5596</v>
      </c>
      <c r="Y15" s="73" t="s">
        <v>558</v>
      </c>
      <c r="Z15" s="73" t="s">
        <v>487</v>
      </c>
      <c r="AA15" s="73" t="s">
        <v>558</v>
      </c>
      <c r="AB15" s="107" t="n">
        <v>43958</v>
      </c>
    </row>
    <row r="16" customFormat="false" ht="13.8" hidden="false" customHeight="false" outlineLevel="0" collapsed="false">
      <c r="A16" s="99" t="s">
        <v>5597</v>
      </c>
      <c r="B16" s="103" t="e">
        <f aca="false">INDEX(#REF!,MATCH(A16, #REF!,0),1)</f>
        <v>#VALUE!</v>
      </c>
      <c r="C16" s="103" t="e">
        <f aca="false">INDEX(#REF!,MATCH(A16, #REF!,0),1)</f>
        <v>#VALUE!</v>
      </c>
      <c r="D16" s="103" t="e">
        <f aca="false">INDEX(#REF!,MATCH(A16, #REF!,0),1)</f>
        <v>#VALUE!</v>
      </c>
      <c r="E16" s="104" t="e">
        <f aca="false">INDEX(participants!$B$1:$B$506,MATCH($C16, participants!$A$1:$A$515,0),1)</f>
        <v>#VALUE!</v>
      </c>
      <c r="F16" s="103" t="e">
        <f aca="false">INDEX(#REF!,MATCH(A16, #REF!,0),1)</f>
        <v>#VALUE!</v>
      </c>
      <c r="G16" s="105" t="e">
        <f aca="false">INDEX(samples!$C$1:$C$944,MATCH(F16, #REF!,0),1)</f>
        <v>#VALUE!</v>
      </c>
      <c r="H16" s="104" t="e">
        <f aca="false">INDEX(participants!$K$1:$K$506,MATCH($C16, participants!$A$1:$A$515,0),1)</f>
        <v>#VALUE!</v>
      </c>
      <c r="I16" s="104" t="e">
        <f aca="false">INDEX(#REF!,MATCH($A16, #REF!,0),1)</f>
        <v>#VALUE!</v>
      </c>
      <c r="J16" s="101" t="s">
        <v>511</v>
      </c>
      <c r="K16" s="101" t="s">
        <v>511</v>
      </c>
      <c r="L16" s="101" t="s">
        <v>558</v>
      </c>
      <c r="M16" s="101" t="s">
        <v>487</v>
      </c>
      <c r="N16" s="101" t="s">
        <v>558</v>
      </c>
      <c r="O16" s="101" t="s">
        <v>487</v>
      </c>
      <c r="P16" s="101" t="s">
        <v>5556</v>
      </c>
      <c r="Q16" s="101" t="s">
        <v>5556</v>
      </c>
      <c r="R16" s="101" t="s">
        <v>487</v>
      </c>
      <c r="S16" s="101" t="s">
        <v>487</v>
      </c>
      <c r="T16" s="101" t="s">
        <v>487</v>
      </c>
      <c r="U16" s="101" t="s">
        <v>487</v>
      </c>
      <c r="V16" s="73" t="s">
        <v>487</v>
      </c>
      <c r="W16" s="73" t="s">
        <v>487</v>
      </c>
      <c r="X16" s="73" t="s">
        <v>5598</v>
      </c>
      <c r="Y16" s="73" t="s">
        <v>558</v>
      </c>
      <c r="Z16" s="73" t="s">
        <v>487</v>
      </c>
      <c r="AA16" s="73" t="s">
        <v>558</v>
      </c>
      <c r="AB16" s="107" t="n">
        <v>43747</v>
      </c>
      <c r="AC16" s="107" t="s">
        <v>5599</v>
      </c>
    </row>
    <row r="17" customFormat="false" ht="13.8" hidden="false" customHeight="false" outlineLevel="0" collapsed="false">
      <c r="A17" s="99" t="s">
        <v>5600</v>
      </c>
      <c r="B17" s="103" t="e">
        <f aca="false">INDEX(#REF!,MATCH(A17, #REF!,0),1)</f>
        <v>#VALUE!</v>
      </c>
      <c r="C17" s="103" t="e">
        <f aca="false">INDEX(#REF!,MATCH(A17, #REF!,0),1)</f>
        <v>#VALUE!</v>
      </c>
      <c r="D17" s="103" t="e">
        <f aca="false">INDEX(#REF!,MATCH(A17, #REF!,0),1)</f>
        <v>#VALUE!</v>
      </c>
      <c r="E17" s="104" t="e">
        <f aca="false">INDEX(participants!$B$1:$B$506,MATCH($C17, participants!$A$1:$A$515,0),1)</f>
        <v>#VALUE!</v>
      </c>
      <c r="F17" s="103" t="e">
        <f aca="false">INDEX(#REF!,MATCH(A17, #REF!,0),1)</f>
        <v>#VALUE!</v>
      </c>
      <c r="G17" s="105" t="e">
        <f aca="false">INDEX(samples!$C$1:$C$944,MATCH(F17, #REF!,0),1)</f>
        <v>#VALUE!</v>
      </c>
      <c r="H17" s="104" t="e">
        <f aca="false">INDEX(participants!$K$1:$K$506,MATCH($C17, participants!$A$1:$A$515,0),1)</f>
        <v>#VALUE!</v>
      </c>
      <c r="I17" s="104" t="e">
        <f aca="false">INDEX(#REF!,MATCH($A17, #REF!,0),1)</f>
        <v>#VALUE!</v>
      </c>
      <c r="J17" s="101" t="s">
        <v>511</v>
      </c>
      <c r="K17" s="101" t="s">
        <v>511</v>
      </c>
      <c r="L17" s="107" t="n">
        <v>43710</v>
      </c>
      <c r="M17" s="101" t="s">
        <v>5561</v>
      </c>
      <c r="N17" s="101" t="s">
        <v>511</v>
      </c>
      <c r="O17" s="101" t="n">
        <v>1</v>
      </c>
      <c r="P17" s="101" t="s">
        <v>5557</v>
      </c>
      <c r="Q17" s="101" t="s">
        <v>5557</v>
      </c>
      <c r="R17" s="101" t="s">
        <v>487</v>
      </c>
      <c r="S17" s="101" t="s">
        <v>487</v>
      </c>
      <c r="T17" s="101" t="s">
        <v>487</v>
      </c>
      <c r="U17" s="101" t="s">
        <v>487</v>
      </c>
      <c r="V17" s="73" t="s">
        <v>487</v>
      </c>
      <c r="W17" s="73" t="s">
        <v>487</v>
      </c>
      <c r="X17" s="73" t="s">
        <v>5601</v>
      </c>
      <c r="Y17" s="73" t="s">
        <v>558</v>
      </c>
      <c r="Z17" s="73" t="s">
        <v>487</v>
      </c>
      <c r="AA17" s="73" t="s">
        <v>558</v>
      </c>
      <c r="AB17" s="107" t="n">
        <v>43752</v>
      </c>
      <c r="AC17" s="107" t="s">
        <v>5602</v>
      </c>
      <c r="AD17" s="73" t="s">
        <v>1382</v>
      </c>
    </row>
    <row r="18" customFormat="false" ht="13.8" hidden="false" customHeight="false" outlineLevel="0" collapsed="false">
      <c r="A18" s="99" t="s">
        <v>5603</v>
      </c>
      <c r="B18" s="103" t="e">
        <f aca="false">INDEX(#REF!,MATCH(A18, #REF!,0),1)</f>
        <v>#VALUE!</v>
      </c>
      <c r="C18" s="103" t="e">
        <f aca="false">INDEX(#REF!,MATCH(A18, #REF!,0),1)</f>
        <v>#VALUE!</v>
      </c>
      <c r="D18" s="103" t="e">
        <f aca="false">INDEX(#REF!,MATCH(A18, #REF!,0),1)</f>
        <v>#VALUE!</v>
      </c>
      <c r="E18" s="104" t="e">
        <f aca="false">INDEX(participants!$B$1:$B$506,MATCH($C18, participants!$A$1:$A$515,0),1)</f>
        <v>#VALUE!</v>
      </c>
      <c r="F18" s="103" t="e">
        <f aca="false">INDEX(#REF!,MATCH(A18, #REF!,0),1)</f>
        <v>#VALUE!</v>
      </c>
      <c r="G18" s="105" t="e">
        <f aca="false">INDEX(samples!$C$1:$C$944,MATCH(F18, #REF!,0),1)</f>
        <v>#VALUE!</v>
      </c>
      <c r="H18" s="104" t="e">
        <f aca="false">INDEX(participants!$K$1:$K$506,MATCH($C18, participants!$A$1:$A$515,0),1)</f>
        <v>#VALUE!</v>
      </c>
      <c r="I18" s="104" t="e">
        <f aca="false">INDEX(#REF!,MATCH($A18, #REF!,0),1)</f>
        <v>#VALUE!</v>
      </c>
      <c r="J18" s="101" t="s">
        <v>558</v>
      </c>
      <c r="K18" s="101" t="s">
        <v>511</v>
      </c>
      <c r="L18" s="107" t="n">
        <v>43748</v>
      </c>
      <c r="M18" s="101" t="s">
        <v>5561</v>
      </c>
      <c r="N18" s="101" t="s">
        <v>511</v>
      </c>
      <c r="O18" s="101" t="n">
        <v>2</v>
      </c>
      <c r="P18" s="101" t="s">
        <v>5557</v>
      </c>
      <c r="Q18" s="101" t="s">
        <v>5557</v>
      </c>
      <c r="R18" s="101" t="s">
        <v>511</v>
      </c>
      <c r="S18" s="107" t="s">
        <v>5561</v>
      </c>
      <c r="T18" s="107" t="n">
        <v>43726</v>
      </c>
      <c r="U18" s="107" t="n">
        <v>43748</v>
      </c>
      <c r="V18" s="73" t="s">
        <v>5604</v>
      </c>
      <c r="X18" s="73" t="s">
        <v>487</v>
      </c>
      <c r="Y18" s="73" t="s">
        <v>558</v>
      </c>
      <c r="Z18" s="73" t="s">
        <v>487</v>
      </c>
      <c r="AA18" s="73" t="s">
        <v>558</v>
      </c>
      <c r="AB18" s="107" t="n">
        <v>43783</v>
      </c>
      <c r="AD18" s="73" t="s">
        <v>1382</v>
      </c>
    </row>
    <row r="19" customFormat="false" ht="13.8" hidden="false" customHeight="false" outlineLevel="0" collapsed="false">
      <c r="A19" s="99" t="s">
        <v>5605</v>
      </c>
      <c r="B19" s="103" t="e">
        <f aca="false">INDEX(#REF!,MATCH(A19, #REF!,0),1)</f>
        <v>#VALUE!</v>
      </c>
      <c r="C19" s="103" t="e">
        <f aca="false">INDEX(#REF!,MATCH(A19, #REF!,0),1)</f>
        <v>#VALUE!</v>
      </c>
      <c r="D19" s="103" t="e">
        <f aca="false">INDEX(#REF!,MATCH(A19, #REF!,0),1)</f>
        <v>#VALUE!</v>
      </c>
      <c r="E19" s="104" t="e">
        <f aca="false">INDEX(participants!$B$1:$B$506,MATCH($C19, participants!$A$1:$A$515,0),1)</f>
        <v>#VALUE!</v>
      </c>
      <c r="F19" s="103" t="e">
        <f aca="false">INDEX(#REF!,MATCH(A19, #REF!,0),1)</f>
        <v>#VALUE!</v>
      </c>
      <c r="G19" s="105" t="e">
        <f aca="false">INDEX(samples!$C$1:$C$944,MATCH(F19, #REF!,0),1)</f>
        <v>#VALUE!</v>
      </c>
      <c r="H19" s="104" t="e">
        <f aca="false">INDEX(participants!$K$1:$K$506,MATCH($C19, participants!$A$1:$A$515,0),1)</f>
        <v>#VALUE!</v>
      </c>
      <c r="I19" s="104" t="e">
        <f aca="false">INDEX(#REF!,MATCH($A19, #REF!,0),1)</f>
        <v>#VALUE!</v>
      </c>
      <c r="J19" s="101" t="s">
        <v>558</v>
      </c>
      <c r="K19" s="101" t="s">
        <v>558</v>
      </c>
      <c r="L19" s="107" t="n">
        <v>43668</v>
      </c>
      <c r="M19" s="101" t="s">
        <v>5561</v>
      </c>
      <c r="N19" s="101" t="s">
        <v>511</v>
      </c>
      <c r="O19" s="101" t="n">
        <v>2</v>
      </c>
      <c r="P19" s="101" t="s">
        <v>5557</v>
      </c>
      <c r="Q19" s="101" t="s">
        <v>5557</v>
      </c>
      <c r="R19" s="101" t="s">
        <v>511</v>
      </c>
      <c r="S19" s="107" t="s">
        <v>5561</v>
      </c>
      <c r="T19" s="107" t="n">
        <v>43641</v>
      </c>
      <c r="U19" s="107" t="n">
        <v>43668</v>
      </c>
      <c r="V19" s="73" t="s">
        <v>5606</v>
      </c>
      <c r="X19" s="73" t="s">
        <v>487</v>
      </c>
      <c r="Y19" s="73" t="s">
        <v>558</v>
      </c>
      <c r="Z19" s="73" t="s">
        <v>487</v>
      </c>
      <c r="AA19" s="73" t="s">
        <v>558</v>
      </c>
      <c r="AB19" s="107" t="n">
        <v>43621</v>
      </c>
      <c r="AD19" s="73" t="s">
        <v>1382</v>
      </c>
    </row>
    <row r="20" customFormat="false" ht="13.8" hidden="false" customHeight="false" outlineLevel="0" collapsed="false">
      <c r="A20" s="99" t="s">
        <v>5607</v>
      </c>
      <c r="B20" s="103" t="e">
        <f aca="false">INDEX(#REF!,MATCH(A20, #REF!,0),1)</f>
        <v>#VALUE!</v>
      </c>
      <c r="C20" s="103" t="e">
        <f aca="false">INDEX(#REF!,MATCH(A20, #REF!,0),1)</f>
        <v>#VALUE!</v>
      </c>
      <c r="D20" s="103" t="e">
        <f aca="false">INDEX(#REF!,MATCH(A20, #REF!,0),1)</f>
        <v>#VALUE!</v>
      </c>
      <c r="E20" s="104" t="e">
        <f aca="false">INDEX(participants!$B$1:$B$506,MATCH($C20, participants!$A$1:$A$515,0),1)</f>
        <v>#VALUE!</v>
      </c>
      <c r="F20" s="103" t="e">
        <f aca="false">INDEX(#REF!,MATCH(A20, #REF!,0),1)</f>
        <v>#VALUE!</v>
      </c>
      <c r="G20" s="105" t="e">
        <f aca="false">INDEX(samples!$C$1:$C$944,MATCH(F20, #REF!,0),1)</f>
        <v>#VALUE!</v>
      </c>
      <c r="H20" s="104" t="e">
        <f aca="false">INDEX(participants!$K$1:$K$506,MATCH($C20, participants!$A$1:$A$515,0),1)</f>
        <v>#VALUE!</v>
      </c>
      <c r="I20" s="104" t="e">
        <f aca="false">INDEX(#REF!,MATCH($A20, #REF!,0),1)</f>
        <v>#VALUE!</v>
      </c>
      <c r="J20" s="101" t="s">
        <v>511</v>
      </c>
      <c r="K20" s="101" t="s">
        <v>511</v>
      </c>
      <c r="L20" s="107" t="n">
        <v>43586</v>
      </c>
      <c r="M20" s="101" t="s">
        <v>5561</v>
      </c>
      <c r="N20" s="101" t="s">
        <v>511</v>
      </c>
      <c r="O20" s="101" t="n">
        <v>1</v>
      </c>
      <c r="P20" s="101" t="s">
        <v>5557</v>
      </c>
      <c r="Q20" s="101" t="s">
        <v>5557</v>
      </c>
      <c r="R20" s="101" t="s">
        <v>487</v>
      </c>
      <c r="S20" s="101" t="s">
        <v>487</v>
      </c>
      <c r="T20" s="101" t="s">
        <v>487</v>
      </c>
      <c r="U20" s="101" t="s">
        <v>487</v>
      </c>
      <c r="V20" s="73" t="s">
        <v>487</v>
      </c>
      <c r="W20" s="73" t="s">
        <v>487</v>
      </c>
      <c r="X20" s="73" t="s">
        <v>5608</v>
      </c>
      <c r="Y20" s="73" t="s">
        <v>558</v>
      </c>
      <c r="Z20" s="73" t="s">
        <v>487</v>
      </c>
      <c r="AA20" s="73" t="s">
        <v>558</v>
      </c>
      <c r="AB20" s="107" t="n">
        <v>43621</v>
      </c>
      <c r="AD20" s="73" t="s">
        <v>1382</v>
      </c>
    </row>
    <row r="21" customFormat="false" ht="13.8" hidden="false" customHeight="false" outlineLevel="0" collapsed="false">
      <c r="A21" s="99" t="s">
        <v>5609</v>
      </c>
      <c r="B21" s="103" t="e">
        <f aca="false">INDEX(#REF!,MATCH(A21, #REF!,0),1)</f>
        <v>#VALUE!</v>
      </c>
      <c r="C21" s="103" t="e">
        <f aca="false">INDEX(#REF!,MATCH(A21, #REF!,0),1)</f>
        <v>#VALUE!</v>
      </c>
      <c r="D21" s="103" t="e">
        <f aca="false">INDEX(#REF!,MATCH(A21, #REF!,0),1)</f>
        <v>#VALUE!</v>
      </c>
      <c r="E21" s="104" t="e">
        <f aca="false">INDEX(participants!$B$1:$B$506,MATCH($C21, participants!$A$1:$A$515,0),1)</f>
        <v>#VALUE!</v>
      </c>
      <c r="F21" s="103" t="e">
        <f aca="false">INDEX(#REF!,MATCH(A21, #REF!,0),1)</f>
        <v>#VALUE!</v>
      </c>
      <c r="G21" s="105" t="e">
        <f aca="false">INDEX(samples!$C$1:$C$944,MATCH(F21, #REF!,0),1)</f>
        <v>#VALUE!</v>
      </c>
      <c r="H21" s="104" t="e">
        <f aca="false">INDEX(participants!$K$1:$K$506,MATCH($C21, participants!$A$1:$A$515,0),1)</f>
        <v>#VALUE!</v>
      </c>
      <c r="I21" s="104" t="e">
        <f aca="false">INDEX(#REF!,MATCH($A21, #REF!,0),1)</f>
        <v>#VALUE!</v>
      </c>
      <c r="J21" s="101" t="s">
        <v>558</v>
      </c>
      <c r="K21" s="101" t="s">
        <v>558</v>
      </c>
      <c r="L21" s="107" t="n">
        <v>43801</v>
      </c>
      <c r="M21" s="101" t="s">
        <v>5561</v>
      </c>
      <c r="N21" s="101" t="s">
        <v>511</v>
      </c>
      <c r="O21" s="101" t="n">
        <v>2</v>
      </c>
      <c r="P21" s="101" t="s">
        <v>5557</v>
      </c>
      <c r="Q21" s="101" t="s">
        <v>5557</v>
      </c>
      <c r="R21" s="101" t="s">
        <v>511</v>
      </c>
      <c r="S21" s="107" t="s">
        <v>5561</v>
      </c>
      <c r="T21" s="107" t="n">
        <v>43753</v>
      </c>
      <c r="U21" s="107" t="n">
        <v>43801</v>
      </c>
      <c r="V21" s="73" t="s">
        <v>5610</v>
      </c>
      <c r="X21" s="73" t="s">
        <v>487</v>
      </c>
      <c r="Y21" s="73" t="s">
        <v>558</v>
      </c>
      <c r="Z21" s="73" t="s">
        <v>487</v>
      </c>
      <c r="AA21" s="73" t="s">
        <v>558</v>
      </c>
      <c r="AB21" s="107" t="n">
        <v>43752</v>
      </c>
      <c r="AC21" s="107" t="s">
        <v>5602</v>
      </c>
      <c r="AD21" s="73" t="s">
        <v>1382</v>
      </c>
    </row>
    <row r="22" customFormat="false" ht="13.8" hidden="false" customHeight="false" outlineLevel="0" collapsed="false">
      <c r="A22" s="99" t="s">
        <v>5611</v>
      </c>
      <c r="B22" s="103" t="e">
        <f aca="false">INDEX(#REF!,MATCH(A22, #REF!,0),1)</f>
        <v>#VALUE!</v>
      </c>
      <c r="C22" s="103" t="e">
        <f aca="false">INDEX(#REF!,MATCH(A22, #REF!,0),1)</f>
        <v>#VALUE!</v>
      </c>
      <c r="D22" s="103" t="e">
        <f aca="false">INDEX(#REF!,MATCH(A22, #REF!,0),1)</f>
        <v>#VALUE!</v>
      </c>
      <c r="E22" s="104" t="e">
        <f aca="false">INDEX(participants!$B$1:$B$506,MATCH($C22, participants!$A$1:$A$515,0),1)</f>
        <v>#VALUE!</v>
      </c>
      <c r="F22" s="103" t="e">
        <f aca="false">INDEX(#REF!,MATCH(A22, #REF!,0),1)</f>
        <v>#VALUE!</v>
      </c>
      <c r="G22" s="105" t="e">
        <f aca="false">INDEX(samples!$C$1:$C$944,MATCH(F22, #REF!,0),1)</f>
        <v>#VALUE!</v>
      </c>
      <c r="H22" s="104" t="e">
        <f aca="false">INDEX(participants!$K$1:$K$506,MATCH($C22, participants!$A$1:$A$515,0),1)</f>
        <v>#VALUE!</v>
      </c>
      <c r="I22" s="104" t="e">
        <f aca="false">INDEX(#REF!,MATCH($A22, #REF!,0),1)</f>
        <v>#VALUE!</v>
      </c>
      <c r="J22" s="101" t="s">
        <v>558</v>
      </c>
      <c r="K22" s="101" t="s">
        <v>511</v>
      </c>
      <c r="L22" s="107" t="n">
        <v>43475</v>
      </c>
      <c r="M22" s="101" t="s">
        <v>5414</v>
      </c>
      <c r="N22" s="101" t="s">
        <v>511</v>
      </c>
      <c r="O22" s="101" t="n">
        <v>2</v>
      </c>
      <c r="P22" s="101" t="s">
        <v>5556</v>
      </c>
      <c r="Q22" s="101" t="s">
        <v>5556</v>
      </c>
      <c r="R22" s="101" t="s">
        <v>558</v>
      </c>
      <c r="S22" s="101" t="s">
        <v>487</v>
      </c>
      <c r="T22" s="101" t="s">
        <v>487</v>
      </c>
      <c r="U22" s="101" t="s">
        <v>487</v>
      </c>
      <c r="V22" s="73" t="s">
        <v>487</v>
      </c>
      <c r="X22" s="73" t="s">
        <v>487</v>
      </c>
      <c r="Y22" s="73" t="s">
        <v>558</v>
      </c>
      <c r="Z22" s="73" t="s">
        <v>487</v>
      </c>
      <c r="AA22" s="73" t="s">
        <v>558</v>
      </c>
      <c r="AB22" s="107" t="n">
        <v>43475</v>
      </c>
      <c r="AD22" s="73" t="s">
        <v>1382</v>
      </c>
    </row>
    <row r="23" customFormat="false" ht="13.8" hidden="false" customHeight="false" outlineLevel="0" collapsed="false">
      <c r="A23" s="99" t="s">
        <v>5612</v>
      </c>
      <c r="B23" s="103" t="e">
        <f aca="false">INDEX(#REF!,MATCH(A23, #REF!,0),1)</f>
        <v>#VALUE!</v>
      </c>
      <c r="C23" s="103" t="e">
        <f aca="false">INDEX(#REF!,MATCH(A23, #REF!,0),1)</f>
        <v>#VALUE!</v>
      </c>
      <c r="D23" s="103" t="e">
        <f aca="false">INDEX(#REF!,MATCH(A23, #REF!,0),1)</f>
        <v>#VALUE!</v>
      </c>
      <c r="E23" s="104" t="e">
        <f aca="false">INDEX(participants!$B$1:$B$506,MATCH($C23, participants!$A$1:$A$515,0),1)</f>
        <v>#VALUE!</v>
      </c>
      <c r="F23" s="103" t="e">
        <f aca="false">INDEX(#REF!,MATCH(A23, #REF!,0),1)</f>
        <v>#VALUE!</v>
      </c>
      <c r="G23" s="105" t="e">
        <f aca="false">INDEX(samples!$C$1:$C$944,MATCH(F23, #REF!,0),1)</f>
        <v>#VALUE!</v>
      </c>
      <c r="H23" s="104" t="e">
        <f aca="false">INDEX(participants!$K$1:$K$506,MATCH($C23, participants!$A$1:$A$515,0),1)</f>
        <v>#VALUE!</v>
      </c>
      <c r="I23" s="104" t="e">
        <f aca="false">INDEX(#REF!,MATCH($A23, #REF!,0),1)</f>
        <v>#VALUE!</v>
      </c>
      <c r="J23" s="101" t="s">
        <v>511</v>
      </c>
      <c r="K23" s="101" t="s">
        <v>511</v>
      </c>
      <c r="L23" s="101" t="s">
        <v>558</v>
      </c>
      <c r="M23" s="101" t="s">
        <v>487</v>
      </c>
      <c r="N23" s="101" t="s">
        <v>511</v>
      </c>
      <c r="O23" s="101" t="n">
        <v>1</v>
      </c>
      <c r="P23" s="101" t="s">
        <v>5556</v>
      </c>
      <c r="Q23" s="101" t="s">
        <v>5556</v>
      </c>
      <c r="R23" s="101" t="s">
        <v>487</v>
      </c>
      <c r="S23" s="101" t="s">
        <v>487</v>
      </c>
      <c r="T23" s="101" t="s">
        <v>487</v>
      </c>
      <c r="U23" s="101" t="s">
        <v>487</v>
      </c>
      <c r="V23" s="73" t="s">
        <v>487</v>
      </c>
      <c r="W23" s="73" t="s">
        <v>487</v>
      </c>
      <c r="X23" s="73" t="s">
        <v>5613</v>
      </c>
      <c r="Y23" s="73" t="s">
        <v>511</v>
      </c>
      <c r="Z23" s="73" t="s">
        <v>5590</v>
      </c>
      <c r="AA23" s="73" t="s">
        <v>5570</v>
      </c>
      <c r="AB23" s="107" t="n">
        <v>43570</v>
      </c>
      <c r="AD23" s="73" t="s">
        <v>1382</v>
      </c>
    </row>
    <row r="24" customFormat="false" ht="13.8" hidden="false" customHeight="false" outlineLevel="0" collapsed="false">
      <c r="A24" s="99" t="s">
        <v>5614</v>
      </c>
      <c r="B24" s="103" t="e">
        <f aca="false">INDEX(#REF!,MATCH(A24, #REF!,0),1)</f>
        <v>#VALUE!</v>
      </c>
      <c r="C24" s="103" t="e">
        <f aca="false">INDEX(#REF!,MATCH(A24, #REF!,0),1)</f>
        <v>#VALUE!</v>
      </c>
      <c r="D24" s="103" t="e">
        <f aca="false">INDEX(#REF!,MATCH(A24, #REF!,0),1)</f>
        <v>#VALUE!</v>
      </c>
      <c r="E24" s="104" t="e">
        <f aca="false">INDEX(participants!$B$1:$B$506,MATCH($C24, participants!$A$1:$A$515,0),1)</f>
        <v>#VALUE!</v>
      </c>
      <c r="F24" s="103" t="e">
        <f aca="false">INDEX(#REF!,MATCH(A24, #REF!,0),1)</f>
        <v>#VALUE!</v>
      </c>
      <c r="G24" s="105" t="e">
        <f aca="false">INDEX(samples!$C$1:$C$944,MATCH(F24, #REF!,0),1)</f>
        <v>#VALUE!</v>
      </c>
      <c r="H24" s="104" t="e">
        <f aca="false">INDEX(participants!$K$1:$K$506,MATCH($C24, participants!$A$1:$A$515,0),1)</f>
        <v>#VALUE!</v>
      </c>
      <c r="I24" s="104" t="e">
        <f aca="false">INDEX(#REF!,MATCH($A24, #REF!,0),1)</f>
        <v>#VALUE!</v>
      </c>
      <c r="J24" s="101" t="s">
        <v>558</v>
      </c>
      <c r="K24" s="101" t="s">
        <v>511</v>
      </c>
      <c r="L24" s="107" t="n">
        <v>43738</v>
      </c>
      <c r="M24" s="101" t="s">
        <v>5414</v>
      </c>
      <c r="N24" s="101" t="s">
        <v>511</v>
      </c>
      <c r="O24" s="101" t="n">
        <v>5</v>
      </c>
      <c r="P24" s="101" t="s">
        <v>5556</v>
      </c>
      <c r="Q24" s="101" t="s">
        <v>487</v>
      </c>
      <c r="R24" s="101" t="s">
        <v>511</v>
      </c>
      <c r="S24" s="101" t="s">
        <v>5615</v>
      </c>
      <c r="T24" s="107" t="n">
        <v>43713</v>
      </c>
      <c r="U24" s="107" t="n">
        <v>43738</v>
      </c>
      <c r="V24" s="73" t="s">
        <v>5616</v>
      </c>
      <c r="X24" s="73" t="s">
        <v>5617</v>
      </c>
      <c r="Y24" s="73" t="s">
        <v>511</v>
      </c>
      <c r="Z24" s="73" t="s">
        <v>5569</v>
      </c>
      <c r="AA24" s="73" t="s">
        <v>5570</v>
      </c>
      <c r="AB24" s="107" t="n">
        <v>43738</v>
      </c>
      <c r="AD24" s="73" t="s">
        <v>1382</v>
      </c>
    </row>
    <row r="25" customFormat="false" ht="13.8" hidden="false" customHeight="false" outlineLevel="0" collapsed="false">
      <c r="A25" s="99" t="s">
        <v>5618</v>
      </c>
      <c r="B25" s="103" t="e">
        <f aca="false">INDEX(#REF!,MATCH(A25, #REF!,0),1)</f>
        <v>#VALUE!</v>
      </c>
      <c r="C25" s="103" t="e">
        <f aca="false">INDEX(#REF!,MATCH(A25, #REF!,0),1)</f>
        <v>#VALUE!</v>
      </c>
      <c r="D25" s="103" t="e">
        <f aca="false">INDEX(#REF!,MATCH(A25, #REF!,0),1)</f>
        <v>#VALUE!</v>
      </c>
      <c r="E25" s="104" t="e">
        <f aca="false">INDEX(participants!$B$1:$B$506,MATCH($C25, participants!$A$1:$A$515,0),1)</f>
        <v>#VALUE!</v>
      </c>
      <c r="F25" s="103" t="e">
        <f aca="false">INDEX(#REF!,MATCH(A25, #REF!,0),1)</f>
        <v>#VALUE!</v>
      </c>
      <c r="G25" s="105" t="e">
        <f aca="false">INDEX(samples!$C$1:$C$944,MATCH(F25, #REF!,0),1)</f>
        <v>#VALUE!</v>
      </c>
      <c r="H25" s="104" t="e">
        <f aca="false">INDEX(participants!$K$1:$K$506,MATCH($C25, participants!$A$1:$A$515,0),1)</f>
        <v>#VALUE!</v>
      </c>
      <c r="I25" s="104" t="e">
        <f aca="false">INDEX(#REF!,MATCH($A25, #REF!,0),1)</f>
        <v>#VALUE!</v>
      </c>
      <c r="J25" s="101" t="s">
        <v>558</v>
      </c>
      <c r="K25" s="101" t="s">
        <v>558</v>
      </c>
      <c r="L25" s="107" t="n">
        <v>43654</v>
      </c>
      <c r="M25" s="101" t="s">
        <v>5561</v>
      </c>
      <c r="N25" s="101" t="s">
        <v>511</v>
      </c>
      <c r="O25" s="101" t="n">
        <v>3</v>
      </c>
      <c r="P25" s="101" t="s">
        <v>5556</v>
      </c>
      <c r="Q25" s="101" t="s">
        <v>5556</v>
      </c>
      <c r="R25" s="101" t="s">
        <v>511</v>
      </c>
      <c r="S25" s="101" t="s">
        <v>5561</v>
      </c>
      <c r="T25" s="107" t="n">
        <v>43634</v>
      </c>
      <c r="U25" s="107" t="n">
        <v>43654</v>
      </c>
      <c r="V25" s="73" t="s">
        <v>5619</v>
      </c>
      <c r="X25" s="73" t="s">
        <v>487</v>
      </c>
      <c r="Y25" s="73" t="s">
        <v>511</v>
      </c>
      <c r="Z25" s="73" t="s">
        <v>5569</v>
      </c>
      <c r="AA25" s="73" t="s">
        <v>5570</v>
      </c>
      <c r="AB25" s="107" t="n">
        <v>43553</v>
      </c>
      <c r="AD25" s="73" t="s">
        <v>1382</v>
      </c>
    </row>
    <row r="26" customFormat="false" ht="13.8" hidden="false" customHeight="false" outlineLevel="0" collapsed="false">
      <c r="A26" s="99" t="s">
        <v>5620</v>
      </c>
      <c r="B26" s="103" t="e">
        <f aca="false">INDEX(#REF!,MATCH(A26, #REF!,0),1)</f>
        <v>#VALUE!</v>
      </c>
      <c r="C26" s="103" t="e">
        <f aca="false">INDEX(#REF!,MATCH(A26, #REF!,0),1)</f>
        <v>#VALUE!</v>
      </c>
      <c r="D26" s="103" t="e">
        <f aca="false">INDEX(#REF!,MATCH(A26, #REF!,0),1)</f>
        <v>#VALUE!</v>
      </c>
      <c r="E26" s="104" t="e">
        <f aca="false">INDEX(participants!$B$1:$B$506,MATCH($C26, participants!$A$1:$A$515,0),1)</f>
        <v>#VALUE!</v>
      </c>
      <c r="F26" s="103" t="e">
        <f aca="false">INDEX(#REF!,MATCH(A26, #REF!,0),1)</f>
        <v>#VALUE!</v>
      </c>
      <c r="G26" s="105" t="e">
        <f aca="false">INDEX(samples!$C$1:$C$944,MATCH(F26, #REF!,0),1)</f>
        <v>#VALUE!</v>
      </c>
      <c r="H26" s="104" t="e">
        <f aca="false">INDEX(participants!$K$1:$K$506,MATCH($C26, participants!$A$1:$A$515,0),1)</f>
        <v>#VALUE!</v>
      </c>
      <c r="I26" s="104" t="e">
        <f aca="false">INDEX(#REF!,MATCH($A26, #REF!,0),1)</f>
        <v>#VALUE!</v>
      </c>
      <c r="J26" s="101" t="s">
        <v>511</v>
      </c>
      <c r="K26" s="101" t="s">
        <v>511</v>
      </c>
      <c r="L26" s="107" t="n">
        <v>43826</v>
      </c>
      <c r="M26" s="101" t="s">
        <v>5555</v>
      </c>
      <c r="N26" s="101" t="s">
        <v>558</v>
      </c>
      <c r="O26" s="101" t="s">
        <v>487</v>
      </c>
      <c r="P26" s="101" t="s">
        <v>5557</v>
      </c>
      <c r="Q26" s="101" t="s">
        <v>5557</v>
      </c>
      <c r="R26" s="101" t="s">
        <v>487</v>
      </c>
      <c r="S26" s="101" t="s">
        <v>487</v>
      </c>
      <c r="T26" s="101" t="s">
        <v>487</v>
      </c>
      <c r="U26" s="101" t="s">
        <v>487</v>
      </c>
      <c r="V26" s="73" t="s">
        <v>487</v>
      </c>
      <c r="W26" s="73" t="s">
        <v>487</v>
      </c>
      <c r="X26" s="73" t="s">
        <v>5621</v>
      </c>
      <c r="Y26" s="73" t="s">
        <v>558</v>
      </c>
      <c r="Z26" s="73" t="s">
        <v>487</v>
      </c>
      <c r="AA26" s="73" t="s">
        <v>558</v>
      </c>
      <c r="AB26" s="107" t="n">
        <v>43882</v>
      </c>
      <c r="AD26" s="73" t="s">
        <v>1382</v>
      </c>
    </row>
    <row r="27" customFormat="false" ht="13.8" hidden="false" customHeight="false" outlineLevel="0" collapsed="false">
      <c r="A27" s="99" t="s">
        <v>5622</v>
      </c>
      <c r="B27" s="103" t="e">
        <f aca="false">INDEX(#REF!,MATCH(A27, #REF!,0),1)</f>
        <v>#VALUE!</v>
      </c>
      <c r="C27" s="103" t="e">
        <f aca="false">INDEX(#REF!,MATCH(A27, #REF!,0),1)</f>
        <v>#VALUE!</v>
      </c>
      <c r="D27" s="103" t="e">
        <f aca="false">INDEX(#REF!,MATCH(A27, #REF!,0),1)</f>
        <v>#VALUE!</v>
      </c>
      <c r="E27" s="104" t="e">
        <f aca="false">INDEX(participants!$B$1:$B$506,MATCH($C27, participants!$A$1:$A$515,0),1)</f>
        <v>#VALUE!</v>
      </c>
      <c r="F27" s="103" t="e">
        <f aca="false">INDEX(#REF!,MATCH(A27, #REF!,0),1)</f>
        <v>#VALUE!</v>
      </c>
      <c r="G27" s="105" t="e">
        <f aca="false">INDEX(samples!$C$1:$C$944,MATCH(F27, #REF!,0),1)</f>
        <v>#VALUE!</v>
      </c>
      <c r="H27" s="104" t="e">
        <f aca="false">INDEX(participants!$K$1:$K$506,MATCH($C27, participants!$A$1:$A$515,0),1)</f>
        <v>#VALUE!</v>
      </c>
      <c r="I27" s="104" t="e">
        <f aca="false">INDEX(#REF!,MATCH($A27, #REF!,0),1)</f>
        <v>#VALUE!</v>
      </c>
      <c r="J27" s="101" t="s">
        <v>558</v>
      </c>
      <c r="K27" s="101" t="s">
        <v>558</v>
      </c>
      <c r="L27" s="101" t="s">
        <v>558</v>
      </c>
      <c r="M27" s="101" t="s">
        <v>487</v>
      </c>
      <c r="N27" s="101" t="s">
        <v>511</v>
      </c>
      <c r="O27" s="101" t="n">
        <v>4</v>
      </c>
      <c r="P27" s="101" t="s">
        <v>5556</v>
      </c>
      <c r="Q27" s="101" t="s">
        <v>5556</v>
      </c>
      <c r="R27" s="101" t="s">
        <v>558</v>
      </c>
      <c r="S27" s="101" t="s">
        <v>487</v>
      </c>
      <c r="T27" s="101" t="s">
        <v>487</v>
      </c>
      <c r="U27" s="101" t="s">
        <v>487</v>
      </c>
      <c r="V27" s="73" t="s">
        <v>487</v>
      </c>
      <c r="X27" s="73" t="s">
        <v>487</v>
      </c>
      <c r="Y27" s="73" t="s">
        <v>511</v>
      </c>
      <c r="Z27" s="73" t="s">
        <v>5590</v>
      </c>
      <c r="AA27" s="73" t="s">
        <v>5570</v>
      </c>
      <c r="AB27" s="107" t="n">
        <v>43570</v>
      </c>
      <c r="AD27" s="73" t="s">
        <v>1382</v>
      </c>
    </row>
    <row r="28" customFormat="false" ht="13.8" hidden="false" customHeight="false" outlineLevel="0" collapsed="false">
      <c r="A28" s="99" t="s">
        <v>5623</v>
      </c>
      <c r="B28" s="103" t="e">
        <f aca="false">INDEX(#REF!,MATCH(A28, #REF!,0),1)</f>
        <v>#VALUE!</v>
      </c>
      <c r="C28" s="103" t="e">
        <f aca="false">INDEX(#REF!,MATCH(A28, #REF!,0),1)</f>
        <v>#VALUE!</v>
      </c>
      <c r="D28" s="103" t="e">
        <f aca="false">INDEX(#REF!,MATCH(A28, #REF!,0),1)</f>
        <v>#VALUE!</v>
      </c>
      <c r="E28" s="104" t="e">
        <f aca="false">INDEX(participants!$B$1:$B$506,MATCH($C28, participants!$A$1:$A$515,0),1)</f>
        <v>#VALUE!</v>
      </c>
      <c r="F28" s="103" t="e">
        <f aca="false">INDEX(#REF!,MATCH(A28, #REF!,0),1)</f>
        <v>#VALUE!</v>
      </c>
      <c r="G28" s="105" t="e">
        <f aca="false">INDEX(samples!$C$1:$C$944,MATCH(F28, #REF!,0),1)</f>
        <v>#VALUE!</v>
      </c>
      <c r="H28" s="104" t="e">
        <f aca="false">INDEX(participants!$K$1:$K$506,MATCH($C28, participants!$A$1:$A$515,0),1)</f>
        <v>#VALUE!</v>
      </c>
      <c r="I28" s="104" t="e">
        <f aca="false">INDEX(#REF!,MATCH($A28, #REF!,0),1)</f>
        <v>#VALUE!</v>
      </c>
      <c r="J28" s="101" t="s">
        <v>511</v>
      </c>
      <c r="K28" s="101" t="s">
        <v>511</v>
      </c>
      <c r="L28" s="101" t="s">
        <v>558</v>
      </c>
      <c r="M28" s="101" t="s">
        <v>487</v>
      </c>
      <c r="N28" s="101" t="s">
        <v>511</v>
      </c>
      <c r="O28" s="101" t="n">
        <v>1</v>
      </c>
      <c r="P28" s="101" t="s">
        <v>5556</v>
      </c>
      <c r="Q28" s="101" t="s">
        <v>5556</v>
      </c>
      <c r="R28" s="101" t="s">
        <v>487</v>
      </c>
      <c r="S28" s="101" t="s">
        <v>487</v>
      </c>
      <c r="T28" s="101" t="s">
        <v>487</v>
      </c>
      <c r="U28" s="101" t="s">
        <v>487</v>
      </c>
      <c r="V28" s="73" t="s">
        <v>487</v>
      </c>
      <c r="W28" s="73" t="s">
        <v>487</v>
      </c>
      <c r="X28" s="73" t="s">
        <v>5624</v>
      </c>
      <c r="Y28" s="73" t="s">
        <v>558</v>
      </c>
      <c r="Z28" s="73" t="s">
        <v>487</v>
      </c>
      <c r="AA28" s="73" t="s">
        <v>558</v>
      </c>
      <c r="AB28" s="107" t="n">
        <v>43553</v>
      </c>
      <c r="AD28" s="73" t="s">
        <v>1382</v>
      </c>
    </row>
    <row r="29" customFormat="false" ht="13.8" hidden="false" customHeight="false" outlineLevel="0" collapsed="false">
      <c r="A29" s="99" t="s">
        <v>5625</v>
      </c>
      <c r="B29" s="103" t="e">
        <f aca="false">INDEX(#REF!,MATCH(A29, #REF!,0),1)</f>
        <v>#VALUE!</v>
      </c>
      <c r="C29" s="103" t="e">
        <f aca="false">INDEX(#REF!,MATCH(A29, #REF!,0),1)</f>
        <v>#VALUE!</v>
      </c>
      <c r="D29" s="103" t="e">
        <f aca="false">INDEX(#REF!,MATCH(A29, #REF!,0),1)</f>
        <v>#VALUE!</v>
      </c>
      <c r="E29" s="104" t="e">
        <f aca="false">INDEX(participants!$B$1:$B$506,MATCH($C29, participants!$A$1:$A$515,0),1)</f>
        <v>#VALUE!</v>
      </c>
      <c r="F29" s="103" t="e">
        <f aca="false">INDEX(#REF!,MATCH(A29, #REF!,0),1)</f>
        <v>#VALUE!</v>
      </c>
      <c r="G29" s="105" t="e">
        <f aca="false">INDEX(samples!$C$1:$C$944,MATCH(F29, #REF!,0),1)</f>
        <v>#VALUE!</v>
      </c>
      <c r="H29" s="104" t="e">
        <f aca="false">INDEX(participants!$K$1:$K$506,MATCH($C29, participants!$A$1:$A$515,0),1)</f>
        <v>#VALUE!</v>
      </c>
      <c r="I29" s="104" t="e">
        <f aca="false">INDEX(#REF!,MATCH($A29, #REF!,0),1)</f>
        <v>#VALUE!</v>
      </c>
      <c r="J29" s="101" t="s">
        <v>511</v>
      </c>
      <c r="K29" s="101" t="s">
        <v>511</v>
      </c>
      <c r="L29" s="107" t="n">
        <v>43713</v>
      </c>
      <c r="M29" s="101" t="s">
        <v>5587</v>
      </c>
      <c r="N29" s="101" t="s">
        <v>511</v>
      </c>
      <c r="O29" s="101" t="n">
        <v>1</v>
      </c>
      <c r="P29" s="101" t="s">
        <v>5557</v>
      </c>
      <c r="Q29" s="101" t="s">
        <v>5557</v>
      </c>
      <c r="R29" s="101" t="s">
        <v>487</v>
      </c>
      <c r="S29" s="101" t="s">
        <v>487</v>
      </c>
      <c r="T29" s="101" t="s">
        <v>487</v>
      </c>
      <c r="U29" s="101" t="s">
        <v>487</v>
      </c>
      <c r="V29" s="73" t="s">
        <v>487</v>
      </c>
      <c r="W29" s="73" t="s">
        <v>487</v>
      </c>
      <c r="X29" s="73" t="s">
        <v>5626</v>
      </c>
      <c r="Y29" s="73" t="s">
        <v>558</v>
      </c>
      <c r="Z29" s="73" t="s">
        <v>487</v>
      </c>
      <c r="AA29" s="73" t="s">
        <v>558</v>
      </c>
      <c r="AB29" s="107" t="n">
        <v>43728</v>
      </c>
      <c r="AD29" s="73" t="s">
        <v>1382</v>
      </c>
    </row>
    <row r="30" customFormat="false" ht="13.8" hidden="false" customHeight="false" outlineLevel="0" collapsed="false">
      <c r="A30" s="99" t="s">
        <v>5627</v>
      </c>
      <c r="B30" s="103" t="e">
        <f aca="false">INDEX(#REF!,MATCH(A30, #REF!,0),1)</f>
        <v>#VALUE!</v>
      </c>
      <c r="C30" s="103" t="e">
        <f aca="false">INDEX(#REF!,MATCH(A30, #REF!,0),1)</f>
        <v>#VALUE!</v>
      </c>
      <c r="D30" s="103" t="e">
        <f aca="false">INDEX(#REF!,MATCH(A30, #REF!,0),1)</f>
        <v>#VALUE!</v>
      </c>
      <c r="E30" s="104" t="e">
        <f aca="false">INDEX(participants!$B$1:$B$506,MATCH($C30, participants!$A$1:$A$515,0),1)</f>
        <v>#VALUE!</v>
      </c>
      <c r="F30" s="103" t="e">
        <f aca="false">INDEX(#REF!,MATCH(A30, #REF!,0),1)</f>
        <v>#VALUE!</v>
      </c>
      <c r="G30" s="105" t="e">
        <f aca="false">INDEX(samples!$C$1:$C$944,MATCH(F30, #REF!,0),1)</f>
        <v>#VALUE!</v>
      </c>
      <c r="H30" s="104" t="e">
        <f aca="false">INDEX(participants!$K$1:$K$506,MATCH($C30, participants!$A$1:$A$515,0),1)</f>
        <v>#VALUE!</v>
      </c>
      <c r="I30" s="104" t="e">
        <f aca="false">INDEX(#REF!,MATCH($A30, #REF!,0),1)</f>
        <v>#VALUE!</v>
      </c>
      <c r="J30" s="101" t="s">
        <v>558</v>
      </c>
      <c r="K30" s="101" t="s">
        <v>511</v>
      </c>
      <c r="L30" s="107" t="n">
        <v>43734</v>
      </c>
      <c r="M30" s="101" t="s">
        <v>5561</v>
      </c>
      <c r="N30" s="101" t="s">
        <v>511</v>
      </c>
      <c r="O30" s="101" t="n">
        <v>4</v>
      </c>
      <c r="P30" s="101" t="s">
        <v>5556</v>
      </c>
      <c r="Q30" s="101" t="s">
        <v>5557</v>
      </c>
      <c r="R30" s="101" t="s">
        <v>511</v>
      </c>
      <c r="S30" s="101" t="s">
        <v>5561</v>
      </c>
      <c r="T30" s="107" t="n">
        <v>43641</v>
      </c>
      <c r="U30" s="107" t="n">
        <v>43734</v>
      </c>
      <c r="V30" s="73" t="s">
        <v>5628</v>
      </c>
      <c r="X30" s="73" t="s">
        <v>5629</v>
      </c>
      <c r="Y30" s="73" t="s">
        <v>558</v>
      </c>
      <c r="Z30" s="73" t="s">
        <v>487</v>
      </c>
      <c r="AA30" s="73" t="s">
        <v>558</v>
      </c>
      <c r="AB30" s="107" t="n">
        <v>43475</v>
      </c>
      <c r="AD30" s="73" t="s">
        <v>1382</v>
      </c>
    </row>
    <row r="31" customFormat="false" ht="13.8" hidden="false" customHeight="false" outlineLevel="0" collapsed="false">
      <c r="A31" s="99" t="s">
        <v>5630</v>
      </c>
      <c r="B31" s="103" t="e">
        <f aca="false">INDEX(#REF!,MATCH(A31, #REF!,0),1)</f>
        <v>#VALUE!</v>
      </c>
      <c r="C31" s="103" t="e">
        <f aca="false">INDEX(#REF!,MATCH(A31, #REF!,0),1)</f>
        <v>#VALUE!</v>
      </c>
      <c r="D31" s="103" t="e">
        <f aca="false">INDEX(#REF!,MATCH(A31, #REF!,0),1)</f>
        <v>#VALUE!</v>
      </c>
      <c r="E31" s="104" t="e">
        <f aca="false">INDEX(participants!$B$1:$B$506,MATCH($C31, participants!$A$1:$A$515,0),1)</f>
        <v>#VALUE!</v>
      </c>
      <c r="F31" s="103" t="e">
        <f aca="false">INDEX(#REF!,MATCH(A31, #REF!,0),1)</f>
        <v>#VALUE!</v>
      </c>
      <c r="G31" s="105" t="e">
        <f aca="false">INDEX(samples!$C$1:$C$944,MATCH(F31, #REF!,0),1)</f>
        <v>#VALUE!</v>
      </c>
      <c r="H31" s="104" t="e">
        <f aca="false">INDEX(participants!$K$1:$K$506,MATCH($C31, participants!$A$1:$A$515,0),1)</f>
        <v>#VALUE!</v>
      </c>
      <c r="I31" s="104" t="e">
        <f aca="false">INDEX(#REF!,MATCH($A31, #REF!,0),1)</f>
        <v>#VALUE!</v>
      </c>
      <c r="J31" s="101" t="s">
        <v>558</v>
      </c>
      <c r="K31" s="101" t="s">
        <v>558</v>
      </c>
      <c r="L31" s="107" t="n">
        <v>43607</v>
      </c>
      <c r="M31" s="101" t="s">
        <v>5587</v>
      </c>
      <c r="N31" s="101" t="s">
        <v>511</v>
      </c>
      <c r="O31" s="101" t="n">
        <v>2</v>
      </c>
      <c r="P31" s="101" t="s">
        <v>5556</v>
      </c>
      <c r="Q31" s="101" t="s">
        <v>5556</v>
      </c>
      <c r="R31" s="101" t="s">
        <v>511</v>
      </c>
      <c r="S31" s="101" t="s">
        <v>5587</v>
      </c>
      <c r="T31" s="107" t="n">
        <v>43572</v>
      </c>
      <c r="U31" s="107" t="n">
        <v>43607</v>
      </c>
      <c r="V31" s="73" t="s">
        <v>5631</v>
      </c>
      <c r="X31" s="73" t="s">
        <v>487</v>
      </c>
      <c r="Y31" s="73" t="s">
        <v>511</v>
      </c>
      <c r="Z31" s="73" t="s">
        <v>5569</v>
      </c>
      <c r="AA31" s="73" t="s">
        <v>5570</v>
      </c>
      <c r="AB31" s="107" t="n">
        <v>43553</v>
      </c>
      <c r="AD31" s="73" t="s">
        <v>1382</v>
      </c>
    </row>
    <row r="32" customFormat="false" ht="13.8" hidden="false" customHeight="false" outlineLevel="0" collapsed="false">
      <c r="A32" s="99" t="s">
        <v>5632</v>
      </c>
      <c r="B32" s="103" t="e">
        <f aca="false">INDEX(#REF!,MATCH(A32, #REF!,0),1)</f>
        <v>#VALUE!</v>
      </c>
      <c r="C32" s="103" t="e">
        <f aca="false">INDEX(#REF!,MATCH(A32, #REF!,0),1)</f>
        <v>#VALUE!</v>
      </c>
      <c r="D32" s="103" t="e">
        <f aca="false">INDEX(#REF!,MATCH(A32, #REF!,0),1)</f>
        <v>#VALUE!</v>
      </c>
      <c r="E32" s="104" t="e">
        <f aca="false">INDEX(participants!$B$1:$B$506,MATCH($C32, participants!$A$1:$A$515,0),1)</f>
        <v>#VALUE!</v>
      </c>
      <c r="F32" s="103" t="e">
        <f aca="false">INDEX(#REF!,MATCH(A32, #REF!,0),1)</f>
        <v>#VALUE!</v>
      </c>
      <c r="G32" s="105" t="e">
        <f aca="false">INDEX(samples!$C$1:$C$944,MATCH(F32, #REF!,0),1)</f>
        <v>#VALUE!</v>
      </c>
      <c r="H32" s="104" t="e">
        <f aca="false">INDEX(participants!$K$1:$K$506,MATCH($C32, participants!$A$1:$A$515,0),1)</f>
        <v>#VALUE!</v>
      </c>
      <c r="I32" s="104" t="e">
        <f aca="false">INDEX(#REF!,MATCH($A32, #REF!,0),1)</f>
        <v>#VALUE!</v>
      </c>
      <c r="J32" s="101" t="s">
        <v>558</v>
      </c>
      <c r="K32" s="101" t="s">
        <v>511</v>
      </c>
      <c r="L32" s="107" t="n">
        <v>43475</v>
      </c>
      <c r="M32" s="101" t="s">
        <v>5414</v>
      </c>
      <c r="N32" s="101" t="s">
        <v>511</v>
      </c>
      <c r="O32" s="101" t="n">
        <v>3</v>
      </c>
      <c r="P32" s="101" t="s">
        <v>5556</v>
      </c>
      <c r="Q32" s="101" t="s">
        <v>5557</v>
      </c>
      <c r="R32" s="101" t="s">
        <v>558</v>
      </c>
      <c r="S32" s="101" t="s">
        <v>487</v>
      </c>
      <c r="T32" s="101" t="s">
        <v>487</v>
      </c>
      <c r="U32" s="101" t="s">
        <v>487</v>
      </c>
      <c r="V32" s="73" t="s">
        <v>487</v>
      </c>
      <c r="X32" s="73" t="s">
        <v>5629</v>
      </c>
      <c r="Y32" s="73" t="s">
        <v>558</v>
      </c>
      <c r="Z32" s="73" t="s">
        <v>487</v>
      </c>
      <c r="AA32" s="73" t="s">
        <v>558</v>
      </c>
      <c r="AB32" s="107" t="n">
        <v>43475</v>
      </c>
      <c r="AD32" s="73" t="s">
        <v>1382</v>
      </c>
    </row>
    <row r="33" customFormat="false" ht="13.8" hidden="false" customHeight="false" outlineLevel="0" collapsed="false">
      <c r="A33" s="99" t="s">
        <v>5633</v>
      </c>
      <c r="B33" s="103" t="e">
        <f aca="false">INDEX(#REF!,MATCH(A33, #REF!,0),1)</f>
        <v>#VALUE!</v>
      </c>
      <c r="C33" s="103" t="e">
        <f aca="false">INDEX(#REF!,MATCH(A33, #REF!,0),1)</f>
        <v>#VALUE!</v>
      </c>
      <c r="D33" s="103" t="e">
        <f aca="false">INDEX(#REF!,MATCH(A33, #REF!,0),1)</f>
        <v>#VALUE!</v>
      </c>
      <c r="E33" s="104" t="e">
        <f aca="false">INDEX(participants!$B$1:$B$506,MATCH($C33, participants!$A$1:$A$515,0),1)</f>
        <v>#VALUE!</v>
      </c>
      <c r="F33" s="103" t="e">
        <f aca="false">INDEX(#REF!,MATCH(A33, #REF!,0),1)</f>
        <v>#VALUE!</v>
      </c>
      <c r="G33" s="105" t="e">
        <f aca="false">INDEX(samples!$C$1:$C$944,MATCH(F33, #REF!,0),1)</f>
        <v>#VALUE!</v>
      </c>
      <c r="H33" s="104" t="e">
        <f aca="false">INDEX(participants!$K$1:$K$506,MATCH($C33, participants!$A$1:$A$515,0),1)</f>
        <v>#VALUE!</v>
      </c>
      <c r="I33" s="104" t="e">
        <f aca="false">INDEX(#REF!,MATCH($A33, #REF!,0),1)</f>
        <v>#VALUE!</v>
      </c>
      <c r="J33" s="101" t="s">
        <v>511</v>
      </c>
      <c r="K33" s="101" t="s">
        <v>511</v>
      </c>
      <c r="L33" s="107" t="n">
        <v>43572</v>
      </c>
      <c r="M33" s="101" t="s">
        <v>5414</v>
      </c>
      <c r="N33" s="101" t="s">
        <v>511</v>
      </c>
      <c r="O33" s="101" t="n">
        <v>1</v>
      </c>
      <c r="P33" s="101" t="s">
        <v>5557</v>
      </c>
      <c r="Q33" s="101" t="s">
        <v>5557</v>
      </c>
      <c r="R33" s="101" t="s">
        <v>487</v>
      </c>
      <c r="S33" s="101" t="s">
        <v>487</v>
      </c>
      <c r="T33" s="101" t="s">
        <v>487</v>
      </c>
      <c r="U33" s="101" t="s">
        <v>487</v>
      </c>
      <c r="V33" s="73" t="s">
        <v>487</v>
      </c>
      <c r="W33" s="73" t="s">
        <v>487</v>
      </c>
      <c r="X33" s="73" t="s">
        <v>5634</v>
      </c>
      <c r="Y33" s="73" t="s">
        <v>558</v>
      </c>
      <c r="Z33" s="73" t="s">
        <v>487</v>
      </c>
      <c r="AA33" s="73" t="s">
        <v>558</v>
      </c>
      <c r="AB33" s="107" t="n">
        <v>43788</v>
      </c>
      <c r="AC33" s="73" t="s">
        <v>5577</v>
      </c>
      <c r="AD33" s="73" t="s">
        <v>1382</v>
      </c>
    </row>
    <row r="34" customFormat="false" ht="13.8" hidden="false" customHeight="false" outlineLevel="0" collapsed="false">
      <c r="A34" s="99" t="s">
        <v>5635</v>
      </c>
      <c r="B34" s="103" t="e">
        <f aca="false">INDEX(#REF!,MATCH(A34, #REF!,0),1)</f>
        <v>#VALUE!</v>
      </c>
      <c r="C34" s="103" t="e">
        <f aca="false">INDEX(#REF!,MATCH(A34, #REF!,0),1)</f>
        <v>#VALUE!</v>
      </c>
      <c r="D34" s="103" t="e">
        <f aca="false">INDEX(#REF!,MATCH(A34, #REF!,0),1)</f>
        <v>#VALUE!</v>
      </c>
      <c r="E34" s="104" t="e">
        <f aca="false">INDEX(participants!$B$1:$B$506,MATCH($C34, participants!$A$1:$A$515,0),1)</f>
        <v>#VALUE!</v>
      </c>
      <c r="F34" s="103" t="e">
        <f aca="false">INDEX(#REF!,MATCH(A34, #REF!,0),1)</f>
        <v>#VALUE!</v>
      </c>
      <c r="G34" s="105" t="e">
        <f aca="false">INDEX(samples!$C$1:$C$944,MATCH(F34, #REF!,0),1)</f>
        <v>#VALUE!</v>
      </c>
      <c r="H34" s="104" t="e">
        <f aca="false">INDEX(participants!$K$1:$K$506,MATCH($C34, participants!$A$1:$A$515,0),1)</f>
        <v>#VALUE!</v>
      </c>
      <c r="I34" s="104" t="e">
        <f aca="false">INDEX(#REF!,MATCH($A34, #REF!,0),1)</f>
        <v>#VALUE!</v>
      </c>
      <c r="J34" s="101" t="s">
        <v>558</v>
      </c>
      <c r="K34" s="101" t="s">
        <v>558</v>
      </c>
      <c r="L34" s="101" t="s">
        <v>5561</v>
      </c>
      <c r="M34" s="107" t="n">
        <v>43577</v>
      </c>
      <c r="N34" s="101" t="s">
        <v>511</v>
      </c>
      <c r="O34" s="101" t="n">
        <v>2</v>
      </c>
      <c r="P34" s="101" t="s">
        <v>5556</v>
      </c>
      <c r="Q34" s="101" t="s">
        <v>5556</v>
      </c>
      <c r="R34" s="101" t="s">
        <v>511</v>
      </c>
      <c r="S34" s="101" t="s">
        <v>5561</v>
      </c>
      <c r="T34" s="107" t="n">
        <v>43572</v>
      </c>
      <c r="U34" s="107" t="n">
        <v>43577</v>
      </c>
      <c r="V34" s="73" t="s">
        <v>5636</v>
      </c>
      <c r="X34" s="73" t="s">
        <v>5624</v>
      </c>
      <c r="Y34" s="73" t="s">
        <v>511</v>
      </c>
      <c r="Z34" s="73" t="s">
        <v>5590</v>
      </c>
      <c r="AA34" s="73" t="s">
        <v>5570</v>
      </c>
      <c r="AB34" s="107" t="n">
        <v>43570</v>
      </c>
      <c r="AD34" s="73" t="s">
        <v>1382</v>
      </c>
    </row>
    <row r="35" customFormat="false" ht="13.8" hidden="false" customHeight="false" outlineLevel="0" collapsed="false">
      <c r="A35" s="99" t="s">
        <v>5637</v>
      </c>
      <c r="B35" s="103" t="e">
        <f aca="false">INDEX(#REF!,MATCH(A35, #REF!,0),1)</f>
        <v>#VALUE!</v>
      </c>
      <c r="C35" s="103" t="e">
        <f aca="false">INDEX(#REF!,MATCH(A35, #REF!,0),1)</f>
        <v>#VALUE!</v>
      </c>
      <c r="D35" s="103" t="e">
        <f aca="false">INDEX(#REF!,MATCH(A35, #REF!,0),1)</f>
        <v>#VALUE!</v>
      </c>
      <c r="E35" s="104" t="e">
        <f aca="false">INDEX(participants!$B$1:$B$506,MATCH($C35, participants!$A$1:$A$515,0),1)</f>
        <v>#VALUE!</v>
      </c>
      <c r="F35" s="103" t="e">
        <f aca="false">INDEX(#REF!,MATCH(A35, #REF!,0),1)</f>
        <v>#VALUE!</v>
      </c>
      <c r="G35" s="105" t="e">
        <f aca="false">INDEX(samples!$C$1:$C$944,MATCH(F35, #REF!,0),1)</f>
        <v>#VALUE!</v>
      </c>
      <c r="H35" s="104" t="e">
        <f aca="false">INDEX(participants!$K$1:$K$506,MATCH($C35, participants!$A$1:$A$515,0),1)</f>
        <v>#VALUE!</v>
      </c>
      <c r="I35" s="104" t="e">
        <f aca="false">INDEX(#REF!,MATCH($A35, #REF!,0),1)</f>
        <v>#VALUE!</v>
      </c>
      <c r="J35" s="101" t="s">
        <v>558</v>
      </c>
      <c r="K35" s="101" t="s">
        <v>558</v>
      </c>
      <c r="L35" s="107" t="n">
        <v>43825</v>
      </c>
      <c r="M35" s="101" t="s">
        <v>5561</v>
      </c>
      <c r="N35" s="101" t="s">
        <v>511</v>
      </c>
      <c r="O35" s="101" t="n">
        <v>3</v>
      </c>
      <c r="P35" s="101" t="s">
        <v>5557</v>
      </c>
      <c r="Q35" s="101" t="s">
        <v>5557</v>
      </c>
      <c r="R35" s="101" t="s">
        <v>558</v>
      </c>
      <c r="S35" s="101" t="s">
        <v>487</v>
      </c>
      <c r="T35" s="101" t="s">
        <v>487</v>
      </c>
      <c r="U35" s="101" t="s">
        <v>487</v>
      </c>
      <c r="V35" s="73" t="s">
        <v>487</v>
      </c>
      <c r="X35" s="73" t="s">
        <v>487</v>
      </c>
      <c r="Y35" s="73" t="s">
        <v>558</v>
      </c>
      <c r="Z35" s="73" t="s">
        <v>487</v>
      </c>
      <c r="AA35" s="73" t="s">
        <v>558</v>
      </c>
      <c r="AB35" s="107" t="n">
        <v>43753</v>
      </c>
      <c r="AC35" s="73" t="s">
        <v>5582</v>
      </c>
      <c r="AD35" s="73" t="s">
        <v>1382</v>
      </c>
    </row>
    <row r="36" customFormat="false" ht="13.8" hidden="false" customHeight="false" outlineLevel="0" collapsed="false">
      <c r="A36" s="99" t="s">
        <v>5638</v>
      </c>
      <c r="B36" s="103" t="e">
        <f aca="false">INDEX(#REF!,MATCH(A36, #REF!,0),1)</f>
        <v>#VALUE!</v>
      </c>
      <c r="C36" s="103" t="e">
        <f aca="false">INDEX(#REF!,MATCH(A36, #REF!,0),1)</f>
        <v>#VALUE!</v>
      </c>
      <c r="D36" s="103" t="e">
        <f aca="false">INDEX(#REF!,MATCH(A36, #REF!,0),1)</f>
        <v>#VALUE!</v>
      </c>
      <c r="E36" s="104" t="e">
        <f aca="false">INDEX(participants!$B$1:$B$506,MATCH($C36, participants!$A$1:$A$515,0),1)</f>
        <v>#VALUE!</v>
      </c>
      <c r="F36" s="103" t="e">
        <f aca="false">INDEX(#REF!,MATCH(A36, #REF!,0),1)</f>
        <v>#VALUE!</v>
      </c>
      <c r="G36" s="105" t="e">
        <f aca="false">INDEX(samples!$C$1:$C$944,MATCH(F36, #REF!,0),1)</f>
        <v>#VALUE!</v>
      </c>
      <c r="H36" s="104" t="e">
        <f aca="false">INDEX(participants!$K$1:$K$506,MATCH($C36, participants!$A$1:$A$515,0),1)</f>
        <v>#VALUE!</v>
      </c>
      <c r="I36" s="104" t="e">
        <f aca="false">INDEX(#REF!,MATCH($A36, #REF!,0),1)</f>
        <v>#VALUE!</v>
      </c>
      <c r="J36" s="101" t="s">
        <v>558</v>
      </c>
      <c r="K36" s="101" t="s">
        <v>558</v>
      </c>
      <c r="L36" s="107" t="n">
        <v>43809</v>
      </c>
      <c r="M36" s="101" t="s">
        <v>5561</v>
      </c>
      <c r="N36" s="101" t="s">
        <v>511</v>
      </c>
      <c r="O36" s="101" t="n">
        <v>3</v>
      </c>
      <c r="P36" s="101" t="s">
        <v>5557</v>
      </c>
      <c r="Q36" s="101" t="s">
        <v>5557</v>
      </c>
      <c r="R36" s="101" t="s">
        <v>511</v>
      </c>
      <c r="S36" s="107" t="s">
        <v>5561</v>
      </c>
      <c r="T36" s="31" t="n">
        <v>43809</v>
      </c>
      <c r="U36" s="31" t="n">
        <v>43830</v>
      </c>
      <c r="V36" s="73" t="s">
        <v>5639</v>
      </c>
      <c r="X36" s="73" t="s">
        <v>487</v>
      </c>
      <c r="Y36" s="73" t="s">
        <v>558</v>
      </c>
      <c r="Z36" s="73" t="s">
        <v>487</v>
      </c>
      <c r="AA36" s="73" t="s">
        <v>558</v>
      </c>
      <c r="AB36" s="107" t="n">
        <v>43752</v>
      </c>
      <c r="AC36" s="107" t="s">
        <v>5602</v>
      </c>
      <c r="AD36" s="73" t="s">
        <v>1382</v>
      </c>
    </row>
    <row r="37" customFormat="false" ht="13.8" hidden="false" customHeight="false" outlineLevel="0" collapsed="false">
      <c r="A37" s="99" t="s">
        <v>5640</v>
      </c>
      <c r="B37" s="103" t="e">
        <f aca="false">INDEX(#REF!,MATCH(A37, #REF!,0),1)</f>
        <v>#VALUE!</v>
      </c>
      <c r="C37" s="103" t="e">
        <f aca="false">INDEX(#REF!,MATCH(A37, #REF!,0),1)</f>
        <v>#VALUE!</v>
      </c>
      <c r="D37" s="103" t="e">
        <f aca="false">INDEX(#REF!,MATCH(A37, #REF!,0),1)</f>
        <v>#VALUE!</v>
      </c>
      <c r="E37" s="104" t="e">
        <f aca="false">INDEX(participants!$B$1:$B$506,MATCH($C37, participants!$A$1:$A$515,0),1)</f>
        <v>#VALUE!</v>
      </c>
      <c r="F37" s="103" t="e">
        <f aca="false">INDEX(#REF!,MATCH(A37, #REF!,0),1)</f>
        <v>#VALUE!</v>
      </c>
      <c r="G37" s="105" t="e">
        <f aca="false">INDEX(samples!$C$1:$C$944,MATCH(F37, #REF!,0),1)</f>
        <v>#VALUE!</v>
      </c>
      <c r="H37" s="104" t="e">
        <f aca="false">INDEX(participants!$K$1:$K$506,MATCH($C37, participants!$A$1:$A$515,0),1)</f>
        <v>#VALUE!</v>
      </c>
      <c r="I37" s="104" t="e">
        <f aca="false">INDEX(#REF!,MATCH($A37, #REF!,0),1)</f>
        <v>#VALUE!</v>
      </c>
      <c r="J37" s="101" t="s">
        <v>511</v>
      </c>
      <c r="K37" s="101" t="s">
        <v>511</v>
      </c>
      <c r="L37" s="107" t="n">
        <v>43678</v>
      </c>
      <c r="M37" s="101" t="s">
        <v>5414</v>
      </c>
      <c r="N37" s="101" t="s">
        <v>511</v>
      </c>
      <c r="O37" s="101" t="n">
        <v>1</v>
      </c>
      <c r="P37" s="101" t="s">
        <v>5557</v>
      </c>
      <c r="Q37" s="101" t="s">
        <v>5557</v>
      </c>
      <c r="R37" s="101" t="s">
        <v>487</v>
      </c>
      <c r="S37" s="101" t="s">
        <v>487</v>
      </c>
      <c r="T37" s="101" t="s">
        <v>487</v>
      </c>
      <c r="U37" s="101" t="s">
        <v>487</v>
      </c>
      <c r="V37" s="73" t="s">
        <v>487</v>
      </c>
      <c r="W37" s="73" t="s">
        <v>487</v>
      </c>
      <c r="X37" s="73" t="s">
        <v>5601</v>
      </c>
      <c r="Y37" s="73" t="s">
        <v>558</v>
      </c>
      <c r="Z37" s="73" t="s">
        <v>487</v>
      </c>
      <c r="AA37" s="73" t="s">
        <v>558</v>
      </c>
      <c r="AB37" s="107" t="n">
        <v>43753</v>
      </c>
      <c r="AC37" s="73" t="s">
        <v>5582</v>
      </c>
      <c r="AD37" s="73" t="s">
        <v>1382</v>
      </c>
    </row>
    <row r="38" customFormat="false" ht="13.8" hidden="false" customHeight="false" outlineLevel="0" collapsed="false">
      <c r="A38" s="99" t="s">
        <v>5641</v>
      </c>
      <c r="B38" s="103" t="e">
        <f aca="false">INDEX(#REF!,MATCH(A38, #REF!,0),1)</f>
        <v>#VALUE!</v>
      </c>
      <c r="C38" s="103" t="e">
        <f aca="false">INDEX(#REF!,MATCH(A38, #REF!,0),1)</f>
        <v>#VALUE!</v>
      </c>
      <c r="D38" s="103" t="e">
        <f aca="false">INDEX(#REF!,MATCH(A38, #REF!,0),1)</f>
        <v>#VALUE!</v>
      </c>
      <c r="E38" s="104" t="e">
        <f aca="false">INDEX(participants!$B$1:$B$506,MATCH($C38, participants!$A$1:$A$515,0),1)</f>
        <v>#VALUE!</v>
      </c>
      <c r="F38" s="103" t="e">
        <f aca="false">INDEX(#REF!,MATCH(A38, #REF!,0),1)</f>
        <v>#VALUE!</v>
      </c>
      <c r="G38" s="105" t="e">
        <f aca="false">INDEX(samples!$C$1:$C$944,MATCH(F38, #REF!,0),1)</f>
        <v>#VALUE!</v>
      </c>
      <c r="H38" s="104" t="e">
        <f aca="false">INDEX(participants!$K$1:$K$506,MATCH($C38, participants!$A$1:$A$515,0),1)</f>
        <v>#VALUE!</v>
      </c>
      <c r="I38" s="104" t="e">
        <f aca="false">INDEX(#REF!,MATCH($A38, #REF!,0),1)</f>
        <v>#VALUE!</v>
      </c>
      <c r="J38" s="101" t="s">
        <v>558</v>
      </c>
      <c r="K38" s="101" t="s">
        <v>558</v>
      </c>
      <c r="L38" s="107" t="n">
        <v>43676</v>
      </c>
      <c r="M38" s="101" t="s">
        <v>5561</v>
      </c>
      <c r="N38" s="101" t="s">
        <v>511</v>
      </c>
      <c r="O38" s="101" t="n">
        <v>3</v>
      </c>
      <c r="P38" s="101" t="s">
        <v>5557</v>
      </c>
      <c r="Q38" s="101" t="s">
        <v>5557</v>
      </c>
      <c r="R38" s="101" t="s">
        <v>511</v>
      </c>
      <c r="S38" s="107" t="s">
        <v>5561</v>
      </c>
      <c r="T38" s="107" t="n">
        <v>43676</v>
      </c>
      <c r="U38" s="107" t="n">
        <v>43676</v>
      </c>
      <c r="V38" s="73" t="s">
        <v>5642</v>
      </c>
      <c r="X38" s="73" t="s">
        <v>5581</v>
      </c>
      <c r="Y38" s="73" t="s">
        <v>558</v>
      </c>
      <c r="Z38" s="73" t="s">
        <v>487</v>
      </c>
      <c r="AA38" s="73" t="s">
        <v>558</v>
      </c>
      <c r="AB38" s="107" t="n">
        <v>43621</v>
      </c>
      <c r="AD38" s="73" t="s">
        <v>1382</v>
      </c>
    </row>
    <row r="39" customFormat="false" ht="13.8" hidden="false" customHeight="false" outlineLevel="0" collapsed="false">
      <c r="A39" s="99" t="s">
        <v>5643</v>
      </c>
      <c r="B39" s="103" t="e">
        <f aca="false">INDEX(#REF!,MATCH(A39, #REF!,0),1)</f>
        <v>#VALUE!</v>
      </c>
      <c r="C39" s="103" t="e">
        <f aca="false">INDEX(#REF!,MATCH(A39, #REF!,0),1)</f>
        <v>#VALUE!</v>
      </c>
      <c r="D39" s="103" t="e">
        <f aca="false">INDEX(#REF!,MATCH(A39, #REF!,0),1)</f>
        <v>#VALUE!</v>
      </c>
      <c r="E39" s="104" t="e">
        <f aca="false">INDEX(participants!$B$1:$B$506,MATCH($C39, participants!$A$1:$A$515,0),1)</f>
        <v>#VALUE!</v>
      </c>
      <c r="F39" s="103" t="e">
        <f aca="false">INDEX(#REF!,MATCH(A39, #REF!,0),1)</f>
        <v>#VALUE!</v>
      </c>
      <c r="G39" s="105" t="e">
        <f aca="false">INDEX(samples!$C$1:$C$944,MATCH(F39, #REF!,0),1)</f>
        <v>#VALUE!</v>
      </c>
      <c r="H39" s="104" t="e">
        <f aca="false">INDEX(participants!$K$1:$K$506,MATCH($C39, participants!$A$1:$A$515,0),1)</f>
        <v>#VALUE!</v>
      </c>
      <c r="I39" s="104" t="e">
        <f aca="false">INDEX(#REF!,MATCH($A39, #REF!,0),1)</f>
        <v>#VALUE!</v>
      </c>
      <c r="J39" s="101" t="s">
        <v>558</v>
      </c>
      <c r="K39" s="101" t="s">
        <v>558</v>
      </c>
      <c r="L39" s="107" t="n">
        <v>43977</v>
      </c>
      <c r="M39" s="101" t="s">
        <v>5561</v>
      </c>
      <c r="N39" s="101" t="s">
        <v>511</v>
      </c>
      <c r="O39" s="101" t="n">
        <v>5</v>
      </c>
      <c r="P39" s="101" t="s">
        <v>5557</v>
      </c>
      <c r="Q39" s="101" t="s">
        <v>5557</v>
      </c>
      <c r="R39" s="101" t="s">
        <v>511</v>
      </c>
      <c r="S39" s="101" t="s">
        <v>5561</v>
      </c>
      <c r="T39" s="107" t="n">
        <v>43888</v>
      </c>
      <c r="U39" s="107" t="n">
        <v>43977</v>
      </c>
      <c r="V39" s="73" t="s">
        <v>5644</v>
      </c>
      <c r="X39" s="73" t="s">
        <v>5645</v>
      </c>
      <c r="Y39" s="73" t="s">
        <v>558</v>
      </c>
      <c r="Z39" s="73" t="s">
        <v>487</v>
      </c>
      <c r="AA39" s="73" t="s">
        <v>558</v>
      </c>
      <c r="AB39" s="107" t="n">
        <v>44032</v>
      </c>
      <c r="AC39" s="73" t="s">
        <v>5582</v>
      </c>
      <c r="AD39" s="73" t="s">
        <v>1382</v>
      </c>
    </row>
    <row r="40" customFormat="false" ht="13.8" hidden="false" customHeight="false" outlineLevel="0" collapsed="false">
      <c r="A40" s="99" t="s">
        <v>5646</v>
      </c>
      <c r="B40" s="103" t="e">
        <f aca="false">INDEX(#REF!,MATCH(A40, #REF!,0),1)</f>
        <v>#VALUE!</v>
      </c>
      <c r="C40" s="103" t="e">
        <f aca="false">INDEX(#REF!,MATCH(A40, #REF!,0),1)</f>
        <v>#VALUE!</v>
      </c>
      <c r="D40" s="103" t="e">
        <f aca="false">INDEX(#REF!,MATCH(A40, #REF!,0),1)</f>
        <v>#VALUE!</v>
      </c>
      <c r="E40" s="104" t="e">
        <f aca="false">INDEX(participants!$B$1:$B$506,MATCH($C40, participants!$A$1:$A$515,0),1)</f>
        <v>#VALUE!</v>
      </c>
      <c r="F40" s="103" t="e">
        <f aca="false">INDEX(#REF!,MATCH(A40, #REF!,0),1)</f>
        <v>#VALUE!</v>
      </c>
      <c r="G40" s="105" t="e">
        <f aca="false">INDEX(samples!$C$1:$C$944,MATCH(F40, #REF!,0),1)</f>
        <v>#VALUE!</v>
      </c>
      <c r="H40" s="104" t="e">
        <f aca="false">INDEX(participants!$K$1:$K$506,MATCH($C40, participants!$A$1:$A$515,0),1)</f>
        <v>#VALUE!</v>
      </c>
      <c r="I40" s="104" t="e">
        <f aca="false">INDEX(#REF!,MATCH($A40, #REF!,0),1)</f>
        <v>#VALUE!</v>
      </c>
      <c r="J40" s="101" t="s">
        <v>558</v>
      </c>
      <c r="K40" s="101" t="s">
        <v>558</v>
      </c>
      <c r="L40" s="107" t="n">
        <v>43928</v>
      </c>
      <c r="M40" s="101" t="s">
        <v>5555</v>
      </c>
      <c r="N40" s="101" t="s">
        <v>511</v>
      </c>
      <c r="O40" s="101" t="n">
        <v>3</v>
      </c>
      <c r="P40" s="101" t="s">
        <v>5557</v>
      </c>
      <c r="Q40" s="101" t="s">
        <v>5557</v>
      </c>
      <c r="R40" s="101" t="s">
        <v>511</v>
      </c>
      <c r="S40" s="101" t="s">
        <v>5555</v>
      </c>
      <c r="T40" s="107" t="n">
        <v>43886</v>
      </c>
      <c r="U40" s="107" t="n">
        <v>43949</v>
      </c>
      <c r="V40" s="73" t="s">
        <v>5647</v>
      </c>
      <c r="X40" s="73" t="s">
        <v>5576</v>
      </c>
      <c r="Y40" s="73" t="s">
        <v>558</v>
      </c>
      <c r="Z40" s="73" t="s">
        <v>487</v>
      </c>
      <c r="AA40" s="73" t="s">
        <v>558</v>
      </c>
      <c r="AB40" s="107" t="n">
        <v>43788</v>
      </c>
      <c r="AC40" s="73" t="s">
        <v>5577</v>
      </c>
      <c r="AD40" s="73" t="s">
        <v>1382</v>
      </c>
    </row>
    <row r="41" customFormat="false" ht="13.8" hidden="false" customHeight="false" outlineLevel="0" collapsed="false">
      <c r="A41" s="99" t="s">
        <v>5648</v>
      </c>
      <c r="B41" s="103" t="e">
        <f aca="false">INDEX(#REF!,MATCH(A41, #REF!,0),1)</f>
        <v>#VALUE!</v>
      </c>
      <c r="C41" s="103" t="e">
        <f aca="false">INDEX(#REF!,MATCH(A41, #REF!,0),1)</f>
        <v>#VALUE!</v>
      </c>
      <c r="D41" s="103" t="e">
        <f aca="false">INDEX(#REF!,MATCH(A41, #REF!,0),1)</f>
        <v>#VALUE!</v>
      </c>
      <c r="E41" s="104" t="e">
        <f aca="false">INDEX(participants!$B$1:$B$506,MATCH($C41, participants!$A$1:$A$515,0),1)</f>
        <v>#VALUE!</v>
      </c>
      <c r="F41" s="103" t="e">
        <f aca="false">INDEX(#REF!,MATCH(A41, #REF!,0),1)</f>
        <v>#VALUE!</v>
      </c>
      <c r="G41" s="105" t="e">
        <f aca="false">INDEX(samples!$C$1:$C$944,MATCH(F41, #REF!,0),1)</f>
        <v>#VALUE!</v>
      </c>
      <c r="H41" s="104" t="e">
        <f aca="false">INDEX(participants!$K$1:$K$506,MATCH($C41, participants!$A$1:$A$515,0),1)</f>
        <v>#VALUE!</v>
      </c>
      <c r="I41" s="104" t="e">
        <f aca="false">INDEX(#REF!,MATCH($A41, #REF!,0),1)</f>
        <v>#VALUE!</v>
      </c>
      <c r="J41" s="101" t="s">
        <v>558</v>
      </c>
      <c r="K41" s="101" t="s">
        <v>558</v>
      </c>
      <c r="L41" s="107" t="n">
        <v>43921</v>
      </c>
      <c r="M41" s="101" t="s">
        <v>5414</v>
      </c>
      <c r="N41" s="101" t="s">
        <v>511</v>
      </c>
      <c r="O41" s="101" t="n">
        <v>3</v>
      </c>
      <c r="P41" s="101" t="s">
        <v>5557</v>
      </c>
      <c r="Q41" s="101" t="s">
        <v>5557</v>
      </c>
      <c r="R41" s="101" t="s">
        <v>511</v>
      </c>
      <c r="S41" s="101" t="s">
        <v>5615</v>
      </c>
      <c r="T41" s="107" t="n">
        <v>43769</v>
      </c>
      <c r="U41" s="107" t="n">
        <v>43921</v>
      </c>
      <c r="V41" s="73" t="s">
        <v>5649</v>
      </c>
      <c r="X41" s="73" t="s">
        <v>487</v>
      </c>
      <c r="Y41" s="73" t="s">
        <v>558</v>
      </c>
      <c r="Z41" s="73" t="s">
        <v>487</v>
      </c>
      <c r="AA41" s="73" t="s">
        <v>558</v>
      </c>
      <c r="AB41" s="31" t="n">
        <v>43921</v>
      </c>
      <c r="AD41" s="73" t="s">
        <v>1382</v>
      </c>
    </row>
    <row r="42" customFormat="false" ht="13.8" hidden="false" customHeight="false" outlineLevel="0" collapsed="false">
      <c r="A42" s="99" t="s">
        <v>5650</v>
      </c>
      <c r="B42" s="103" t="e">
        <f aca="false">INDEX(#REF!,MATCH(A42, #REF!,0),1)</f>
        <v>#VALUE!</v>
      </c>
      <c r="C42" s="103" t="e">
        <f aca="false">INDEX(#REF!,MATCH(A42, #REF!,0),1)</f>
        <v>#VALUE!</v>
      </c>
      <c r="D42" s="103" t="e">
        <f aca="false">INDEX(#REF!,MATCH(A42, #REF!,0),1)</f>
        <v>#VALUE!</v>
      </c>
      <c r="E42" s="104" t="e">
        <f aca="false">INDEX(participants!$B$1:$B$506,MATCH($C42, participants!$A$1:$A$515,0),1)</f>
        <v>#VALUE!</v>
      </c>
      <c r="F42" s="103" t="e">
        <f aca="false">INDEX(#REF!,MATCH(A42, #REF!,0),1)</f>
        <v>#VALUE!</v>
      </c>
      <c r="G42" s="105" t="e">
        <f aca="false">INDEX(samples!$C$1:$C$944,MATCH(F42, #REF!,0),1)</f>
        <v>#VALUE!</v>
      </c>
      <c r="H42" s="104" t="e">
        <f aca="false">INDEX(participants!$K$1:$K$506,MATCH($C42, participants!$A$1:$A$515,0),1)</f>
        <v>#VALUE!</v>
      </c>
      <c r="I42" s="104" t="e">
        <f aca="false">INDEX(#REF!,MATCH($A42, #REF!,0),1)</f>
        <v>#VALUE!</v>
      </c>
      <c r="J42" s="101" t="s">
        <v>558</v>
      </c>
      <c r="K42" s="101" t="s">
        <v>511</v>
      </c>
      <c r="L42" s="107" t="n">
        <v>43921</v>
      </c>
      <c r="M42" s="101" t="s">
        <v>5414</v>
      </c>
      <c r="N42" s="101" t="s">
        <v>511</v>
      </c>
      <c r="O42" s="101" t="n">
        <v>4</v>
      </c>
      <c r="P42" s="101" t="s">
        <v>5557</v>
      </c>
      <c r="Q42" s="101" t="s">
        <v>5557</v>
      </c>
      <c r="R42" s="101" t="s">
        <v>558</v>
      </c>
      <c r="S42" s="101" t="s">
        <v>487</v>
      </c>
      <c r="T42" s="101" t="s">
        <v>487</v>
      </c>
      <c r="U42" s="101" t="s">
        <v>487</v>
      </c>
      <c r="V42" s="73" t="s">
        <v>5649</v>
      </c>
      <c r="X42" s="73" t="s">
        <v>487</v>
      </c>
      <c r="Y42" s="73" t="s">
        <v>558</v>
      </c>
      <c r="Z42" s="73" t="s">
        <v>487</v>
      </c>
      <c r="AA42" s="73" t="s">
        <v>558</v>
      </c>
      <c r="AB42" s="31" t="n">
        <v>43921</v>
      </c>
      <c r="AD42" s="73" t="s">
        <v>1382</v>
      </c>
    </row>
    <row r="43" customFormat="false" ht="13.8" hidden="false" customHeight="false" outlineLevel="0" collapsed="false">
      <c r="A43" s="99" t="s">
        <v>5651</v>
      </c>
      <c r="B43" s="103" t="e">
        <f aca="false">INDEX(#REF!,MATCH(A43, #REF!,0),1)</f>
        <v>#VALUE!</v>
      </c>
      <c r="C43" s="103" t="e">
        <f aca="false">INDEX(#REF!,MATCH(A43, #REF!,0),1)</f>
        <v>#VALUE!</v>
      </c>
      <c r="D43" s="103" t="e">
        <f aca="false">INDEX(#REF!,MATCH(A43, #REF!,0),1)</f>
        <v>#VALUE!</v>
      </c>
      <c r="E43" s="104" t="e">
        <f aca="false">INDEX(participants!$B$1:$B$506,MATCH($C43, participants!$A$1:$A$515,0),1)</f>
        <v>#VALUE!</v>
      </c>
      <c r="F43" s="103" t="e">
        <f aca="false">INDEX(#REF!,MATCH(A43, #REF!,0),1)</f>
        <v>#VALUE!</v>
      </c>
      <c r="G43" s="105" t="e">
        <f aca="false">INDEX(samples!$C$1:$C$944,MATCH(F43, #REF!,0),1)</f>
        <v>#VALUE!</v>
      </c>
      <c r="H43" s="104" t="e">
        <f aca="false">INDEX(participants!$K$1:$K$506,MATCH($C43, participants!$A$1:$A$515,0),1)</f>
        <v>#VALUE!</v>
      </c>
      <c r="I43" s="104" t="e">
        <f aca="false">INDEX(#REF!,MATCH($A43, #REF!,0),1)</f>
        <v>#VALUE!</v>
      </c>
      <c r="J43" s="101" t="s">
        <v>558</v>
      </c>
      <c r="K43" s="101" t="s">
        <v>511</v>
      </c>
      <c r="L43" s="107" t="n">
        <v>43942</v>
      </c>
      <c r="M43" s="101" t="s">
        <v>5555</v>
      </c>
      <c r="N43" s="101" t="s">
        <v>511</v>
      </c>
      <c r="O43" s="101" t="n">
        <v>5</v>
      </c>
      <c r="P43" s="101" t="s">
        <v>5557</v>
      </c>
      <c r="Q43" s="101" t="s">
        <v>5557</v>
      </c>
      <c r="R43" s="101" t="s">
        <v>511</v>
      </c>
      <c r="S43" s="101" t="s">
        <v>5555</v>
      </c>
      <c r="T43" s="107" t="n">
        <v>43942</v>
      </c>
      <c r="U43" s="107" t="n">
        <v>43942</v>
      </c>
      <c r="V43" s="73" t="s">
        <v>5652</v>
      </c>
      <c r="X43" s="73" t="s">
        <v>487</v>
      </c>
      <c r="Y43" s="73" t="s">
        <v>558</v>
      </c>
      <c r="Z43" s="73" t="s">
        <v>487</v>
      </c>
      <c r="AA43" s="73" t="s">
        <v>558</v>
      </c>
      <c r="AB43" s="31" t="n">
        <v>43921</v>
      </c>
      <c r="AD43" s="73" t="s">
        <v>1382</v>
      </c>
    </row>
    <row r="44" customFormat="false" ht="13.8" hidden="false" customHeight="false" outlineLevel="0" collapsed="false">
      <c r="A44" s="99" t="s">
        <v>5653</v>
      </c>
      <c r="B44" s="103" t="e">
        <f aca="false">INDEX(#REF!,MATCH(A44, #REF!,0),1)</f>
        <v>#VALUE!</v>
      </c>
      <c r="C44" s="103" t="e">
        <f aca="false">INDEX(#REF!,MATCH(A44, #REF!,0),1)</f>
        <v>#VALUE!</v>
      </c>
      <c r="D44" s="103" t="e">
        <f aca="false">INDEX(#REF!,MATCH(A44, #REF!,0),1)</f>
        <v>#VALUE!</v>
      </c>
      <c r="E44" s="104" t="e">
        <f aca="false">INDEX(participants!$B$1:$B$506,MATCH($C44, participants!$A$1:$A$515,0),1)</f>
        <v>#VALUE!</v>
      </c>
      <c r="F44" s="103" t="e">
        <f aca="false">INDEX(#REF!,MATCH(A44, #REF!,0),1)</f>
        <v>#VALUE!</v>
      </c>
      <c r="G44" s="105" t="e">
        <f aca="false">INDEX(samples!$C$1:$C$944,MATCH(F44, #REF!,0),1)</f>
        <v>#VALUE!</v>
      </c>
      <c r="H44" s="104" t="e">
        <f aca="false">INDEX(participants!$K$1:$K$506,MATCH($C44, participants!$A$1:$A$515,0),1)</f>
        <v>#VALUE!</v>
      </c>
      <c r="I44" s="104" t="e">
        <f aca="false">INDEX(#REF!,MATCH($A44, #REF!,0),1)</f>
        <v>#VALUE!</v>
      </c>
      <c r="J44" s="101"/>
      <c r="K44" s="101"/>
      <c r="L44" s="107"/>
      <c r="M44" s="101"/>
      <c r="N44" s="101"/>
      <c r="O44" s="101"/>
      <c r="P44" s="101"/>
      <c r="Q44" s="101"/>
      <c r="R44" s="101"/>
      <c r="S44" s="101"/>
      <c r="T44" s="107"/>
      <c r="U44" s="107"/>
      <c r="AB44" s="31"/>
    </row>
    <row r="45" customFormat="false" ht="13.8" hidden="false" customHeight="false" outlineLevel="0" collapsed="false">
      <c r="A45" s="102" t="s">
        <v>5654</v>
      </c>
      <c r="B45" s="103" t="e">
        <f aca="false">INDEX(#REF!,MATCH(A45, #REF!,0),1)</f>
        <v>#VALUE!</v>
      </c>
      <c r="C45" s="103" t="e">
        <f aca="false">INDEX(#REF!,MATCH(A45, #REF!,0),1)</f>
        <v>#VALUE!</v>
      </c>
      <c r="D45" s="103" t="e">
        <f aca="false">INDEX(#REF!,MATCH(A45, #REF!,0),1)</f>
        <v>#VALUE!</v>
      </c>
      <c r="E45" s="104" t="e">
        <f aca="false">INDEX(participants!$B$1:$B$506,MATCH($C45, participants!$A$1:$A$515,0),1)</f>
        <v>#VALUE!</v>
      </c>
      <c r="F45" s="103" t="e">
        <f aca="false">INDEX(#REF!,MATCH(A45, #REF!,0),1)</f>
        <v>#VALUE!</v>
      </c>
      <c r="G45" s="105" t="e">
        <f aca="false">INDEX(samples!$C$1:$C$944,MATCH(F45, #REF!,0),1)</f>
        <v>#VALUE!</v>
      </c>
      <c r="H45" s="104" t="e">
        <f aca="false">INDEX(participants!$K$1:$K$506,MATCH($C45, participants!$A$1:$A$515,0),1)</f>
        <v>#VALUE!</v>
      </c>
      <c r="I45" s="104" t="e">
        <f aca="false">INDEX(#REF!,MATCH($A45, #REF!,0),1)</f>
        <v>#VALUE!</v>
      </c>
      <c r="J45" s="10" t="s">
        <v>511</v>
      </c>
      <c r="K45" s="10" t="s">
        <v>511</v>
      </c>
      <c r="L45" s="101" t="s">
        <v>5655</v>
      </c>
      <c r="M45" s="101" t="s">
        <v>5655</v>
      </c>
      <c r="N45" s="101" t="s">
        <v>558</v>
      </c>
      <c r="O45" s="101" t="s">
        <v>487</v>
      </c>
      <c r="P45" s="101" t="s">
        <v>5557</v>
      </c>
      <c r="Q45" s="101" t="s">
        <v>5557</v>
      </c>
      <c r="R45" s="101" t="s">
        <v>1002</v>
      </c>
      <c r="S45" s="101" t="s">
        <v>487</v>
      </c>
      <c r="T45" s="101" t="s">
        <v>487</v>
      </c>
      <c r="U45" s="101" t="s">
        <v>487</v>
      </c>
      <c r="V45" s="101" t="s">
        <v>487</v>
      </c>
      <c r="W45" s="101" t="s">
        <v>487</v>
      </c>
      <c r="X45" s="101" t="s">
        <v>487</v>
      </c>
      <c r="Y45" s="101" t="s">
        <v>1002</v>
      </c>
      <c r="Z45" s="101" t="s">
        <v>487</v>
      </c>
      <c r="AA45" s="101"/>
    </row>
    <row r="46" customFormat="false" ht="13.8" hidden="false" customHeight="false" outlineLevel="0" collapsed="false">
      <c r="A46" s="102" t="s">
        <v>5656</v>
      </c>
      <c r="B46" s="103" t="e">
        <f aca="false">INDEX(#REF!,MATCH(A46, #REF!,0),1)</f>
        <v>#VALUE!</v>
      </c>
      <c r="C46" s="103" t="e">
        <f aca="false">INDEX(#REF!,MATCH(A46, #REF!,0),1)</f>
        <v>#VALUE!</v>
      </c>
      <c r="D46" s="103" t="e">
        <f aca="false">INDEX(#REF!,MATCH(A46, #REF!,0),1)</f>
        <v>#VALUE!</v>
      </c>
      <c r="E46" s="104" t="e">
        <f aca="false">INDEX(participants!$B$1:$B$506,MATCH($C46, participants!$A$1:$A$515,0),1)</f>
        <v>#VALUE!</v>
      </c>
      <c r="F46" s="103" t="e">
        <f aca="false">INDEX(#REF!,MATCH(A46, #REF!,0),1)</f>
        <v>#VALUE!</v>
      </c>
      <c r="G46" s="105" t="e">
        <f aca="false">INDEX(samples!$C$1:$C$944,MATCH(F46, #REF!,0),1)</f>
        <v>#VALUE!</v>
      </c>
      <c r="H46" s="104" t="e">
        <f aca="false">INDEX(participants!$K$1:$K$506,MATCH($C46, participants!$A$1:$A$515,0),1)</f>
        <v>#VALUE!</v>
      </c>
      <c r="I46" s="104" t="e">
        <f aca="false">INDEX(#REF!,MATCH($A46, #REF!,0),1)</f>
        <v>#VALUE!</v>
      </c>
      <c r="J46" s="10" t="s">
        <v>511</v>
      </c>
      <c r="K46" s="10" t="s">
        <v>511</v>
      </c>
      <c r="L46" s="101" t="s">
        <v>5655</v>
      </c>
      <c r="M46" s="101" t="s">
        <v>5655</v>
      </c>
      <c r="N46" s="101" t="s">
        <v>558</v>
      </c>
      <c r="O46" s="101" t="s">
        <v>487</v>
      </c>
      <c r="P46" s="101" t="s">
        <v>5556</v>
      </c>
      <c r="Q46" s="101" t="s">
        <v>5556</v>
      </c>
      <c r="R46" s="101" t="s">
        <v>1002</v>
      </c>
      <c r="S46" s="101" t="s">
        <v>487</v>
      </c>
      <c r="T46" s="101" t="s">
        <v>487</v>
      </c>
      <c r="U46" s="101" t="s">
        <v>487</v>
      </c>
      <c r="V46" s="101" t="s">
        <v>487</v>
      </c>
      <c r="W46" s="101" t="s">
        <v>487</v>
      </c>
      <c r="X46" s="101" t="s">
        <v>487</v>
      </c>
      <c r="Y46" s="101" t="s">
        <v>1002</v>
      </c>
      <c r="Z46" s="101" t="s">
        <v>487</v>
      </c>
      <c r="AA46" s="101"/>
    </row>
    <row r="47" customFormat="false" ht="13.8" hidden="false" customHeight="false" outlineLevel="0" collapsed="false">
      <c r="A47" s="102" t="s">
        <v>5657</v>
      </c>
      <c r="B47" s="103" t="e">
        <f aca="false">INDEX(#REF!,MATCH(A47, #REF!,0),1)</f>
        <v>#VALUE!</v>
      </c>
      <c r="C47" s="103" t="e">
        <f aca="false">INDEX(#REF!,MATCH(A47, #REF!,0),1)</f>
        <v>#VALUE!</v>
      </c>
      <c r="D47" s="103" t="e">
        <f aca="false">INDEX(#REF!,MATCH(A47, #REF!,0),1)</f>
        <v>#VALUE!</v>
      </c>
      <c r="E47" s="104" t="e">
        <f aca="false">INDEX(participants!$B$1:$B$506,MATCH($C47, participants!$A$1:$A$515,0),1)</f>
        <v>#VALUE!</v>
      </c>
      <c r="F47" s="103" t="e">
        <f aca="false">INDEX(#REF!,MATCH(A47, #REF!,0),1)</f>
        <v>#VALUE!</v>
      </c>
      <c r="G47" s="105" t="e">
        <f aca="false">INDEX(samples!$C$1:$C$944,MATCH(F47, #REF!,0),1)</f>
        <v>#VALUE!</v>
      </c>
      <c r="H47" s="104" t="e">
        <f aca="false">INDEX(participants!$K$1:$K$506,MATCH($C47, participants!$A$1:$A$515,0),1)</f>
        <v>#VALUE!</v>
      </c>
      <c r="I47" s="104" t="e">
        <f aca="false">INDEX(#REF!,MATCH($A47, #REF!,0),1)</f>
        <v>#VALUE!</v>
      </c>
      <c r="J47" s="10" t="s">
        <v>511</v>
      </c>
      <c r="K47" s="10" t="s">
        <v>511</v>
      </c>
      <c r="L47" s="101" t="s">
        <v>5655</v>
      </c>
      <c r="M47" s="101" t="s">
        <v>5655</v>
      </c>
      <c r="N47" s="101" t="s">
        <v>558</v>
      </c>
      <c r="O47" s="101" t="s">
        <v>487</v>
      </c>
      <c r="P47" s="101" t="s">
        <v>5557</v>
      </c>
      <c r="Q47" s="101" t="s">
        <v>5557</v>
      </c>
      <c r="R47" s="101" t="s">
        <v>1002</v>
      </c>
      <c r="S47" s="101" t="s">
        <v>487</v>
      </c>
      <c r="T47" s="101" t="s">
        <v>487</v>
      </c>
      <c r="U47" s="101" t="s">
        <v>487</v>
      </c>
      <c r="V47" s="101" t="s">
        <v>487</v>
      </c>
      <c r="W47" s="101" t="s">
        <v>487</v>
      </c>
      <c r="X47" s="101" t="s">
        <v>487</v>
      </c>
      <c r="Y47" s="101" t="s">
        <v>1002</v>
      </c>
      <c r="Z47" s="101" t="s">
        <v>487</v>
      </c>
      <c r="AA47" s="101"/>
    </row>
    <row r="48" customFormat="false" ht="13.8" hidden="false" customHeight="false" outlineLevel="0" collapsed="false">
      <c r="A48" s="102" t="s">
        <v>5658</v>
      </c>
      <c r="B48" s="103" t="e">
        <f aca="false">INDEX(#REF!,MATCH(A48, #REF!,0),1)</f>
        <v>#VALUE!</v>
      </c>
      <c r="C48" s="103" t="e">
        <f aca="false">INDEX(#REF!,MATCH(A48, #REF!,0),1)</f>
        <v>#VALUE!</v>
      </c>
      <c r="D48" s="103" t="e">
        <f aca="false">INDEX(#REF!,MATCH(A48, #REF!,0),1)</f>
        <v>#VALUE!</v>
      </c>
      <c r="E48" s="104" t="e">
        <f aca="false">INDEX(participants!$B$1:$B$506,MATCH($C48, participants!$A$1:$A$515,0),1)</f>
        <v>#VALUE!</v>
      </c>
      <c r="F48" s="103" t="e">
        <f aca="false">INDEX(#REF!,MATCH(A48, #REF!,0),1)</f>
        <v>#VALUE!</v>
      </c>
      <c r="G48" s="105" t="e">
        <f aca="false">INDEX(samples!$C$1:$C$944,MATCH(F48, #REF!,0),1)</f>
        <v>#VALUE!</v>
      </c>
      <c r="H48" s="104" t="e">
        <f aca="false">INDEX(participants!$K$1:$K$506,MATCH($C48, participants!$A$1:$A$515,0),1)</f>
        <v>#VALUE!</v>
      </c>
      <c r="I48" s="104" t="e">
        <f aca="false">INDEX(#REF!,MATCH($A48, #REF!,0),1)</f>
        <v>#VALUE!</v>
      </c>
      <c r="J48" s="10" t="s">
        <v>511</v>
      </c>
      <c r="K48" s="10" t="s">
        <v>511</v>
      </c>
      <c r="L48" s="101" t="s">
        <v>5655</v>
      </c>
      <c r="M48" s="101" t="s">
        <v>5655</v>
      </c>
      <c r="N48" s="101" t="s">
        <v>558</v>
      </c>
      <c r="O48" s="101" t="s">
        <v>487</v>
      </c>
      <c r="P48" s="101" t="s">
        <v>5557</v>
      </c>
      <c r="Q48" s="101" t="s">
        <v>5557</v>
      </c>
      <c r="R48" s="101" t="s">
        <v>1002</v>
      </c>
      <c r="S48" s="101" t="s">
        <v>487</v>
      </c>
      <c r="T48" s="101" t="s">
        <v>487</v>
      </c>
      <c r="U48" s="101" t="s">
        <v>487</v>
      </c>
      <c r="V48" s="101" t="s">
        <v>487</v>
      </c>
      <c r="W48" s="101" t="s">
        <v>487</v>
      </c>
      <c r="X48" s="101" t="s">
        <v>487</v>
      </c>
      <c r="Y48" s="101" t="s">
        <v>5558</v>
      </c>
      <c r="Z48" s="101" t="s">
        <v>487</v>
      </c>
      <c r="AA48" s="101" t="s">
        <v>486</v>
      </c>
    </row>
    <row r="49" customFormat="false" ht="13.8" hidden="false" customHeight="false" outlineLevel="0" collapsed="false">
      <c r="A49" s="102" t="s">
        <v>5659</v>
      </c>
      <c r="B49" s="103" t="e">
        <f aca="false">INDEX(#REF!,MATCH(A49, #REF!,0),1)</f>
        <v>#VALUE!</v>
      </c>
      <c r="C49" s="103" t="e">
        <f aca="false">INDEX(#REF!,MATCH(A49, #REF!,0),1)</f>
        <v>#VALUE!</v>
      </c>
      <c r="D49" s="103" t="e">
        <f aca="false">INDEX(#REF!,MATCH(A49, #REF!,0),1)</f>
        <v>#VALUE!</v>
      </c>
      <c r="E49" s="104" t="e">
        <f aca="false">INDEX(participants!$B$1:$B$506,MATCH($C49, participants!$A$1:$A$515,0),1)</f>
        <v>#VALUE!</v>
      </c>
      <c r="F49" s="103" t="e">
        <f aca="false">INDEX(#REF!,MATCH(A49, #REF!,0),1)</f>
        <v>#VALUE!</v>
      </c>
      <c r="G49" s="105" t="e">
        <f aca="false">INDEX(samples!$C$1:$C$944,MATCH(F49, #REF!,0),1)</f>
        <v>#VALUE!</v>
      </c>
      <c r="H49" s="104" t="e">
        <f aca="false">INDEX(participants!$K$1:$K$506,MATCH($C49, participants!$A$1:$A$515,0),1)</f>
        <v>#VALUE!</v>
      </c>
      <c r="I49" s="104" t="e">
        <f aca="false">INDEX(#REF!,MATCH($A49, #REF!,0),1)</f>
        <v>#VALUE!</v>
      </c>
      <c r="J49" s="10" t="s">
        <v>511</v>
      </c>
      <c r="K49" s="10" t="s">
        <v>511</v>
      </c>
      <c r="L49" s="101" t="s">
        <v>5655</v>
      </c>
      <c r="M49" s="101" t="s">
        <v>5655</v>
      </c>
      <c r="N49" s="101" t="s">
        <v>511</v>
      </c>
      <c r="O49" s="101" t="s">
        <v>427</v>
      </c>
      <c r="P49" s="101" t="s">
        <v>5557</v>
      </c>
      <c r="Q49" s="101" t="s">
        <v>5557</v>
      </c>
      <c r="R49" s="101" t="s">
        <v>1002</v>
      </c>
      <c r="S49" s="101" t="s">
        <v>487</v>
      </c>
      <c r="T49" s="101" t="s">
        <v>487</v>
      </c>
      <c r="U49" s="101" t="s">
        <v>487</v>
      </c>
      <c r="V49" s="101" t="s">
        <v>487</v>
      </c>
      <c r="W49" s="101" t="s">
        <v>487</v>
      </c>
      <c r="X49" s="101" t="s">
        <v>487</v>
      </c>
      <c r="Y49" s="101" t="s">
        <v>1002</v>
      </c>
      <c r="Z49" s="101" t="s">
        <v>487</v>
      </c>
      <c r="AA49" s="101" t="s">
        <v>486</v>
      </c>
    </row>
    <row r="50" customFormat="false" ht="13.8" hidden="false" customHeight="false" outlineLevel="0" collapsed="false">
      <c r="A50" s="102" t="s">
        <v>5660</v>
      </c>
      <c r="B50" s="103" t="e">
        <f aca="false">INDEX(#REF!,MATCH(A50, #REF!,0),1)</f>
        <v>#VALUE!</v>
      </c>
      <c r="C50" s="103" t="e">
        <f aca="false">INDEX(#REF!,MATCH(A50, #REF!,0),1)</f>
        <v>#VALUE!</v>
      </c>
      <c r="D50" s="103" t="e">
        <f aca="false">INDEX(#REF!,MATCH(A50, #REF!,0),1)</f>
        <v>#VALUE!</v>
      </c>
      <c r="E50" s="104" t="e">
        <f aca="false">INDEX(participants!$B$1:$B$506,MATCH($C50, participants!$A$1:$A$515,0),1)</f>
        <v>#VALUE!</v>
      </c>
      <c r="F50" s="103" t="e">
        <f aca="false">INDEX(#REF!,MATCH(A50, #REF!,0),1)</f>
        <v>#VALUE!</v>
      </c>
      <c r="G50" s="105" t="e">
        <f aca="false">INDEX(samples!$C$1:$C$944,MATCH(F50, #REF!,0),1)</f>
        <v>#VALUE!</v>
      </c>
      <c r="H50" s="104" t="e">
        <f aca="false">INDEX(participants!$K$1:$K$506,MATCH($C50, participants!$A$1:$A$515,0),1)</f>
        <v>#VALUE!</v>
      </c>
      <c r="I50" s="104" t="e">
        <f aca="false">INDEX(#REF!,MATCH($A50, #REF!,0),1)</f>
        <v>#VALUE!</v>
      </c>
      <c r="J50" s="10" t="s">
        <v>511</v>
      </c>
      <c r="K50" s="10" t="s">
        <v>511</v>
      </c>
      <c r="L50" s="101" t="s">
        <v>5655</v>
      </c>
      <c r="M50" s="101" t="s">
        <v>5655</v>
      </c>
      <c r="N50" s="101" t="s">
        <v>558</v>
      </c>
      <c r="O50" s="101" t="s">
        <v>487</v>
      </c>
      <c r="P50" s="101" t="s">
        <v>5557</v>
      </c>
      <c r="Q50" s="101" t="s">
        <v>5557</v>
      </c>
      <c r="R50" s="101" t="s">
        <v>1002</v>
      </c>
      <c r="S50" s="101" t="s">
        <v>487</v>
      </c>
      <c r="T50" s="101" t="s">
        <v>487</v>
      </c>
      <c r="U50" s="101" t="s">
        <v>487</v>
      </c>
      <c r="V50" s="101" t="s">
        <v>487</v>
      </c>
      <c r="W50" s="101" t="s">
        <v>487</v>
      </c>
      <c r="X50" s="101" t="s">
        <v>487</v>
      </c>
      <c r="Y50" s="101" t="s">
        <v>1002</v>
      </c>
      <c r="Z50" s="101" t="s">
        <v>487</v>
      </c>
      <c r="AA50" s="101"/>
    </row>
    <row r="51" customFormat="false" ht="13.8" hidden="false" customHeight="false" outlineLevel="0" collapsed="false">
      <c r="A51" s="102" t="s">
        <v>5661</v>
      </c>
      <c r="B51" s="103" t="e">
        <f aca="false">INDEX(#REF!,MATCH(A51, #REF!,0),1)</f>
        <v>#VALUE!</v>
      </c>
      <c r="C51" s="103" t="e">
        <f aca="false">INDEX(#REF!,MATCH(A51, #REF!,0),1)</f>
        <v>#VALUE!</v>
      </c>
      <c r="D51" s="103" t="e">
        <f aca="false">INDEX(#REF!,MATCH(A51, #REF!,0),1)</f>
        <v>#VALUE!</v>
      </c>
      <c r="E51" s="104" t="e">
        <f aca="false">INDEX(participants!$B$1:$B$506,MATCH($C51, participants!$A$1:$A$515,0),1)</f>
        <v>#VALUE!</v>
      </c>
      <c r="F51" s="103" t="e">
        <f aca="false">INDEX(#REF!,MATCH(A51, #REF!,0),1)</f>
        <v>#VALUE!</v>
      </c>
      <c r="G51" s="105" t="e">
        <f aca="false">INDEX(samples!$C$1:$C$944,MATCH(F51, #REF!,0),1)</f>
        <v>#VALUE!</v>
      </c>
      <c r="H51" s="104" t="e">
        <f aca="false">INDEX(participants!$K$1:$K$506,MATCH($C51, participants!$A$1:$A$515,0),1)</f>
        <v>#VALUE!</v>
      </c>
      <c r="I51" s="104" t="e">
        <f aca="false">INDEX(#REF!,MATCH($A51, #REF!,0),1)</f>
        <v>#VALUE!</v>
      </c>
      <c r="J51" s="10" t="s">
        <v>511</v>
      </c>
      <c r="K51" s="10" t="s">
        <v>511</v>
      </c>
      <c r="L51" s="101" t="s">
        <v>487</v>
      </c>
      <c r="M51" s="101" t="s">
        <v>487</v>
      </c>
      <c r="N51" s="101" t="s">
        <v>511</v>
      </c>
      <c r="O51" s="101" t="n">
        <v>6</v>
      </c>
      <c r="P51" s="101" t="s">
        <v>5556</v>
      </c>
      <c r="Q51" s="101" t="s">
        <v>5556</v>
      </c>
      <c r="R51" s="101" t="s">
        <v>1002</v>
      </c>
      <c r="S51" s="101" t="s">
        <v>487</v>
      </c>
      <c r="T51" s="101" t="s">
        <v>487</v>
      </c>
      <c r="U51" s="101" t="s">
        <v>487</v>
      </c>
      <c r="V51" s="73" t="s">
        <v>487</v>
      </c>
      <c r="W51" s="73" t="s">
        <v>487</v>
      </c>
      <c r="X51" s="73" t="s">
        <v>487</v>
      </c>
      <c r="Y51" s="73" t="s">
        <v>5662</v>
      </c>
      <c r="Z51" s="73" t="s">
        <v>558</v>
      </c>
      <c r="AA51" s="73" t="s">
        <v>5515</v>
      </c>
      <c r="AB51" s="107" t="n">
        <v>44642</v>
      </c>
    </row>
    <row r="52" customFormat="false" ht="13.8" hidden="false" customHeight="false" outlineLevel="0" collapsed="false">
      <c r="A52" s="102" t="s">
        <v>5663</v>
      </c>
      <c r="B52" s="103" t="e">
        <f aca="false">INDEX(#REF!,MATCH(A52, #REF!,0),1)</f>
        <v>#VALUE!</v>
      </c>
      <c r="C52" s="103" t="e">
        <f aca="false">INDEX(#REF!,MATCH(A52, #REF!,0),1)</f>
        <v>#VALUE!</v>
      </c>
      <c r="D52" s="103" t="e">
        <f aca="false">INDEX(#REF!,MATCH(A52, #REF!,0),1)</f>
        <v>#VALUE!</v>
      </c>
      <c r="E52" s="104" t="e">
        <f aca="false">INDEX(participants!$B$1:$B$506,MATCH($C52, participants!$A$1:$A$515,0),1)</f>
        <v>#VALUE!</v>
      </c>
      <c r="F52" s="103" t="e">
        <f aca="false">INDEX(#REF!,MATCH(A52, #REF!,0),1)</f>
        <v>#VALUE!</v>
      </c>
      <c r="G52" s="105" t="e">
        <f aca="false">INDEX(samples!$C$1:$C$944,MATCH(F52, #REF!,0),1)</f>
        <v>#VALUE!</v>
      </c>
      <c r="H52" s="104" t="e">
        <f aca="false">INDEX(participants!$K$1:$K$506,MATCH($C52, participants!$A$1:$A$515,0),1)</f>
        <v>#VALUE!</v>
      </c>
      <c r="I52" s="104" t="e">
        <f aca="false">INDEX(#REF!,MATCH($A52, #REF!,0),1)</f>
        <v>#VALUE!</v>
      </c>
      <c r="J52" s="10" t="s">
        <v>511</v>
      </c>
      <c r="K52" s="10" t="s">
        <v>511</v>
      </c>
      <c r="L52" s="101" t="s">
        <v>5655</v>
      </c>
      <c r="M52" s="101" t="s">
        <v>5655</v>
      </c>
      <c r="N52" s="101" t="s">
        <v>558</v>
      </c>
      <c r="O52" s="101" t="s">
        <v>487</v>
      </c>
      <c r="P52" s="101" t="s">
        <v>5556</v>
      </c>
      <c r="Q52" s="101" t="s">
        <v>5556</v>
      </c>
      <c r="R52" s="101" t="s">
        <v>1002</v>
      </c>
      <c r="S52" s="101" t="s">
        <v>487</v>
      </c>
      <c r="T52" s="101" t="s">
        <v>487</v>
      </c>
      <c r="U52" s="101" t="s">
        <v>487</v>
      </c>
      <c r="V52" s="101" t="s">
        <v>487</v>
      </c>
      <c r="W52" s="101" t="s">
        <v>487</v>
      </c>
      <c r="X52" s="101" t="s">
        <v>487</v>
      </c>
      <c r="Y52" s="101" t="s">
        <v>1002</v>
      </c>
      <c r="Z52" s="101" t="s">
        <v>487</v>
      </c>
      <c r="AA52" s="101"/>
    </row>
    <row r="53" customFormat="false" ht="13.8" hidden="false" customHeight="false" outlineLevel="0" collapsed="false">
      <c r="A53" s="102" t="s">
        <v>5664</v>
      </c>
      <c r="B53" s="103" t="e">
        <f aca="false">INDEX(#REF!,MATCH(A53, #REF!,0),1)</f>
        <v>#VALUE!</v>
      </c>
      <c r="C53" s="103" t="e">
        <f aca="false">INDEX(#REF!,MATCH(A53, #REF!,0),1)</f>
        <v>#VALUE!</v>
      </c>
      <c r="D53" s="103" t="e">
        <f aca="false">INDEX(#REF!,MATCH(A53, #REF!,0),1)</f>
        <v>#VALUE!</v>
      </c>
      <c r="E53" s="104" t="e">
        <f aca="false">INDEX(participants!$B$1:$B$506,MATCH($C53, participants!$A$1:$A$515,0),1)</f>
        <v>#VALUE!</v>
      </c>
      <c r="F53" s="103" t="e">
        <f aca="false">INDEX(#REF!,MATCH(A53, #REF!,0),1)</f>
        <v>#VALUE!</v>
      </c>
      <c r="G53" s="105" t="e">
        <f aca="false">INDEX(samples!$C$1:$C$944,MATCH(F53, #REF!,0),1)</f>
        <v>#VALUE!</v>
      </c>
      <c r="H53" s="104" t="e">
        <f aca="false">INDEX(participants!$K$1:$K$506,MATCH($C53, participants!$A$1:$A$515,0),1)</f>
        <v>#VALUE!</v>
      </c>
      <c r="I53" s="104" t="e">
        <f aca="false">INDEX(#REF!,MATCH($A53, #REF!,0),1)</f>
        <v>#VALUE!</v>
      </c>
      <c r="J53" s="10" t="s">
        <v>511</v>
      </c>
      <c r="K53" s="10" t="s">
        <v>511</v>
      </c>
      <c r="L53" s="101" t="s">
        <v>5655</v>
      </c>
      <c r="M53" s="101" t="s">
        <v>5655</v>
      </c>
      <c r="N53" s="101" t="s">
        <v>558</v>
      </c>
      <c r="O53" s="101" t="s">
        <v>487</v>
      </c>
      <c r="P53" s="101" t="s">
        <v>5556</v>
      </c>
      <c r="Q53" s="101" t="s">
        <v>5556</v>
      </c>
      <c r="R53" s="101" t="s">
        <v>1002</v>
      </c>
      <c r="S53" s="101" t="s">
        <v>487</v>
      </c>
      <c r="T53" s="101" t="s">
        <v>487</v>
      </c>
      <c r="U53" s="101" t="s">
        <v>487</v>
      </c>
      <c r="V53" s="101" t="s">
        <v>487</v>
      </c>
      <c r="W53" s="101" t="s">
        <v>487</v>
      </c>
      <c r="X53" s="101" t="s">
        <v>487</v>
      </c>
      <c r="Y53" s="101" t="s">
        <v>1002</v>
      </c>
      <c r="Z53" s="101" t="s">
        <v>487</v>
      </c>
      <c r="AA53" s="101"/>
    </row>
    <row r="54" customFormat="false" ht="13.8" hidden="false" customHeight="false" outlineLevel="0" collapsed="false">
      <c r="A54" s="102" t="s">
        <v>5665</v>
      </c>
      <c r="B54" s="103" t="e">
        <f aca="false">INDEX(#REF!,MATCH(A54, #REF!,0),1)</f>
        <v>#VALUE!</v>
      </c>
      <c r="C54" s="103" t="e">
        <f aca="false">INDEX(#REF!,MATCH(A54, #REF!,0),1)</f>
        <v>#VALUE!</v>
      </c>
      <c r="D54" s="103" t="e">
        <f aca="false">INDEX(#REF!,MATCH(A54, #REF!,0),1)</f>
        <v>#VALUE!</v>
      </c>
      <c r="E54" s="104" t="e">
        <f aca="false">INDEX(participants!$B$1:$B$506,MATCH($C54, participants!$A$1:$A$515,0),1)</f>
        <v>#VALUE!</v>
      </c>
      <c r="F54" s="103" t="e">
        <f aca="false">INDEX(#REF!,MATCH(A54, #REF!,0),1)</f>
        <v>#VALUE!</v>
      </c>
      <c r="G54" s="105" t="e">
        <f aca="false">INDEX(samples!$C$1:$C$944,MATCH(F54, #REF!,0),1)</f>
        <v>#VALUE!</v>
      </c>
      <c r="H54" s="104" t="e">
        <f aca="false">INDEX(participants!$K$1:$K$506,MATCH($C54, participants!$A$1:$A$515,0),1)</f>
        <v>#VALUE!</v>
      </c>
      <c r="I54" s="104" t="e">
        <f aca="false">INDEX(#REF!,MATCH($A54, #REF!,0),1)</f>
        <v>#VALUE!</v>
      </c>
      <c r="J54" s="10" t="s">
        <v>511</v>
      </c>
      <c r="K54" s="10" t="s">
        <v>511</v>
      </c>
      <c r="L54" s="101" t="s">
        <v>5655</v>
      </c>
      <c r="M54" s="101" t="s">
        <v>5655</v>
      </c>
      <c r="N54" s="101" t="s">
        <v>511</v>
      </c>
      <c r="O54" s="101" t="s">
        <v>427</v>
      </c>
      <c r="P54" s="101" t="s">
        <v>5557</v>
      </c>
      <c r="Q54" s="101" t="s">
        <v>5557</v>
      </c>
      <c r="R54" s="101" t="s">
        <v>1002</v>
      </c>
      <c r="S54" s="101" t="s">
        <v>487</v>
      </c>
      <c r="T54" s="101" t="s">
        <v>487</v>
      </c>
      <c r="U54" s="101" t="s">
        <v>487</v>
      </c>
      <c r="V54" s="101" t="s">
        <v>487</v>
      </c>
      <c r="W54" s="101" t="s">
        <v>487</v>
      </c>
      <c r="X54" s="101" t="s">
        <v>487</v>
      </c>
      <c r="Y54" s="101" t="s">
        <v>1002</v>
      </c>
      <c r="Z54" s="101" t="s">
        <v>487</v>
      </c>
      <c r="AA54" s="101" t="s">
        <v>486</v>
      </c>
    </row>
    <row r="55" customFormat="false" ht="13.8" hidden="false" customHeight="false" outlineLevel="0" collapsed="false">
      <c r="A55" s="102" t="s">
        <v>5666</v>
      </c>
      <c r="B55" s="103" t="e">
        <f aca="false">INDEX(#REF!,MATCH(A55, #REF!,0),1)</f>
        <v>#VALUE!</v>
      </c>
      <c r="C55" s="103" t="e">
        <f aca="false">INDEX(#REF!,MATCH(A55, #REF!,0),1)</f>
        <v>#VALUE!</v>
      </c>
      <c r="D55" s="103" t="e">
        <f aca="false">INDEX(#REF!,MATCH(A55, #REF!,0),1)</f>
        <v>#VALUE!</v>
      </c>
      <c r="E55" s="104" t="e">
        <f aca="false">INDEX(participants!$B$1:$B$506,MATCH($C55, participants!$A$1:$A$515,0),1)</f>
        <v>#VALUE!</v>
      </c>
      <c r="F55" s="103" t="e">
        <f aca="false">INDEX(#REF!,MATCH(A55, #REF!,0),1)</f>
        <v>#VALUE!</v>
      </c>
      <c r="G55" s="105" t="e">
        <f aca="false">INDEX(samples!$C$1:$C$944,MATCH(F55, #REF!,0),1)</f>
        <v>#VALUE!</v>
      </c>
      <c r="H55" s="104" t="e">
        <f aca="false">INDEX(participants!$K$1:$K$506,MATCH($C55, participants!$A$1:$A$515,0),1)</f>
        <v>#VALUE!</v>
      </c>
      <c r="I55" s="104" t="e">
        <f aca="false">INDEX(#REF!,MATCH($A55, #REF!,0),1)</f>
        <v>#VALUE!</v>
      </c>
      <c r="J55" s="108" t="s">
        <v>511</v>
      </c>
      <c r="K55" s="109" t="s">
        <v>511</v>
      </c>
      <c r="L55" s="107" t="n">
        <v>44002</v>
      </c>
      <c r="M55" s="101" t="s">
        <v>5560</v>
      </c>
      <c r="N55" s="101" t="s">
        <v>511</v>
      </c>
      <c r="O55" s="101" t="n">
        <v>1</v>
      </c>
      <c r="P55" s="101" t="s">
        <v>5556</v>
      </c>
      <c r="Q55" s="101" t="s">
        <v>5556</v>
      </c>
      <c r="R55" s="101" t="s">
        <v>5667</v>
      </c>
      <c r="S55" s="101" t="s">
        <v>487</v>
      </c>
      <c r="T55" s="101"/>
      <c r="U55" s="101"/>
      <c r="V55" s="73" t="s">
        <v>5668</v>
      </c>
      <c r="W55" s="73" t="s">
        <v>487</v>
      </c>
      <c r="Y55" s="73" t="s">
        <v>5669</v>
      </c>
      <c r="Z55" s="73" t="s">
        <v>487</v>
      </c>
      <c r="AA55" s="73" t="s">
        <v>486</v>
      </c>
      <c r="AB55" s="107" t="n">
        <v>44089</v>
      </c>
    </row>
    <row r="56" customFormat="false" ht="13.8" hidden="false" customHeight="false" outlineLevel="0" collapsed="false">
      <c r="A56" s="102" t="s">
        <v>5670</v>
      </c>
      <c r="B56" s="103" t="e">
        <f aca="false">INDEX(#REF!,MATCH(A56, #REF!,0),1)</f>
        <v>#VALUE!</v>
      </c>
      <c r="C56" s="103" t="e">
        <f aca="false">INDEX(#REF!,MATCH(A56, #REF!,0),1)</f>
        <v>#VALUE!</v>
      </c>
      <c r="D56" s="103" t="e">
        <f aca="false">INDEX(#REF!,MATCH(A56, #REF!,0),1)</f>
        <v>#VALUE!</v>
      </c>
      <c r="E56" s="104" t="e">
        <f aca="false">INDEX(participants!$B$1:$B$506,MATCH($C56, participants!$A$1:$A$515,0),1)</f>
        <v>#VALUE!</v>
      </c>
      <c r="F56" s="103" t="e">
        <f aca="false">INDEX(#REF!,MATCH(A56, #REF!,0),1)</f>
        <v>#VALUE!</v>
      </c>
      <c r="G56" s="105" t="e">
        <f aca="false">INDEX(samples!$C$1:$C$944,MATCH(F56, #REF!,0),1)</f>
        <v>#VALUE!</v>
      </c>
      <c r="H56" s="104" t="e">
        <f aca="false">INDEX(participants!$K$1:$K$506,MATCH($C56, participants!$A$1:$A$515,0),1)</f>
        <v>#VALUE!</v>
      </c>
      <c r="I56" s="104" t="e">
        <f aca="false">INDEX(#REF!,MATCH($A56, #REF!,0),1)</f>
        <v>#VALUE!</v>
      </c>
      <c r="J56" s="10" t="s">
        <v>558</v>
      </c>
      <c r="K56" s="10" t="s">
        <v>511</v>
      </c>
      <c r="L56" s="107" t="n">
        <v>44021</v>
      </c>
      <c r="M56" s="101" t="s">
        <v>5414</v>
      </c>
      <c r="N56" s="101" t="s">
        <v>511</v>
      </c>
      <c r="O56" s="101" t="n">
        <v>4</v>
      </c>
      <c r="P56" s="101" t="s">
        <v>5556</v>
      </c>
      <c r="Q56" s="101" t="s">
        <v>5557</v>
      </c>
      <c r="R56" s="101" t="s">
        <v>1002</v>
      </c>
      <c r="S56" s="101" t="s">
        <v>487</v>
      </c>
      <c r="T56" s="101" t="s">
        <v>487</v>
      </c>
      <c r="U56" s="101" t="s">
        <v>487</v>
      </c>
      <c r="V56" s="73" t="s">
        <v>5671</v>
      </c>
      <c r="W56" s="73" t="s">
        <v>5672</v>
      </c>
      <c r="X56" s="73" t="s">
        <v>5673</v>
      </c>
    </row>
    <row r="57" customFormat="false" ht="13.8" hidden="false" customHeight="false" outlineLevel="0" collapsed="false">
      <c r="A57" s="102" t="s">
        <v>5674</v>
      </c>
      <c r="B57" s="103" t="e">
        <f aca="false">INDEX(#REF!,MATCH(A57, #REF!,0),1)</f>
        <v>#VALUE!</v>
      </c>
      <c r="C57" s="103" t="e">
        <f aca="false">INDEX(#REF!,MATCH(A57, #REF!,0),1)</f>
        <v>#VALUE!</v>
      </c>
      <c r="D57" s="103" t="e">
        <f aca="false">INDEX(#REF!,MATCH(A57, #REF!,0),1)</f>
        <v>#VALUE!</v>
      </c>
      <c r="E57" s="104" t="e">
        <f aca="false">INDEX(participants!$B$1:$B$506,MATCH($C57, participants!$A$1:$A$515,0),1)</f>
        <v>#VALUE!</v>
      </c>
      <c r="F57" s="103" t="e">
        <f aca="false">INDEX(#REF!,MATCH(A57, #REF!,0),1)</f>
        <v>#VALUE!</v>
      </c>
      <c r="G57" s="105" t="e">
        <f aca="false">INDEX(samples!$C$1:$C$944,MATCH(F57, #REF!,0),1)</f>
        <v>#VALUE!</v>
      </c>
      <c r="H57" s="104" t="e">
        <f aca="false">INDEX(participants!$K$1:$K$506,MATCH($C57, participants!$A$1:$A$515,0),1)</f>
        <v>#VALUE!</v>
      </c>
      <c r="I57" s="104" t="e">
        <f aca="false">INDEX(#REF!,MATCH($A57, #REF!,0),1)</f>
        <v>#VALUE!</v>
      </c>
      <c r="J57" s="10" t="s">
        <v>511</v>
      </c>
      <c r="K57" s="10" t="s">
        <v>511</v>
      </c>
      <c r="L57" s="101" t="s">
        <v>5655</v>
      </c>
      <c r="M57" s="101" t="s">
        <v>5655</v>
      </c>
      <c r="N57" s="101" t="s">
        <v>558</v>
      </c>
      <c r="O57" s="101" t="s">
        <v>487</v>
      </c>
      <c r="P57" s="101" t="s">
        <v>5557</v>
      </c>
      <c r="Q57" s="101" t="s">
        <v>5557</v>
      </c>
      <c r="R57" s="101" t="s">
        <v>1002</v>
      </c>
      <c r="S57" s="101" t="s">
        <v>487</v>
      </c>
      <c r="T57" s="101" t="s">
        <v>487</v>
      </c>
      <c r="U57" s="101" t="s">
        <v>487</v>
      </c>
      <c r="V57" s="101" t="s">
        <v>487</v>
      </c>
      <c r="W57" s="101" t="s">
        <v>487</v>
      </c>
      <c r="X57" s="101" t="s">
        <v>487</v>
      </c>
      <c r="Y57" s="101" t="s">
        <v>1002</v>
      </c>
      <c r="Z57" s="101" t="s">
        <v>487</v>
      </c>
      <c r="AA57" s="101"/>
    </row>
    <row r="58" customFormat="false" ht="13.8" hidden="false" customHeight="false" outlineLevel="0" collapsed="false">
      <c r="A58" s="102" t="s">
        <v>5675</v>
      </c>
      <c r="B58" s="103" t="e">
        <f aca="false">INDEX(#REF!,MATCH(A58, #REF!,0),1)</f>
        <v>#VALUE!</v>
      </c>
      <c r="C58" s="103" t="e">
        <f aca="false">INDEX(#REF!,MATCH(A58, #REF!,0),1)</f>
        <v>#VALUE!</v>
      </c>
      <c r="D58" s="103" t="e">
        <f aca="false">INDEX(#REF!,MATCH(A58, #REF!,0),1)</f>
        <v>#VALUE!</v>
      </c>
      <c r="E58" s="104" t="e">
        <f aca="false">INDEX(participants!$B$1:$B$506,MATCH($C58, participants!$A$1:$A$515,0),1)</f>
        <v>#VALUE!</v>
      </c>
      <c r="F58" s="103" t="e">
        <f aca="false">INDEX(#REF!,MATCH(A58, #REF!,0),1)</f>
        <v>#VALUE!</v>
      </c>
      <c r="G58" s="105" t="e">
        <f aca="false">INDEX(samples!$C$1:$C$944,MATCH(F58, #REF!,0),1)</f>
        <v>#VALUE!</v>
      </c>
      <c r="H58" s="104" t="e">
        <f aca="false">INDEX(participants!$K$1:$K$506,MATCH($C58, participants!$A$1:$A$515,0),1)</f>
        <v>#VALUE!</v>
      </c>
      <c r="I58" s="104" t="e">
        <f aca="false">INDEX(#REF!,MATCH($A58, #REF!,0),1)</f>
        <v>#VALUE!</v>
      </c>
      <c r="J58" s="10" t="s">
        <v>511</v>
      </c>
      <c r="K58" s="10" t="s">
        <v>511</v>
      </c>
      <c r="L58" s="101"/>
      <c r="M58" s="101"/>
      <c r="N58" s="101"/>
      <c r="O58" s="101"/>
      <c r="P58" s="101"/>
      <c r="Q58" s="101"/>
      <c r="R58" s="101"/>
      <c r="S58" s="101"/>
      <c r="T58" s="101"/>
      <c r="U58" s="101"/>
    </row>
    <row r="59" customFormat="false" ht="13.8" hidden="false" customHeight="false" outlineLevel="0" collapsed="false">
      <c r="A59" s="102" t="s">
        <v>5676</v>
      </c>
      <c r="B59" s="103" t="e">
        <f aca="false">INDEX(#REF!,MATCH(A59, #REF!,0),1)</f>
        <v>#VALUE!</v>
      </c>
      <c r="C59" s="103" t="e">
        <f aca="false">INDEX(#REF!,MATCH(A59, #REF!,0),1)</f>
        <v>#VALUE!</v>
      </c>
      <c r="D59" s="103" t="e">
        <f aca="false">INDEX(#REF!,MATCH(A59, #REF!,0),1)</f>
        <v>#VALUE!</v>
      </c>
      <c r="E59" s="104" t="e">
        <f aca="false">INDEX(participants!$B$1:$B$506,MATCH($C59, participants!$A$1:$A$515,0),1)</f>
        <v>#VALUE!</v>
      </c>
      <c r="F59" s="103" t="e">
        <f aca="false">INDEX(#REF!,MATCH(A59, #REF!,0),1)</f>
        <v>#VALUE!</v>
      </c>
      <c r="G59" s="105" t="e">
        <f aca="false">INDEX(samples!$C$1:$C$944,MATCH(F59, #REF!,0),1)</f>
        <v>#VALUE!</v>
      </c>
      <c r="H59" s="104" t="e">
        <f aca="false">INDEX(participants!$K$1:$K$506,MATCH($C59, participants!$A$1:$A$515,0),1)</f>
        <v>#VALUE!</v>
      </c>
      <c r="I59" s="104" t="e">
        <f aca="false">INDEX(#REF!,MATCH($A59, #REF!,0),1)</f>
        <v>#VALUE!</v>
      </c>
      <c r="J59" s="10" t="s">
        <v>511</v>
      </c>
      <c r="K59" s="10" t="s">
        <v>511</v>
      </c>
      <c r="L59" s="101" t="s">
        <v>5655</v>
      </c>
      <c r="M59" s="101" t="s">
        <v>5655</v>
      </c>
      <c r="N59" s="101" t="s">
        <v>1002</v>
      </c>
      <c r="O59" s="101" t="s">
        <v>1002</v>
      </c>
      <c r="P59" s="101" t="s">
        <v>5556</v>
      </c>
      <c r="Q59" s="101" t="s">
        <v>5556</v>
      </c>
      <c r="R59" s="101" t="s">
        <v>5655</v>
      </c>
      <c r="S59" s="101" t="s">
        <v>5655</v>
      </c>
      <c r="T59" s="101" t="s">
        <v>5655</v>
      </c>
      <c r="U59" s="101" t="s">
        <v>5655</v>
      </c>
      <c r="V59" s="73" t="s">
        <v>487</v>
      </c>
      <c r="W59" s="73" t="s">
        <v>487</v>
      </c>
      <c r="X59" s="73" t="s">
        <v>487</v>
      </c>
      <c r="Y59" s="73" t="s">
        <v>558</v>
      </c>
      <c r="Z59" s="73" t="s">
        <v>487</v>
      </c>
      <c r="AA59" s="73" t="s">
        <v>487</v>
      </c>
      <c r="AB59" s="73" t="s">
        <v>5655</v>
      </c>
    </row>
    <row r="60" customFormat="false" ht="13.8" hidden="false" customHeight="false" outlineLevel="0" collapsed="false">
      <c r="A60" s="102" t="s">
        <v>5677</v>
      </c>
      <c r="B60" s="103" t="e">
        <f aca="false">INDEX(#REF!,MATCH(A60, #REF!,0),1)</f>
        <v>#VALUE!</v>
      </c>
      <c r="C60" s="103" t="e">
        <f aca="false">INDEX(#REF!,MATCH(A60, #REF!,0),1)</f>
        <v>#VALUE!</v>
      </c>
      <c r="D60" s="103" t="e">
        <f aca="false">INDEX(#REF!,MATCH(A60, #REF!,0),1)</f>
        <v>#VALUE!</v>
      </c>
      <c r="E60" s="104" t="e">
        <f aca="false">INDEX(participants!$B$1:$B$506,MATCH($C60, participants!$A$1:$A$515,0),1)</f>
        <v>#VALUE!</v>
      </c>
      <c r="F60" s="103" t="e">
        <f aca="false">INDEX(#REF!,MATCH(A60, #REF!,0),1)</f>
        <v>#VALUE!</v>
      </c>
      <c r="G60" s="105" t="e">
        <f aca="false">INDEX(samples!$C$1:$C$944,MATCH(F60, #REF!,0),1)</f>
        <v>#VALUE!</v>
      </c>
      <c r="H60" s="104" t="e">
        <f aca="false">INDEX(participants!$K$1:$K$506,MATCH($C60, participants!$A$1:$A$515,0),1)</f>
        <v>#VALUE!</v>
      </c>
      <c r="I60" s="104" t="e">
        <f aca="false">INDEX(#REF!,MATCH($A60, #REF!,0),1)</f>
        <v>#VALUE!</v>
      </c>
      <c r="J60" s="10" t="s">
        <v>511</v>
      </c>
      <c r="K60" s="10" t="s">
        <v>511</v>
      </c>
      <c r="L60" s="101"/>
      <c r="M60" s="101"/>
      <c r="N60" s="101"/>
      <c r="O60" s="101"/>
      <c r="P60" s="101"/>
      <c r="Q60" s="101"/>
      <c r="R60" s="101"/>
      <c r="S60" s="101"/>
      <c r="T60" s="101"/>
      <c r="U60" s="101"/>
    </row>
    <row r="61" customFormat="false" ht="13.8" hidden="false" customHeight="false" outlineLevel="0" collapsed="false">
      <c r="A61" s="102" t="s">
        <v>5678</v>
      </c>
      <c r="B61" s="103" t="e">
        <f aca="false">INDEX(#REF!,MATCH(A61, #REF!,0),1)</f>
        <v>#VALUE!</v>
      </c>
      <c r="C61" s="103" t="e">
        <f aca="false">INDEX(#REF!,MATCH(A61, #REF!,0),1)</f>
        <v>#VALUE!</v>
      </c>
      <c r="D61" s="103" t="e">
        <f aca="false">INDEX(#REF!,MATCH(A61, #REF!,0),1)</f>
        <v>#VALUE!</v>
      </c>
      <c r="E61" s="104" t="e">
        <f aca="false">INDEX(participants!$B$1:$B$506,MATCH($C61, participants!$A$1:$A$515,0),1)</f>
        <v>#VALUE!</v>
      </c>
      <c r="F61" s="103" t="e">
        <f aca="false">INDEX(#REF!,MATCH(A61, #REF!,0),1)</f>
        <v>#VALUE!</v>
      </c>
      <c r="G61" s="105" t="e">
        <f aca="false">INDEX(samples!$C$1:$C$944,MATCH(F61, #REF!,0),1)</f>
        <v>#VALUE!</v>
      </c>
      <c r="H61" s="104" t="e">
        <f aca="false">INDEX(participants!$K$1:$K$506,MATCH($C61, participants!$A$1:$A$515,0),1)</f>
        <v>#VALUE!</v>
      </c>
      <c r="I61" s="104" t="e">
        <f aca="false">INDEX(#REF!,MATCH($A61, #REF!,0),1)</f>
        <v>#VALUE!</v>
      </c>
      <c r="J61" s="10" t="s">
        <v>511</v>
      </c>
      <c r="K61" s="10" t="s">
        <v>511</v>
      </c>
      <c r="L61" s="101" t="s">
        <v>5655</v>
      </c>
      <c r="M61" s="101" t="s">
        <v>5655</v>
      </c>
      <c r="N61" s="101" t="s">
        <v>558</v>
      </c>
      <c r="O61" s="101" t="s">
        <v>487</v>
      </c>
      <c r="P61" s="101" t="s">
        <v>5557</v>
      </c>
      <c r="Q61" s="101" t="s">
        <v>5557</v>
      </c>
      <c r="R61" s="101" t="s">
        <v>1002</v>
      </c>
      <c r="S61" s="101" t="s">
        <v>487</v>
      </c>
      <c r="T61" s="101" t="s">
        <v>487</v>
      </c>
      <c r="U61" s="101" t="s">
        <v>487</v>
      </c>
      <c r="V61" s="101" t="s">
        <v>487</v>
      </c>
      <c r="W61" s="101" t="s">
        <v>487</v>
      </c>
      <c r="X61" s="101" t="s">
        <v>487</v>
      </c>
      <c r="Y61" s="101" t="s">
        <v>1002</v>
      </c>
      <c r="Z61" s="101" t="s">
        <v>487</v>
      </c>
      <c r="AA61" s="101"/>
    </row>
    <row r="62" customFormat="false" ht="13.8" hidden="false" customHeight="false" outlineLevel="0" collapsed="false">
      <c r="A62" s="102" t="s">
        <v>5679</v>
      </c>
      <c r="B62" s="103" t="e">
        <f aca="false">INDEX(#REF!,MATCH(A62, #REF!,0),1)</f>
        <v>#VALUE!</v>
      </c>
      <c r="C62" s="103" t="e">
        <f aca="false">INDEX(#REF!,MATCH(A62, #REF!,0),1)</f>
        <v>#VALUE!</v>
      </c>
      <c r="D62" s="103" t="e">
        <f aca="false">INDEX(#REF!,MATCH(A62, #REF!,0),1)</f>
        <v>#VALUE!</v>
      </c>
      <c r="E62" s="104" t="e">
        <f aca="false">INDEX(participants!$B$1:$B$506,MATCH($C62, participants!$A$1:$A$515,0),1)</f>
        <v>#VALUE!</v>
      </c>
      <c r="F62" s="103" t="e">
        <f aca="false">INDEX(#REF!,MATCH(A62, #REF!,0),1)</f>
        <v>#VALUE!</v>
      </c>
      <c r="G62" s="105" t="e">
        <f aca="false">INDEX(samples!$C$1:$C$944,MATCH(F62, #REF!,0),1)</f>
        <v>#VALUE!</v>
      </c>
      <c r="H62" s="104" t="e">
        <f aca="false">INDEX(participants!$K$1:$K$506,MATCH($C62, participants!$A$1:$A$515,0),1)</f>
        <v>#VALUE!</v>
      </c>
      <c r="I62" s="104" t="e">
        <f aca="false">INDEX(#REF!,MATCH($A62, #REF!,0),1)</f>
        <v>#VALUE!</v>
      </c>
      <c r="J62" s="10" t="s">
        <v>511</v>
      </c>
      <c r="K62" s="10" t="s">
        <v>511</v>
      </c>
      <c r="L62" s="101" t="s">
        <v>5655</v>
      </c>
      <c r="M62" s="101" t="s">
        <v>5655</v>
      </c>
      <c r="N62" s="101" t="s">
        <v>511</v>
      </c>
      <c r="O62" s="101" t="s">
        <v>427</v>
      </c>
      <c r="P62" s="101" t="s">
        <v>5557</v>
      </c>
      <c r="Q62" s="101" t="s">
        <v>5557</v>
      </c>
      <c r="R62" s="101" t="s">
        <v>1002</v>
      </c>
      <c r="S62" s="101" t="s">
        <v>487</v>
      </c>
      <c r="T62" s="101" t="s">
        <v>487</v>
      </c>
      <c r="U62" s="101" t="s">
        <v>487</v>
      </c>
      <c r="V62" s="101" t="s">
        <v>487</v>
      </c>
      <c r="W62" s="101" t="s">
        <v>487</v>
      </c>
      <c r="X62" s="101" t="s">
        <v>487</v>
      </c>
      <c r="Y62" s="101" t="s">
        <v>1002</v>
      </c>
      <c r="Z62" s="101" t="s">
        <v>487</v>
      </c>
      <c r="AA62" s="101" t="s">
        <v>486</v>
      </c>
    </row>
    <row r="63" customFormat="false" ht="13.8" hidden="false" customHeight="false" outlineLevel="0" collapsed="false">
      <c r="A63" s="102" t="s">
        <v>5680</v>
      </c>
      <c r="B63" s="103" t="e">
        <f aca="false">INDEX(#REF!,MATCH(A63, #REF!,0),1)</f>
        <v>#VALUE!</v>
      </c>
      <c r="C63" s="103" t="e">
        <f aca="false">INDEX(#REF!,MATCH(A63, #REF!,0),1)</f>
        <v>#VALUE!</v>
      </c>
      <c r="D63" s="103" t="e">
        <f aca="false">INDEX(#REF!,MATCH(A63, #REF!,0),1)</f>
        <v>#VALUE!</v>
      </c>
      <c r="E63" s="104" t="e">
        <f aca="false">INDEX(participants!$B$1:$B$506,MATCH($C63, participants!$A$1:$A$515,0),1)</f>
        <v>#VALUE!</v>
      </c>
      <c r="F63" s="103" t="e">
        <f aca="false">INDEX(#REF!,MATCH(A63, #REF!,0),1)</f>
        <v>#VALUE!</v>
      </c>
      <c r="G63" s="105" t="e">
        <f aca="false">INDEX(samples!$C$1:$C$944,MATCH(F63, #REF!,0),1)</f>
        <v>#VALUE!</v>
      </c>
      <c r="H63" s="104" t="e">
        <f aca="false">INDEX(participants!$K$1:$K$506,MATCH($C63, participants!$A$1:$A$515,0),1)</f>
        <v>#VALUE!</v>
      </c>
      <c r="I63" s="104" t="e">
        <f aca="false">INDEX(#REF!,MATCH($A63, #REF!,0),1)</f>
        <v>#VALUE!</v>
      </c>
      <c r="J63" s="10" t="s">
        <v>511</v>
      </c>
      <c r="K63" s="10" t="s">
        <v>511</v>
      </c>
      <c r="L63" s="101" t="s">
        <v>5655</v>
      </c>
      <c r="M63" s="101" t="s">
        <v>5655</v>
      </c>
      <c r="N63" s="101" t="s">
        <v>558</v>
      </c>
      <c r="O63" s="101" t="s">
        <v>487</v>
      </c>
      <c r="P63" s="101" t="s">
        <v>5557</v>
      </c>
      <c r="Q63" s="101" t="s">
        <v>5557</v>
      </c>
      <c r="R63" s="101" t="s">
        <v>1002</v>
      </c>
      <c r="S63" s="101" t="s">
        <v>487</v>
      </c>
      <c r="T63" s="101" t="s">
        <v>487</v>
      </c>
      <c r="U63" s="101" t="s">
        <v>487</v>
      </c>
      <c r="V63" s="101" t="s">
        <v>487</v>
      </c>
      <c r="W63" s="101" t="s">
        <v>487</v>
      </c>
      <c r="X63" s="101" t="s">
        <v>487</v>
      </c>
      <c r="Y63" s="101" t="s">
        <v>5558</v>
      </c>
      <c r="Z63" s="101" t="s">
        <v>487</v>
      </c>
      <c r="AA63" s="101" t="s">
        <v>486</v>
      </c>
    </row>
    <row r="64" customFormat="false" ht="13.8" hidden="false" customHeight="false" outlineLevel="0" collapsed="false">
      <c r="A64" s="102" t="s">
        <v>5681</v>
      </c>
      <c r="B64" s="103" t="e">
        <f aca="false">INDEX(#REF!,MATCH(A64, #REF!,0),1)</f>
        <v>#VALUE!</v>
      </c>
      <c r="C64" s="103" t="e">
        <f aca="false">INDEX(#REF!,MATCH(A64, #REF!,0),1)</f>
        <v>#VALUE!</v>
      </c>
      <c r="D64" s="103" t="e">
        <f aca="false">INDEX(#REF!,MATCH(A64, #REF!,0),1)</f>
        <v>#VALUE!</v>
      </c>
      <c r="E64" s="104" t="e">
        <f aca="false">INDEX(participants!$B$1:$B$506,MATCH($C64, participants!$A$1:$A$515,0),1)</f>
        <v>#VALUE!</v>
      </c>
      <c r="F64" s="103" t="e">
        <f aca="false">INDEX(#REF!,MATCH(A64, #REF!,0),1)</f>
        <v>#VALUE!</v>
      </c>
      <c r="G64" s="105" t="e">
        <f aca="false">INDEX(samples!$C$1:$C$944,MATCH(F64, #REF!,0),1)</f>
        <v>#VALUE!</v>
      </c>
      <c r="H64" s="104" t="e">
        <f aca="false">INDEX(participants!$K$1:$K$506,MATCH($C64, participants!$A$1:$A$515,0),1)</f>
        <v>#VALUE!</v>
      </c>
      <c r="I64" s="104" t="e">
        <f aca="false">INDEX(#REF!,MATCH($A64, #REF!,0),1)</f>
        <v>#VALUE!</v>
      </c>
      <c r="J64" s="10" t="s">
        <v>511</v>
      </c>
      <c r="K64" s="10" t="s">
        <v>511</v>
      </c>
      <c r="L64" s="101" t="s">
        <v>5655</v>
      </c>
      <c r="M64" s="101" t="s">
        <v>5655</v>
      </c>
      <c r="N64" s="101" t="s">
        <v>511</v>
      </c>
      <c r="O64" s="101" t="s">
        <v>427</v>
      </c>
      <c r="P64" s="101" t="s">
        <v>5557</v>
      </c>
      <c r="Q64" s="101" t="s">
        <v>5557</v>
      </c>
      <c r="R64" s="101" t="s">
        <v>1002</v>
      </c>
      <c r="S64" s="101" t="s">
        <v>487</v>
      </c>
      <c r="T64" s="101" t="s">
        <v>487</v>
      </c>
      <c r="U64" s="101" t="s">
        <v>487</v>
      </c>
      <c r="V64" s="101" t="s">
        <v>487</v>
      </c>
      <c r="W64" s="101" t="s">
        <v>487</v>
      </c>
      <c r="X64" s="101" t="s">
        <v>487</v>
      </c>
      <c r="Y64" s="101" t="s">
        <v>1002</v>
      </c>
      <c r="Z64" s="101" t="s">
        <v>487</v>
      </c>
      <c r="AA64" s="101" t="s">
        <v>486</v>
      </c>
    </row>
    <row r="65" customFormat="false" ht="13.8" hidden="false" customHeight="false" outlineLevel="0" collapsed="false">
      <c r="A65" s="102" t="s">
        <v>5682</v>
      </c>
      <c r="B65" s="103" t="e">
        <f aca="false">INDEX(#REF!,MATCH(A65, #REF!,0),1)</f>
        <v>#VALUE!</v>
      </c>
      <c r="C65" s="103" t="e">
        <f aca="false">INDEX(#REF!,MATCH(A65, #REF!,0),1)</f>
        <v>#VALUE!</v>
      </c>
      <c r="D65" s="103" t="e">
        <f aca="false">INDEX(#REF!,MATCH(A65, #REF!,0),1)</f>
        <v>#VALUE!</v>
      </c>
      <c r="E65" s="104" t="e">
        <f aca="false">INDEX(participants!$B$1:$B$506,MATCH($C65, participants!$A$1:$A$515,0),1)</f>
        <v>#VALUE!</v>
      </c>
      <c r="F65" s="103" t="e">
        <f aca="false">INDEX(#REF!,MATCH(A65, #REF!,0),1)</f>
        <v>#VALUE!</v>
      </c>
      <c r="G65" s="105" t="e">
        <f aca="false">INDEX(samples!$C$1:$C$944,MATCH(F65, #REF!,0),1)</f>
        <v>#VALUE!</v>
      </c>
      <c r="H65" s="104" t="e">
        <f aca="false">INDEX(participants!$K$1:$K$506,MATCH($C65, participants!$A$1:$A$515,0),1)</f>
        <v>#VALUE!</v>
      </c>
      <c r="I65" s="104" t="e">
        <f aca="false">INDEX(#REF!,MATCH($A65, #REF!,0),1)</f>
        <v>#VALUE!</v>
      </c>
      <c r="J65" s="10" t="s">
        <v>511</v>
      </c>
      <c r="K65" s="10" t="s">
        <v>511</v>
      </c>
      <c r="L65" s="101" t="s">
        <v>5655</v>
      </c>
      <c r="M65" s="101" t="s">
        <v>5655</v>
      </c>
      <c r="N65" s="101" t="s">
        <v>558</v>
      </c>
      <c r="O65" s="101" t="s">
        <v>487</v>
      </c>
      <c r="P65" s="101" t="s">
        <v>5557</v>
      </c>
      <c r="Q65" s="101" t="s">
        <v>5557</v>
      </c>
      <c r="R65" s="101" t="s">
        <v>1002</v>
      </c>
      <c r="S65" s="101" t="s">
        <v>487</v>
      </c>
      <c r="T65" s="101" t="s">
        <v>487</v>
      </c>
      <c r="U65" s="101" t="s">
        <v>487</v>
      </c>
      <c r="V65" s="101" t="s">
        <v>487</v>
      </c>
      <c r="W65" s="101" t="s">
        <v>487</v>
      </c>
      <c r="X65" s="101" t="s">
        <v>487</v>
      </c>
      <c r="Y65" s="101" t="s">
        <v>1002</v>
      </c>
      <c r="Z65" s="101" t="s">
        <v>487</v>
      </c>
      <c r="AA65" s="101"/>
    </row>
    <row r="66" customFormat="false" ht="13.8" hidden="false" customHeight="false" outlineLevel="0" collapsed="false">
      <c r="A66" s="102" t="s">
        <v>5683</v>
      </c>
      <c r="B66" s="103" t="e">
        <f aca="false">INDEX(#REF!,MATCH(A66, #REF!,0),1)</f>
        <v>#VALUE!</v>
      </c>
      <c r="C66" s="103" t="e">
        <f aca="false">INDEX(#REF!,MATCH(A66, #REF!,0),1)</f>
        <v>#VALUE!</v>
      </c>
      <c r="D66" s="103" t="e">
        <f aca="false">INDEX(#REF!,MATCH(A66, #REF!,0),1)</f>
        <v>#VALUE!</v>
      </c>
      <c r="E66" s="104" t="e">
        <f aca="false">INDEX(participants!$B$1:$B$506,MATCH($C66, participants!$A$1:$A$515,0),1)</f>
        <v>#VALUE!</v>
      </c>
      <c r="F66" s="103" t="e">
        <f aca="false">INDEX(#REF!,MATCH(A66, #REF!,0),1)</f>
        <v>#VALUE!</v>
      </c>
      <c r="G66" s="105" t="e">
        <f aca="false">INDEX(samples!$C$1:$C$944,MATCH(F66, #REF!,0),1)</f>
        <v>#VALUE!</v>
      </c>
      <c r="H66" s="104" t="e">
        <f aca="false">INDEX(participants!$K$1:$K$506,MATCH($C66, participants!$A$1:$A$515,0),1)</f>
        <v>#VALUE!</v>
      </c>
      <c r="I66" s="104" t="e">
        <f aca="false">INDEX(#REF!,MATCH($A66, #REF!,0),1)</f>
        <v>#VALUE!</v>
      </c>
      <c r="J66" s="10" t="s">
        <v>511</v>
      </c>
      <c r="K66" s="10" t="s">
        <v>511</v>
      </c>
      <c r="L66" s="101" t="s">
        <v>5655</v>
      </c>
      <c r="M66" s="101" t="s">
        <v>5655</v>
      </c>
      <c r="N66" s="101" t="s">
        <v>511</v>
      </c>
      <c r="O66" s="101" t="s">
        <v>427</v>
      </c>
      <c r="P66" s="101" t="s">
        <v>5557</v>
      </c>
      <c r="Q66" s="101" t="s">
        <v>5557</v>
      </c>
      <c r="R66" s="101" t="s">
        <v>1002</v>
      </c>
      <c r="S66" s="101" t="s">
        <v>487</v>
      </c>
      <c r="T66" s="101" t="s">
        <v>487</v>
      </c>
      <c r="U66" s="101" t="s">
        <v>487</v>
      </c>
      <c r="V66" s="101" t="s">
        <v>487</v>
      </c>
      <c r="W66" s="101" t="s">
        <v>487</v>
      </c>
      <c r="X66" s="101" t="s">
        <v>487</v>
      </c>
      <c r="Y66" s="101" t="s">
        <v>1002</v>
      </c>
      <c r="Z66" s="101" t="s">
        <v>487</v>
      </c>
      <c r="AA66" s="101" t="s">
        <v>486</v>
      </c>
    </row>
    <row r="67" customFormat="false" ht="13.8" hidden="false" customHeight="false" outlineLevel="0" collapsed="false">
      <c r="A67" s="99" t="s">
        <v>5684</v>
      </c>
      <c r="B67" s="103" t="e">
        <f aca="false">INDEX(#REF!,MATCH(A67, #REF!,0),1)</f>
        <v>#VALUE!</v>
      </c>
      <c r="C67" s="103" t="e">
        <f aca="false">INDEX(#REF!,MATCH(A67, #REF!,0),1)</f>
        <v>#VALUE!</v>
      </c>
      <c r="D67" s="103" t="e">
        <f aca="false">INDEX(#REF!,MATCH(A67, #REF!,0),1)</f>
        <v>#VALUE!</v>
      </c>
      <c r="E67" s="104" t="e">
        <f aca="false">INDEX(participants!$B$1:$B$506,MATCH($C67, participants!$A$1:$A$515,0),1)</f>
        <v>#VALUE!</v>
      </c>
      <c r="F67" s="103" t="e">
        <f aca="false">INDEX(#REF!,MATCH(A67, #REF!,0),1)</f>
        <v>#VALUE!</v>
      </c>
      <c r="G67" s="105" t="e">
        <f aca="false">INDEX(samples!$C$1:$C$944,MATCH(F67, #REF!,0),1)</f>
        <v>#VALUE!</v>
      </c>
      <c r="H67" s="104" t="e">
        <f aca="false">INDEX(participants!$K$1:$K$506,MATCH($C67, participants!$A$1:$A$515,0),1)</f>
        <v>#VALUE!</v>
      </c>
      <c r="I67" s="104" t="e">
        <f aca="false">INDEX(#REF!,MATCH($A67, #REF!,0),1)</f>
        <v>#VALUE!</v>
      </c>
      <c r="J67" s="110"/>
      <c r="K67" s="110"/>
      <c r="L67" s="110"/>
      <c r="M67" s="110"/>
      <c r="N67" s="110"/>
      <c r="O67" s="110"/>
      <c r="P67" s="110"/>
      <c r="Q67" s="110"/>
      <c r="R67" s="110"/>
      <c r="S67" s="110"/>
      <c r="T67" s="110"/>
      <c r="U67" s="110"/>
      <c r="V67" s="110"/>
      <c r="W67" s="110"/>
      <c r="X67" s="110"/>
      <c r="Y67" s="110"/>
      <c r="Z67" s="110"/>
      <c r="AA67" s="110"/>
      <c r="AB67" s="110"/>
    </row>
    <row r="68" customFormat="false" ht="13.8" hidden="false" customHeight="false" outlineLevel="0" collapsed="false">
      <c r="A68" s="99" t="s">
        <v>5685</v>
      </c>
      <c r="B68" s="103" t="e">
        <f aca="false">INDEX(#REF!,MATCH(A68, #REF!,0),1)</f>
        <v>#VALUE!</v>
      </c>
      <c r="C68" s="103" t="e">
        <f aca="false">INDEX(#REF!,MATCH(A68, #REF!,0),1)</f>
        <v>#VALUE!</v>
      </c>
      <c r="D68" s="103" t="e">
        <f aca="false">INDEX(#REF!,MATCH(A68, #REF!,0),1)</f>
        <v>#VALUE!</v>
      </c>
      <c r="E68" s="104" t="e">
        <f aca="false">INDEX(participants!$B$1:$B$506,MATCH($C68, participants!$A$1:$A$515,0),1)</f>
        <v>#VALUE!</v>
      </c>
      <c r="F68" s="103" t="e">
        <f aca="false">INDEX(#REF!,MATCH(A68, #REF!,0),1)</f>
        <v>#VALUE!</v>
      </c>
      <c r="G68" s="105" t="e">
        <f aca="false">INDEX(samples!$C$1:$C$944,MATCH(F68, #REF!,0),1)</f>
        <v>#VALUE!</v>
      </c>
      <c r="H68" s="104" t="e">
        <f aca="false">INDEX(participants!$K$1:$K$506,MATCH($C68, participants!$A$1:$A$515,0),1)</f>
        <v>#VALUE!</v>
      </c>
      <c r="I68" s="104" t="e">
        <f aca="false">INDEX(#REF!,MATCH($A68, #REF!,0),1)</f>
        <v>#VALUE!</v>
      </c>
      <c r="J68" s="101" t="s">
        <v>511</v>
      </c>
      <c r="K68" s="101" t="s">
        <v>511</v>
      </c>
      <c r="L68" s="107" t="n">
        <v>43063</v>
      </c>
      <c r="M68" s="101" t="s">
        <v>5414</v>
      </c>
      <c r="N68" s="101" t="s">
        <v>558</v>
      </c>
      <c r="O68" s="101" t="s">
        <v>487</v>
      </c>
      <c r="P68" s="101" t="s">
        <v>5557</v>
      </c>
      <c r="Q68" s="101" t="s">
        <v>5557</v>
      </c>
      <c r="R68" s="101" t="s">
        <v>487</v>
      </c>
      <c r="S68" s="101" t="s">
        <v>487</v>
      </c>
      <c r="T68" s="101" t="s">
        <v>487</v>
      </c>
      <c r="U68" s="101" t="s">
        <v>487</v>
      </c>
      <c r="V68" s="73" t="s">
        <v>487</v>
      </c>
      <c r="W68" s="73" t="s">
        <v>487</v>
      </c>
      <c r="X68" s="73" t="s">
        <v>5686</v>
      </c>
      <c r="Y68" s="73" t="s">
        <v>558</v>
      </c>
      <c r="Z68" s="73" t="s">
        <v>487</v>
      </c>
      <c r="AA68" s="73" t="s">
        <v>558</v>
      </c>
      <c r="AB68" s="107" t="n">
        <v>43063</v>
      </c>
    </row>
    <row r="69" customFormat="false" ht="13.8" hidden="false" customHeight="false" outlineLevel="0" collapsed="false">
      <c r="A69" s="99" t="s">
        <v>5687</v>
      </c>
      <c r="B69" s="103" t="e">
        <f aca="false">INDEX(#REF!,MATCH(A69, #REF!,0),1)</f>
        <v>#VALUE!</v>
      </c>
      <c r="C69" s="103" t="e">
        <f aca="false">INDEX(#REF!,MATCH(A69, #REF!,0),1)</f>
        <v>#VALUE!</v>
      </c>
      <c r="D69" s="103" t="e">
        <f aca="false">INDEX(#REF!,MATCH(A69, #REF!,0),1)</f>
        <v>#VALUE!</v>
      </c>
      <c r="E69" s="104" t="e">
        <f aca="false">INDEX(participants!$B$1:$B$506,MATCH($C69, participants!$A$1:$A$515,0),1)</f>
        <v>#VALUE!</v>
      </c>
      <c r="F69" s="103" t="e">
        <f aca="false">INDEX(#REF!,MATCH(A69, #REF!,0),1)</f>
        <v>#VALUE!</v>
      </c>
      <c r="G69" s="105" t="e">
        <f aca="false">INDEX(samples!$C$1:$C$944,MATCH(F69, #REF!,0),1)</f>
        <v>#VALUE!</v>
      </c>
      <c r="H69" s="104" t="e">
        <f aca="false">INDEX(participants!$K$1:$K$506,MATCH($C69, participants!$A$1:$A$515,0),1)</f>
        <v>#VALUE!</v>
      </c>
      <c r="I69" s="104" t="e">
        <f aca="false">INDEX(#REF!,MATCH($A69, #REF!,0),1)</f>
        <v>#VALUE!</v>
      </c>
      <c r="J69" s="101" t="s">
        <v>511</v>
      </c>
      <c r="K69" s="101" t="s">
        <v>511</v>
      </c>
      <c r="L69" s="107" t="n">
        <v>43800</v>
      </c>
      <c r="M69" s="101" t="s">
        <v>5414</v>
      </c>
      <c r="N69" s="101" t="s">
        <v>511</v>
      </c>
      <c r="O69" s="101" t="n">
        <v>1</v>
      </c>
      <c r="P69" s="101" t="s">
        <v>5556</v>
      </c>
      <c r="Q69" s="101" t="s">
        <v>487</v>
      </c>
      <c r="R69" s="101" t="s">
        <v>487</v>
      </c>
      <c r="S69" s="101" t="s">
        <v>487</v>
      </c>
      <c r="T69" s="101" t="s">
        <v>487</v>
      </c>
      <c r="U69" s="101" t="s">
        <v>487</v>
      </c>
      <c r="V69" s="73" t="s">
        <v>487</v>
      </c>
      <c r="W69" s="73" t="s">
        <v>487</v>
      </c>
      <c r="X69" s="73" t="s">
        <v>5688</v>
      </c>
      <c r="Y69" s="73" t="s">
        <v>558</v>
      </c>
      <c r="Z69" s="73" t="s">
        <v>487</v>
      </c>
      <c r="AA69" s="73" t="s">
        <v>558</v>
      </c>
      <c r="AB69" s="107" t="n">
        <v>42880</v>
      </c>
    </row>
    <row r="70" customFormat="false" ht="13.8" hidden="false" customHeight="false" outlineLevel="0" collapsed="false">
      <c r="A70" s="99" t="s">
        <v>5689</v>
      </c>
      <c r="B70" s="103" t="e">
        <f aca="false">INDEX(#REF!,MATCH(A70, #REF!,0),1)</f>
        <v>#VALUE!</v>
      </c>
      <c r="C70" s="103" t="e">
        <f aca="false">INDEX(#REF!,MATCH(A70, #REF!,0),1)</f>
        <v>#VALUE!</v>
      </c>
      <c r="D70" s="103" t="e">
        <f aca="false">INDEX(#REF!,MATCH(A70, #REF!,0),1)</f>
        <v>#VALUE!</v>
      </c>
      <c r="E70" s="104" t="e">
        <f aca="false">INDEX(participants!$B$1:$B$506,MATCH($C70, participants!$A$1:$A$515,0),1)</f>
        <v>#VALUE!</v>
      </c>
      <c r="F70" s="103" t="e">
        <f aca="false">INDEX(#REF!,MATCH(A70, #REF!,0),1)</f>
        <v>#VALUE!</v>
      </c>
      <c r="G70" s="105" t="e">
        <f aca="false">INDEX(samples!$C$1:$C$944,MATCH(F70, #REF!,0),1)</f>
        <v>#VALUE!</v>
      </c>
      <c r="H70" s="104" t="e">
        <f aca="false">INDEX(participants!$K$1:$K$506,MATCH($C70, participants!$A$1:$A$515,0),1)</f>
        <v>#VALUE!</v>
      </c>
      <c r="I70" s="104" t="e">
        <f aca="false">INDEX(#REF!,MATCH($A70, #REF!,0),1)</f>
        <v>#VALUE!</v>
      </c>
      <c r="J70" s="101" t="s">
        <v>511</v>
      </c>
      <c r="K70" s="101" t="s">
        <v>511</v>
      </c>
      <c r="L70" s="107" t="n">
        <v>44516</v>
      </c>
      <c r="M70" s="101" t="s">
        <v>5561</v>
      </c>
      <c r="N70" s="101" t="s">
        <v>558</v>
      </c>
      <c r="O70" s="101" t="s">
        <v>487</v>
      </c>
      <c r="P70" s="101" t="s">
        <v>5557</v>
      </c>
      <c r="Q70" s="101" t="s">
        <v>5557</v>
      </c>
      <c r="R70" s="101" t="s">
        <v>487</v>
      </c>
      <c r="S70" s="101" t="s">
        <v>487</v>
      </c>
      <c r="T70" s="101" t="s">
        <v>487</v>
      </c>
      <c r="U70" s="101" t="s">
        <v>487</v>
      </c>
      <c r="V70" s="73" t="s">
        <v>5690</v>
      </c>
      <c r="W70" s="73" t="s">
        <v>487</v>
      </c>
      <c r="X70" s="73" t="s">
        <v>5691</v>
      </c>
      <c r="Y70" s="73" t="s">
        <v>558</v>
      </c>
      <c r="Z70" s="73" t="s">
        <v>487</v>
      </c>
      <c r="AA70" s="73" t="s">
        <v>558</v>
      </c>
      <c r="AB70" s="107" t="n">
        <v>44193</v>
      </c>
    </row>
    <row r="71" customFormat="false" ht="13.8" hidden="false" customHeight="false" outlineLevel="0" collapsed="false">
      <c r="A71" s="99" t="s">
        <v>5692</v>
      </c>
      <c r="B71" s="103" t="e">
        <f aca="false">INDEX(#REF!,MATCH(A71, #REF!,0),1)</f>
        <v>#VALUE!</v>
      </c>
      <c r="C71" s="103" t="e">
        <f aca="false">INDEX(#REF!,MATCH(A71, #REF!,0),1)</f>
        <v>#VALUE!</v>
      </c>
      <c r="D71" s="103" t="e">
        <f aca="false">INDEX(#REF!,MATCH(A71, #REF!,0),1)</f>
        <v>#VALUE!</v>
      </c>
      <c r="E71" s="104" t="e">
        <f aca="false">INDEX(participants!$B$1:$B$506,MATCH($C71, participants!$A$1:$A$515,0),1)</f>
        <v>#VALUE!</v>
      </c>
      <c r="F71" s="103" t="e">
        <f aca="false">INDEX(#REF!,MATCH(A71, #REF!,0),1)</f>
        <v>#VALUE!</v>
      </c>
      <c r="G71" s="105" t="e">
        <f aca="false">INDEX(samples!$C$1:$C$944,MATCH(F71, #REF!,0),1)</f>
        <v>#VALUE!</v>
      </c>
      <c r="H71" s="104" t="e">
        <f aca="false">INDEX(participants!$K$1:$K$506,MATCH($C71, participants!$A$1:$A$515,0),1)</f>
        <v>#VALUE!</v>
      </c>
      <c r="I71" s="104" t="e">
        <f aca="false">INDEX(#REF!,MATCH($A71, #REF!,0),1)</f>
        <v>#VALUE!</v>
      </c>
      <c r="J71" s="101" t="s">
        <v>511</v>
      </c>
      <c r="K71" s="101" t="s">
        <v>558</v>
      </c>
      <c r="L71" s="107" t="n">
        <v>44263</v>
      </c>
      <c r="M71" s="101" t="s">
        <v>5561</v>
      </c>
      <c r="N71" s="101" t="s">
        <v>558</v>
      </c>
      <c r="O71" s="101" t="s">
        <v>487</v>
      </c>
      <c r="P71" s="101" t="s">
        <v>5557</v>
      </c>
      <c r="Q71" s="101" t="s">
        <v>5557</v>
      </c>
      <c r="R71" s="101" t="s">
        <v>487</v>
      </c>
      <c r="S71" s="101" t="s">
        <v>487</v>
      </c>
      <c r="T71" s="101" t="s">
        <v>487</v>
      </c>
      <c r="U71" s="101" t="s">
        <v>487</v>
      </c>
      <c r="V71" s="73" t="s">
        <v>5693</v>
      </c>
      <c r="W71" s="73" t="s">
        <v>487</v>
      </c>
      <c r="X71" s="73" t="s">
        <v>5694</v>
      </c>
      <c r="Y71" s="73" t="s">
        <v>558</v>
      </c>
      <c r="Z71" s="73" t="s">
        <v>487</v>
      </c>
      <c r="AA71" s="73" t="s">
        <v>558</v>
      </c>
      <c r="AB71" s="107" t="n">
        <v>44217</v>
      </c>
      <c r="AD71" s="73" t="s">
        <v>1382</v>
      </c>
    </row>
    <row r="72" customFormat="false" ht="13.8" hidden="false" customHeight="false" outlineLevel="0" collapsed="false">
      <c r="A72" s="99" t="s">
        <v>5695</v>
      </c>
      <c r="B72" s="103" t="e">
        <f aca="false">INDEX(#REF!,MATCH(A72, #REF!,0),1)</f>
        <v>#VALUE!</v>
      </c>
      <c r="C72" s="103" t="e">
        <f aca="false">INDEX(#REF!,MATCH(A72, #REF!,0),1)</f>
        <v>#VALUE!</v>
      </c>
      <c r="D72" s="103" t="e">
        <f aca="false">INDEX(#REF!,MATCH(A72, #REF!,0),1)</f>
        <v>#VALUE!</v>
      </c>
      <c r="E72" s="104" t="e">
        <f aca="false">INDEX(participants!$B$1:$B$506,MATCH($C72, participants!$A$1:$A$515,0),1)</f>
        <v>#VALUE!</v>
      </c>
      <c r="F72" s="103" t="e">
        <f aca="false">INDEX(#REF!,MATCH(A72, #REF!,0),1)</f>
        <v>#VALUE!</v>
      </c>
      <c r="G72" s="105" t="e">
        <f aca="false">INDEX(samples!$C$1:$C$944,MATCH(F72, #REF!,0),1)</f>
        <v>#VALUE!</v>
      </c>
      <c r="H72" s="104" t="e">
        <f aca="false">INDEX(participants!$K$1:$K$506,MATCH($C72, participants!$A$1:$A$515,0),1)</f>
        <v>#VALUE!</v>
      </c>
      <c r="I72" s="104" t="e">
        <f aca="false">INDEX(#REF!,MATCH($A72, #REF!,0),1)</f>
        <v>#VALUE!</v>
      </c>
      <c r="J72" s="101" t="s">
        <v>511</v>
      </c>
      <c r="K72" s="101" t="s">
        <v>511</v>
      </c>
      <c r="L72" s="107" t="n">
        <v>44327</v>
      </c>
      <c r="M72" s="101" t="s">
        <v>5561</v>
      </c>
      <c r="N72" s="101" t="s">
        <v>558</v>
      </c>
      <c r="O72" s="101" t="s">
        <v>487</v>
      </c>
      <c r="P72" s="101" t="s">
        <v>5557</v>
      </c>
      <c r="Q72" s="101" t="s">
        <v>5557</v>
      </c>
      <c r="R72" s="101" t="s">
        <v>487</v>
      </c>
      <c r="S72" s="101" t="s">
        <v>487</v>
      </c>
      <c r="T72" s="101" t="s">
        <v>487</v>
      </c>
      <c r="U72" s="101" t="s">
        <v>487</v>
      </c>
      <c r="V72" s="73" t="s">
        <v>5696</v>
      </c>
      <c r="W72" s="73" t="s">
        <v>487</v>
      </c>
      <c r="X72" s="73" t="s">
        <v>5697</v>
      </c>
      <c r="Y72" s="73" t="s">
        <v>558</v>
      </c>
      <c r="Z72" s="73" t="s">
        <v>487</v>
      </c>
      <c r="AA72" s="73" t="s">
        <v>558</v>
      </c>
      <c r="AB72" s="107" t="n">
        <v>44279</v>
      </c>
      <c r="AC72" s="73" t="s">
        <v>5698</v>
      </c>
      <c r="AD72" s="73" t="s">
        <v>1382</v>
      </c>
    </row>
    <row r="73" customFormat="false" ht="13.8" hidden="false" customHeight="false" outlineLevel="0" collapsed="false">
      <c r="A73" s="99" t="s">
        <v>5699</v>
      </c>
      <c r="B73" s="103" t="e">
        <f aca="false">INDEX(#REF!,MATCH(A73, #REF!,0),1)</f>
        <v>#VALUE!</v>
      </c>
      <c r="C73" s="103" t="e">
        <f aca="false">INDEX(#REF!,MATCH(A73, #REF!,0),1)</f>
        <v>#VALUE!</v>
      </c>
      <c r="D73" s="103" t="e">
        <f aca="false">INDEX(#REF!,MATCH(A73, #REF!,0),1)</f>
        <v>#VALUE!</v>
      </c>
      <c r="E73" s="104" t="e">
        <f aca="false">INDEX(participants!$B$1:$B$506,MATCH($C73, participants!$A$1:$A$515,0),1)</f>
        <v>#VALUE!</v>
      </c>
      <c r="F73" s="103" t="e">
        <f aca="false">INDEX(#REF!,MATCH(A73, #REF!,0),1)</f>
        <v>#VALUE!</v>
      </c>
      <c r="G73" s="105" t="e">
        <f aca="false">INDEX(samples!$C$1:$C$944,MATCH(F73, #REF!,0),1)</f>
        <v>#VALUE!</v>
      </c>
      <c r="H73" s="104" t="e">
        <f aca="false">INDEX(participants!$K$1:$K$506,MATCH($C73, participants!$A$1:$A$515,0),1)</f>
        <v>#VALUE!</v>
      </c>
      <c r="I73" s="104" t="e">
        <f aca="false">INDEX(#REF!,MATCH($A73, #REF!,0),1)</f>
        <v>#VALUE!</v>
      </c>
      <c r="J73" s="101" t="s">
        <v>511</v>
      </c>
      <c r="K73" s="101" t="s">
        <v>511</v>
      </c>
      <c r="L73" s="107" t="n">
        <v>44817</v>
      </c>
      <c r="M73" s="101" t="s">
        <v>5561</v>
      </c>
      <c r="N73" s="101" t="s">
        <v>558</v>
      </c>
      <c r="O73" s="101" t="s">
        <v>487</v>
      </c>
      <c r="P73" s="101" t="s">
        <v>5557</v>
      </c>
      <c r="Q73" s="101" t="s">
        <v>5557</v>
      </c>
      <c r="R73" s="101" t="s">
        <v>487</v>
      </c>
      <c r="S73" s="101" t="s">
        <v>487</v>
      </c>
      <c r="T73" s="101" t="s">
        <v>487</v>
      </c>
      <c r="U73" s="101" t="s">
        <v>487</v>
      </c>
      <c r="V73" s="73" t="s">
        <v>5700</v>
      </c>
      <c r="W73" s="73" t="s">
        <v>487</v>
      </c>
      <c r="X73" s="73" t="s">
        <v>5701</v>
      </c>
      <c r="Y73" s="73" t="s">
        <v>558</v>
      </c>
      <c r="Z73" s="73" t="s">
        <v>487</v>
      </c>
      <c r="AA73" s="73" t="s">
        <v>558</v>
      </c>
      <c r="AB73" s="107" t="n">
        <v>44476</v>
      </c>
      <c r="AD73" s="73" t="s">
        <v>1382</v>
      </c>
    </row>
    <row r="74" customFormat="false" ht="13.8" hidden="false" customHeight="false" outlineLevel="0" collapsed="false">
      <c r="A74" s="99" t="s">
        <v>5702</v>
      </c>
      <c r="B74" s="103" t="e">
        <f aca="false">INDEX(#REF!,MATCH(A74, #REF!,0),1)</f>
        <v>#VALUE!</v>
      </c>
      <c r="C74" s="103" t="e">
        <f aca="false">INDEX(#REF!,MATCH(A74, #REF!,0),1)</f>
        <v>#VALUE!</v>
      </c>
      <c r="D74" s="103" t="e">
        <f aca="false">INDEX(#REF!,MATCH(A74, #REF!,0),1)</f>
        <v>#VALUE!</v>
      </c>
      <c r="E74" s="104" t="e">
        <f aca="false">INDEX(participants!$B$1:$B$506,MATCH($C74, participants!$A$1:$A$515,0),1)</f>
        <v>#VALUE!</v>
      </c>
      <c r="F74" s="103" t="e">
        <f aca="false">INDEX(#REF!,MATCH(A74, #REF!,0),1)</f>
        <v>#VALUE!</v>
      </c>
      <c r="G74" s="105" t="e">
        <f aca="false">INDEX(samples!$C$1:$C$944,MATCH(F74, #REF!,0),1)</f>
        <v>#VALUE!</v>
      </c>
      <c r="H74" s="104" t="e">
        <f aca="false">INDEX(participants!$K$1:$K$506,MATCH($C74, participants!$A$1:$A$515,0),1)</f>
        <v>#VALUE!</v>
      </c>
      <c r="I74" s="104" t="e">
        <f aca="false">INDEX(#REF!,MATCH($A74, #REF!,0),1)</f>
        <v>#VALUE!</v>
      </c>
      <c r="J74" s="101" t="s">
        <v>511</v>
      </c>
      <c r="K74" s="101" t="s">
        <v>511</v>
      </c>
      <c r="L74" s="107" t="n">
        <v>44672</v>
      </c>
      <c r="M74" s="101" t="s">
        <v>5561</v>
      </c>
      <c r="N74" s="101" t="s">
        <v>558</v>
      </c>
      <c r="O74" s="101" t="s">
        <v>487</v>
      </c>
      <c r="P74" s="101" t="s">
        <v>5556</v>
      </c>
      <c r="Q74" s="101" t="s">
        <v>5556</v>
      </c>
      <c r="R74" s="101" t="s">
        <v>487</v>
      </c>
      <c r="S74" s="101" t="s">
        <v>487</v>
      </c>
      <c r="T74" s="101" t="s">
        <v>487</v>
      </c>
      <c r="U74" s="101" t="s">
        <v>487</v>
      </c>
      <c r="V74" s="73" t="s">
        <v>487</v>
      </c>
      <c r="W74" s="73" t="s">
        <v>487</v>
      </c>
      <c r="X74" s="73" t="s">
        <v>5703</v>
      </c>
      <c r="Y74" s="73" t="s">
        <v>558</v>
      </c>
      <c r="Z74" s="73" t="s">
        <v>487</v>
      </c>
      <c r="AA74" s="73" t="s">
        <v>558</v>
      </c>
      <c r="AB74" s="107" t="n">
        <v>44652</v>
      </c>
      <c r="AC74" s="73" t="s">
        <v>5704</v>
      </c>
      <c r="AD74" s="73" t="s">
        <v>1382</v>
      </c>
    </row>
    <row r="75" customFormat="false" ht="13.8" hidden="false" customHeight="false" outlineLevel="0" collapsed="false">
      <c r="A75" s="99" t="s">
        <v>5705</v>
      </c>
      <c r="B75" s="103" t="e">
        <f aca="false">INDEX(#REF!,MATCH(A75, #REF!,0),1)</f>
        <v>#VALUE!</v>
      </c>
      <c r="C75" s="103" t="e">
        <f aca="false">INDEX(#REF!,MATCH(A75, #REF!,0),1)</f>
        <v>#VALUE!</v>
      </c>
      <c r="D75" s="103" t="e">
        <f aca="false">INDEX(#REF!,MATCH(A75, #REF!,0),1)</f>
        <v>#VALUE!</v>
      </c>
      <c r="E75" s="104" t="e">
        <f aca="false">INDEX(participants!$B$1:$B$506,MATCH($C75, participants!$A$1:$A$515,0),1)</f>
        <v>#VALUE!</v>
      </c>
      <c r="F75" s="103" t="e">
        <f aca="false">INDEX(#REF!,MATCH(A75, #REF!,0),1)</f>
        <v>#VALUE!</v>
      </c>
      <c r="G75" s="105" t="e">
        <f aca="false">INDEX(samples!$C$1:$C$944,MATCH(F75, #REF!,0),1)</f>
        <v>#VALUE!</v>
      </c>
      <c r="H75" s="104" t="e">
        <f aca="false">INDEX(participants!$K$1:$K$506,MATCH($C75, participants!$A$1:$A$515,0),1)</f>
        <v>#VALUE!</v>
      </c>
      <c r="I75" s="104" t="e">
        <f aca="false">INDEX(#REF!,MATCH($A75, #REF!,0),1)</f>
        <v>#VALUE!</v>
      </c>
      <c r="J75" s="101" t="s">
        <v>511</v>
      </c>
      <c r="K75" s="101" t="s">
        <v>511</v>
      </c>
      <c r="L75" s="107" t="n">
        <v>44784</v>
      </c>
      <c r="M75" s="101" t="s">
        <v>5414</v>
      </c>
      <c r="N75" s="101" t="s">
        <v>558</v>
      </c>
      <c r="O75" s="101" t="s">
        <v>487</v>
      </c>
      <c r="P75" s="101" t="s">
        <v>5556</v>
      </c>
      <c r="Q75" s="101" t="s">
        <v>5556</v>
      </c>
      <c r="R75" s="101" t="s">
        <v>487</v>
      </c>
      <c r="S75" s="101" t="s">
        <v>487</v>
      </c>
      <c r="T75" s="101" t="s">
        <v>487</v>
      </c>
      <c r="U75" s="101" t="s">
        <v>487</v>
      </c>
      <c r="V75" s="73" t="s">
        <v>487</v>
      </c>
      <c r="W75" s="73" t="s">
        <v>487</v>
      </c>
      <c r="X75" s="73" t="s">
        <v>5706</v>
      </c>
      <c r="Y75" s="73" t="s">
        <v>558</v>
      </c>
      <c r="Z75" s="73" t="s">
        <v>487</v>
      </c>
      <c r="AA75" s="73" t="s">
        <v>558</v>
      </c>
      <c r="AB75" s="107" t="n">
        <v>44784</v>
      </c>
    </row>
    <row r="76" customFormat="false" ht="13.8" hidden="false" customHeight="false" outlineLevel="0" collapsed="false">
      <c r="A76" s="99" t="s">
        <v>5707</v>
      </c>
      <c r="B76" s="103" t="e">
        <f aca="false">INDEX(#REF!,MATCH(A76, #REF!,0),1)</f>
        <v>#VALUE!</v>
      </c>
      <c r="C76" s="103" t="e">
        <f aca="false">INDEX(#REF!,MATCH(A76, #REF!,0),1)</f>
        <v>#VALUE!</v>
      </c>
      <c r="D76" s="103" t="e">
        <f aca="false">INDEX(#REF!,MATCH(A76, #REF!,0),1)</f>
        <v>#VALUE!</v>
      </c>
      <c r="E76" s="104" t="e">
        <f aca="false">INDEX(participants!$B$1:$B$506,MATCH($C76, participants!$A$1:$A$515,0),1)</f>
        <v>#VALUE!</v>
      </c>
      <c r="F76" s="103" t="e">
        <f aca="false">INDEX(#REF!,MATCH(A76, #REF!,0),1)</f>
        <v>#VALUE!</v>
      </c>
      <c r="G76" s="105" t="e">
        <f aca="false">INDEX(samples!$C$1:$C$944,MATCH(F76, #REF!,0),1)</f>
        <v>#VALUE!</v>
      </c>
      <c r="H76" s="104" t="e">
        <f aca="false">INDEX(participants!$K$1:$K$506,MATCH($C76, participants!$A$1:$A$515,0),1)</f>
        <v>#VALUE!</v>
      </c>
      <c r="I76" s="104" t="e">
        <f aca="false">INDEX(#REF!,MATCH($A76, #REF!,0),1)</f>
        <v>#VALUE!</v>
      </c>
      <c r="J76" s="101" t="s">
        <v>511</v>
      </c>
      <c r="K76" s="101" t="s">
        <v>511</v>
      </c>
      <c r="L76" s="101" t="s">
        <v>558</v>
      </c>
      <c r="M76" s="101" t="s">
        <v>487</v>
      </c>
      <c r="N76" s="101" t="s">
        <v>511</v>
      </c>
      <c r="O76" s="101" t="n">
        <v>1</v>
      </c>
      <c r="P76" s="101" t="s">
        <v>5556</v>
      </c>
      <c r="Q76" s="101" t="s">
        <v>5556</v>
      </c>
      <c r="R76" s="101" t="s">
        <v>487</v>
      </c>
      <c r="S76" s="101" t="s">
        <v>487</v>
      </c>
      <c r="T76" s="101" t="s">
        <v>487</v>
      </c>
      <c r="U76" s="101" t="s">
        <v>487</v>
      </c>
      <c r="V76" s="73" t="s">
        <v>487</v>
      </c>
      <c r="W76" s="73" t="s">
        <v>487</v>
      </c>
      <c r="X76" s="73" t="s">
        <v>5708</v>
      </c>
      <c r="Y76" s="73" t="s">
        <v>558</v>
      </c>
      <c r="Z76" s="73" t="s">
        <v>487</v>
      </c>
      <c r="AA76" s="73" t="s">
        <v>558</v>
      </c>
      <c r="AB76" s="107" t="n">
        <v>44063</v>
      </c>
    </row>
    <row r="77" customFormat="false" ht="13.8" hidden="false" customHeight="false" outlineLevel="0" collapsed="false">
      <c r="A77" s="99" t="s">
        <v>5709</v>
      </c>
      <c r="B77" s="103" t="e">
        <f aca="false">INDEX(#REF!,MATCH(A77, #REF!,0),1)</f>
        <v>#VALUE!</v>
      </c>
      <c r="C77" s="103" t="e">
        <f aca="false">INDEX(#REF!,MATCH(A77, #REF!,0),1)</f>
        <v>#VALUE!</v>
      </c>
      <c r="D77" s="103" t="e">
        <f aca="false">INDEX(#REF!,MATCH(A77, #REF!,0),1)</f>
        <v>#VALUE!</v>
      </c>
      <c r="E77" s="104" t="e">
        <f aca="false">INDEX(participants!$B$1:$B$506,MATCH($C77, participants!$A$1:$A$515,0),1)</f>
        <v>#VALUE!</v>
      </c>
      <c r="F77" s="103" t="e">
        <f aca="false">INDEX(#REF!,MATCH(A77, #REF!,0),1)</f>
        <v>#VALUE!</v>
      </c>
      <c r="G77" s="105" t="e">
        <f aca="false">INDEX(samples!$C$1:$C$944,MATCH(F77, #REF!,0),1)</f>
        <v>#VALUE!</v>
      </c>
      <c r="H77" s="104" t="e">
        <f aca="false">INDEX(participants!$K$1:$K$506,MATCH($C77, participants!$A$1:$A$515,0),1)</f>
        <v>#VALUE!</v>
      </c>
      <c r="I77" s="104" t="e">
        <f aca="false">INDEX(#REF!,MATCH($A77, #REF!,0),1)</f>
        <v>#VALUE!</v>
      </c>
      <c r="J77" s="101" t="s">
        <v>511</v>
      </c>
      <c r="K77" s="101" t="s">
        <v>511</v>
      </c>
      <c r="L77" s="107" t="n">
        <v>44418</v>
      </c>
      <c r="M77" s="101" t="s">
        <v>5561</v>
      </c>
      <c r="N77" s="101" t="s">
        <v>558</v>
      </c>
      <c r="O77" s="101" t="s">
        <v>487</v>
      </c>
      <c r="P77" s="101" t="s">
        <v>5556</v>
      </c>
      <c r="Q77" s="101" t="s">
        <v>5556</v>
      </c>
      <c r="R77" s="101" t="s">
        <v>487</v>
      </c>
      <c r="S77" s="101" t="s">
        <v>487</v>
      </c>
      <c r="T77" s="101" t="s">
        <v>487</v>
      </c>
      <c r="U77" s="101" t="s">
        <v>487</v>
      </c>
      <c r="V77" s="73" t="s">
        <v>487</v>
      </c>
      <c r="W77" s="73" t="s">
        <v>487</v>
      </c>
      <c r="X77" s="73" t="s">
        <v>5710</v>
      </c>
      <c r="Y77" s="73" t="s">
        <v>558</v>
      </c>
      <c r="Z77" s="73" t="s">
        <v>487</v>
      </c>
      <c r="AA77" s="73" t="s">
        <v>558</v>
      </c>
      <c r="AB77" s="107" t="n">
        <v>44140</v>
      </c>
      <c r="AC77" s="73" t="s">
        <v>5711</v>
      </c>
      <c r="AD77" s="73" t="s">
        <v>1382</v>
      </c>
    </row>
    <row r="78" customFormat="false" ht="13.8" hidden="false" customHeight="false" outlineLevel="0" collapsed="false">
      <c r="A78" s="99" t="s">
        <v>5712</v>
      </c>
      <c r="B78" s="103" t="e">
        <f aca="false">INDEX(#REF!,MATCH(A78, #REF!,0),1)</f>
        <v>#VALUE!</v>
      </c>
      <c r="C78" s="103" t="e">
        <f aca="false">INDEX(#REF!,MATCH(A78, #REF!,0),1)</f>
        <v>#VALUE!</v>
      </c>
      <c r="D78" s="103" t="e">
        <f aca="false">INDEX(#REF!,MATCH(A78, #REF!,0),1)</f>
        <v>#VALUE!</v>
      </c>
      <c r="E78" s="104" t="e">
        <f aca="false">INDEX(participants!$B$1:$B$506,MATCH($C78, participants!$A$1:$A$515,0),1)</f>
        <v>#VALUE!</v>
      </c>
      <c r="F78" s="103" t="e">
        <f aca="false">INDEX(#REF!,MATCH(A78, #REF!,0),1)</f>
        <v>#VALUE!</v>
      </c>
      <c r="G78" s="105" t="e">
        <f aca="false">INDEX(samples!$C$1:$C$944,MATCH(F78, #REF!,0),1)</f>
        <v>#VALUE!</v>
      </c>
      <c r="H78" s="104" t="e">
        <f aca="false">INDEX(participants!$K$1:$K$506,MATCH($C78, participants!$A$1:$A$515,0),1)</f>
        <v>#VALUE!</v>
      </c>
      <c r="I78" s="104" t="e">
        <f aca="false">INDEX(#REF!,MATCH($A78, #REF!,0),1)</f>
        <v>#VALUE!</v>
      </c>
      <c r="J78" s="101" t="s">
        <v>511</v>
      </c>
      <c r="K78" s="101" t="s">
        <v>511</v>
      </c>
      <c r="L78" s="107" t="n">
        <v>44314</v>
      </c>
      <c r="M78" s="101" t="s">
        <v>5414</v>
      </c>
      <c r="N78" s="101" t="s">
        <v>558</v>
      </c>
      <c r="O78" s="101" t="s">
        <v>487</v>
      </c>
      <c r="P78" s="101" t="s">
        <v>5556</v>
      </c>
      <c r="Q78" s="101" t="s">
        <v>5556</v>
      </c>
      <c r="R78" s="101" t="s">
        <v>487</v>
      </c>
      <c r="S78" s="101" t="s">
        <v>487</v>
      </c>
      <c r="T78" s="101" t="s">
        <v>487</v>
      </c>
      <c r="U78" s="101" t="s">
        <v>487</v>
      </c>
      <c r="V78" s="73" t="s">
        <v>5713</v>
      </c>
      <c r="W78" s="73" t="s">
        <v>487</v>
      </c>
      <c r="X78" s="73" t="s">
        <v>5697</v>
      </c>
      <c r="Y78" s="73" t="s">
        <v>558</v>
      </c>
      <c r="Z78" s="73" t="s">
        <v>487</v>
      </c>
      <c r="AA78" s="73" t="s">
        <v>558</v>
      </c>
      <c r="AB78" s="107" t="n">
        <v>44235</v>
      </c>
      <c r="AC78" s="73" t="s">
        <v>5714</v>
      </c>
      <c r="AD78" s="73" t="s">
        <v>1382</v>
      </c>
    </row>
    <row r="79" customFormat="false" ht="13.8" hidden="false" customHeight="false" outlineLevel="0" collapsed="false">
      <c r="A79" s="99" t="s">
        <v>5715</v>
      </c>
      <c r="B79" s="103" t="e">
        <f aca="false">INDEX(#REF!,MATCH(A79, #REF!,0),1)</f>
        <v>#VALUE!</v>
      </c>
      <c r="C79" s="103" t="e">
        <f aca="false">INDEX(#REF!,MATCH(A79, #REF!,0),1)</f>
        <v>#VALUE!</v>
      </c>
      <c r="D79" s="103" t="e">
        <f aca="false">INDEX(#REF!,MATCH(A79, #REF!,0),1)</f>
        <v>#VALUE!</v>
      </c>
      <c r="E79" s="104" t="e">
        <f aca="false">INDEX(participants!$B$1:$B$506,MATCH($C79, participants!$A$1:$A$515,0),1)</f>
        <v>#VALUE!</v>
      </c>
      <c r="F79" s="103" t="e">
        <f aca="false">INDEX(#REF!,MATCH(A79, #REF!,0),1)</f>
        <v>#VALUE!</v>
      </c>
      <c r="G79" s="105" t="e">
        <f aca="false">INDEX(samples!$C$1:$C$944,MATCH(F79, #REF!,0),1)</f>
        <v>#VALUE!</v>
      </c>
      <c r="H79" s="104" t="e">
        <f aca="false">INDEX(participants!$K$1:$K$506,MATCH($C79, participants!$A$1:$A$515,0),1)</f>
        <v>#VALUE!</v>
      </c>
      <c r="I79" s="104" t="e">
        <f aca="false">INDEX(#REF!,MATCH($A79, #REF!,0),1)</f>
        <v>#VALUE!</v>
      </c>
      <c r="J79" s="101" t="s">
        <v>511</v>
      </c>
      <c r="K79" s="101" t="s">
        <v>511</v>
      </c>
      <c r="L79" s="107" t="n">
        <v>44145</v>
      </c>
      <c r="M79" s="101" t="s">
        <v>5414</v>
      </c>
      <c r="N79" s="101" t="s">
        <v>511</v>
      </c>
      <c r="O79" s="101" t="n">
        <v>1</v>
      </c>
      <c r="P79" s="101" t="s">
        <v>5556</v>
      </c>
      <c r="Q79" s="101" t="s">
        <v>5556</v>
      </c>
      <c r="R79" s="101" t="s">
        <v>487</v>
      </c>
      <c r="S79" s="101" t="s">
        <v>487</v>
      </c>
      <c r="T79" s="101" t="s">
        <v>487</v>
      </c>
      <c r="U79" s="101" t="s">
        <v>487</v>
      </c>
      <c r="V79" s="73" t="s">
        <v>487</v>
      </c>
      <c r="W79" s="73" t="s">
        <v>487</v>
      </c>
      <c r="X79" s="73" t="s">
        <v>5716</v>
      </c>
      <c r="Y79" s="73" t="s">
        <v>558</v>
      </c>
      <c r="Z79" s="73" t="s">
        <v>487</v>
      </c>
      <c r="AA79" s="73" t="s">
        <v>558</v>
      </c>
      <c r="AB79" s="107" t="n">
        <v>44159</v>
      </c>
    </row>
    <row r="80" customFormat="false" ht="13.8" hidden="false" customHeight="false" outlineLevel="0" collapsed="false">
      <c r="A80" s="99" t="s">
        <v>5717</v>
      </c>
      <c r="B80" s="103" t="e">
        <f aca="false">INDEX(#REF!,MATCH(A80, #REF!,0),1)</f>
        <v>#VALUE!</v>
      </c>
      <c r="C80" s="103" t="e">
        <f aca="false">INDEX(#REF!,MATCH(A80, #REF!,0),1)</f>
        <v>#VALUE!</v>
      </c>
      <c r="D80" s="103" t="e">
        <f aca="false">INDEX(#REF!,MATCH(A80, #REF!,0),1)</f>
        <v>#VALUE!</v>
      </c>
      <c r="E80" s="104" t="e">
        <f aca="false">INDEX(participants!$B$1:$B$506,MATCH($C80, participants!$A$1:$A$515,0),1)</f>
        <v>#VALUE!</v>
      </c>
      <c r="F80" s="103" t="e">
        <f aca="false">INDEX(#REF!,MATCH(A80, #REF!,0),1)</f>
        <v>#VALUE!</v>
      </c>
      <c r="G80" s="105" t="e">
        <f aca="false">INDEX(samples!$C$1:$C$944,MATCH(F80, #REF!,0),1)</f>
        <v>#VALUE!</v>
      </c>
      <c r="H80" s="104" t="e">
        <f aca="false">INDEX(participants!$K$1:$K$506,MATCH($C80, participants!$A$1:$A$515,0),1)</f>
        <v>#VALUE!</v>
      </c>
      <c r="I80" s="104" t="e">
        <f aca="false">INDEX(#REF!,MATCH($A80, #REF!,0),1)</f>
        <v>#VALUE!</v>
      </c>
      <c r="J80" s="101" t="s">
        <v>511</v>
      </c>
      <c r="K80" s="101" t="s">
        <v>511</v>
      </c>
      <c r="L80" s="107" t="n">
        <v>44656</v>
      </c>
      <c r="M80" s="101" t="s">
        <v>5561</v>
      </c>
      <c r="N80" s="101" t="s">
        <v>558</v>
      </c>
      <c r="O80" s="101" t="s">
        <v>487</v>
      </c>
      <c r="P80" s="101" t="s">
        <v>5556</v>
      </c>
      <c r="Q80" s="101" t="s">
        <v>5556</v>
      </c>
      <c r="R80" s="101" t="s">
        <v>487</v>
      </c>
      <c r="S80" s="101" t="s">
        <v>487</v>
      </c>
      <c r="T80" s="101" t="s">
        <v>487</v>
      </c>
      <c r="U80" s="101" t="s">
        <v>487</v>
      </c>
      <c r="V80" s="73" t="s">
        <v>5718</v>
      </c>
      <c r="W80" s="73" t="s">
        <v>487</v>
      </c>
      <c r="X80" s="73" t="s">
        <v>5719</v>
      </c>
      <c r="Y80" s="73" t="s">
        <v>558</v>
      </c>
      <c r="Z80" s="73" t="s">
        <v>487</v>
      </c>
      <c r="AA80" s="73" t="s">
        <v>558</v>
      </c>
      <c r="AB80" s="107" t="n">
        <v>44411</v>
      </c>
    </row>
    <row r="81" customFormat="false" ht="13.8" hidden="false" customHeight="false" outlineLevel="0" collapsed="false">
      <c r="A81" s="99" t="s">
        <v>5720</v>
      </c>
      <c r="B81" s="103" t="e">
        <f aca="false">INDEX(#REF!,MATCH(A81, #REF!,0),1)</f>
        <v>#VALUE!</v>
      </c>
      <c r="C81" s="103" t="e">
        <f aca="false">INDEX(#REF!,MATCH(A81, #REF!,0),1)</f>
        <v>#VALUE!</v>
      </c>
      <c r="D81" s="103" t="e">
        <f aca="false">INDEX(#REF!,MATCH(A81, #REF!,0),1)</f>
        <v>#VALUE!</v>
      </c>
      <c r="E81" s="104" t="e">
        <f aca="false">INDEX(participants!$B$1:$B$506,MATCH($C81, participants!$A$1:$A$515,0),1)</f>
        <v>#VALUE!</v>
      </c>
      <c r="F81" s="103" t="e">
        <f aca="false">INDEX(#REF!,MATCH(A81, #REF!,0),1)</f>
        <v>#VALUE!</v>
      </c>
      <c r="G81" s="105" t="e">
        <f aca="false">INDEX(samples!$C$1:$C$944,MATCH(F81, #REF!,0),1)</f>
        <v>#VALUE!</v>
      </c>
      <c r="H81" s="104" t="e">
        <f aca="false">INDEX(participants!$K$1:$K$506,MATCH($C81, participants!$A$1:$A$515,0),1)</f>
        <v>#VALUE!</v>
      </c>
      <c r="I81" s="104" t="e">
        <f aca="false">INDEX(#REF!,MATCH($A81, #REF!,0),1)</f>
        <v>#VALUE!</v>
      </c>
      <c r="J81" s="101" t="s">
        <v>511</v>
      </c>
      <c r="K81" s="101" t="s">
        <v>511</v>
      </c>
      <c r="L81" s="107" t="n">
        <v>44342</v>
      </c>
      <c r="M81" s="101" t="s">
        <v>5414</v>
      </c>
      <c r="N81" s="101" t="s">
        <v>511</v>
      </c>
      <c r="O81" s="101" t="n">
        <v>1</v>
      </c>
      <c r="P81" s="101" t="s">
        <v>5556</v>
      </c>
      <c r="Q81" s="101" t="s">
        <v>5556</v>
      </c>
      <c r="R81" s="101" t="s">
        <v>511</v>
      </c>
      <c r="S81" s="101" t="s">
        <v>487</v>
      </c>
      <c r="T81" s="101" t="s">
        <v>487</v>
      </c>
      <c r="U81" s="101" t="s">
        <v>487</v>
      </c>
      <c r="V81" s="73" t="s">
        <v>5721</v>
      </c>
      <c r="W81" s="73" t="s">
        <v>487</v>
      </c>
      <c r="X81" s="73" t="s">
        <v>487</v>
      </c>
      <c r="Y81" s="73" t="s">
        <v>558</v>
      </c>
      <c r="Z81" s="73" t="s">
        <v>487</v>
      </c>
      <c r="AA81" s="73" t="s">
        <v>558</v>
      </c>
      <c r="AB81" s="107" t="n">
        <v>44342</v>
      </c>
      <c r="AD81" s="73" t="s">
        <v>1382</v>
      </c>
    </row>
    <row r="82" customFormat="false" ht="13.8" hidden="false" customHeight="false" outlineLevel="0" collapsed="false">
      <c r="A82" s="99" t="s">
        <v>5722</v>
      </c>
      <c r="B82" s="103" t="e">
        <f aca="false">INDEX(#REF!,MATCH(A82, #REF!,0),1)</f>
        <v>#VALUE!</v>
      </c>
      <c r="C82" s="103" t="e">
        <f aca="false">INDEX(#REF!,MATCH(A82, #REF!,0),1)</f>
        <v>#VALUE!</v>
      </c>
      <c r="D82" s="103" t="e">
        <f aca="false">INDEX(#REF!,MATCH(A82, #REF!,0),1)</f>
        <v>#VALUE!</v>
      </c>
      <c r="E82" s="104" t="e">
        <f aca="false">INDEX(participants!$B$1:$B$506,MATCH($C82, participants!$A$1:$A$515,0),1)</f>
        <v>#VALUE!</v>
      </c>
      <c r="F82" s="103" t="e">
        <f aca="false">INDEX(#REF!,MATCH(A82, #REF!,0),1)</f>
        <v>#VALUE!</v>
      </c>
      <c r="G82" s="105" t="e">
        <f aca="false">INDEX(samples!$C$1:$C$944,MATCH(F82, #REF!,0),1)</f>
        <v>#VALUE!</v>
      </c>
      <c r="H82" s="104" t="e">
        <f aca="false">INDEX(participants!$K$1:$K$506,MATCH($C82, participants!$A$1:$A$515,0),1)</f>
        <v>#VALUE!</v>
      </c>
      <c r="I82" s="104" t="e">
        <f aca="false">INDEX(#REF!,MATCH($A82, #REF!,0),1)</f>
        <v>#VALUE!</v>
      </c>
      <c r="J82" s="101" t="s">
        <v>511</v>
      </c>
      <c r="K82" s="101" t="s">
        <v>511</v>
      </c>
      <c r="L82" s="101" t="s">
        <v>558</v>
      </c>
      <c r="M82" s="101" t="s">
        <v>487</v>
      </c>
      <c r="N82" s="101" t="s">
        <v>511</v>
      </c>
      <c r="O82" s="101" t="n">
        <v>1</v>
      </c>
      <c r="P82" s="101" t="s">
        <v>5556</v>
      </c>
      <c r="Q82" s="101" t="s">
        <v>5556</v>
      </c>
      <c r="R82" s="101" t="s">
        <v>487</v>
      </c>
      <c r="S82" s="101" t="s">
        <v>487</v>
      </c>
      <c r="T82" s="101" t="s">
        <v>487</v>
      </c>
      <c r="U82" s="101" t="s">
        <v>487</v>
      </c>
      <c r="V82" s="73" t="s">
        <v>487</v>
      </c>
      <c r="W82" s="73" t="s">
        <v>487</v>
      </c>
      <c r="X82" s="73" t="s">
        <v>5723</v>
      </c>
      <c r="Y82" s="73" t="s">
        <v>558</v>
      </c>
      <c r="Z82" s="73" t="s">
        <v>487</v>
      </c>
      <c r="AA82" s="73" t="s">
        <v>558</v>
      </c>
      <c r="AB82" s="107" t="n">
        <v>44523</v>
      </c>
    </row>
    <row r="83" customFormat="false" ht="13.8" hidden="false" customHeight="false" outlineLevel="0" collapsed="false">
      <c r="A83" s="99" t="s">
        <v>5724</v>
      </c>
      <c r="B83" s="103" t="e">
        <f aca="false">INDEX(#REF!,MATCH(A83, #REF!,0),1)</f>
        <v>#VALUE!</v>
      </c>
      <c r="C83" s="103" t="e">
        <f aca="false">INDEX(#REF!,MATCH(A83, #REF!,0),1)</f>
        <v>#VALUE!</v>
      </c>
      <c r="D83" s="103" t="e">
        <f aca="false">INDEX(#REF!,MATCH(A83, #REF!,0),1)</f>
        <v>#VALUE!</v>
      </c>
      <c r="E83" s="104" t="e">
        <f aca="false">INDEX(participants!$B$1:$B$506,MATCH($C83, participants!$A$1:$A$515,0),1)</f>
        <v>#VALUE!</v>
      </c>
      <c r="F83" s="103" t="e">
        <f aca="false">INDEX(#REF!,MATCH(A83, #REF!,0),1)</f>
        <v>#VALUE!</v>
      </c>
      <c r="G83" s="105" t="e">
        <f aca="false">INDEX(samples!$C$1:$C$944,MATCH(F83, #REF!,0),1)</f>
        <v>#VALUE!</v>
      </c>
      <c r="H83" s="104" t="e">
        <f aca="false">INDEX(participants!$K$1:$K$506,MATCH($C83, participants!$A$1:$A$515,0),1)</f>
        <v>#VALUE!</v>
      </c>
      <c r="I83" s="104" t="e">
        <f aca="false">INDEX(#REF!,MATCH($A83, #REF!,0),1)</f>
        <v>#VALUE!</v>
      </c>
      <c r="J83" s="101" t="s">
        <v>558</v>
      </c>
      <c r="K83" s="101" t="s">
        <v>558</v>
      </c>
      <c r="L83" s="107" t="n">
        <v>44628</v>
      </c>
      <c r="M83" s="101" t="s">
        <v>5561</v>
      </c>
      <c r="N83" s="101" t="s">
        <v>511</v>
      </c>
      <c r="O83" s="101" t="n">
        <v>2</v>
      </c>
      <c r="P83" s="101" t="s">
        <v>5556</v>
      </c>
      <c r="Q83" s="101" t="s">
        <v>487</v>
      </c>
      <c r="R83" s="101" t="s">
        <v>511</v>
      </c>
      <c r="S83" s="101" t="s">
        <v>5725</v>
      </c>
      <c r="T83" s="107" t="n">
        <v>44520</v>
      </c>
      <c r="U83" s="107" t="n">
        <v>44628</v>
      </c>
      <c r="V83" s="73" t="s">
        <v>5726</v>
      </c>
      <c r="W83" s="73" t="s">
        <v>5327</v>
      </c>
      <c r="X83" s="73" t="s">
        <v>5727</v>
      </c>
      <c r="Y83" s="73" t="s">
        <v>558</v>
      </c>
      <c r="Z83" s="73" t="s">
        <v>487</v>
      </c>
      <c r="AA83" s="73" t="s">
        <v>558</v>
      </c>
      <c r="AB83" s="107" t="n">
        <v>44540</v>
      </c>
    </row>
    <row r="84" customFormat="false" ht="13.8" hidden="false" customHeight="false" outlineLevel="0" collapsed="false">
      <c r="A84" s="99" t="s">
        <v>5728</v>
      </c>
      <c r="B84" s="103" t="e">
        <f aca="false">INDEX(#REF!,MATCH(A84, #REF!,0),1)</f>
        <v>#VALUE!</v>
      </c>
      <c r="C84" s="103" t="e">
        <f aca="false">INDEX(#REF!,MATCH(A84, #REF!,0),1)</f>
        <v>#VALUE!</v>
      </c>
      <c r="D84" s="103" t="e">
        <f aca="false">INDEX(#REF!,MATCH(A84, #REF!,0),1)</f>
        <v>#VALUE!</v>
      </c>
      <c r="E84" s="104" t="e">
        <f aca="false">INDEX(participants!$B$1:$B$506,MATCH($C84, participants!$A$1:$A$515,0),1)</f>
        <v>#VALUE!</v>
      </c>
      <c r="F84" s="103" t="e">
        <f aca="false">INDEX(#REF!,MATCH(A84, #REF!,0),1)</f>
        <v>#VALUE!</v>
      </c>
      <c r="G84" s="105" t="e">
        <f aca="false">INDEX(samples!$C$1:$C$944,MATCH(F84, #REF!,0),1)</f>
        <v>#VALUE!</v>
      </c>
      <c r="H84" s="104" t="e">
        <f aca="false">INDEX(participants!$K$1:$K$506,MATCH($C84, participants!$A$1:$A$515,0),1)</f>
        <v>#VALUE!</v>
      </c>
      <c r="I84" s="104" t="e">
        <f aca="false">INDEX(#REF!,MATCH($A84, #REF!,0),1)</f>
        <v>#VALUE!</v>
      </c>
      <c r="J84" s="101" t="s">
        <v>558</v>
      </c>
      <c r="K84" s="101" t="s">
        <v>558</v>
      </c>
      <c r="L84" s="107" t="n">
        <v>44676</v>
      </c>
      <c r="M84" s="101" t="s">
        <v>5561</v>
      </c>
      <c r="N84" s="101" t="s">
        <v>511</v>
      </c>
      <c r="O84" s="101" t="n">
        <v>3</v>
      </c>
      <c r="P84" s="101" t="s">
        <v>5556</v>
      </c>
      <c r="Q84" s="101" t="s">
        <v>487</v>
      </c>
      <c r="R84" s="101" t="s">
        <v>511</v>
      </c>
      <c r="S84" s="101" t="s">
        <v>5561</v>
      </c>
      <c r="T84" s="107" t="n">
        <v>44649</v>
      </c>
      <c r="U84" s="107" t="n">
        <v>44677</v>
      </c>
      <c r="V84" s="73" t="s">
        <v>5700</v>
      </c>
      <c r="W84" s="73" t="s">
        <v>5327</v>
      </c>
      <c r="X84" s="73" t="s">
        <v>5729</v>
      </c>
      <c r="Y84" s="73" t="s">
        <v>558</v>
      </c>
      <c r="Z84" s="73" t="s">
        <v>487</v>
      </c>
      <c r="AA84" s="73" t="s">
        <v>558</v>
      </c>
      <c r="AB84" s="107" t="n">
        <v>44574</v>
      </c>
    </row>
    <row r="85" customFormat="false" ht="13.8" hidden="false" customHeight="false" outlineLevel="0" collapsed="false">
      <c r="A85" s="99" t="s">
        <v>5730</v>
      </c>
      <c r="B85" s="103" t="e">
        <f aca="false">INDEX(#REF!,MATCH(A85, #REF!,0),1)</f>
        <v>#VALUE!</v>
      </c>
      <c r="C85" s="103" t="e">
        <f aca="false">INDEX(#REF!,MATCH(A85, #REF!,0),1)</f>
        <v>#VALUE!</v>
      </c>
      <c r="D85" s="103" t="e">
        <f aca="false">INDEX(#REF!,MATCH(A85, #REF!,0),1)</f>
        <v>#VALUE!</v>
      </c>
      <c r="E85" s="104" t="e">
        <f aca="false">INDEX(participants!$B$1:$B$506,MATCH($C85, participants!$A$1:$A$515,0),1)</f>
        <v>#VALUE!</v>
      </c>
      <c r="F85" s="103" t="e">
        <f aca="false">INDEX(#REF!,MATCH(A85, #REF!,0),1)</f>
        <v>#VALUE!</v>
      </c>
      <c r="G85" s="105" t="e">
        <f aca="false">INDEX(samples!$C$1:$C$944,MATCH(F85, #REF!,0),1)</f>
        <v>#VALUE!</v>
      </c>
      <c r="H85" s="104" t="e">
        <f aca="false">INDEX(participants!$K$1:$K$506,MATCH($C85, participants!$A$1:$A$515,0),1)</f>
        <v>#VALUE!</v>
      </c>
      <c r="I85" s="104" t="e">
        <f aca="false">INDEX(#REF!,MATCH($A85, #REF!,0),1)</f>
        <v>#VALUE!</v>
      </c>
      <c r="J85" s="110"/>
      <c r="K85" s="110"/>
      <c r="L85" s="110"/>
      <c r="M85" s="110"/>
      <c r="N85" s="110"/>
      <c r="O85" s="110"/>
      <c r="P85" s="110"/>
      <c r="Q85" s="110"/>
      <c r="R85" s="110"/>
      <c r="S85" s="110"/>
      <c r="T85" s="110"/>
      <c r="U85" s="110"/>
      <c r="V85" s="110"/>
      <c r="W85" s="110"/>
      <c r="X85" s="110"/>
      <c r="Y85" s="110"/>
      <c r="Z85" s="110"/>
      <c r="AA85" s="110"/>
      <c r="AB85" s="110"/>
    </row>
    <row r="86" customFormat="false" ht="13.8" hidden="false" customHeight="false" outlineLevel="0" collapsed="false">
      <c r="A86" s="99" t="s">
        <v>5731</v>
      </c>
      <c r="B86" s="103" t="e">
        <f aca="false">INDEX(#REF!,MATCH(A86, #REF!,0),1)</f>
        <v>#VALUE!</v>
      </c>
      <c r="C86" s="103" t="e">
        <f aca="false">INDEX(#REF!,MATCH(A86, #REF!,0),1)</f>
        <v>#VALUE!</v>
      </c>
      <c r="D86" s="103" t="e">
        <f aca="false">INDEX(#REF!,MATCH(A86, #REF!,0),1)</f>
        <v>#VALUE!</v>
      </c>
      <c r="E86" s="104" t="e">
        <f aca="false">INDEX(participants!$B$1:$B$506,MATCH($C86, participants!$A$1:$A$515,0),1)</f>
        <v>#VALUE!</v>
      </c>
      <c r="F86" s="103" t="e">
        <f aca="false">INDEX(#REF!,MATCH(A86, #REF!,0),1)</f>
        <v>#VALUE!</v>
      </c>
      <c r="G86" s="105" t="e">
        <f aca="false">INDEX(samples!$C$1:$C$944,MATCH(F86, #REF!,0),1)</f>
        <v>#VALUE!</v>
      </c>
      <c r="H86" s="104" t="e">
        <f aca="false">INDEX(participants!$K$1:$K$506,MATCH($C86, participants!$A$1:$A$515,0),1)</f>
        <v>#VALUE!</v>
      </c>
      <c r="I86" s="104" t="e">
        <f aca="false">INDEX(#REF!,MATCH($A86, #REF!,0),1)</f>
        <v>#VALUE!</v>
      </c>
      <c r="J86" s="101" t="s">
        <v>511</v>
      </c>
      <c r="K86" s="101" t="s">
        <v>511</v>
      </c>
      <c r="L86" s="107" t="n">
        <v>44873</v>
      </c>
      <c r="M86" s="101" t="s">
        <v>5561</v>
      </c>
      <c r="N86" s="101" t="s">
        <v>558</v>
      </c>
      <c r="O86" s="101" t="s">
        <v>487</v>
      </c>
      <c r="P86" s="101" t="s">
        <v>5556</v>
      </c>
      <c r="Q86" s="101" t="s">
        <v>487</v>
      </c>
      <c r="R86" s="101" t="s">
        <v>487</v>
      </c>
      <c r="S86" s="101" t="s">
        <v>487</v>
      </c>
      <c r="T86" s="101" t="s">
        <v>487</v>
      </c>
      <c r="U86" s="101" t="s">
        <v>487</v>
      </c>
      <c r="V86" s="73" t="s">
        <v>487</v>
      </c>
      <c r="W86" s="73" t="s">
        <v>487</v>
      </c>
      <c r="X86" s="73" t="s">
        <v>5732</v>
      </c>
      <c r="Y86" s="73" t="s">
        <v>558</v>
      </c>
      <c r="Z86" s="73" t="s">
        <v>487</v>
      </c>
      <c r="AA86" s="73" t="s">
        <v>558</v>
      </c>
      <c r="AB86" s="107" t="n">
        <v>44714</v>
      </c>
    </row>
    <row r="87" customFormat="false" ht="13.8" hidden="false" customHeight="false" outlineLevel="0" collapsed="false">
      <c r="A87" s="99" t="s">
        <v>5733</v>
      </c>
      <c r="B87" s="103" t="e">
        <f aca="false">INDEX(#REF!,MATCH(A87, #REF!,0),1)</f>
        <v>#VALUE!</v>
      </c>
      <c r="C87" s="103" t="e">
        <f aca="false">INDEX(#REF!,MATCH(A87, #REF!,0),1)</f>
        <v>#VALUE!</v>
      </c>
      <c r="D87" s="103" t="e">
        <f aca="false">INDEX(#REF!,MATCH(A87, #REF!,0),1)</f>
        <v>#VALUE!</v>
      </c>
      <c r="E87" s="104" t="e">
        <f aca="false">INDEX(participants!$B$1:$B$506,MATCH($C87, participants!$A$1:$A$515,0),1)</f>
        <v>#VALUE!</v>
      </c>
      <c r="F87" s="103" t="e">
        <f aca="false">INDEX(#REF!,MATCH(A87, #REF!,0),1)</f>
        <v>#VALUE!</v>
      </c>
      <c r="G87" s="105" t="e">
        <f aca="false">INDEX(samples!$C$1:$C$944,MATCH(F87, #REF!,0),1)</f>
        <v>#VALUE!</v>
      </c>
      <c r="H87" s="104" t="e">
        <f aca="false">INDEX(participants!$K$1:$K$506,MATCH($C87, participants!$A$1:$A$515,0),1)</f>
        <v>#VALUE!</v>
      </c>
      <c r="I87" s="104" t="e">
        <f aca="false">INDEX(#REF!,MATCH($A87, #REF!,0),1)</f>
        <v>#VALUE!</v>
      </c>
      <c r="J87" s="101" t="s">
        <v>558</v>
      </c>
      <c r="K87" s="101" t="s">
        <v>511</v>
      </c>
      <c r="L87" s="107" t="n">
        <v>43800</v>
      </c>
      <c r="M87" s="101" t="s">
        <v>5414</v>
      </c>
      <c r="N87" s="101" t="s">
        <v>511</v>
      </c>
      <c r="O87" s="101" t="n">
        <v>2</v>
      </c>
      <c r="P87" s="101" t="s">
        <v>5556</v>
      </c>
      <c r="Q87" s="101" t="s">
        <v>487</v>
      </c>
      <c r="R87" s="101" t="s">
        <v>487</v>
      </c>
      <c r="S87" s="101" t="s">
        <v>487</v>
      </c>
      <c r="T87" s="101" t="s">
        <v>487</v>
      </c>
      <c r="U87" s="101" t="s">
        <v>487</v>
      </c>
      <c r="V87" s="73" t="s">
        <v>487</v>
      </c>
      <c r="W87" s="73" t="s">
        <v>487</v>
      </c>
      <c r="X87" s="73" t="s">
        <v>5734</v>
      </c>
      <c r="Y87" s="73" t="s">
        <v>558</v>
      </c>
      <c r="Z87" s="73" t="s">
        <v>487</v>
      </c>
      <c r="AA87" s="73" t="s">
        <v>558</v>
      </c>
      <c r="AB87" s="107" t="n">
        <v>42880</v>
      </c>
    </row>
    <row r="88" customFormat="false" ht="13.8" hidden="false" customHeight="false" outlineLevel="0" collapsed="false">
      <c r="A88" s="99" t="s">
        <v>5735</v>
      </c>
      <c r="B88" s="103" t="e">
        <f aca="false">INDEX(#REF!,MATCH(A88, #REF!,0),1)</f>
        <v>#VALUE!</v>
      </c>
      <c r="C88" s="103" t="e">
        <f aca="false">INDEX(#REF!,MATCH(A88, #REF!,0),1)</f>
        <v>#VALUE!</v>
      </c>
      <c r="D88" s="103" t="e">
        <f aca="false">INDEX(#REF!,MATCH(A88, #REF!,0),1)</f>
        <v>#VALUE!</v>
      </c>
      <c r="E88" s="104" t="e">
        <f aca="false">INDEX(participants!$B$1:$B$506,MATCH($C88, participants!$A$1:$A$515,0),1)</f>
        <v>#VALUE!</v>
      </c>
      <c r="F88" s="103" t="e">
        <f aca="false">INDEX(#REF!,MATCH(A88, #REF!,0),1)</f>
        <v>#VALUE!</v>
      </c>
      <c r="G88" s="105" t="e">
        <f aca="false">INDEX(samples!$C$1:$C$944,MATCH(F88, #REF!,0),1)</f>
        <v>#VALUE!</v>
      </c>
      <c r="H88" s="104" t="e">
        <f aca="false">INDEX(participants!$K$1:$K$506,MATCH($C88, participants!$A$1:$A$515,0),1)</f>
        <v>#VALUE!</v>
      </c>
      <c r="I88" s="104" t="e">
        <f aca="false">INDEX(#REF!,MATCH($A88, #REF!,0),1)</f>
        <v>#VALUE!</v>
      </c>
      <c r="J88" s="101" t="s">
        <v>558</v>
      </c>
      <c r="K88" s="101" t="s">
        <v>558</v>
      </c>
      <c r="L88" s="107" t="n">
        <v>44411</v>
      </c>
      <c r="M88" s="101" t="s">
        <v>5561</v>
      </c>
      <c r="N88" s="101" t="s">
        <v>511</v>
      </c>
      <c r="O88" s="101" t="n">
        <v>3</v>
      </c>
      <c r="P88" s="101" t="s">
        <v>5557</v>
      </c>
      <c r="Q88" s="101" t="s">
        <v>5557</v>
      </c>
      <c r="R88" s="101" t="s">
        <v>511</v>
      </c>
      <c r="S88" s="101" t="s">
        <v>5736</v>
      </c>
      <c r="T88" s="107" t="n">
        <v>44341</v>
      </c>
      <c r="U88" s="107" t="n">
        <v>44411</v>
      </c>
      <c r="V88" s="73" t="s">
        <v>5737</v>
      </c>
      <c r="W88" s="73" t="s">
        <v>487</v>
      </c>
      <c r="X88" s="73" t="s">
        <v>5738</v>
      </c>
      <c r="Y88" s="73" t="s">
        <v>558</v>
      </c>
      <c r="Z88" s="73" t="s">
        <v>487</v>
      </c>
      <c r="AA88" s="73" t="s">
        <v>558</v>
      </c>
      <c r="AB88" s="107" t="n">
        <v>44327</v>
      </c>
    </row>
    <row r="89" customFormat="false" ht="13.8" hidden="false" customHeight="false" outlineLevel="0" collapsed="false">
      <c r="A89" s="99" t="s">
        <v>5739</v>
      </c>
      <c r="B89" s="103" t="e">
        <f aca="false">INDEX(#REF!,MATCH(A89, #REF!,0),1)</f>
        <v>#VALUE!</v>
      </c>
      <c r="C89" s="103" t="e">
        <f aca="false">INDEX(#REF!,MATCH(A89, #REF!,0),1)</f>
        <v>#VALUE!</v>
      </c>
      <c r="D89" s="103" t="e">
        <f aca="false">INDEX(#REF!,MATCH(A89, #REF!,0),1)</f>
        <v>#VALUE!</v>
      </c>
      <c r="E89" s="104" t="e">
        <f aca="false">INDEX(participants!$B$1:$B$506,MATCH($C89, participants!$A$1:$A$515,0),1)</f>
        <v>#VALUE!</v>
      </c>
      <c r="F89" s="103" t="e">
        <f aca="false">INDEX(#REF!,MATCH(A89, #REF!,0),1)</f>
        <v>#VALUE!</v>
      </c>
      <c r="G89" s="105" t="e">
        <f aca="false">INDEX(samples!$C$1:$C$944,MATCH(F89, #REF!,0),1)</f>
        <v>#VALUE!</v>
      </c>
      <c r="H89" s="104" t="e">
        <f aca="false">INDEX(participants!$K$1:$K$506,MATCH($C89, participants!$A$1:$A$515,0),1)</f>
        <v>#VALUE!</v>
      </c>
      <c r="I89" s="104" t="e">
        <f aca="false">INDEX(#REF!,MATCH($A89, #REF!,0),1)</f>
        <v>#VALUE!</v>
      </c>
      <c r="J89" s="101" t="s">
        <v>558</v>
      </c>
      <c r="K89" s="101" t="s">
        <v>558</v>
      </c>
      <c r="L89" s="107" t="n">
        <v>44441</v>
      </c>
      <c r="M89" s="101" t="s">
        <v>5561</v>
      </c>
      <c r="N89" s="101" t="s">
        <v>511</v>
      </c>
      <c r="O89" s="101" t="n">
        <v>4</v>
      </c>
      <c r="P89" s="101" t="s">
        <v>5557</v>
      </c>
      <c r="Q89" s="101" t="s">
        <v>5557</v>
      </c>
      <c r="R89" s="101" t="s">
        <v>511</v>
      </c>
      <c r="S89" s="101" t="s">
        <v>5736</v>
      </c>
      <c r="T89" s="107" t="n">
        <v>44441</v>
      </c>
      <c r="U89" s="107" t="n">
        <v>44441</v>
      </c>
      <c r="V89" s="73" t="s">
        <v>5740</v>
      </c>
      <c r="X89" s="73" t="s">
        <v>5741</v>
      </c>
      <c r="Y89" s="73" t="s">
        <v>558</v>
      </c>
      <c r="Z89" s="73" t="s">
        <v>487</v>
      </c>
      <c r="AA89" s="73" t="s">
        <v>558</v>
      </c>
      <c r="AB89" s="107" t="n">
        <v>44327</v>
      </c>
    </row>
    <row r="90" customFormat="false" ht="13.8" hidden="false" customHeight="false" outlineLevel="0" collapsed="false">
      <c r="A90" s="99" t="s">
        <v>5742</v>
      </c>
      <c r="B90" s="103" t="e">
        <f aca="false">INDEX(#REF!,MATCH(A90, #REF!,0),1)</f>
        <v>#VALUE!</v>
      </c>
      <c r="C90" s="103" t="e">
        <f aca="false">INDEX(#REF!,MATCH(A90, #REF!,0),1)</f>
        <v>#VALUE!</v>
      </c>
      <c r="D90" s="103" t="e">
        <f aca="false">INDEX(#REF!,MATCH(A90, #REF!,0),1)</f>
        <v>#VALUE!</v>
      </c>
      <c r="E90" s="104" t="e">
        <f aca="false">INDEX(participants!$B$1:$B$506,MATCH($C90, participants!$A$1:$A$515,0),1)</f>
        <v>#VALUE!</v>
      </c>
      <c r="F90" s="103" t="e">
        <f aca="false">INDEX(#REF!,MATCH(A90, #REF!,0),1)</f>
        <v>#VALUE!</v>
      </c>
      <c r="G90" s="105" t="e">
        <f aca="false">INDEX(samples!$C$1:$C$944,MATCH(F90, #REF!,0),1)</f>
        <v>#VALUE!</v>
      </c>
      <c r="H90" s="104" t="e">
        <f aca="false">INDEX(participants!$K$1:$K$506,MATCH($C90, participants!$A$1:$A$515,0),1)</f>
        <v>#VALUE!</v>
      </c>
      <c r="I90" s="104" t="e">
        <f aca="false">INDEX(#REF!,MATCH($A90, #REF!,0),1)</f>
        <v>#VALUE!</v>
      </c>
      <c r="J90" s="101" t="s">
        <v>558</v>
      </c>
      <c r="K90" s="101" t="s">
        <v>558</v>
      </c>
      <c r="L90" s="107" t="n">
        <v>44614</v>
      </c>
      <c r="M90" s="101" t="s">
        <v>5555</v>
      </c>
      <c r="N90" s="101" t="s">
        <v>511</v>
      </c>
      <c r="O90" s="101" t="n">
        <v>5</v>
      </c>
      <c r="P90" s="101" t="s">
        <v>5557</v>
      </c>
      <c r="Q90" s="101" t="s">
        <v>5557</v>
      </c>
      <c r="R90" s="101" t="s">
        <v>511</v>
      </c>
      <c r="S90" s="101" t="s">
        <v>5743</v>
      </c>
      <c r="T90" s="107" t="n">
        <v>44475</v>
      </c>
      <c r="U90" s="107" t="n">
        <v>44609</v>
      </c>
      <c r="V90" s="73" t="s">
        <v>5744</v>
      </c>
      <c r="X90" s="73" t="s">
        <v>5741</v>
      </c>
      <c r="Y90" s="73" t="s">
        <v>558</v>
      </c>
      <c r="Z90" s="73" t="s">
        <v>487</v>
      </c>
      <c r="AA90" s="73" t="s">
        <v>558</v>
      </c>
      <c r="AB90" s="107" t="n">
        <v>44327</v>
      </c>
    </row>
    <row r="91" customFormat="false" ht="13.8" hidden="false" customHeight="false" outlineLevel="0" collapsed="false">
      <c r="A91" s="99" t="s">
        <v>5745</v>
      </c>
      <c r="B91" s="103" t="e">
        <f aca="false">INDEX(#REF!,MATCH(A91, #REF!,0),1)</f>
        <v>#VALUE!</v>
      </c>
      <c r="C91" s="103" t="e">
        <f aca="false">INDEX(#REF!,MATCH(A91, #REF!,0),1)</f>
        <v>#VALUE!</v>
      </c>
      <c r="D91" s="103" t="e">
        <f aca="false">INDEX(#REF!,MATCH(A91, #REF!,0),1)</f>
        <v>#VALUE!</v>
      </c>
      <c r="E91" s="104" t="e">
        <f aca="false">INDEX(participants!$B$1:$B$506,MATCH($C91, participants!$A$1:$A$515,0),1)</f>
        <v>#VALUE!</v>
      </c>
      <c r="F91" s="103" t="e">
        <f aca="false">INDEX(#REF!,MATCH(A91, #REF!,0),1)</f>
        <v>#VALUE!</v>
      </c>
      <c r="G91" s="105" t="e">
        <f aca="false">INDEX(samples!$C$1:$C$944,MATCH(F91, #REF!,0),1)</f>
        <v>#VALUE!</v>
      </c>
      <c r="H91" s="104" t="e">
        <f aca="false">INDEX(participants!$K$1:$K$506,MATCH($C91, participants!$A$1:$A$515,0),1)</f>
        <v>#VALUE!</v>
      </c>
      <c r="I91" s="104" t="e">
        <f aca="false">INDEX(#REF!,MATCH($A91, #REF!,0),1)</f>
        <v>#VALUE!</v>
      </c>
      <c r="J91" s="101" t="s">
        <v>558</v>
      </c>
      <c r="K91" s="101" t="s">
        <v>558</v>
      </c>
      <c r="L91" s="107" t="n">
        <v>44670</v>
      </c>
      <c r="M91" s="101" t="s">
        <v>5587</v>
      </c>
      <c r="N91" s="101" t="s">
        <v>511</v>
      </c>
      <c r="O91" s="101" t="n">
        <v>6</v>
      </c>
      <c r="P91" s="101" t="s">
        <v>5557</v>
      </c>
      <c r="Q91" s="101" t="s">
        <v>5557</v>
      </c>
      <c r="R91" s="101" t="s">
        <v>511</v>
      </c>
      <c r="S91" s="101" t="s">
        <v>5743</v>
      </c>
      <c r="T91" s="107" t="n">
        <v>44644</v>
      </c>
      <c r="U91" s="107" t="n">
        <v>44670</v>
      </c>
      <c r="V91" s="73" t="s">
        <v>5746</v>
      </c>
      <c r="X91" s="73" t="s">
        <v>5741</v>
      </c>
      <c r="Y91" s="73" t="s">
        <v>558</v>
      </c>
      <c r="Z91" s="73" t="s">
        <v>487</v>
      </c>
      <c r="AA91" s="73" t="s">
        <v>558</v>
      </c>
      <c r="AB91" s="107" t="n">
        <v>44327</v>
      </c>
    </row>
    <row r="92" customFormat="false" ht="13.8" hidden="false" customHeight="false" outlineLevel="0" collapsed="false">
      <c r="A92" s="99" t="s">
        <v>5747</v>
      </c>
      <c r="B92" s="103" t="e">
        <f aca="false">INDEX(#REF!,MATCH(A92, #REF!,0),1)</f>
        <v>#VALUE!</v>
      </c>
      <c r="C92" s="103" t="e">
        <f aca="false">INDEX(#REF!,MATCH(A92, #REF!,0),1)</f>
        <v>#VALUE!</v>
      </c>
      <c r="D92" s="103" t="e">
        <f aca="false">INDEX(#REF!,MATCH(A92, #REF!,0),1)</f>
        <v>#VALUE!</v>
      </c>
      <c r="E92" s="104" t="e">
        <f aca="false">INDEX(participants!$B$1:$B$506,MATCH($C92, participants!$A$1:$A$515,0),1)</f>
        <v>#VALUE!</v>
      </c>
      <c r="F92" s="103" t="e">
        <f aca="false">INDEX(#REF!,MATCH(A92, #REF!,0),1)</f>
        <v>#VALUE!</v>
      </c>
      <c r="G92" s="105" t="e">
        <f aca="false">INDEX(samples!$C$1:$C$944,MATCH(F92, #REF!,0),1)</f>
        <v>#VALUE!</v>
      </c>
      <c r="H92" s="104" t="e">
        <f aca="false">INDEX(participants!$K$1:$K$506,MATCH($C92, participants!$A$1:$A$515,0),1)</f>
        <v>#VALUE!</v>
      </c>
      <c r="I92" s="104" t="e">
        <f aca="false">INDEX(#REF!,MATCH($A92, #REF!,0),1)</f>
        <v>#VALUE!</v>
      </c>
      <c r="J92" s="101" t="s">
        <v>558</v>
      </c>
      <c r="K92" s="101" t="s">
        <v>511</v>
      </c>
      <c r="L92" s="107" t="n">
        <v>44511</v>
      </c>
      <c r="M92" s="101" t="s">
        <v>5414</v>
      </c>
      <c r="N92" s="101" t="s">
        <v>511</v>
      </c>
      <c r="O92" s="101" t="n">
        <v>3</v>
      </c>
      <c r="P92" s="101" t="s">
        <v>5556</v>
      </c>
      <c r="Q92" s="101" t="s">
        <v>487</v>
      </c>
      <c r="R92" s="101" t="s">
        <v>558</v>
      </c>
      <c r="S92" s="101" t="s">
        <v>487</v>
      </c>
      <c r="T92" s="101" t="s">
        <v>487</v>
      </c>
      <c r="U92" s="101" t="s">
        <v>487</v>
      </c>
      <c r="V92" s="73" t="s">
        <v>487</v>
      </c>
      <c r="X92" s="73" t="s">
        <v>5729</v>
      </c>
      <c r="Y92" s="73" t="s">
        <v>558</v>
      </c>
      <c r="Z92" s="73" t="s">
        <v>487</v>
      </c>
      <c r="AA92" s="73" t="s">
        <v>558</v>
      </c>
      <c r="AB92" s="107" t="n">
        <v>44511</v>
      </c>
    </row>
    <row r="93" customFormat="false" ht="13.8" hidden="false" customHeight="false" outlineLevel="0" collapsed="false">
      <c r="A93" s="99" t="s">
        <v>5748</v>
      </c>
      <c r="B93" s="103" t="e">
        <f aca="false">INDEX(#REF!,MATCH(A93, #REF!,0),1)</f>
        <v>#VALUE!</v>
      </c>
      <c r="C93" s="103" t="e">
        <f aca="false">INDEX(#REF!,MATCH(A93, #REF!,0),1)</f>
        <v>#VALUE!</v>
      </c>
      <c r="D93" s="103" t="e">
        <f aca="false">INDEX(#REF!,MATCH(A93, #REF!,0),1)</f>
        <v>#VALUE!</v>
      </c>
      <c r="E93" s="104" t="e">
        <f aca="false">INDEX(participants!$B$1:$B$506,MATCH($C93, participants!$A$1:$A$515,0),1)</f>
        <v>#VALUE!</v>
      </c>
      <c r="F93" s="103" t="e">
        <f aca="false">INDEX(#REF!,MATCH(A93, #REF!,0),1)</f>
        <v>#VALUE!</v>
      </c>
      <c r="G93" s="105" t="e">
        <f aca="false">INDEX(samples!$C$1:$C$944,MATCH(F93, #REF!,0),1)</f>
        <v>#VALUE!</v>
      </c>
      <c r="H93" s="104" t="e">
        <f aca="false">INDEX(participants!$K$1:$K$506,MATCH($C93, participants!$A$1:$A$515,0),1)</f>
        <v>#VALUE!</v>
      </c>
      <c r="I93" s="104" t="e">
        <f aca="false">INDEX(#REF!,MATCH($A93, #REF!,0),1)</f>
        <v>#VALUE!</v>
      </c>
      <c r="J93" s="101" t="s">
        <v>558</v>
      </c>
      <c r="K93" s="101" t="s">
        <v>511</v>
      </c>
      <c r="L93" s="107" t="n">
        <v>44511</v>
      </c>
      <c r="M93" s="101" t="s">
        <v>5414</v>
      </c>
      <c r="N93" s="101" t="s">
        <v>511</v>
      </c>
      <c r="O93" s="101" t="n">
        <v>2</v>
      </c>
      <c r="P93" s="101" t="s">
        <v>5556</v>
      </c>
      <c r="Q93" s="101" t="s">
        <v>5556</v>
      </c>
      <c r="R93" s="101" t="s">
        <v>511</v>
      </c>
      <c r="S93" s="101" t="s">
        <v>5749</v>
      </c>
      <c r="T93" s="107" t="n">
        <v>44082</v>
      </c>
      <c r="U93" s="107" t="n">
        <v>44511</v>
      </c>
      <c r="V93" s="73" t="s">
        <v>5750</v>
      </c>
      <c r="X93" s="73" t="s">
        <v>5751</v>
      </c>
      <c r="Y93" s="73" t="s">
        <v>558</v>
      </c>
      <c r="Z93" s="73" t="s">
        <v>487</v>
      </c>
      <c r="AA93" s="73" t="s">
        <v>558</v>
      </c>
      <c r="AB93" s="107" t="n">
        <v>44511</v>
      </c>
    </row>
    <row r="94" customFormat="false" ht="13.8" hidden="false" customHeight="false" outlineLevel="0" collapsed="false">
      <c r="A94" s="99" t="s">
        <v>5752</v>
      </c>
      <c r="B94" s="103" t="e">
        <f aca="false">INDEX(#REF!,MATCH(A94, #REF!,0),1)</f>
        <v>#VALUE!</v>
      </c>
      <c r="C94" s="103" t="e">
        <f aca="false">INDEX(#REF!,MATCH(A94, #REF!,0),1)</f>
        <v>#VALUE!</v>
      </c>
      <c r="D94" s="103" t="e">
        <f aca="false">INDEX(#REF!,MATCH(A94, #REF!,0),1)</f>
        <v>#VALUE!</v>
      </c>
      <c r="E94" s="104" t="e">
        <f aca="false">INDEX(participants!$B$1:$B$506,MATCH($C94, participants!$A$1:$A$515,0),1)</f>
        <v>#VALUE!</v>
      </c>
      <c r="F94" s="103" t="e">
        <f aca="false">INDEX(#REF!,MATCH(A94, #REF!,0),1)</f>
        <v>#VALUE!</v>
      </c>
      <c r="G94" s="105" t="e">
        <f aca="false">INDEX(samples!$C$1:$C$944,MATCH(F94, #REF!,0),1)</f>
        <v>#VALUE!</v>
      </c>
      <c r="H94" s="104" t="e">
        <f aca="false">INDEX(participants!$K$1:$K$506,MATCH($C94, participants!$A$1:$A$515,0),1)</f>
        <v>#VALUE!</v>
      </c>
      <c r="I94" s="104" t="e">
        <f aca="false">INDEX(#REF!,MATCH($A94, #REF!,0),1)</f>
        <v>#VALUE!</v>
      </c>
      <c r="J94" s="101" t="s">
        <v>558</v>
      </c>
      <c r="K94" s="101" t="s">
        <v>511</v>
      </c>
      <c r="L94" s="107" t="n">
        <v>44356</v>
      </c>
      <c r="M94" s="101" t="s">
        <v>5587</v>
      </c>
      <c r="N94" s="101" t="s">
        <v>511</v>
      </c>
      <c r="O94" s="101" t="n">
        <v>2</v>
      </c>
      <c r="P94" s="101" t="s">
        <v>5556</v>
      </c>
      <c r="Q94" s="101" t="s">
        <v>487</v>
      </c>
      <c r="R94" s="101" t="s">
        <v>511</v>
      </c>
      <c r="S94" s="101" t="s">
        <v>5753</v>
      </c>
      <c r="T94" s="107" t="n">
        <v>44166</v>
      </c>
      <c r="U94" s="107" t="n">
        <v>44356</v>
      </c>
      <c r="V94" s="73" t="s">
        <v>5754</v>
      </c>
      <c r="W94" s="73" t="s">
        <v>5327</v>
      </c>
      <c r="X94" s="73" t="s">
        <v>5755</v>
      </c>
      <c r="Y94" s="73" t="s">
        <v>558</v>
      </c>
      <c r="Z94" s="73" t="s">
        <v>487</v>
      </c>
      <c r="AA94" s="73" t="s">
        <v>558</v>
      </c>
      <c r="AB94" s="107" t="n">
        <v>44159</v>
      </c>
    </row>
    <row r="95" customFormat="false" ht="13.8" hidden="false" customHeight="false" outlineLevel="0" collapsed="false">
      <c r="A95" s="99" t="s">
        <v>5756</v>
      </c>
      <c r="B95" s="103" t="e">
        <f aca="false">INDEX(#REF!,MATCH(A95, #REF!,0),1)</f>
        <v>#VALUE!</v>
      </c>
      <c r="C95" s="103" t="e">
        <f aca="false">INDEX(#REF!,MATCH(A95, #REF!,0),1)</f>
        <v>#VALUE!</v>
      </c>
      <c r="D95" s="103" t="e">
        <f aca="false">INDEX(#REF!,MATCH(A95, #REF!,0),1)</f>
        <v>#VALUE!</v>
      </c>
      <c r="E95" s="104" t="e">
        <f aca="false">INDEX(participants!$B$1:$B$506,MATCH($C95, participants!$A$1:$A$515,0),1)</f>
        <v>#VALUE!</v>
      </c>
      <c r="F95" s="103" t="e">
        <f aca="false">INDEX(#REF!,MATCH(A95, #REF!,0),1)</f>
        <v>#VALUE!</v>
      </c>
      <c r="G95" s="105" t="e">
        <f aca="false">INDEX(samples!$C$1:$C$944,MATCH(F95, #REF!,0),1)</f>
        <v>#VALUE!</v>
      </c>
      <c r="H95" s="104" t="e">
        <f aca="false">INDEX(participants!$K$1:$K$506,MATCH($C95, participants!$A$1:$A$515,0),1)</f>
        <v>#VALUE!</v>
      </c>
      <c r="I95" s="104" t="e">
        <f aca="false">INDEX(#REF!,MATCH($A95, #REF!,0),1)</f>
        <v>#VALUE!</v>
      </c>
      <c r="J95" s="101" t="s">
        <v>558</v>
      </c>
      <c r="K95" s="101" t="s">
        <v>511</v>
      </c>
      <c r="L95" s="107" t="n">
        <v>44572</v>
      </c>
      <c r="M95" s="101" t="s">
        <v>5561</v>
      </c>
      <c r="N95" s="101" t="s">
        <v>511</v>
      </c>
      <c r="O95" s="101" t="n">
        <v>3</v>
      </c>
      <c r="P95" s="101" t="s">
        <v>5556</v>
      </c>
      <c r="Q95" s="101" t="s">
        <v>5557</v>
      </c>
      <c r="R95" s="101" t="s">
        <v>511</v>
      </c>
      <c r="S95" s="101" t="s">
        <v>5561</v>
      </c>
      <c r="T95" s="107" t="n">
        <v>44425</v>
      </c>
      <c r="U95" s="107" t="n">
        <v>44572</v>
      </c>
      <c r="V95" s="73" t="s">
        <v>5757</v>
      </c>
      <c r="W95" s="73" t="s">
        <v>5293</v>
      </c>
      <c r="X95" s="73" t="s">
        <v>5758</v>
      </c>
      <c r="Y95" s="73" t="s">
        <v>558</v>
      </c>
      <c r="Z95" s="73" t="s">
        <v>487</v>
      </c>
      <c r="AA95" s="73" t="s">
        <v>558</v>
      </c>
      <c r="AB95" s="107" t="n">
        <v>44428</v>
      </c>
      <c r="AD95" s="73" t="s">
        <v>1382</v>
      </c>
    </row>
    <row r="96" customFormat="false" ht="13.8" hidden="false" customHeight="false" outlineLevel="0" collapsed="false">
      <c r="A96" s="99" t="s">
        <v>5759</v>
      </c>
      <c r="B96" s="103" t="e">
        <f aca="false">INDEX(#REF!,MATCH(A96, #REF!,0),1)</f>
        <v>#VALUE!</v>
      </c>
      <c r="C96" s="103" t="e">
        <f aca="false">INDEX(#REF!,MATCH(A96, #REF!,0),1)</f>
        <v>#VALUE!</v>
      </c>
      <c r="D96" s="103" t="e">
        <f aca="false">INDEX(#REF!,MATCH(A96, #REF!,0),1)</f>
        <v>#VALUE!</v>
      </c>
      <c r="E96" s="104" t="e">
        <f aca="false">INDEX(participants!$B$1:$B$506,MATCH($C96, participants!$A$1:$A$515,0),1)</f>
        <v>#VALUE!</v>
      </c>
      <c r="F96" s="103" t="e">
        <f aca="false">INDEX(#REF!,MATCH(A96, #REF!,0),1)</f>
        <v>#VALUE!</v>
      </c>
      <c r="G96" s="105" t="e">
        <f aca="false">INDEX(samples!$C$1:$C$944,MATCH(F96, #REF!,0),1)</f>
        <v>#VALUE!</v>
      </c>
      <c r="H96" s="104" t="e">
        <f aca="false">INDEX(participants!$K$1:$K$506,MATCH($C96, participants!$A$1:$A$515,0),1)</f>
        <v>#VALUE!</v>
      </c>
      <c r="I96" s="104" t="e">
        <f aca="false">INDEX(#REF!,MATCH($A96, #REF!,0),1)</f>
        <v>#VALUE!</v>
      </c>
      <c r="J96" s="101" t="s">
        <v>558</v>
      </c>
      <c r="K96" s="101" t="s">
        <v>511</v>
      </c>
      <c r="L96" s="107" t="n">
        <v>44342</v>
      </c>
      <c r="M96" s="101" t="s">
        <v>5414</v>
      </c>
      <c r="N96" s="101" t="s">
        <v>511</v>
      </c>
      <c r="O96" s="101" t="n">
        <v>2</v>
      </c>
      <c r="P96" s="101" t="s">
        <v>5556</v>
      </c>
      <c r="Q96" s="101" t="s">
        <v>5557</v>
      </c>
      <c r="R96" s="101" t="s">
        <v>558</v>
      </c>
      <c r="S96" s="101" t="s">
        <v>487</v>
      </c>
      <c r="T96" s="101" t="s">
        <v>487</v>
      </c>
      <c r="U96" s="101" t="s">
        <v>487</v>
      </c>
      <c r="V96" s="73" t="s">
        <v>5760</v>
      </c>
      <c r="W96" s="73" t="s">
        <v>5293</v>
      </c>
      <c r="X96" s="73" t="s">
        <v>5758</v>
      </c>
      <c r="Y96" s="73" t="s">
        <v>558</v>
      </c>
      <c r="Z96" s="73" t="s">
        <v>487</v>
      </c>
      <c r="AA96" s="73" t="s">
        <v>558</v>
      </c>
      <c r="AB96" s="107" t="n">
        <v>44428</v>
      </c>
      <c r="AD96" s="73" t="s">
        <v>1382</v>
      </c>
    </row>
    <row r="97" customFormat="false" ht="13.8" hidden="false" customHeight="false" outlineLevel="0" collapsed="false">
      <c r="A97" s="99" t="s">
        <v>5761</v>
      </c>
      <c r="B97" s="103" t="e">
        <f aca="false">INDEX(#REF!,MATCH(A97, #REF!,0),1)</f>
        <v>#VALUE!</v>
      </c>
      <c r="C97" s="103" t="e">
        <f aca="false">INDEX(#REF!,MATCH(A97, #REF!,0),1)</f>
        <v>#VALUE!</v>
      </c>
      <c r="D97" s="103" t="e">
        <f aca="false">INDEX(#REF!,MATCH(A97, #REF!,0),1)</f>
        <v>#VALUE!</v>
      </c>
      <c r="E97" s="104" t="e">
        <f aca="false">INDEX(participants!$B$1:$B$506,MATCH($C97, participants!$A$1:$A$515,0),1)</f>
        <v>#VALUE!</v>
      </c>
      <c r="F97" s="103" t="e">
        <f aca="false">INDEX(#REF!,MATCH(A97, #REF!,0),1)</f>
        <v>#VALUE!</v>
      </c>
      <c r="G97" s="105" t="e">
        <f aca="false">INDEX(samples!$C$1:$C$944,MATCH(F97, #REF!,0),1)</f>
        <v>#VALUE!</v>
      </c>
      <c r="H97" s="104" t="e">
        <f aca="false">INDEX(participants!$K$1:$K$506,MATCH($C97, participants!$A$1:$A$515,0),1)</f>
        <v>#VALUE!</v>
      </c>
      <c r="I97" s="104" t="e">
        <f aca="false">INDEX(#REF!,MATCH($A97, #REF!,0),1)</f>
        <v>#VALUE!</v>
      </c>
      <c r="J97" s="101" t="s">
        <v>511</v>
      </c>
      <c r="K97" s="101" t="s">
        <v>511</v>
      </c>
      <c r="L97" s="107"/>
      <c r="M97" s="101"/>
      <c r="N97" s="101"/>
      <c r="O97" s="101"/>
      <c r="P97" s="101"/>
      <c r="Q97" s="101"/>
      <c r="R97" s="101"/>
      <c r="S97" s="101"/>
      <c r="T97" s="101"/>
      <c r="U97" s="101"/>
      <c r="AB97" s="107"/>
    </row>
    <row r="98" customFormat="false" ht="13.8" hidden="false" customHeight="false" outlineLevel="0" collapsed="false">
      <c r="A98" s="99" t="s">
        <v>5762</v>
      </c>
      <c r="B98" s="103" t="e">
        <f aca="false">INDEX(#REF!,MATCH(A98, #REF!,0),1)</f>
        <v>#VALUE!</v>
      </c>
      <c r="C98" s="103" t="e">
        <f aca="false">INDEX(#REF!,MATCH(A98, #REF!,0),1)</f>
        <v>#VALUE!</v>
      </c>
      <c r="D98" s="103" t="e">
        <f aca="false">INDEX(#REF!,MATCH(A98, #REF!,0),1)</f>
        <v>#VALUE!</v>
      </c>
      <c r="E98" s="104" t="e">
        <f aca="false">INDEX(participants!$B$1:$B$506,MATCH($C98, participants!$A$1:$A$515,0),1)</f>
        <v>#VALUE!</v>
      </c>
      <c r="F98" s="103" t="e">
        <f aca="false">INDEX(#REF!,MATCH(A98, #REF!,0),1)</f>
        <v>#VALUE!</v>
      </c>
      <c r="G98" s="105" t="e">
        <f aca="false">INDEX(samples!$C$1:$C$944,MATCH(F98, #REF!,0),1)</f>
        <v>#VALUE!</v>
      </c>
      <c r="H98" s="104" t="e">
        <f aca="false">INDEX(participants!$K$1:$K$506,MATCH($C98, participants!$A$1:$A$515,0),1)</f>
        <v>#VALUE!</v>
      </c>
      <c r="I98" s="104" t="e">
        <f aca="false">INDEX(#REF!,MATCH($A98, #REF!,0),1)</f>
        <v>#VALUE!</v>
      </c>
      <c r="J98" s="101"/>
      <c r="K98" s="101"/>
      <c r="L98" s="107"/>
      <c r="M98" s="101"/>
      <c r="N98" s="101"/>
      <c r="O98" s="101"/>
      <c r="P98" s="101"/>
      <c r="Q98" s="101"/>
      <c r="R98" s="101"/>
      <c r="S98" s="101"/>
      <c r="T98" s="101"/>
      <c r="U98" s="101"/>
      <c r="AB98" s="107"/>
    </row>
    <row r="99" customFormat="false" ht="13.8" hidden="false" customHeight="false" outlineLevel="0" collapsed="false">
      <c r="A99" s="99" t="s">
        <v>5763</v>
      </c>
      <c r="B99" s="103" t="e">
        <f aca="false">INDEX(#REF!,MATCH(A99, #REF!,0),1)</f>
        <v>#VALUE!</v>
      </c>
      <c r="C99" s="103" t="e">
        <f aca="false">INDEX(#REF!,MATCH(A99, #REF!,0),1)</f>
        <v>#VALUE!</v>
      </c>
      <c r="D99" s="103" t="e">
        <f aca="false">INDEX(#REF!,MATCH(A99, #REF!,0),1)</f>
        <v>#VALUE!</v>
      </c>
      <c r="E99" s="104" t="e">
        <f aca="false">INDEX(participants!$B$1:$B$506,MATCH($C99, participants!$A$1:$A$515,0),1)</f>
        <v>#VALUE!</v>
      </c>
      <c r="F99" s="111" t="e">
        <f aca="false">INDEX(#REF!,MATCH(A99, #REF!,0),1)</f>
        <v>#VALUE!</v>
      </c>
      <c r="G99" s="105" t="e">
        <f aca="false">INDEX(samples!$C$1:$C$944,MATCH(F99, #REF!,0),1)</f>
        <v>#VALUE!</v>
      </c>
      <c r="H99" s="104" t="e">
        <f aca="false">INDEX(participants!$K$1:$K$506,MATCH($C99, participants!$A$1:$A$515,0),1)</f>
        <v>#VALUE!</v>
      </c>
      <c r="I99" s="104" t="e">
        <f aca="false">INDEX(#REF!,MATCH($A99, #REF!,0),1)</f>
        <v>#VALUE!</v>
      </c>
      <c r="J99" s="101" t="s">
        <v>511</v>
      </c>
      <c r="K99" s="101" t="s">
        <v>511</v>
      </c>
      <c r="L99" s="107" t="n">
        <v>44652</v>
      </c>
      <c r="M99" s="101" t="s">
        <v>5414</v>
      </c>
      <c r="N99" s="101" t="s">
        <v>558</v>
      </c>
      <c r="O99" s="101" t="s">
        <v>487</v>
      </c>
      <c r="P99" s="101" t="s">
        <v>5557</v>
      </c>
      <c r="Q99" s="101" t="s">
        <v>5557</v>
      </c>
      <c r="R99" s="101" t="s">
        <v>487</v>
      </c>
      <c r="S99" s="101" t="s">
        <v>487</v>
      </c>
      <c r="T99" s="101" t="s">
        <v>487</v>
      </c>
      <c r="U99" s="101" t="s">
        <v>487</v>
      </c>
      <c r="V99" s="73" t="s">
        <v>487</v>
      </c>
      <c r="W99" s="73" t="s">
        <v>487</v>
      </c>
      <c r="X99" s="73" t="s">
        <v>5764</v>
      </c>
      <c r="Y99" s="73" t="s">
        <v>558</v>
      </c>
      <c r="Z99" s="73" t="s">
        <v>487</v>
      </c>
      <c r="AA99" s="73" t="s">
        <v>558</v>
      </c>
      <c r="AB99" s="107" t="n">
        <v>44699</v>
      </c>
    </row>
    <row r="100" customFormat="false" ht="13.8" hidden="false" customHeight="false" outlineLevel="0" collapsed="false">
      <c r="A100" s="102" t="s">
        <v>5765</v>
      </c>
      <c r="B100" s="103" t="e">
        <f aca="false">INDEX(#REF!,MATCH(A100, #REF!,0),1)</f>
        <v>#VALUE!</v>
      </c>
      <c r="C100" s="103" t="e">
        <f aca="false">INDEX(#REF!,MATCH(A100, #REF!,0),1)</f>
        <v>#VALUE!</v>
      </c>
      <c r="D100" s="103" t="e">
        <f aca="false">INDEX(#REF!,MATCH(A100, #REF!,0),1)</f>
        <v>#VALUE!</v>
      </c>
      <c r="E100" s="104" t="e">
        <f aca="false">INDEX(participants!$B$1:$B$506,MATCH($C100, participants!$A$1:$A$515,0),1)</f>
        <v>#VALUE!</v>
      </c>
      <c r="F100" s="103" t="e">
        <f aca="false">INDEX(#REF!,MATCH(A100, #REF!,0),1)</f>
        <v>#VALUE!</v>
      </c>
      <c r="G100" s="105" t="e">
        <f aca="false">INDEX(samples!$C$1:$C$944,MATCH(F100, #REF!,0),1)</f>
        <v>#VALUE!</v>
      </c>
      <c r="H100" s="104" t="e">
        <f aca="false">INDEX(participants!$K$1:$K$506,MATCH($C100, participants!$A$1:$A$515,0),1)</f>
        <v>#VALUE!</v>
      </c>
      <c r="I100" s="104" t="e">
        <f aca="false">INDEX(#REF!,MATCH($A100, #REF!,0),1)</f>
        <v>#VALUE!</v>
      </c>
      <c r="J100" s="106" t="s">
        <v>511</v>
      </c>
      <c r="K100" s="106" t="s">
        <v>511</v>
      </c>
      <c r="L100" s="107" t="n">
        <v>44741</v>
      </c>
      <c r="M100" s="101" t="s">
        <v>5587</v>
      </c>
      <c r="N100" s="101" t="s">
        <v>511</v>
      </c>
      <c r="O100" s="101" t="n">
        <v>8</v>
      </c>
      <c r="P100" s="101" t="s">
        <v>5556</v>
      </c>
      <c r="Q100" s="101" t="s">
        <v>5556</v>
      </c>
      <c r="R100" s="101" t="s">
        <v>5587</v>
      </c>
      <c r="S100" s="101" t="s">
        <v>5587</v>
      </c>
      <c r="T100" s="101" t="s">
        <v>487</v>
      </c>
      <c r="U100" s="101" t="s">
        <v>487</v>
      </c>
      <c r="V100" s="73" t="s">
        <v>487</v>
      </c>
      <c r="W100" s="73" t="s">
        <v>487</v>
      </c>
      <c r="X100" s="73" t="s">
        <v>5766</v>
      </c>
      <c r="Y100" s="73" t="s">
        <v>5767</v>
      </c>
      <c r="Z100" s="73" t="s">
        <v>558</v>
      </c>
      <c r="AA100" s="73" t="s">
        <v>486</v>
      </c>
      <c r="AB100" s="107" t="n">
        <v>44776</v>
      </c>
    </row>
    <row r="101" customFormat="false" ht="13.8" hidden="false" customHeight="false" outlineLevel="0" collapsed="false">
      <c r="A101" s="102" t="s">
        <v>5768</v>
      </c>
      <c r="B101" s="103" t="e">
        <f aca="false">INDEX(#REF!,MATCH(A101, #REF!,0),1)</f>
        <v>#VALUE!</v>
      </c>
      <c r="C101" s="103" t="e">
        <f aca="false">INDEX(#REF!,MATCH(A101, #REF!,0),1)</f>
        <v>#VALUE!</v>
      </c>
      <c r="D101" s="103" t="e">
        <f aca="false">INDEX(#REF!,MATCH(A101, #REF!,0),1)</f>
        <v>#VALUE!</v>
      </c>
      <c r="E101" s="104" t="e">
        <f aca="false">INDEX(participants!$B$1:$B$506,MATCH($C101, participants!$A$1:$A$515,0),1)</f>
        <v>#VALUE!</v>
      </c>
      <c r="F101" s="103" t="e">
        <f aca="false">INDEX(#REF!,MATCH(A101, #REF!,0),1)</f>
        <v>#VALUE!</v>
      </c>
      <c r="G101" s="105" t="e">
        <f aca="false">INDEX(samples!$C$1:$C$944,MATCH(F101, #REF!,0),1)</f>
        <v>#VALUE!</v>
      </c>
      <c r="H101" s="104" t="e">
        <f aca="false">INDEX(participants!$K$1:$K$506,MATCH($C101, participants!$A$1:$A$515,0),1)</f>
        <v>#VALUE!</v>
      </c>
      <c r="I101" s="104" t="e">
        <f aca="false">INDEX(#REF!,MATCH($A101, #REF!,0),1)</f>
        <v>#VALUE!</v>
      </c>
      <c r="J101" s="106" t="s">
        <v>558</v>
      </c>
      <c r="K101" s="106" t="s">
        <v>558</v>
      </c>
      <c r="L101" s="107" t="n">
        <v>44666</v>
      </c>
      <c r="M101" s="101" t="s">
        <v>5414</v>
      </c>
      <c r="N101" s="101" t="s">
        <v>511</v>
      </c>
      <c r="O101" s="101" t="n">
        <v>7</v>
      </c>
      <c r="P101" s="101" t="s">
        <v>5556</v>
      </c>
      <c r="Q101" s="101" t="s">
        <v>5556</v>
      </c>
      <c r="R101" s="101" t="s">
        <v>5414</v>
      </c>
      <c r="S101" s="101" t="s">
        <v>5414</v>
      </c>
      <c r="T101" s="107" t="n">
        <v>44666</v>
      </c>
      <c r="U101" s="107" t="n">
        <v>44666</v>
      </c>
      <c r="V101" s="73" t="s">
        <v>5769</v>
      </c>
      <c r="W101" s="73" t="s">
        <v>5729</v>
      </c>
      <c r="X101" s="73" t="s">
        <v>487</v>
      </c>
      <c r="Y101" s="73" t="s">
        <v>5770</v>
      </c>
      <c r="Z101" s="73" t="s">
        <v>558</v>
      </c>
      <c r="AA101" s="73" t="s">
        <v>486</v>
      </c>
      <c r="AB101" s="107" t="n">
        <v>44666</v>
      </c>
    </row>
    <row r="102" customFormat="false" ht="13.8" hidden="false" customHeight="false" outlineLevel="0" collapsed="false">
      <c r="A102" s="102" t="s">
        <v>5771</v>
      </c>
      <c r="B102" s="103" t="e">
        <f aca="false">INDEX(#REF!,MATCH(A102, #REF!,0),1)</f>
        <v>#VALUE!</v>
      </c>
      <c r="C102" s="103" t="e">
        <f aca="false">INDEX(#REF!,MATCH(A102, #REF!,0),1)</f>
        <v>#VALUE!</v>
      </c>
      <c r="D102" s="103" t="e">
        <f aca="false">INDEX(#REF!,MATCH(A102, #REF!,0),1)</f>
        <v>#VALUE!</v>
      </c>
      <c r="E102" s="104" t="e">
        <f aca="false">INDEX(participants!$B$1:$B$506,MATCH($C102, participants!$A$1:$A$515,0),1)</f>
        <v>#VALUE!</v>
      </c>
      <c r="F102" s="103" t="e">
        <f aca="false">INDEX(#REF!,MATCH(A102, #REF!,0),1)</f>
        <v>#VALUE!</v>
      </c>
      <c r="G102" s="105" t="e">
        <f aca="false">INDEX(samples!$C$1:$C$944,MATCH(F102, #REF!,0),1)</f>
        <v>#VALUE!</v>
      </c>
      <c r="H102" s="104" t="e">
        <f aca="false">INDEX(participants!$K$1:$K$506,MATCH($C102, participants!$A$1:$A$515,0),1)</f>
        <v>#VALUE!</v>
      </c>
      <c r="I102" s="104" t="e">
        <f aca="false">INDEX(#REF!,MATCH($A102, #REF!,0),1)</f>
        <v>#VALUE!</v>
      </c>
      <c r="J102" s="73" t="s">
        <v>558</v>
      </c>
      <c r="K102" s="73" t="s">
        <v>511</v>
      </c>
      <c r="L102" s="107" t="n">
        <v>44089</v>
      </c>
      <c r="M102" s="73" t="s">
        <v>5414</v>
      </c>
      <c r="N102" s="73" t="s">
        <v>511</v>
      </c>
      <c r="O102" s="73" t="n">
        <v>2</v>
      </c>
      <c r="P102" s="73" t="s">
        <v>5556</v>
      </c>
      <c r="Q102" s="73" t="s">
        <v>5556</v>
      </c>
      <c r="R102" s="73" t="s">
        <v>5414</v>
      </c>
      <c r="S102" s="73" t="s">
        <v>5414</v>
      </c>
      <c r="T102" s="107" t="n">
        <v>44089</v>
      </c>
      <c r="U102" s="107" t="n">
        <v>44089</v>
      </c>
      <c r="V102" s="73" t="s">
        <v>5772</v>
      </c>
      <c r="W102" s="73" t="s">
        <v>487</v>
      </c>
      <c r="X102" s="73" t="s">
        <v>5773</v>
      </c>
      <c r="Y102" s="73" t="s">
        <v>558</v>
      </c>
      <c r="Z102" s="73" t="s">
        <v>487</v>
      </c>
      <c r="AA102" s="73" t="s">
        <v>487</v>
      </c>
      <c r="AB102" s="107" t="n">
        <v>44089</v>
      </c>
    </row>
    <row r="103" customFormat="false" ht="13.8" hidden="false" customHeight="false" outlineLevel="0" collapsed="false">
      <c r="A103" s="102" t="s">
        <v>5774</v>
      </c>
      <c r="B103" s="103" t="e">
        <f aca="false">INDEX(#REF!,MATCH(A103, #REF!,0),1)</f>
        <v>#VALUE!</v>
      </c>
      <c r="C103" s="103" t="e">
        <f aca="false">INDEX(#REF!,MATCH(A103, #REF!,0),1)</f>
        <v>#VALUE!</v>
      </c>
      <c r="D103" s="103" t="e">
        <f aca="false">INDEX(#REF!,MATCH(A103, #REF!,0),1)</f>
        <v>#VALUE!</v>
      </c>
      <c r="E103" s="104" t="e">
        <f aca="false">INDEX(participants!$B$1:$B$506,MATCH($C103, participants!$A$1:$A$515,0),1)</f>
        <v>#VALUE!</v>
      </c>
      <c r="F103" s="103" t="e">
        <f aca="false">INDEX(#REF!,MATCH(A103, #REF!,0),1)</f>
        <v>#VALUE!</v>
      </c>
      <c r="G103" s="105" t="e">
        <f aca="false">INDEX(samples!$C$1:$C$944,MATCH(F103, #REF!,0),1)</f>
        <v>#VALUE!</v>
      </c>
      <c r="H103" s="104" t="e">
        <f aca="false">INDEX(participants!$K$1:$K$506,MATCH($C103, participants!$A$1:$A$515,0),1)</f>
        <v>#VALUE!</v>
      </c>
      <c r="I103" s="104" t="e">
        <f aca="false">INDEX(#REF!,MATCH($A103, #REF!,0),1)</f>
        <v>#VALUE!</v>
      </c>
      <c r="J103" s="73" t="s">
        <v>558</v>
      </c>
      <c r="K103" s="73" t="s">
        <v>558</v>
      </c>
      <c r="L103" s="107" t="n">
        <v>44089</v>
      </c>
      <c r="M103" s="73" t="s">
        <v>5414</v>
      </c>
      <c r="N103" s="73" t="s">
        <v>511</v>
      </c>
      <c r="O103" s="73" t="n">
        <v>3</v>
      </c>
      <c r="P103" s="73" t="s">
        <v>5556</v>
      </c>
      <c r="Q103" s="73" t="s">
        <v>5556</v>
      </c>
      <c r="R103" s="73" t="s">
        <v>5667</v>
      </c>
      <c r="S103" s="73" t="s">
        <v>487</v>
      </c>
      <c r="T103" s="73" t="s">
        <v>487</v>
      </c>
      <c r="U103" s="73" t="s">
        <v>487</v>
      </c>
      <c r="W103" s="73" t="s">
        <v>487</v>
      </c>
      <c r="X103" s="73" t="s">
        <v>5773</v>
      </c>
      <c r="Y103" s="73" t="s">
        <v>558</v>
      </c>
      <c r="Z103" s="73" t="s">
        <v>487</v>
      </c>
      <c r="AA103" s="73" t="s">
        <v>487</v>
      </c>
      <c r="AB103" s="107" t="n">
        <v>44089</v>
      </c>
    </row>
    <row r="104" customFormat="false" ht="13.8" hidden="false" customHeight="false" outlineLevel="0" collapsed="false">
      <c r="A104" s="102" t="s">
        <v>5775</v>
      </c>
      <c r="B104" s="103" t="e">
        <f aca="false">INDEX(#REF!,MATCH(A104, #REF!,0),1)</f>
        <v>#VALUE!</v>
      </c>
      <c r="C104" s="103" t="e">
        <f aca="false">INDEX(#REF!,MATCH(A104, #REF!,0),1)</f>
        <v>#VALUE!</v>
      </c>
      <c r="D104" s="103" t="e">
        <f aca="false">INDEX(#REF!,MATCH(A104, #REF!,0),1)</f>
        <v>#VALUE!</v>
      </c>
      <c r="E104" s="104" t="e">
        <f aca="false">INDEX(participants!$B$1:$B$506,MATCH($C104, participants!$A$1:$A$515,0),1)</f>
        <v>#VALUE!</v>
      </c>
      <c r="F104" s="103" t="e">
        <f aca="false">INDEX(#REF!,MATCH(A104, #REF!,0),1)</f>
        <v>#VALUE!</v>
      </c>
      <c r="G104" s="105" t="e">
        <f aca="false">INDEX(samples!$C$1:$C$944,MATCH(F104, #REF!,0),1)</f>
        <v>#VALUE!</v>
      </c>
      <c r="H104" s="104" t="e">
        <f aca="false">INDEX(participants!$K$1:$K$506,MATCH($C104, participants!$A$1:$A$515,0),1)</f>
        <v>#VALUE!</v>
      </c>
      <c r="I104" s="104" t="e">
        <f aca="false">INDEX(#REF!,MATCH($A104, #REF!,0),1)</f>
        <v>#VALUE!</v>
      </c>
      <c r="J104" s="73" t="s">
        <v>558</v>
      </c>
      <c r="K104" s="73" t="s">
        <v>511</v>
      </c>
      <c r="L104" s="107" t="n">
        <v>44153</v>
      </c>
      <c r="M104" s="73" t="s">
        <v>5555</v>
      </c>
      <c r="N104" s="73" t="s">
        <v>511</v>
      </c>
      <c r="O104" s="73" t="n">
        <v>4</v>
      </c>
      <c r="P104" s="73" t="s">
        <v>5556</v>
      </c>
      <c r="Q104" s="73" t="s">
        <v>5557</v>
      </c>
      <c r="R104" s="73" t="s">
        <v>5776</v>
      </c>
      <c r="S104" s="73" t="s">
        <v>5777</v>
      </c>
      <c r="T104" s="107" t="n">
        <v>44094</v>
      </c>
      <c r="U104" s="107" t="n">
        <v>44153</v>
      </c>
      <c r="V104" s="73" t="s">
        <v>5778</v>
      </c>
      <c r="W104" s="73" t="s">
        <v>5672</v>
      </c>
      <c r="X104" s="73" t="s">
        <v>5779</v>
      </c>
      <c r="Y104" s="73" t="s">
        <v>558</v>
      </c>
      <c r="Z104" s="73" t="s">
        <v>487</v>
      </c>
      <c r="AA104" s="73" t="s">
        <v>487</v>
      </c>
      <c r="AB104" s="73" t="s">
        <v>487</v>
      </c>
      <c r="AD104" s="73" t="s">
        <v>1382</v>
      </c>
    </row>
    <row r="105" customFormat="false" ht="13.8" hidden="false" customHeight="false" outlineLevel="0" collapsed="false">
      <c r="A105" s="97" t="s">
        <v>5780</v>
      </c>
      <c r="B105" s="103" t="e">
        <f aca="false">INDEX(#REF!,MATCH(A105, #REF!,0),1)</f>
        <v>#VALUE!</v>
      </c>
      <c r="C105" s="103" t="e">
        <f aca="false">INDEX(#REF!,MATCH(A105, #REF!,0),1)</f>
        <v>#VALUE!</v>
      </c>
      <c r="D105" s="103" t="e">
        <f aca="false">INDEX(#REF!,MATCH(A105, #REF!,0),1)</f>
        <v>#VALUE!</v>
      </c>
      <c r="E105" s="104" t="e">
        <f aca="false">INDEX(participants!$B$1:$B$506,MATCH($C105, participants!$A$1:$A$515,0),1)</f>
        <v>#VALUE!</v>
      </c>
      <c r="F105" s="103" t="e">
        <f aca="false">INDEX(#REF!,MATCH(A105, #REF!,0),1)</f>
        <v>#VALUE!</v>
      </c>
      <c r="G105" s="105" t="e">
        <f aca="false">INDEX(samples!$C$1:$C$944,MATCH(F105, #REF!,0),1)</f>
        <v>#VALUE!</v>
      </c>
      <c r="H105" s="104" t="e">
        <f aca="false">INDEX(participants!$K$1:$K$506,MATCH($C105, participants!$A$1:$A$515,0),1)</f>
        <v>#VALUE!</v>
      </c>
      <c r="I105" s="104" t="e">
        <f aca="false">INDEX(#REF!,MATCH($A105, #REF!,0),1)</f>
        <v>#VALUE!</v>
      </c>
    </row>
  </sheetData>
  <conditionalFormatting sqref="F2:I105">
    <cfRule type="containsText" priority="2" operator="containsText" aboveAverage="0" equalAverage="0" bottom="0" percent="0" rank="0" text="GET" dxfId="21">
      <formula>NOT(ISERROR(SEARCH("GET",F2)))</formula>
    </cfRule>
  </conditionalFormatting>
  <conditionalFormatting sqref="N12:U12 A102:I104 A1:U11 A12:L12 A13:U101 B105:I105">
    <cfRule type="expression" priority="3" aboveAverage="0" equalAverage="0" bottom="0" percent="0" rank="0" text="" dxfId="22">
      <formula>LEN(TRIM(A1))=0</formula>
    </cfRule>
  </conditionalFormatting>
  <conditionalFormatting sqref="A1:A1048576">
    <cfRule type="duplicateValues" priority="4" aboveAverage="0" equalAverage="0" bottom="0" percent="0" rank="0" text="" dxfId="23"/>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48" activeCellId="0" sqref="A48"/>
    </sheetView>
  </sheetViews>
  <sheetFormatPr defaultColWidth="9.13671875" defaultRowHeight="13.8" zeroHeight="false" outlineLevelRow="0" outlineLevelCol="0"/>
  <cols>
    <col collapsed="false" customWidth="false" hidden="false" outlineLevel="0" max="1" min="1" style="97" width="9.13"/>
    <col collapsed="false" customWidth="false" hidden="false" outlineLevel="0" max="4" min="2" style="98" width="9.13"/>
    <col collapsed="false" customWidth="true" hidden="false" outlineLevel="0" max="5" min="5" style="73" width="36.31"/>
    <col collapsed="false" customWidth="true" hidden="false" outlineLevel="0" max="6" min="6" style="73" width="16.14"/>
    <col collapsed="false" customWidth="true" hidden="false" outlineLevel="0" max="7" min="7" style="73" width="13.02"/>
    <col collapsed="false" customWidth="true" hidden="false" outlineLevel="0" max="8" min="8" style="73" width="16.14"/>
    <col collapsed="false" customWidth="true" hidden="false" outlineLevel="0" max="10" min="9" style="107" width="16.14"/>
    <col collapsed="false" customWidth="true" hidden="false" outlineLevel="0" max="11" min="11" style="73" width="8.4"/>
    <col collapsed="false" customWidth="true" hidden="false" outlineLevel="0" max="12" min="12" style="73" width="12.86"/>
    <col collapsed="false" customWidth="true" hidden="false" outlineLevel="0" max="13" min="13" style="73" width="11.99"/>
    <col collapsed="false" customWidth="true" hidden="false" outlineLevel="0" max="14" min="14" style="73" width="10.71"/>
    <col collapsed="false" customWidth="true" hidden="false" outlineLevel="0" max="15" min="15" style="73" width="13.29"/>
    <col collapsed="false" customWidth="true" hidden="false" outlineLevel="0" max="16" min="16" style="73" width="10.85"/>
    <col collapsed="false" customWidth="true" hidden="false" outlineLevel="0" max="17" min="17" style="73" width="10.42"/>
    <col collapsed="false" customWidth="true" hidden="false" outlineLevel="0" max="18" min="18" style="73" width="7.57"/>
    <col collapsed="false" customWidth="true" hidden="false" outlineLevel="0" max="20" min="19" style="73" width="11.42"/>
    <col collapsed="false" customWidth="true" hidden="false" outlineLevel="0" max="21" min="21" style="73" width="26.59"/>
    <col collapsed="false" customWidth="true" hidden="false" outlineLevel="0" max="22" min="22" style="73" width="5.86"/>
    <col collapsed="false" customWidth="true" hidden="false" outlineLevel="0" max="23" min="23" style="73" width="54.14"/>
    <col collapsed="false" customWidth="true" hidden="false" outlineLevel="0" max="24" min="24" style="73" width="7.71"/>
    <col collapsed="false" customWidth="true" hidden="false" outlineLevel="0" max="26" min="25" style="73" width="15.29"/>
    <col collapsed="false" customWidth="true" hidden="false" outlineLevel="0" max="27" min="27" style="73" width="9.29"/>
    <col collapsed="false" customWidth="true" hidden="false" outlineLevel="0" max="29" min="28" style="73" width="20.98"/>
    <col collapsed="false" customWidth="true" hidden="false" outlineLevel="0" max="30" min="30" style="73" width="11.99"/>
    <col collapsed="false" customWidth="true" hidden="false" outlineLevel="0" max="31" min="31" style="73" width="13.29"/>
    <col collapsed="false" customWidth="true" hidden="false" outlineLevel="0" max="32" min="32" style="73" width="19.31"/>
    <col collapsed="false" customWidth="true" hidden="false" outlineLevel="0" max="33" min="33" style="73" width="14.15"/>
    <col collapsed="false" customWidth="true" hidden="false" outlineLevel="0" max="34" min="34" style="73" width="9.71"/>
    <col collapsed="false" customWidth="true" hidden="false" outlineLevel="0" max="35" min="35" style="73" width="28.98"/>
    <col collapsed="false" customWidth="true" hidden="false" outlineLevel="0" max="36" min="36" style="73" width="8.29"/>
    <col collapsed="false" customWidth="true" hidden="false" outlineLevel="0" max="37" min="37" style="73" width="9"/>
    <col collapsed="false" customWidth="false" hidden="false" outlineLevel="0" max="40" min="38" style="73" width="9.13"/>
    <col collapsed="false" customWidth="true" hidden="false" outlineLevel="0" max="41" min="41" style="73" width="13.86"/>
    <col collapsed="false" customWidth="false" hidden="false" outlineLevel="0" max="42" min="42" style="73" width="9.13"/>
    <col collapsed="false" customWidth="true" hidden="false" outlineLevel="0" max="43" min="43" style="0" width="8.67"/>
    <col collapsed="false" customWidth="true" hidden="false" outlineLevel="0" max="44" min="44" style="73" width="13.86"/>
    <col collapsed="false" customWidth="false" hidden="false" outlineLevel="0" max="1024" min="45" style="73" width="9.13"/>
  </cols>
  <sheetData>
    <row r="1" customFormat="false" ht="13.8" hidden="false" customHeight="false" outlineLevel="0" collapsed="false">
      <c r="A1" s="102" t="s">
        <v>5543</v>
      </c>
      <c r="B1" s="56" t="s">
        <v>5781</v>
      </c>
      <c r="C1" s="56" t="s">
        <v>44</v>
      </c>
      <c r="D1" s="56" t="s">
        <v>5782</v>
      </c>
      <c r="E1" s="10" t="s">
        <v>3865</v>
      </c>
      <c r="F1" s="10" t="s">
        <v>82</v>
      </c>
      <c r="G1" s="10" t="s">
        <v>5783</v>
      </c>
      <c r="H1" s="10" t="s">
        <v>5784</v>
      </c>
      <c r="I1" s="74" t="s">
        <v>85</v>
      </c>
      <c r="J1" s="74" t="s">
        <v>89</v>
      </c>
      <c r="K1" s="10" t="s">
        <v>5552</v>
      </c>
      <c r="L1" s="10" t="s">
        <v>259</v>
      </c>
      <c r="M1" s="10" t="s">
        <v>109</v>
      </c>
      <c r="N1" s="10" t="s">
        <v>170</v>
      </c>
      <c r="O1" s="10" t="s">
        <v>334</v>
      </c>
      <c r="P1" s="10" t="s">
        <v>332</v>
      </c>
      <c r="Q1" s="10" t="s">
        <v>151</v>
      </c>
      <c r="R1" s="10" t="s">
        <v>412</v>
      </c>
      <c r="S1" s="10" t="s">
        <v>248</v>
      </c>
      <c r="T1" s="10" t="s">
        <v>244</v>
      </c>
      <c r="U1" s="10" t="s">
        <v>405</v>
      </c>
      <c r="V1" s="10" t="s">
        <v>318</v>
      </c>
      <c r="W1" s="10" t="s">
        <v>310</v>
      </c>
      <c r="X1" s="10" t="s">
        <v>279</v>
      </c>
      <c r="Y1" s="10" t="s">
        <v>375</v>
      </c>
      <c r="Z1" s="10" t="s">
        <v>384</v>
      </c>
      <c r="AA1" s="10" t="s">
        <v>377</v>
      </c>
      <c r="AB1" s="10" t="s">
        <v>299</v>
      </c>
      <c r="AC1" s="10" t="s">
        <v>219</v>
      </c>
      <c r="AD1" s="10" t="s">
        <v>272</v>
      </c>
      <c r="AE1" s="10" t="s">
        <v>192</v>
      </c>
      <c r="AF1" s="10" t="s">
        <v>179</v>
      </c>
      <c r="AG1" s="10" t="s">
        <v>202</v>
      </c>
      <c r="AH1" s="10" t="s">
        <v>78</v>
      </c>
      <c r="AI1" s="10" t="s">
        <v>227</v>
      </c>
      <c r="AJ1" s="10" t="s">
        <v>195</v>
      </c>
      <c r="AK1" s="10" t="s">
        <v>65</v>
      </c>
      <c r="AL1" s="10" t="s">
        <v>319</v>
      </c>
      <c r="AM1" s="10" t="s">
        <v>289</v>
      </c>
      <c r="AN1" s="10" t="s">
        <v>135</v>
      </c>
      <c r="AO1" s="10" t="s">
        <v>74</v>
      </c>
      <c r="AP1" s="10" t="s">
        <v>293</v>
      </c>
      <c r="AQ1" s="8"/>
      <c r="AR1" s="13" t="s">
        <v>205</v>
      </c>
      <c r="AS1" s="112"/>
      <c r="AT1" s="112"/>
      <c r="AU1" s="112"/>
      <c r="AV1" s="112"/>
      <c r="AW1" s="112"/>
      <c r="AX1" s="112"/>
      <c r="AY1" s="112"/>
      <c r="AZ1" s="112"/>
      <c r="BA1" s="112"/>
      <c r="BB1" s="112"/>
      <c r="BC1" s="112"/>
      <c r="BD1" s="112"/>
      <c r="BE1" s="112"/>
      <c r="BF1" s="112"/>
      <c r="BG1" s="112"/>
      <c r="BH1" s="112"/>
      <c r="BI1" s="112"/>
      <c r="BJ1" s="112"/>
    </row>
    <row r="2" customFormat="false" ht="15" hidden="false" customHeight="false" outlineLevel="0" collapsed="false">
      <c r="A2" s="102" t="s">
        <v>5785</v>
      </c>
      <c r="B2" s="113" t="e">
        <f aca="false">INDEX(#REF!,MATCH($A2, #REF!,0),1)</f>
        <v>#VALUE!</v>
      </c>
      <c r="C2" s="113" t="e">
        <f aca="false">INDEX(#REF!,MATCH(A2, #REF!,0),1)</f>
        <v>#VALUE!</v>
      </c>
      <c r="D2" s="113" t="e">
        <f aca="false">INDEX(#REF!,MATCH($A2, #REF!,0),1)</f>
        <v>#VALUE!</v>
      </c>
      <c r="E2" s="113" t="e">
        <f aca="false">INDEX(#REF!,MATCH($A2, #REF!,0),1)</f>
        <v>#VALUE!</v>
      </c>
      <c r="F2" s="113" t="e">
        <f aca="false">INDEX(participants!$K$1:$K$699,MATCH($B2, participants!$A$1:$A$690,0),1)</f>
        <v>#VALUE!</v>
      </c>
      <c r="G2" s="10"/>
      <c r="H2" s="113" t="e">
        <f aca="false">INDEX(participants #REF!:participants #REF!,MATCH($B2, participants!$A$1:$A$690,0),1)</f>
        <v>#VALUE!</v>
      </c>
      <c r="I2" s="114" t="e">
        <f aca="false">INDEX(samples!$C$1:$C$943,MATCH($D2, #REF!,0),1)</f>
        <v>#VALUE!</v>
      </c>
      <c r="J2" s="114" t="e">
        <f aca="false">INDEX(samples!$I$1:$I$943,MATCH($D2, #REF!,0),1)</f>
        <v>#VALUE!</v>
      </c>
      <c r="K2" s="10"/>
      <c r="L2" s="10"/>
      <c r="M2" s="10"/>
      <c r="N2" s="10"/>
      <c r="O2" s="10"/>
      <c r="P2" s="10"/>
      <c r="Q2" s="10"/>
      <c r="R2" s="10"/>
      <c r="S2" s="10"/>
      <c r="T2" s="10"/>
      <c r="U2" s="10"/>
      <c r="V2" s="10"/>
      <c r="W2" s="10"/>
      <c r="X2" s="10"/>
      <c r="Y2" s="10"/>
      <c r="Z2" s="10"/>
      <c r="AA2" s="10"/>
      <c r="AB2" s="74"/>
      <c r="AD2" s="83"/>
      <c r="AE2" s="83"/>
      <c r="AF2" s="77"/>
      <c r="AG2" s="57"/>
      <c r="AH2" s="74"/>
      <c r="AI2" s="74"/>
      <c r="AK2" s="71"/>
      <c r="AO2" s="74"/>
      <c r="AR2" s="10" t="s">
        <v>5786</v>
      </c>
      <c r="AS2" s="74"/>
      <c r="AX2" s="74"/>
      <c r="AY2" s="74"/>
      <c r="AZ2" s="74"/>
      <c r="BA2" s="74"/>
      <c r="BB2" s="79"/>
      <c r="BC2" s="74"/>
      <c r="BD2" s="74"/>
    </row>
    <row r="3" customFormat="false" ht="15" hidden="false" customHeight="false" outlineLevel="0" collapsed="false">
      <c r="A3" s="102" t="s">
        <v>5787</v>
      </c>
      <c r="B3" s="113" t="e">
        <f aca="false">INDEX(#REF!,MATCH($A3, #REF!,0),1)</f>
        <v>#VALUE!</v>
      </c>
      <c r="C3" s="113" t="e">
        <f aca="false">INDEX(#REF!,MATCH(A3, #REF!,0),1)</f>
        <v>#VALUE!</v>
      </c>
      <c r="D3" s="113" t="e">
        <f aca="false">INDEX(#REF!,MATCH($A3, #REF!,0),1)</f>
        <v>#VALUE!</v>
      </c>
      <c r="E3" s="113" t="e">
        <f aca="false">INDEX(#REF!,MATCH($A3, #REF!,0),1)</f>
        <v>#VALUE!</v>
      </c>
      <c r="F3" s="113" t="e">
        <f aca="false">INDEX(participants!$K$1:$K$699,MATCH($B3, participants!$A$1:$A$690,0),1)</f>
        <v>#VALUE!</v>
      </c>
      <c r="G3" s="10"/>
      <c r="H3" s="113" t="e">
        <f aca="false">INDEX(participants #REF!:participants #REF!,MATCH($B3, participants!$A$1:$A$690,0),1)</f>
        <v>#VALUE!</v>
      </c>
      <c r="I3" s="114" t="e">
        <f aca="false">INDEX(samples!$C$1:$C$943,MATCH($D3, #REF!,0),1)</f>
        <v>#VALUE!</v>
      </c>
      <c r="J3" s="114" t="e">
        <f aca="false">INDEX(samples!$I$1:$I$943,MATCH($D3, #REF!,0),1)</f>
        <v>#VALUE!</v>
      </c>
      <c r="K3" s="10"/>
      <c r="L3" s="10"/>
      <c r="M3" s="10"/>
      <c r="N3" s="10"/>
      <c r="O3" s="10"/>
      <c r="P3" s="10"/>
      <c r="Q3" s="10"/>
      <c r="R3" s="10"/>
      <c r="S3" s="10"/>
      <c r="T3" s="10"/>
      <c r="U3" s="10"/>
      <c r="V3" s="10"/>
      <c r="W3" s="10"/>
      <c r="X3" s="10"/>
      <c r="Y3" s="10"/>
      <c r="Z3" s="10"/>
      <c r="AA3" s="10"/>
      <c r="AB3" s="74"/>
      <c r="AD3" s="83"/>
      <c r="AE3" s="83"/>
      <c r="AF3" s="77"/>
      <c r="AH3" s="74"/>
      <c r="AI3" s="74"/>
      <c r="AJ3" s="81"/>
      <c r="AK3" s="71"/>
      <c r="AO3" s="74"/>
      <c r="AR3" s="10" t="s">
        <v>5786</v>
      </c>
      <c r="AS3" s="74"/>
      <c r="AT3" s="10"/>
      <c r="AX3" s="74"/>
      <c r="AY3" s="74"/>
      <c r="AZ3" s="74"/>
      <c r="BA3" s="74"/>
      <c r="BB3" s="79"/>
      <c r="BC3" s="74"/>
      <c r="BD3" s="74"/>
    </row>
    <row r="4" customFormat="false" ht="15" hidden="false" customHeight="false" outlineLevel="0" collapsed="false">
      <c r="A4" s="102" t="s">
        <v>5788</v>
      </c>
      <c r="B4" s="113" t="e">
        <f aca="false">INDEX(#REF!,MATCH($A4, #REF!,0),1)</f>
        <v>#VALUE!</v>
      </c>
      <c r="C4" s="113" t="e">
        <f aca="false">INDEX(#REF!,MATCH(A4, #REF!,0),1)</f>
        <v>#VALUE!</v>
      </c>
      <c r="D4" s="113" t="e">
        <f aca="false">INDEX(#REF!,MATCH($A4, #REF!,0),1)</f>
        <v>#VALUE!</v>
      </c>
      <c r="E4" s="113" t="e">
        <f aca="false">INDEX(#REF!,MATCH($A4, #REF!,0),1)</f>
        <v>#VALUE!</v>
      </c>
      <c r="F4" s="113" t="e">
        <f aca="false">INDEX(participants!$K$1:$K$699,MATCH($B4, participants!$A$1:$A$690,0),1)</f>
        <v>#VALUE!</v>
      </c>
      <c r="G4" s="10"/>
      <c r="H4" s="113" t="e">
        <f aca="false">INDEX(participants #REF!:participants #REF!,MATCH($B4, participants!$A$1:$A$690,0),1)</f>
        <v>#VALUE!</v>
      </c>
      <c r="I4" s="114" t="e">
        <f aca="false">INDEX(samples!$C$1:$C$943,MATCH($D4, #REF!,0),1)</f>
        <v>#VALUE!</v>
      </c>
      <c r="J4" s="114" t="e">
        <f aca="false">INDEX(samples!$I$1:$I$943,MATCH($D4, #REF!,0),1)</f>
        <v>#VALUE!</v>
      </c>
      <c r="K4" s="10"/>
      <c r="L4" s="10"/>
      <c r="M4" s="10"/>
      <c r="N4" s="10"/>
      <c r="O4" s="10"/>
      <c r="P4" s="10"/>
      <c r="Q4" s="10"/>
      <c r="R4" s="10"/>
      <c r="S4" s="10"/>
      <c r="T4" s="10"/>
      <c r="U4" s="10"/>
      <c r="V4" s="10"/>
      <c r="W4" s="10"/>
      <c r="X4" s="10"/>
      <c r="Y4" s="10"/>
      <c r="Z4" s="10"/>
      <c r="AA4" s="10"/>
      <c r="AB4" s="74"/>
      <c r="AE4" s="83"/>
      <c r="AF4" s="77"/>
      <c r="AG4" s="57"/>
      <c r="AH4" s="74"/>
      <c r="AI4" s="74"/>
      <c r="AJ4" s="81"/>
      <c r="AK4" s="71"/>
      <c r="AO4" s="74"/>
      <c r="AR4" s="10" t="s">
        <v>5786</v>
      </c>
      <c r="AS4" s="84"/>
      <c r="AX4" s="74"/>
      <c r="AY4" s="74"/>
      <c r="AZ4" s="74"/>
      <c r="BA4" s="74"/>
      <c r="BB4" s="79"/>
      <c r="BC4" s="74"/>
      <c r="BD4" s="74"/>
    </row>
    <row r="5" customFormat="false" ht="13.8" hidden="false" customHeight="false" outlineLevel="0" collapsed="false">
      <c r="A5" s="97" t="s">
        <v>5789</v>
      </c>
      <c r="B5" s="113" t="e">
        <f aca="false">INDEX(#REF!,MATCH($A5, #REF!,0),1)</f>
        <v>#VALUE!</v>
      </c>
      <c r="C5" s="113" t="e">
        <f aca="false">INDEX(#REF!,MATCH(A5, #REF!,0),1)</f>
        <v>#VALUE!</v>
      </c>
      <c r="D5" s="113" t="e">
        <f aca="false">INDEX(#REF!,MATCH($A5, #REF!,0),1)</f>
        <v>#VALUE!</v>
      </c>
      <c r="E5" s="113" t="e">
        <f aca="false">INDEX(#REF!,MATCH($A5, #REF!,0),1)</f>
        <v>#VALUE!</v>
      </c>
      <c r="F5" s="113" t="e">
        <f aca="false">INDEX(participants!$K$1:$K$699,MATCH($B5, participants!$A$1:$A$690,0),1)</f>
        <v>#VALUE!</v>
      </c>
      <c r="G5" s="10"/>
      <c r="H5" s="113" t="e">
        <f aca="false">INDEX(participants #REF!:participants #REF!,MATCH($B5, participants!$A$1:$A$690,0),1)</f>
        <v>#VALUE!</v>
      </c>
      <c r="I5" s="114" t="e">
        <f aca="false">INDEX(samples!$C$1:$C$943,MATCH($D5, #REF!,0),1)</f>
        <v>#VALUE!</v>
      </c>
      <c r="J5" s="114" t="e">
        <f aca="false">INDEX(samples!$I$1:$I$943,MATCH($D5, #REF!,0),1)</f>
        <v>#VALUE!</v>
      </c>
      <c r="AR5" s="64" t="s">
        <v>5790</v>
      </c>
    </row>
    <row r="6" customFormat="false" ht="13.8" hidden="false" customHeight="false" outlineLevel="0" collapsed="false">
      <c r="A6" s="97" t="s">
        <v>5791</v>
      </c>
      <c r="B6" s="113" t="e">
        <f aca="false">INDEX(#REF!,MATCH($A6, #REF!,0),1)</f>
        <v>#VALUE!</v>
      </c>
      <c r="C6" s="113" t="e">
        <f aca="false">INDEX(#REF!,MATCH(A6, #REF!,0),1)</f>
        <v>#VALUE!</v>
      </c>
      <c r="D6" s="113" t="e">
        <f aca="false">INDEX(#REF!,MATCH($A6, #REF!,0),1)</f>
        <v>#VALUE!</v>
      </c>
      <c r="E6" s="113" t="e">
        <f aca="false">INDEX(#REF!,MATCH($A6, #REF!,0),1)</f>
        <v>#VALUE!</v>
      </c>
      <c r="F6" s="113" t="e">
        <f aca="false">INDEX(participants!$K$1:$K$699,MATCH($B6, participants!$A$1:$A$690,0),1)</f>
        <v>#VALUE!</v>
      </c>
      <c r="G6" s="10"/>
      <c r="H6" s="113" t="e">
        <f aca="false">INDEX(participants #REF!:participants #REF!,MATCH($B6, participants!$A$1:$A$690,0),1)</f>
        <v>#VALUE!</v>
      </c>
      <c r="I6" s="114" t="e">
        <f aca="false">INDEX(samples!$C$1:$C$943,MATCH($D6, #REF!,0),1)</f>
        <v>#VALUE!</v>
      </c>
      <c r="J6" s="114" t="e">
        <f aca="false">INDEX(samples!$I$1:$I$943,MATCH($D6, #REF!,0),1)</f>
        <v>#VALUE!</v>
      </c>
      <c r="AR6" s="64" t="s">
        <v>5790</v>
      </c>
    </row>
    <row r="7" customFormat="false" ht="13.8" hidden="false" customHeight="false" outlineLevel="0" collapsed="false">
      <c r="A7" s="97" t="s">
        <v>5792</v>
      </c>
      <c r="B7" s="113" t="e">
        <f aca="false">INDEX(#REF!,MATCH($A7, #REF!,0),1)</f>
        <v>#VALUE!</v>
      </c>
      <c r="C7" s="113" t="e">
        <f aca="false">INDEX(#REF!,MATCH(A7, #REF!,0),1)</f>
        <v>#VALUE!</v>
      </c>
      <c r="D7" s="113" t="e">
        <f aca="false">INDEX(#REF!,MATCH($A7, #REF!,0),1)</f>
        <v>#VALUE!</v>
      </c>
      <c r="E7" s="113" t="e">
        <f aca="false">INDEX(#REF!,MATCH($A7, #REF!,0),1)</f>
        <v>#VALUE!</v>
      </c>
      <c r="F7" s="113" t="e">
        <f aca="false">INDEX(participants!$K$1:$K$699,MATCH($B7, participants!$A$1:$A$690,0),1)</f>
        <v>#VALUE!</v>
      </c>
      <c r="G7" s="10"/>
      <c r="H7" s="113" t="e">
        <f aca="false">INDEX(participants #REF!:participants #REF!,MATCH($B7, participants!$A$1:$A$690,0),1)</f>
        <v>#VALUE!</v>
      </c>
      <c r="I7" s="114" t="e">
        <f aca="false">INDEX(samples!$C$1:$C$943,MATCH($D7, #REF!,0),1)</f>
        <v>#VALUE!</v>
      </c>
      <c r="J7" s="114" t="e">
        <f aca="false">INDEX(samples!$I$1:$I$943,MATCH($D7, #REF!,0),1)</f>
        <v>#VALUE!</v>
      </c>
      <c r="AR7" s="64" t="s">
        <v>5790</v>
      </c>
    </row>
    <row r="8" customFormat="false" ht="13.8" hidden="false" customHeight="false" outlineLevel="0" collapsed="false">
      <c r="A8" s="97" t="s">
        <v>5793</v>
      </c>
      <c r="B8" s="113" t="e">
        <f aca="false">INDEX(#REF!,MATCH($A8, #REF!,0),1)</f>
        <v>#VALUE!</v>
      </c>
      <c r="C8" s="113" t="e">
        <f aca="false">INDEX(#REF!,MATCH(A8, #REF!,0),1)</f>
        <v>#VALUE!</v>
      </c>
      <c r="D8" s="113" t="e">
        <f aca="false">INDEX(#REF!,MATCH($A8, #REF!,0),1)</f>
        <v>#VALUE!</v>
      </c>
      <c r="E8" s="113" t="e">
        <f aca="false">INDEX(#REF!,MATCH($A8, #REF!,0),1)</f>
        <v>#VALUE!</v>
      </c>
      <c r="F8" s="113" t="e">
        <f aca="false">INDEX(participants!$K$1:$K$699,MATCH($B8, participants!$A$1:$A$690,0),1)</f>
        <v>#VALUE!</v>
      </c>
      <c r="G8" s="10"/>
      <c r="H8" s="113" t="e">
        <f aca="false">INDEX(participants #REF!:participants #REF!,MATCH($B8, participants!$A$1:$A$690,0),1)</f>
        <v>#VALUE!</v>
      </c>
      <c r="I8" s="114" t="e">
        <f aca="false">INDEX(samples!$C$1:$C$943,MATCH($D8, #REF!,0),1)</f>
        <v>#VALUE!</v>
      </c>
      <c r="J8" s="114" t="e">
        <f aca="false">INDEX(samples!$I$1:$I$943,MATCH($D8, #REF!,0),1)</f>
        <v>#VALUE!</v>
      </c>
      <c r="AR8" s="64" t="s">
        <v>5790</v>
      </c>
    </row>
    <row r="9" customFormat="false" ht="13.8" hidden="false" customHeight="false" outlineLevel="0" collapsed="false">
      <c r="A9" s="97" t="s">
        <v>5794</v>
      </c>
      <c r="B9" s="113" t="e">
        <f aca="false">INDEX(#REF!,MATCH($A9, #REF!,0),1)</f>
        <v>#VALUE!</v>
      </c>
      <c r="C9" s="113" t="e">
        <f aca="false">INDEX(#REF!,MATCH(A9, #REF!,0),1)</f>
        <v>#VALUE!</v>
      </c>
      <c r="D9" s="113" t="e">
        <f aca="false">INDEX(#REF!,MATCH($A9, #REF!,0),1)</f>
        <v>#VALUE!</v>
      </c>
      <c r="E9" s="113" t="e">
        <f aca="false">INDEX(#REF!,MATCH($A9, #REF!,0),1)</f>
        <v>#VALUE!</v>
      </c>
      <c r="F9" s="113" t="e">
        <f aca="false">INDEX(participants!$K$1:$K$699,MATCH($B9, participants!$A$1:$A$690,0),1)</f>
        <v>#VALUE!</v>
      </c>
      <c r="G9" s="10"/>
      <c r="H9" s="113" t="e">
        <f aca="false">INDEX(participants #REF!:participants #REF!,MATCH($B9, participants!$A$1:$A$690,0),1)</f>
        <v>#VALUE!</v>
      </c>
      <c r="I9" s="114" t="e">
        <f aca="false">INDEX(samples!$C$1:$C$943,MATCH($D9, #REF!,0),1)</f>
        <v>#VALUE!</v>
      </c>
      <c r="J9" s="114" t="e">
        <f aca="false">INDEX(samples!$I$1:$I$943,MATCH($D9, #REF!,0),1)</f>
        <v>#VALUE!</v>
      </c>
      <c r="AR9" s="64" t="s">
        <v>5795</v>
      </c>
    </row>
    <row r="10" customFormat="false" ht="13.8" hidden="false" customHeight="false" outlineLevel="0" collapsed="false">
      <c r="A10" s="97" t="s">
        <v>5796</v>
      </c>
      <c r="B10" s="113" t="e">
        <f aca="false">INDEX(#REF!,MATCH($A10, #REF!,0),1)</f>
        <v>#VALUE!</v>
      </c>
      <c r="C10" s="113" t="e">
        <f aca="false">INDEX(#REF!,MATCH(A10, #REF!,0),1)</f>
        <v>#VALUE!</v>
      </c>
      <c r="D10" s="113" t="e">
        <f aca="false">INDEX(#REF!,MATCH($A10, #REF!,0),1)</f>
        <v>#VALUE!</v>
      </c>
      <c r="E10" s="113" t="e">
        <f aca="false">INDEX(#REF!,MATCH($A10, #REF!,0),1)</f>
        <v>#VALUE!</v>
      </c>
      <c r="F10" s="113" t="e">
        <f aca="false">INDEX(participants!$K$1:$K$699,MATCH($B10, participants!$A$1:$A$690,0),1)</f>
        <v>#VALUE!</v>
      </c>
      <c r="G10" s="10"/>
      <c r="H10" s="113" t="e">
        <f aca="false">INDEX(participants #REF!:participants #REF!,MATCH($B10, participants!$A$1:$A$690,0),1)</f>
        <v>#VALUE!</v>
      </c>
      <c r="I10" s="114" t="e">
        <f aca="false">INDEX(samples!$C$1:$C$943,MATCH($D10, #REF!,0),1)</f>
        <v>#VALUE!</v>
      </c>
      <c r="J10" s="114" t="e">
        <f aca="false">INDEX(samples!$I$1:$I$943,MATCH($D10, #REF!,0),1)</f>
        <v>#VALUE!</v>
      </c>
      <c r="AR10" s="64" t="s">
        <v>5795</v>
      </c>
    </row>
    <row r="11" customFormat="false" ht="13.8" hidden="false" customHeight="false" outlineLevel="0" collapsed="false">
      <c r="A11" s="97" t="s">
        <v>5797</v>
      </c>
      <c r="B11" s="113" t="e">
        <f aca="false">INDEX(#REF!,MATCH($A11, #REF!,0),1)</f>
        <v>#VALUE!</v>
      </c>
      <c r="C11" s="113" t="e">
        <f aca="false">INDEX(#REF!,MATCH(A11, #REF!,0),1)</f>
        <v>#VALUE!</v>
      </c>
      <c r="D11" s="113" t="e">
        <f aca="false">INDEX(#REF!,MATCH($A11, #REF!,0),1)</f>
        <v>#VALUE!</v>
      </c>
      <c r="E11" s="113" t="e">
        <f aca="false">INDEX(#REF!,MATCH($A11, #REF!,0),1)</f>
        <v>#VALUE!</v>
      </c>
      <c r="F11" s="113" t="e">
        <f aca="false">INDEX(participants!$K$1:$K$699,MATCH($B11, participants!$A$1:$A$690,0),1)</f>
        <v>#VALUE!</v>
      </c>
      <c r="G11" s="10"/>
      <c r="H11" s="113" t="e">
        <f aca="false">INDEX(participants #REF!:participants #REF!,MATCH($B11, participants!$A$1:$A$690,0),1)</f>
        <v>#VALUE!</v>
      </c>
      <c r="I11" s="114" t="e">
        <f aca="false">INDEX(samples!$C$1:$C$943,MATCH($D11, #REF!,0),1)</f>
        <v>#VALUE!</v>
      </c>
      <c r="J11" s="114" t="e">
        <f aca="false">INDEX(samples!$I$1:$I$943,MATCH($D11, #REF!,0),1)</f>
        <v>#VALUE!</v>
      </c>
      <c r="L11" s="73" t="s">
        <v>558</v>
      </c>
      <c r="M11" s="73" t="s">
        <v>558</v>
      </c>
      <c r="N11" s="73" t="s">
        <v>558</v>
      </c>
      <c r="Q11" s="73" t="s">
        <v>558</v>
      </c>
      <c r="R11" s="73" t="s">
        <v>558</v>
      </c>
      <c r="S11" s="73" t="s">
        <v>558</v>
      </c>
      <c r="T11" s="73" t="s">
        <v>558</v>
      </c>
      <c r="U11" s="73" t="s">
        <v>5798</v>
      </c>
      <c r="AA11" s="73" t="s">
        <v>511</v>
      </c>
      <c r="AB11" s="107" t="n">
        <v>43782</v>
      </c>
      <c r="AC11" s="73" t="s">
        <v>5799</v>
      </c>
      <c r="AE11" s="73" t="s">
        <v>558</v>
      </c>
      <c r="AF11" s="73" t="s">
        <v>558</v>
      </c>
      <c r="AG11" s="73" t="s">
        <v>558</v>
      </c>
      <c r="AH11" s="73" t="s">
        <v>5800</v>
      </c>
      <c r="AI11" s="73" t="s">
        <v>487</v>
      </c>
      <c r="AJ11" s="73" t="s">
        <v>487</v>
      </c>
      <c r="AK11" s="73" t="s">
        <v>487</v>
      </c>
      <c r="AL11" s="73" t="s">
        <v>487</v>
      </c>
      <c r="AM11" s="73" t="s">
        <v>487</v>
      </c>
      <c r="AN11" s="73" t="s">
        <v>487</v>
      </c>
      <c r="AO11" s="73" t="s">
        <v>487</v>
      </c>
      <c r="AR11" s="64" t="s">
        <v>5795</v>
      </c>
    </row>
    <row r="12" customFormat="false" ht="13.8" hidden="false" customHeight="false" outlineLevel="0" collapsed="false">
      <c r="A12" s="97" t="s">
        <v>5801</v>
      </c>
      <c r="B12" s="113" t="e">
        <f aca="false">INDEX(#REF!,MATCH($A12, #REF!,0),1)</f>
        <v>#VALUE!</v>
      </c>
      <c r="C12" s="113" t="e">
        <f aca="false">INDEX(#REF!,MATCH(A12, #REF!,0),1)</f>
        <v>#VALUE!</v>
      </c>
      <c r="D12" s="113" t="e">
        <f aca="false">INDEX(#REF!,MATCH($A12, #REF!,0),1)</f>
        <v>#VALUE!</v>
      </c>
      <c r="E12" s="113" t="e">
        <f aca="false">INDEX(#REF!,MATCH($A12, #REF!,0),1)</f>
        <v>#VALUE!</v>
      </c>
      <c r="F12" s="113" t="e">
        <f aca="false">INDEX(participants!$K$1:$K$699,MATCH($B12, participants!$A$1:$A$690,0),1)</f>
        <v>#VALUE!</v>
      </c>
      <c r="G12" s="10"/>
      <c r="H12" s="113" t="e">
        <f aca="false">INDEX(participants #REF!:participants #REF!,MATCH($B12, participants!$A$1:$A$690,0),1)</f>
        <v>#VALUE!</v>
      </c>
      <c r="I12" s="114" t="e">
        <f aca="false">INDEX(samples!$C$1:$C$943,MATCH($D12, #REF!,0),1)</f>
        <v>#VALUE!</v>
      </c>
      <c r="J12" s="114" t="e">
        <f aca="false">INDEX(samples!$I$1:$I$943,MATCH($D12, #REF!,0),1)</f>
        <v>#VALUE!</v>
      </c>
      <c r="L12" s="106" t="s">
        <v>558</v>
      </c>
      <c r="M12" s="73" t="s">
        <v>558</v>
      </c>
      <c r="N12" s="73" t="s">
        <v>558</v>
      </c>
      <c r="Q12" s="73" t="s">
        <v>558</v>
      </c>
      <c r="R12" s="73" t="s">
        <v>558</v>
      </c>
      <c r="S12" s="73" t="s">
        <v>558</v>
      </c>
      <c r="T12" s="73" t="s">
        <v>558</v>
      </c>
      <c r="U12" s="73" t="s">
        <v>5798</v>
      </c>
      <c r="AR12" s="64" t="s">
        <v>5795</v>
      </c>
    </row>
    <row r="13" customFormat="false" ht="15" hidden="false" customHeight="false" outlineLevel="0" collapsed="false">
      <c r="A13" s="102" t="s">
        <v>5802</v>
      </c>
      <c r="B13" s="113" t="e">
        <f aca="false">INDEX(#REF!,MATCH($A13, #REF!,0),1)</f>
        <v>#VALUE!</v>
      </c>
      <c r="C13" s="113" t="e">
        <f aca="false">INDEX(#REF!,MATCH(A13, #REF!,0),1)</f>
        <v>#VALUE!</v>
      </c>
      <c r="D13" s="113" t="e">
        <f aca="false">INDEX(#REF!,MATCH($A13, #REF!,0),1)</f>
        <v>#VALUE!</v>
      </c>
      <c r="E13" s="113" t="e">
        <f aca="false">INDEX(#REF!,MATCH($A13, #REF!,0),1)</f>
        <v>#VALUE!</v>
      </c>
      <c r="F13" s="113" t="e">
        <f aca="false">INDEX(participants!$K$1:$K$699,MATCH($B13, participants!$A$1:$A$690,0),1)</f>
        <v>#VALUE!</v>
      </c>
      <c r="G13" s="10"/>
      <c r="H13" s="113" t="e">
        <f aca="false">INDEX(participants #REF!:participants #REF!,MATCH($B13, participants!$A$1:$A$690,0),1)</f>
        <v>#VALUE!</v>
      </c>
      <c r="I13" s="114" t="e">
        <f aca="false">INDEX(samples!$C$1:$C$943,MATCH($D13, #REF!,0),1)</f>
        <v>#VALUE!</v>
      </c>
      <c r="J13" s="114" t="e">
        <f aca="false">INDEX(samples!$I$1:$I$943,MATCH($D13, #REF!,0),1)</f>
        <v>#VALUE!</v>
      </c>
      <c r="K13" s="10"/>
      <c r="L13" s="10"/>
      <c r="M13" s="10"/>
      <c r="N13" s="10"/>
      <c r="O13" s="10"/>
      <c r="P13" s="10"/>
      <c r="Q13" s="10"/>
      <c r="R13" s="10"/>
      <c r="S13" s="10"/>
      <c r="T13" s="10"/>
      <c r="U13" s="10"/>
      <c r="V13" s="10"/>
      <c r="W13" s="10"/>
      <c r="X13" s="10"/>
      <c r="Y13" s="10"/>
      <c r="AA13" s="73" t="s">
        <v>511</v>
      </c>
      <c r="AB13" s="31" t="n">
        <v>44641</v>
      </c>
      <c r="AC13" s="73" t="s">
        <v>5803</v>
      </c>
      <c r="AD13" s="57"/>
      <c r="AE13" s="57" t="s">
        <v>487</v>
      </c>
      <c r="AF13" s="80" t="s">
        <v>558</v>
      </c>
      <c r="AG13" s="57" t="s">
        <v>511</v>
      </c>
      <c r="AH13" s="74" t="s">
        <v>5441</v>
      </c>
      <c r="AI13" s="74" t="s">
        <v>487</v>
      </c>
      <c r="AJ13" s="10" t="s">
        <v>487</v>
      </c>
      <c r="AK13" s="73" t="s">
        <v>5804</v>
      </c>
      <c r="AL13" s="73" t="s">
        <v>487</v>
      </c>
      <c r="AM13" s="73" t="s">
        <v>5425</v>
      </c>
      <c r="AN13" s="73" t="s">
        <v>5412</v>
      </c>
      <c r="AO13" s="73" t="s">
        <v>487</v>
      </c>
      <c r="AR13" s="10" t="s">
        <v>5805</v>
      </c>
      <c r="AX13" s="74"/>
      <c r="AY13" s="74"/>
      <c r="AZ13" s="74"/>
      <c r="BA13" s="74"/>
      <c r="BB13" s="79"/>
      <c r="BC13" s="74"/>
      <c r="BD13" s="74"/>
    </row>
    <row r="14" customFormat="false" ht="13.8" hidden="false" customHeight="false" outlineLevel="0" collapsed="false">
      <c r="A14" s="102" t="s">
        <v>5806</v>
      </c>
      <c r="B14" s="113" t="e">
        <f aca="false">INDEX(#REF!,MATCH($A14, #REF!,0),1)</f>
        <v>#VALUE!</v>
      </c>
      <c r="C14" s="113" t="e">
        <f aca="false">INDEX(#REF!,MATCH(A14, #REF!,0),1)</f>
        <v>#VALUE!</v>
      </c>
      <c r="D14" s="113" t="e">
        <f aca="false">INDEX(#REF!,MATCH($A14, #REF!,0),1)</f>
        <v>#VALUE!</v>
      </c>
      <c r="E14" s="113" t="e">
        <f aca="false">INDEX(#REF!,MATCH($A14, #REF!,0),1)</f>
        <v>#VALUE!</v>
      </c>
      <c r="F14" s="113" t="e">
        <f aca="false">INDEX(participants!$K$1:$K$699,MATCH($B14, participants!$A$1:$A$690,0),1)</f>
        <v>#VALUE!</v>
      </c>
      <c r="G14" s="10"/>
      <c r="H14" s="113" t="e">
        <f aca="false">INDEX(participants #REF!:participants #REF!,MATCH($B14, participants!$A$1:$A$690,0),1)</f>
        <v>#VALUE!</v>
      </c>
      <c r="I14" s="114" t="e">
        <f aca="false">INDEX(samples!$C$1:$C$943,MATCH($D14, #REF!,0),1)</f>
        <v>#VALUE!</v>
      </c>
      <c r="J14" s="114" t="e">
        <f aca="false">INDEX(samples!$I$1:$I$943,MATCH($D14, #REF!,0),1)</f>
        <v>#VALUE!</v>
      </c>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R14" s="10" t="s">
        <v>583</v>
      </c>
    </row>
    <row r="15" customFormat="false" ht="13.8" hidden="false" customHeight="false" outlineLevel="0" collapsed="false">
      <c r="A15" s="102" t="s">
        <v>5807</v>
      </c>
      <c r="B15" s="113" t="e">
        <f aca="false">INDEX(#REF!,MATCH($A15, #REF!,0),1)</f>
        <v>#VALUE!</v>
      </c>
      <c r="C15" s="113" t="e">
        <f aca="false">INDEX(#REF!,MATCH(A15, #REF!,0),1)</f>
        <v>#VALUE!</v>
      </c>
      <c r="D15" s="113" t="e">
        <f aca="false">INDEX(#REF!,MATCH($A15, #REF!,0),1)</f>
        <v>#VALUE!</v>
      </c>
      <c r="E15" s="113" t="e">
        <f aca="false">INDEX(#REF!,MATCH($A15, #REF!,0),1)</f>
        <v>#VALUE!</v>
      </c>
      <c r="F15" s="113" t="e">
        <f aca="false">INDEX(participants!$K$1:$K$699,MATCH($B15, participants!$A$1:$A$690,0),1)</f>
        <v>#VALUE!</v>
      </c>
      <c r="G15" s="10"/>
      <c r="H15" s="113" t="e">
        <f aca="false">INDEX(participants #REF!:participants #REF!,MATCH($B15, participants!$A$1:$A$690,0),1)</f>
        <v>#VALUE!</v>
      </c>
      <c r="I15" s="114" t="e">
        <f aca="false">INDEX(samples!$C$1:$C$943,MATCH($D15, #REF!,0),1)</f>
        <v>#VALUE!</v>
      </c>
      <c r="J15" s="114" t="e">
        <f aca="false">INDEX(samples!$I$1:$I$943,MATCH($D15, #REF!,0),1)</f>
        <v>#VALUE!</v>
      </c>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R15" s="10" t="s">
        <v>612</v>
      </c>
    </row>
    <row r="16" customFormat="false" ht="13.8" hidden="false" customHeight="false" outlineLevel="0" collapsed="false">
      <c r="A16" s="97" t="s">
        <v>5808</v>
      </c>
      <c r="B16" s="113" t="e">
        <f aca="false">INDEX(#REF!,MATCH($A16, #REF!,0),1)</f>
        <v>#VALUE!</v>
      </c>
      <c r="C16" s="113" t="e">
        <f aca="false">INDEX(#REF!,MATCH(A16, #REF!,0),1)</f>
        <v>#VALUE!</v>
      </c>
      <c r="D16" s="113" t="e">
        <f aca="false">INDEX(#REF!,MATCH($A16, #REF!,0),1)</f>
        <v>#VALUE!</v>
      </c>
      <c r="E16" s="113" t="e">
        <f aca="false">INDEX(#REF!,MATCH($A16, #REF!,0),1)</f>
        <v>#VALUE!</v>
      </c>
      <c r="F16" s="113" t="e">
        <f aca="false">INDEX(participants!$K$1:$K$699,MATCH($B16, participants!$A$1:$A$690,0),1)</f>
        <v>#VALUE!</v>
      </c>
      <c r="G16" s="10"/>
      <c r="H16" s="113" t="e">
        <f aca="false">INDEX(participants #REF!:participants #REF!,MATCH($B16, participants!$A$1:$A$690,0),1)</f>
        <v>#VALUE!</v>
      </c>
      <c r="I16" s="114" t="e">
        <f aca="false">INDEX(samples!$C$1:$C$943,MATCH($D16, #REF!,0),1)</f>
        <v>#VALUE!</v>
      </c>
      <c r="J16" s="114" t="e">
        <f aca="false">INDEX(samples!$I$1:$I$943,MATCH($D16, #REF!,0),1)</f>
        <v>#VALUE!</v>
      </c>
      <c r="K16" s="10" t="s">
        <v>511</v>
      </c>
      <c r="L16" s="10" t="s">
        <v>511</v>
      </c>
      <c r="M16" s="10" t="s">
        <v>487</v>
      </c>
      <c r="N16" s="10" t="s">
        <v>487</v>
      </c>
      <c r="O16" s="10" t="s">
        <v>558</v>
      </c>
      <c r="P16" s="73" t="s">
        <v>487</v>
      </c>
      <c r="Q16" s="73" t="s">
        <v>487</v>
      </c>
      <c r="R16" s="73" t="s">
        <v>487</v>
      </c>
      <c r="S16" s="73" t="s">
        <v>487</v>
      </c>
      <c r="T16" s="73" t="s">
        <v>487</v>
      </c>
      <c r="U16" s="73" t="s">
        <v>487</v>
      </c>
      <c r="V16" s="73" t="s">
        <v>487</v>
      </c>
      <c r="W16" s="10" t="s">
        <v>5809</v>
      </c>
      <c r="X16" s="10" t="s">
        <v>487</v>
      </c>
      <c r="Y16" s="73" t="s">
        <v>558</v>
      </c>
      <c r="Z16" s="10" t="s">
        <v>487</v>
      </c>
      <c r="AA16" s="10" t="s">
        <v>5515</v>
      </c>
      <c r="AB16" s="73" t="s">
        <v>487</v>
      </c>
      <c r="AC16" s="73" t="s">
        <v>487</v>
      </c>
      <c r="AD16" s="73" t="s">
        <v>487</v>
      </c>
      <c r="AE16" s="73" t="s">
        <v>487</v>
      </c>
      <c r="AF16" s="73" t="s">
        <v>487</v>
      </c>
      <c r="AG16" s="73" t="s">
        <v>487</v>
      </c>
      <c r="AH16" s="73" t="s">
        <v>487</v>
      </c>
      <c r="AI16" s="73" t="s">
        <v>487</v>
      </c>
      <c r="AJ16" s="73" t="s">
        <v>487</v>
      </c>
      <c r="AK16" s="73" t="s">
        <v>487</v>
      </c>
      <c r="AL16" s="73" t="s">
        <v>487</v>
      </c>
      <c r="AM16" s="73" t="s">
        <v>487</v>
      </c>
      <c r="AN16" s="73" t="s">
        <v>487</v>
      </c>
      <c r="AO16" s="73" t="s">
        <v>487</v>
      </c>
      <c r="AP16" s="73" t="s">
        <v>487</v>
      </c>
      <c r="AR16" s="83" t="s">
        <v>673</v>
      </c>
    </row>
    <row r="17" customFormat="false" ht="13.8" hidden="false" customHeight="false" outlineLevel="0" collapsed="false">
      <c r="A17" s="97" t="s">
        <v>5810</v>
      </c>
      <c r="B17" s="113" t="e">
        <f aca="false">INDEX(#REF!,MATCH($A17, #REF!,0),1)</f>
        <v>#VALUE!</v>
      </c>
      <c r="C17" s="113" t="e">
        <f aca="false">INDEX(#REF!,MATCH(A17, #REF!,0),1)</f>
        <v>#VALUE!</v>
      </c>
      <c r="D17" s="113" t="e">
        <f aca="false">INDEX(#REF!,MATCH($A17, #REF!,0),1)</f>
        <v>#VALUE!</v>
      </c>
      <c r="E17" s="113" t="e">
        <f aca="false">INDEX(#REF!,MATCH($A17, #REF!,0),1)</f>
        <v>#VALUE!</v>
      </c>
      <c r="F17" s="113" t="e">
        <f aca="false">INDEX(participants!$K$1:$K$699,MATCH($B17, participants!$A$1:$A$690,0),1)</f>
        <v>#VALUE!</v>
      </c>
      <c r="G17" s="10"/>
      <c r="H17" s="113" t="e">
        <f aca="false">INDEX(participants #REF!:participants #REF!,MATCH($B17, participants!$A$1:$A$690,0),1)</f>
        <v>#VALUE!</v>
      </c>
      <c r="I17" s="114" t="e">
        <f aca="false">INDEX(samples!$C$1:$C$943,MATCH($D17, #REF!,0),1)</f>
        <v>#VALUE!</v>
      </c>
      <c r="J17" s="114" t="e">
        <f aca="false">INDEX(samples!$I$1:$I$943,MATCH($D17, #REF!,0),1)</f>
        <v>#VALUE!</v>
      </c>
      <c r="K17" s="73" t="s">
        <v>487</v>
      </c>
      <c r="L17" s="73" t="s">
        <v>487</v>
      </c>
      <c r="M17" s="73" t="s">
        <v>487</v>
      </c>
      <c r="N17" s="73" t="s">
        <v>487</v>
      </c>
      <c r="O17" s="73" t="s">
        <v>487</v>
      </c>
      <c r="P17" s="73" t="s">
        <v>487</v>
      </c>
      <c r="Q17" s="73" t="s">
        <v>487</v>
      </c>
      <c r="R17" s="73" t="s">
        <v>487</v>
      </c>
      <c r="S17" s="73" t="s">
        <v>487</v>
      </c>
      <c r="T17" s="73" t="s">
        <v>487</v>
      </c>
      <c r="U17" s="73" t="s">
        <v>487</v>
      </c>
      <c r="V17" s="73" t="s">
        <v>487</v>
      </c>
      <c r="W17" s="73" t="s">
        <v>487</v>
      </c>
      <c r="X17" s="73" t="s">
        <v>487</v>
      </c>
      <c r="Y17" s="73" t="s">
        <v>487</v>
      </c>
      <c r="Z17" s="73" t="s">
        <v>487</v>
      </c>
      <c r="AA17" s="73" t="s">
        <v>487</v>
      </c>
      <c r="AB17" s="73" t="s">
        <v>487</v>
      </c>
      <c r="AC17" s="73" t="s">
        <v>487</v>
      </c>
      <c r="AD17" s="73" t="s">
        <v>487</v>
      </c>
      <c r="AE17" s="73" t="s">
        <v>487</v>
      </c>
      <c r="AF17" s="73" t="s">
        <v>487</v>
      </c>
      <c r="AG17" s="73" t="s">
        <v>487</v>
      </c>
      <c r="AH17" s="73" t="s">
        <v>487</v>
      </c>
      <c r="AI17" s="73" t="s">
        <v>487</v>
      </c>
      <c r="AJ17" s="73" t="s">
        <v>487</v>
      </c>
      <c r="AK17" s="73" t="s">
        <v>487</v>
      </c>
      <c r="AL17" s="73" t="s">
        <v>487</v>
      </c>
      <c r="AM17" s="73" t="s">
        <v>487</v>
      </c>
      <c r="AN17" s="73" t="s">
        <v>487</v>
      </c>
      <c r="AO17" s="73" t="s">
        <v>487</v>
      </c>
      <c r="AP17" s="73" t="s">
        <v>487</v>
      </c>
      <c r="AR17" s="83" t="s">
        <v>673</v>
      </c>
    </row>
    <row r="18" customFormat="false" ht="15" hidden="false" customHeight="false" outlineLevel="0" collapsed="false">
      <c r="A18" s="97" t="s">
        <v>5811</v>
      </c>
      <c r="B18" s="113" t="e">
        <f aca="false">INDEX(#REF!,MATCH($A18, #REF!,0),1)</f>
        <v>#VALUE!</v>
      </c>
      <c r="C18" s="113" t="e">
        <f aca="false">INDEX(#REF!,MATCH(A18, #REF!,0),1)</f>
        <v>#VALUE!</v>
      </c>
      <c r="D18" s="113" t="e">
        <f aca="false">INDEX(#REF!,MATCH($A18, #REF!,0),1)</f>
        <v>#VALUE!</v>
      </c>
      <c r="E18" s="113" t="e">
        <f aca="false">INDEX(#REF!,MATCH($A18, #REF!,0),1)</f>
        <v>#VALUE!</v>
      </c>
      <c r="F18" s="113" t="e">
        <f aca="false">INDEX(participants!$K$1:$K$699,MATCH($B18, participants!$A$1:$A$690,0),1)</f>
        <v>#VALUE!</v>
      </c>
      <c r="G18" s="10"/>
      <c r="H18" s="113" t="e">
        <f aca="false">INDEX(participants #REF!:participants #REF!,MATCH($B18, participants!$A$1:$A$690,0),1)</f>
        <v>#VALUE!</v>
      </c>
      <c r="I18" s="114" t="e">
        <f aca="false">INDEX(samples!$C$1:$C$943,MATCH($D18, #REF!,0),1)</f>
        <v>#VALUE!</v>
      </c>
      <c r="J18" s="114" t="e">
        <f aca="false">INDEX(samples!$I$1:$I$943,MATCH($D18, #REF!,0),1)</f>
        <v>#VALUE!</v>
      </c>
      <c r="K18" s="10" t="s">
        <v>511</v>
      </c>
      <c r="L18" s="10" t="s">
        <v>511</v>
      </c>
      <c r="M18" s="74" t="s">
        <v>487</v>
      </c>
      <c r="N18" s="10" t="s">
        <v>487</v>
      </c>
      <c r="O18" s="10" t="s">
        <v>511</v>
      </c>
      <c r="P18" s="10" t="n">
        <v>1</v>
      </c>
      <c r="Q18" s="10" t="s">
        <v>487</v>
      </c>
      <c r="R18" s="10" t="s">
        <v>487</v>
      </c>
      <c r="S18" s="10" t="s">
        <v>487</v>
      </c>
      <c r="T18" s="10" t="s">
        <v>487</v>
      </c>
      <c r="U18" s="10" t="s">
        <v>487</v>
      </c>
      <c r="V18" s="10" t="s">
        <v>487</v>
      </c>
      <c r="W18" s="10" t="s">
        <v>5812</v>
      </c>
      <c r="X18" s="10" t="s">
        <v>5414</v>
      </c>
      <c r="Y18" s="10" t="s">
        <v>558</v>
      </c>
      <c r="Z18" s="10" t="s">
        <v>487</v>
      </c>
      <c r="AA18" s="57" t="s">
        <v>752</v>
      </c>
      <c r="AB18" s="31" t="n">
        <v>43644</v>
      </c>
      <c r="AC18" s="73" t="s">
        <v>5813</v>
      </c>
      <c r="AD18" s="57" t="s">
        <v>751</v>
      </c>
      <c r="AE18" s="71" t="s">
        <v>5416</v>
      </c>
      <c r="AF18" s="73" t="s">
        <v>511</v>
      </c>
      <c r="AG18" s="73" t="s">
        <v>511</v>
      </c>
      <c r="AH18" s="73" t="s">
        <v>511</v>
      </c>
      <c r="AI18" s="10" t="s">
        <v>487</v>
      </c>
      <c r="AJ18" s="73" t="s">
        <v>558</v>
      </c>
      <c r="AK18" s="73" t="s">
        <v>487</v>
      </c>
      <c r="AL18" s="73" t="s">
        <v>487</v>
      </c>
      <c r="AM18" s="73" t="s">
        <v>487</v>
      </c>
      <c r="AN18" s="73" t="s">
        <v>487</v>
      </c>
      <c r="AO18" s="74" t="s">
        <v>487</v>
      </c>
      <c r="AP18" s="73" t="s">
        <v>511</v>
      </c>
      <c r="AR18" s="57" t="s">
        <v>751</v>
      </c>
      <c r="AS18" s="10"/>
      <c r="AY18" s="74"/>
      <c r="AZ18" s="74"/>
      <c r="BA18" s="74"/>
      <c r="BB18" s="79"/>
      <c r="BC18" s="74"/>
      <c r="BD18" s="74"/>
      <c r="BE18" s="80"/>
      <c r="BF18" s="57"/>
      <c r="BG18" s="74"/>
      <c r="BH18" s="74"/>
    </row>
    <row r="19" customFormat="false" ht="15" hidden="false" customHeight="false" outlineLevel="0" collapsed="false">
      <c r="A19" s="97" t="s">
        <v>5814</v>
      </c>
      <c r="B19" s="113" t="e">
        <f aca="false">INDEX(#REF!,MATCH($A19, #REF!,0),1)</f>
        <v>#VALUE!</v>
      </c>
      <c r="C19" s="113" t="e">
        <f aca="false">INDEX(#REF!,MATCH(A19, #REF!,0),1)</f>
        <v>#VALUE!</v>
      </c>
      <c r="D19" s="113" t="e">
        <f aca="false">INDEX(#REF!,MATCH($A19, #REF!,0),1)</f>
        <v>#VALUE!</v>
      </c>
      <c r="E19" s="113" t="e">
        <f aca="false">INDEX(#REF!,MATCH($A19, #REF!,0),1)</f>
        <v>#VALUE!</v>
      </c>
      <c r="F19" s="113" t="e">
        <f aca="false">INDEX(participants!$K$1:$K$699,MATCH($B19, participants!$A$1:$A$690,0),1)</f>
        <v>#VALUE!</v>
      </c>
      <c r="G19" s="10"/>
      <c r="H19" s="113" t="e">
        <f aca="false">INDEX(participants #REF!:participants #REF!,MATCH($B19, participants!$A$1:$A$690,0),1)</f>
        <v>#VALUE!</v>
      </c>
      <c r="I19" s="114" t="e">
        <f aca="false">INDEX(samples!$C$1:$C$943,MATCH($D19, #REF!,0),1)</f>
        <v>#VALUE!</v>
      </c>
      <c r="J19" s="114" t="e">
        <f aca="false">INDEX(samples!$I$1:$I$943,MATCH($D19, #REF!,0),1)</f>
        <v>#VALUE!</v>
      </c>
      <c r="K19" s="73" t="s">
        <v>487</v>
      </c>
      <c r="L19" s="73" t="s">
        <v>487</v>
      </c>
      <c r="M19" s="73" t="s">
        <v>487</v>
      </c>
      <c r="N19" s="73" t="s">
        <v>487</v>
      </c>
      <c r="O19" s="73" t="s">
        <v>487</v>
      </c>
      <c r="P19" s="73" t="s">
        <v>487</v>
      </c>
      <c r="Q19" s="73" t="s">
        <v>487</v>
      </c>
      <c r="R19" s="73" t="s">
        <v>487</v>
      </c>
      <c r="S19" s="73" t="s">
        <v>487</v>
      </c>
      <c r="T19" s="73" t="s">
        <v>487</v>
      </c>
      <c r="U19" s="73" t="s">
        <v>487</v>
      </c>
      <c r="V19" s="73" t="s">
        <v>487</v>
      </c>
      <c r="W19" s="73" t="s">
        <v>487</v>
      </c>
      <c r="X19" s="73" t="s">
        <v>487</v>
      </c>
      <c r="Y19" s="73" t="s">
        <v>487</v>
      </c>
      <c r="Z19" s="73" t="s">
        <v>487</v>
      </c>
      <c r="AA19" s="73" t="s">
        <v>487</v>
      </c>
      <c r="AB19" s="73" t="s">
        <v>487</v>
      </c>
      <c r="AC19" s="73" t="s">
        <v>487</v>
      </c>
      <c r="AD19" s="73" t="s">
        <v>487</v>
      </c>
      <c r="AE19" s="73" t="s">
        <v>487</v>
      </c>
      <c r="AF19" s="73" t="s">
        <v>487</v>
      </c>
      <c r="AG19" s="73" t="s">
        <v>487</v>
      </c>
      <c r="AH19" s="73" t="s">
        <v>487</v>
      </c>
      <c r="AI19" s="73" t="s">
        <v>487</v>
      </c>
      <c r="AJ19" s="73" t="s">
        <v>487</v>
      </c>
      <c r="AK19" s="73" t="s">
        <v>487</v>
      </c>
      <c r="AL19" s="73" t="s">
        <v>487</v>
      </c>
      <c r="AM19" s="73" t="s">
        <v>487</v>
      </c>
      <c r="AN19" s="73" t="s">
        <v>487</v>
      </c>
      <c r="AO19" s="73" t="s">
        <v>487</v>
      </c>
      <c r="AP19" s="73" t="s">
        <v>487</v>
      </c>
      <c r="AR19" s="57" t="s">
        <v>751</v>
      </c>
    </row>
    <row r="20" customFormat="false" ht="13.8" hidden="false" customHeight="false" outlineLevel="0" collapsed="false">
      <c r="A20" s="97" t="s">
        <v>5815</v>
      </c>
      <c r="B20" s="113" t="e">
        <f aca="false">INDEX(#REF!,MATCH($A20, #REF!,0),1)</f>
        <v>#VALUE!</v>
      </c>
      <c r="C20" s="113" t="e">
        <f aca="false">INDEX(#REF!,MATCH(A20, #REF!,0),1)</f>
        <v>#VALUE!</v>
      </c>
      <c r="D20" s="113" t="e">
        <f aca="false">INDEX(#REF!,MATCH($A20, #REF!,0),1)</f>
        <v>#VALUE!</v>
      </c>
      <c r="E20" s="113" t="e">
        <f aca="false">INDEX(#REF!,MATCH($A20, #REF!,0),1)</f>
        <v>#VALUE!</v>
      </c>
      <c r="F20" s="113" t="e">
        <f aca="false">INDEX(participants!$K$1:$K$699,MATCH($B20, participants!$A$1:$A$690,0),1)</f>
        <v>#VALUE!</v>
      </c>
      <c r="G20" s="10"/>
      <c r="H20" s="113" t="e">
        <f aca="false">INDEX(participants #REF!:participants #REF!,MATCH($B20, participants!$A$1:$A$690,0),1)</f>
        <v>#VALUE!</v>
      </c>
      <c r="I20" s="114" t="e">
        <f aca="false">INDEX(samples!$C$1:$C$943,MATCH($D20, #REF!,0),1)</f>
        <v>#VALUE!</v>
      </c>
      <c r="J20" s="114" t="e">
        <f aca="false">INDEX(samples!$I$1:$I$943,MATCH($D20, #REF!,0),1)</f>
        <v>#VALUE!</v>
      </c>
      <c r="AR20" s="10" t="s">
        <v>5816</v>
      </c>
    </row>
    <row r="21" customFormat="false" ht="15" hidden="false" customHeight="false" outlineLevel="0" collapsed="false">
      <c r="A21" s="102" t="s">
        <v>5817</v>
      </c>
      <c r="B21" s="113" t="e">
        <f aca="false">INDEX(#REF!,MATCH($A21, #REF!,0),1)</f>
        <v>#VALUE!</v>
      </c>
      <c r="C21" s="113" t="e">
        <f aca="false">INDEX(#REF!,MATCH(A21, #REF!,0),1)</f>
        <v>#VALUE!</v>
      </c>
      <c r="D21" s="113" t="e">
        <f aca="false">INDEX(#REF!,MATCH($A21, #REF!,0),1)</f>
        <v>#VALUE!</v>
      </c>
      <c r="E21" s="113" t="e">
        <f aca="false">INDEX(#REF!,MATCH($A21, #REF!,0),1)</f>
        <v>#VALUE!</v>
      </c>
      <c r="F21" s="113" t="e">
        <f aca="false">INDEX(participants!$K$1:$K$699,MATCH($B21, participants!$A$1:$A$690,0),1)</f>
        <v>#VALUE!</v>
      </c>
      <c r="G21" s="10"/>
      <c r="H21" s="113" t="e">
        <f aca="false">INDEX(participants #REF!:participants #REF!,MATCH($B21, participants!$A$1:$A$690,0),1)</f>
        <v>#VALUE!</v>
      </c>
      <c r="I21" s="114" t="e">
        <f aca="false">INDEX(samples!$C$1:$C$943,MATCH($D21, #REF!,0),1)</f>
        <v>#VALUE!</v>
      </c>
      <c r="J21" s="114" t="e">
        <f aca="false">INDEX(samples!$I$1:$I$943,MATCH($D21, #REF!,0),1)</f>
        <v>#VALUE!</v>
      </c>
      <c r="K21" s="10"/>
      <c r="L21" s="10"/>
      <c r="M21" s="10"/>
      <c r="N21" s="10"/>
      <c r="O21" s="10"/>
      <c r="P21" s="10"/>
      <c r="Q21" s="10"/>
      <c r="R21" s="10"/>
      <c r="S21" s="10"/>
      <c r="T21" s="10"/>
      <c r="U21" s="10"/>
      <c r="V21" s="10"/>
      <c r="W21" s="10"/>
      <c r="X21" s="10"/>
      <c r="Y21" s="10"/>
      <c r="AB21" s="31"/>
      <c r="AD21" s="57"/>
      <c r="AE21" s="57"/>
      <c r="AF21" s="77"/>
      <c r="AG21" s="57"/>
      <c r="AH21" s="74"/>
      <c r="AI21" s="74"/>
      <c r="AJ21" s="81"/>
      <c r="AK21" s="71"/>
      <c r="AO21" s="74"/>
      <c r="AR21" s="64" t="s">
        <v>5818</v>
      </c>
      <c r="AS21" s="10"/>
      <c r="AX21" s="74"/>
      <c r="AY21" s="74"/>
      <c r="AZ21" s="74"/>
      <c r="BA21" s="74"/>
      <c r="BB21" s="79"/>
      <c r="BC21" s="74"/>
      <c r="BD21" s="74"/>
    </row>
    <row r="22" customFormat="false" ht="15" hidden="false" customHeight="false" outlineLevel="0" collapsed="false">
      <c r="A22" s="102" t="s">
        <v>5819</v>
      </c>
      <c r="B22" s="113" t="e">
        <f aca="false">INDEX(#REF!,MATCH($A22, #REF!,0),1)</f>
        <v>#VALUE!</v>
      </c>
      <c r="C22" s="113" t="e">
        <f aca="false">INDEX(#REF!,MATCH(A22, #REF!,0),1)</f>
        <v>#VALUE!</v>
      </c>
      <c r="D22" s="113" t="e">
        <f aca="false">INDEX(#REF!,MATCH($A22, #REF!,0),1)</f>
        <v>#VALUE!</v>
      </c>
      <c r="E22" s="113" t="e">
        <f aca="false">INDEX(#REF!,MATCH($A22, #REF!,0),1)</f>
        <v>#VALUE!</v>
      </c>
      <c r="F22" s="113" t="e">
        <f aca="false">INDEX(participants!$K$1:$K$699,MATCH($B22, participants!$A$1:$A$690,0),1)</f>
        <v>#VALUE!</v>
      </c>
      <c r="G22" s="10"/>
      <c r="H22" s="113" t="e">
        <f aca="false">INDEX(participants #REF!:participants #REF!,MATCH($B22, participants!$A$1:$A$690,0),1)</f>
        <v>#VALUE!</v>
      </c>
      <c r="I22" s="114" t="e">
        <f aca="false">INDEX(samples!$C$1:$C$943,MATCH($D22, #REF!,0),1)</f>
        <v>#VALUE!</v>
      </c>
      <c r="J22" s="114" t="e">
        <f aca="false">INDEX(samples!$I$1:$I$943,MATCH($D22, #REF!,0),1)</f>
        <v>#VALUE!</v>
      </c>
      <c r="K22" s="10"/>
      <c r="L22" s="10"/>
      <c r="M22" s="10"/>
      <c r="N22" s="10"/>
      <c r="O22" s="10"/>
      <c r="P22" s="10"/>
      <c r="Q22" s="10"/>
      <c r="R22" s="10"/>
      <c r="S22" s="10"/>
      <c r="T22" s="10"/>
      <c r="U22" s="10"/>
      <c r="V22" s="10"/>
      <c r="W22" s="10"/>
      <c r="X22" s="10"/>
      <c r="Y22" s="10"/>
      <c r="Z22" s="10"/>
      <c r="AA22" s="10"/>
      <c r="AB22" s="74"/>
      <c r="AD22" s="57"/>
      <c r="AE22" s="57"/>
      <c r="AF22" s="77"/>
      <c r="AG22" s="57"/>
      <c r="AH22" s="74"/>
      <c r="AI22" s="74"/>
      <c r="AJ22" s="10"/>
      <c r="AK22" s="71"/>
      <c r="AO22" s="74"/>
      <c r="AR22" s="64" t="s">
        <v>5818</v>
      </c>
      <c r="AU22" s="10"/>
      <c r="AX22" s="74"/>
      <c r="AY22" s="74"/>
      <c r="AZ22" s="74"/>
      <c r="BA22" s="74"/>
      <c r="BB22" s="79"/>
      <c r="BC22" s="74"/>
      <c r="BD22" s="74"/>
    </row>
    <row r="23" customFormat="false" ht="15" hidden="false" customHeight="false" outlineLevel="0" collapsed="false">
      <c r="A23" s="102" t="s">
        <v>5820</v>
      </c>
      <c r="B23" s="113" t="e">
        <f aca="false">INDEX(#REF!,MATCH($A23, #REF!,0),1)</f>
        <v>#VALUE!</v>
      </c>
      <c r="C23" s="113" t="e">
        <f aca="false">INDEX(#REF!,MATCH(A23, #REF!,0),1)</f>
        <v>#VALUE!</v>
      </c>
      <c r="D23" s="113" t="e">
        <f aca="false">INDEX(#REF!,MATCH($A23, #REF!,0),1)</f>
        <v>#VALUE!</v>
      </c>
      <c r="E23" s="113" t="e">
        <f aca="false">INDEX(#REF!,MATCH($A23, #REF!,0),1)</f>
        <v>#VALUE!</v>
      </c>
      <c r="F23" s="113" t="e">
        <f aca="false">INDEX(participants!$K$1:$K$699,MATCH($B23, participants!$A$1:$A$690,0),1)</f>
        <v>#VALUE!</v>
      </c>
      <c r="G23" s="10"/>
      <c r="H23" s="113" t="e">
        <f aca="false">INDEX(participants #REF!:participants #REF!,MATCH($B23, participants!$A$1:$A$690,0),1)</f>
        <v>#VALUE!</v>
      </c>
      <c r="I23" s="114" t="e">
        <f aca="false">INDEX(samples!$C$1:$C$943,MATCH($D23, #REF!,0),1)</f>
        <v>#VALUE!</v>
      </c>
      <c r="J23" s="114" t="e">
        <f aca="false">INDEX(samples!$I$1:$I$943,MATCH($D23, #REF!,0),1)</f>
        <v>#VALUE!</v>
      </c>
      <c r="K23" s="10"/>
      <c r="L23" s="10"/>
      <c r="M23" s="10"/>
      <c r="N23" s="10"/>
      <c r="O23" s="10"/>
      <c r="P23" s="10"/>
      <c r="Q23" s="10"/>
      <c r="R23" s="10"/>
      <c r="S23" s="10"/>
      <c r="T23" s="10"/>
      <c r="U23" s="10"/>
      <c r="V23" s="10"/>
      <c r="W23" s="10"/>
      <c r="X23" s="10"/>
      <c r="Y23" s="10"/>
      <c r="AB23" s="31"/>
      <c r="AD23" s="57"/>
      <c r="AE23" s="57"/>
      <c r="AF23" s="77"/>
      <c r="AG23" s="57"/>
      <c r="AH23" s="74"/>
      <c r="AI23" s="74"/>
      <c r="AK23" s="71"/>
      <c r="AL23" s="71"/>
      <c r="AM23" s="71"/>
      <c r="AO23" s="74"/>
      <c r="AR23" s="64" t="s">
        <v>5818</v>
      </c>
      <c r="AS23" s="10"/>
      <c r="AX23" s="74"/>
      <c r="AY23" s="74"/>
      <c r="AZ23" s="74"/>
      <c r="BA23" s="74"/>
      <c r="BB23" s="79"/>
      <c r="BC23" s="74"/>
      <c r="BD23" s="74"/>
    </row>
    <row r="24" customFormat="false" ht="15" hidden="false" customHeight="false" outlineLevel="0" collapsed="false">
      <c r="A24" s="102" t="s">
        <v>5821</v>
      </c>
      <c r="B24" s="113" t="e">
        <f aca="false">INDEX(#REF!,MATCH($A24, #REF!,0),1)</f>
        <v>#VALUE!</v>
      </c>
      <c r="C24" s="113" t="e">
        <f aca="false">INDEX(#REF!,MATCH(A24, #REF!,0),1)</f>
        <v>#VALUE!</v>
      </c>
      <c r="D24" s="113" t="e">
        <f aca="false">INDEX(#REF!,MATCH($A24, #REF!,0),1)</f>
        <v>#VALUE!</v>
      </c>
      <c r="E24" s="113" t="e">
        <f aca="false">INDEX(#REF!,MATCH($A24, #REF!,0),1)</f>
        <v>#VALUE!</v>
      </c>
      <c r="F24" s="113" t="e">
        <f aca="false">INDEX(participants!$K$1:$K$699,MATCH($B24, participants!$A$1:$A$690,0),1)</f>
        <v>#VALUE!</v>
      </c>
      <c r="G24" s="10" t="s">
        <v>5515</v>
      </c>
      <c r="H24" s="113" t="e">
        <f aca="false">INDEX(participants #REF!:participants #REF!,MATCH($B24, participants!$A$1:$A$690,0),1)</f>
        <v>#VALUE!</v>
      </c>
      <c r="I24" s="114" t="e">
        <f aca="false">INDEX(samples!$C$1:$C$943,MATCH($D24, #REF!,0),1)</f>
        <v>#VALUE!</v>
      </c>
      <c r="J24" s="114" t="e">
        <f aca="false">INDEX(samples!$I$1:$I$943,MATCH($D24, #REF!,0),1)</f>
        <v>#VALUE!</v>
      </c>
      <c r="K24" s="10"/>
      <c r="L24" s="10"/>
      <c r="M24" s="10"/>
      <c r="N24" s="10"/>
      <c r="O24" s="10"/>
      <c r="P24" s="10"/>
      <c r="Q24" s="10"/>
      <c r="R24" s="10"/>
      <c r="S24" s="10"/>
      <c r="T24" s="10"/>
      <c r="U24" s="10"/>
      <c r="V24" s="10"/>
      <c r="W24" s="10"/>
      <c r="X24" s="10"/>
      <c r="Y24" s="10"/>
      <c r="AB24" s="31"/>
      <c r="AD24" s="57"/>
      <c r="AE24" s="57"/>
      <c r="AF24" s="80"/>
      <c r="AG24" s="57"/>
      <c r="AH24" s="74"/>
      <c r="AI24" s="74"/>
      <c r="AJ24" s="81"/>
      <c r="AK24" s="71"/>
      <c r="AO24" s="10"/>
      <c r="AR24" s="10" t="s">
        <v>915</v>
      </c>
      <c r="AS24" s="10"/>
      <c r="AX24" s="74"/>
      <c r="AY24" s="74"/>
      <c r="AZ24" s="74"/>
      <c r="BA24" s="74"/>
      <c r="BB24" s="79"/>
      <c r="BC24" s="74"/>
      <c r="BD24" s="74"/>
    </row>
    <row r="25" customFormat="false" ht="13.8" hidden="false" customHeight="false" outlineLevel="0" collapsed="false">
      <c r="A25" s="97" t="s">
        <v>5822</v>
      </c>
      <c r="B25" s="113" t="e">
        <f aca="false">INDEX(#REF!,MATCH($A25, #REF!,0),1)</f>
        <v>#VALUE!</v>
      </c>
      <c r="C25" s="113" t="e">
        <f aca="false">INDEX(#REF!,MATCH(A25, #REF!,0),1)</f>
        <v>#VALUE!</v>
      </c>
      <c r="D25" s="113" t="e">
        <f aca="false">INDEX(#REF!,MATCH($A25, #REF!,0),1)</f>
        <v>#VALUE!</v>
      </c>
      <c r="E25" s="113" t="e">
        <f aca="false">INDEX(#REF!,MATCH($A25, #REF!,0),1)</f>
        <v>#VALUE!</v>
      </c>
      <c r="F25" s="113" t="e">
        <f aca="false">INDEX(participants!$K$1:$K$699,MATCH($B25, participants!$A$1:$A$690,0),1)</f>
        <v>#VALUE!</v>
      </c>
      <c r="G25" s="10"/>
      <c r="H25" s="113" t="e">
        <f aca="false">INDEX(participants #REF!:participants #REF!,MATCH($B25, participants!$A$1:$A$690,0),1)</f>
        <v>#VALUE!</v>
      </c>
      <c r="I25" s="114" t="e">
        <f aca="false">INDEX(samples!$C$1:$C$943,MATCH($D25, #REF!,0),1)</f>
        <v>#VALUE!</v>
      </c>
      <c r="J25" s="114" t="e">
        <f aca="false">INDEX(samples!$I$1:$I$943,MATCH($D25, #REF!,0),1)</f>
        <v>#VALUE!</v>
      </c>
      <c r="AR25" s="64" t="s">
        <v>5823</v>
      </c>
    </row>
    <row r="26" customFormat="false" ht="13.8" hidden="false" customHeight="false" outlineLevel="0" collapsed="false">
      <c r="A26" s="97" t="s">
        <v>5824</v>
      </c>
      <c r="B26" s="113" t="e">
        <f aca="false">INDEX(#REF!,MATCH($A26, #REF!,0),1)</f>
        <v>#VALUE!</v>
      </c>
      <c r="C26" s="113" t="e">
        <f aca="false">INDEX(#REF!,MATCH(A26, #REF!,0),1)</f>
        <v>#VALUE!</v>
      </c>
      <c r="D26" s="113" t="e">
        <f aca="false">INDEX(#REF!,MATCH($A26, #REF!,0),1)</f>
        <v>#VALUE!</v>
      </c>
      <c r="E26" s="113" t="e">
        <f aca="false">INDEX(#REF!,MATCH($A26, #REF!,0),1)</f>
        <v>#VALUE!</v>
      </c>
      <c r="F26" s="113" t="e">
        <f aca="false">INDEX(participants!$K$1:$K$699,MATCH($B26, participants!$A$1:$A$690,0),1)</f>
        <v>#VALUE!</v>
      </c>
      <c r="G26" s="10"/>
      <c r="H26" s="113" t="e">
        <f aca="false">INDEX(participants #REF!:participants #REF!,MATCH($B26, participants!$A$1:$A$690,0),1)</f>
        <v>#VALUE!</v>
      </c>
      <c r="I26" s="114" t="e">
        <f aca="false">INDEX(samples!$C$1:$C$943,MATCH($D26, #REF!,0),1)</f>
        <v>#VALUE!</v>
      </c>
      <c r="J26" s="114" t="e">
        <f aca="false">INDEX(samples!$I$1:$I$943,MATCH($D26, #REF!,0),1)</f>
        <v>#VALUE!</v>
      </c>
      <c r="AR26" s="64" t="s">
        <v>5825</v>
      </c>
    </row>
    <row r="27" customFormat="false" ht="13.8" hidden="false" customHeight="false" outlineLevel="0" collapsed="false">
      <c r="A27" s="97" t="s">
        <v>5826</v>
      </c>
      <c r="B27" s="113" t="e">
        <f aca="false">INDEX(#REF!,MATCH($A27, #REF!,0),1)</f>
        <v>#VALUE!</v>
      </c>
      <c r="C27" s="113" t="e">
        <f aca="false">INDEX(#REF!,MATCH(A27, #REF!,0),1)</f>
        <v>#VALUE!</v>
      </c>
      <c r="D27" s="113" t="e">
        <f aca="false">INDEX(#REF!,MATCH($A27, #REF!,0),1)</f>
        <v>#VALUE!</v>
      </c>
      <c r="E27" s="113" t="e">
        <f aca="false">INDEX(#REF!,MATCH($A27, #REF!,0),1)</f>
        <v>#VALUE!</v>
      </c>
      <c r="F27" s="113" t="e">
        <f aca="false">INDEX(participants!$K$1:$K$699,MATCH($B27, participants!$A$1:$A$690,0),1)</f>
        <v>#VALUE!</v>
      </c>
      <c r="G27" s="10"/>
      <c r="H27" s="113" t="e">
        <f aca="false">INDEX(participants #REF!:participants #REF!,MATCH($B27, participants!$A$1:$A$690,0),1)</f>
        <v>#VALUE!</v>
      </c>
      <c r="I27" s="114" t="e">
        <f aca="false">INDEX(samples!$C$1:$C$943,MATCH($D27, #REF!,0),1)</f>
        <v>#VALUE!</v>
      </c>
      <c r="J27" s="114" t="e">
        <f aca="false">INDEX(samples!$I$1:$I$943,MATCH($D27, #REF!,0),1)</f>
        <v>#VALUE!</v>
      </c>
      <c r="AR27" s="64" t="s">
        <v>5825</v>
      </c>
    </row>
    <row r="28" customFormat="false" ht="15" hidden="false" customHeight="false" outlineLevel="0" collapsed="false">
      <c r="A28" s="97" t="s">
        <v>5827</v>
      </c>
      <c r="B28" s="113" t="e">
        <f aca="false">INDEX(#REF!,MATCH($A28, #REF!,0),1)</f>
        <v>#VALUE!</v>
      </c>
      <c r="C28" s="113" t="e">
        <f aca="false">INDEX(#REF!,MATCH(A28, #REF!,0),1)</f>
        <v>#VALUE!</v>
      </c>
      <c r="D28" s="113" t="e">
        <f aca="false">INDEX(#REF!,MATCH($A28, #REF!,0),1)</f>
        <v>#VALUE!</v>
      </c>
      <c r="E28" s="113" t="e">
        <f aca="false">INDEX(#REF!,MATCH($A28, #REF!,0),1)</f>
        <v>#VALUE!</v>
      </c>
      <c r="F28" s="113" t="e">
        <f aca="false">INDEX(participants!$K$1:$K$699,MATCH($B28, participants!$A$1:$A$690,0),1)</f>
        <v>#VALUE!</v>
      </c>
      <c r="G28" s="10"/>
      <c r="H28" s="113" t="e">
        <f aca="false">INDEX(participants #REF!:participants #REF!,MATCH($B28, participants!$A$1:$A$690,0),1)</f>
        <v>#VALUE!</v>
      </c>
      <c r="I28" s="114" t="e">
        <f aca="false">INDEX(samples!$C$1:$C$943,MATCH($D28, #REF!,0),1)</f>
        <v>#VALUE!</v>
      </c>
      <c r="J28" s="114" t="e">
        <f aca="false">INDEX(samples!$I$1:$I$943,MATCH($D28, #REF!,0),1)</f>
        <v>#VALUE!</v>
      </c>
      <c r="Z28" s="10"/>
      <c r="AA28" s="10"/>
      <c r="AB28" s="74"/>
      <c r="AD28" s="83"/>
      <c r="AE28" s="83"/>
      <c r="AF28" s="77"/>
      <c r="AH28" s="74"/>
      <c r="AI28" s="74"/>
      <c r="AK28" s="71"/>
      <c r="AO28" s="74"/>
      <c r="AR28" s="64" t="s">
        <v>5828</v>
      </c>
      <c r="AS28" s="74"/>
      <c r="AT28" s="10"/>
      <c r="AU28" s="10"/>
      <c r="AW28" s="10"/>
      <c r="AX28" s="74"/>
      <c r="AY28" s="74"/>
      <c r="AZ28" s="74"/>
      <c r="BA28" s="74"/>
      <c r="BB28" s="79"/>
      <c r="BC28" s="74"/>
      <c r="BD28" s="74"/>
    </row>
    <row r="29" customFormat="false" ht="13.8" hidden="false" customHeight="false" outlineLevel="0" collapsed="false">
      <c r="A29" s="97" t="s">
        <v>5829</v>
      </c>
      <c r="B29" s="113" t="e">
        <f aca="false">INDEX(#REF!,MATCH($A29, #REF!,0),1)</f>
        <v>#VALUE!</v>
      </c>
      <c r="C29" s="113" t="e">
        <f aca="false">INDEX(#REF!,MATCH(A29, #REF!,0),1)</f>
        <v>#VALUE!</v>
      </c>
      <c r="D29" s="113" t="e">
        <f aca="false">INDEX(#REF!,MATCH($A29, #REF!,0),1)</f>
        <v>#VALUE!</v>
      </c>
      <c r="E29" s="113" t="e">
        <f aca="false">INDEX(#REF!,MATCH($A29, #REF!,0),1)</f>
        <v>#VALUE!</v>
      </c>
      <c r="F29" s="113" t="e">
        <f aca="false">INDEX(participants!$K$1:$K$699,MATCH($B29, participants!$A$1:$A$690,0),1)</f>
        <v>#VALUE!</v>
      </c>
      <c r="G29" s="10"/>
      <c r="H29" s="113" t="e">
        <f aca="false">INDEX(participants #REF!:participants #REF!,MATCH($B29, participants!$A$1:$A$690,0),1)</f>
        <v>#VALUE!</v>
      </c>
      <c r="I29" s="114" t="e">
        <f aca="false">INDEX(samples!$C$1:$C$943,MATCH($D29, #REF!,0),1)</f>
        <v>#VALUE!</v>
      </c>
      <c r="J29" s="114" t="e">
        <f aca="false">INDEX(samples!$I$1:$I$943,MATCH($D29, #REF!,0),1)</f>
        <v>#VALUE!</v>
      </c>
      <c r="AR29" s="64" t="s">
        <v>5828</v>
      </c>
    </row>
    <row r="30" customFormat="false" ht="13.8" hidden="false" customHeight="false" outlineLevel="0" collapsed="false">
      <c r="A30" s="102" t="s">
        <v>5830</v>
      </c>
      <c r="B30" s="113" t="e">
        <f aca="false">INDEX(#REF!,MATCH($A30, #REF!,0),1)</f>
        <v>#VALUE!</v>
      </c>
      <c r="C30" s="113" t="e">
        <f aca="false">INDEX(#REF!,MATCH(A30, #REF!,0),1)</f>
        <v>#VALUE!</v>
      </c>
      <c r="D30" s="113" t="e">
        <f aca="false">INDEX(#REF!,MATCH($A30, #REF!,0),1)</f>
        <v>#VALUE!</v>
      </c>
      <c r="E30" s="113" t="e">
        <f aca="false">INDEX(#REF!,MATCH($A30, #REF!,0),1)</f>
        <v>#VALUE!</v>
      </c>
      <c r="F30" s="113" t="e">
        <f aca="false">INDEX(participants!$K$1:$K$699,MATCH($B30, participants!$A$1:$A$690,0),1)</f>
        <v>#VALUE!</v>
      </c>
      <c r="G30" s="10" t="s">
        <v>5515</v>
      </c>
      <c r="H30" s="113" t="e">
        <f aca="false">INDEX(participants #REF!:participants #REF!,MATCH($B30, participants!$A$1:$A$690,0),1)</f>
        <v>#VALUE!</v>
      </c>
      <c r="I30" s="114" t="e">
        <f aca="false">INDEX(samples!$C$1:$C$943,MATCH($D30, #REF!,0),1)</f>
        <v>#VALUE!</v>
      </c>
      <c r="J30" s="114" t="e">
        <f aca="false">INDEX(samples!$I$1:$I$943,MATCH($D30, #REF!,0),1)</f>
        <v>#VALUE!</v>
      </c>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R30" s="10" t="s">
        <v>1045</v>
      </c>
    </row>
    <row r="31" customFormat="false" ht="15" hidden="false" customHeight="false" outlineLevel="0" collapsed="false">
      <c r="A31" s="102" t="s">
        <v>5831</v>
      </c>
      <c r="B31" s="113" t="e">
        <f aca="false">INDEX(#REF!,MATCH($A31, #REF!,0),1)</f>
        <v>#VALUE!</v>
      </c>
      <c r="C31" s="113" t="e">
        <f aca="false">INDEX(#REF!,MATCH(A31, #REF!,0),1)</f>
        <v>#VALUE!</v>
      </c>
      <c r="D31" s="113" t="e">
        <f aca="false">INDEX(#REF!,MATCH($A31, #REF!,0),1)</f>
        <v>#VALUE!</v>
      </c>
      <c r="E31" s="113" t="e">
        <f aca="false">INDEX(#REF!,MATCH($A31, #REF!,0),1)</f>
        <v>#VALUE!</v>
      </c>
      <c r="F31" s="113" t="e">
        <f aca="false">INDEX(participants!$K$1:$K$699,MATCH($B31, participants!$A$1:$A$690,0),1)</f>
        <v>#VALUE!</v>
      </c>
      <c r="G31" s="10" t="s">
        <v>5515</v>
      </c>
      <c r="H31" s="113" t="e">
        <f aca="false">INDEX(participants #REF!:participants #REF!,MATCH($B31, participants!$A$1:$A$690,0),1)</f>
        <v>#VALUE!</v>
      </c>
      <c r="I31" s="114" t="e">
        <f aca="false">INDEX(samples!$C$1:$C$943,MATCH($D31, #REF!,0),1)</f>
        <v>#VALUE!</v>
      </c>
      <c r="J31" s="114" t="e">
        <f aca="false">INDEX(samples!$I$1:$I$943,MATCH($D31, #REF!,0),1)</f>
        <v>#VALUE!</v>
      </c>
      <c r="K31" s="10" t="s">
        <v>558</v>
      </c>
      <c r="L31" s="10"/>
      <c r="M31" s="10"/>
      <c r="N31" s="10"/>
      <c r="O31" s="10"/>
      <c r="P31" s="10"/>
      <c r="Q31" s="10"/>
      <c r="R31" s="10" t="s">
        <v>5555</v>
      </c>
      <c r="S31" s="74" t="n">
        <v>44623</v>
      </c>
      <c r="T31" s="10" t="s">
        <v>5579</v>
      </c>
      <c r="U31" s="10" t="s">
        <v>5832</v>
      </c>
      <c r="V31" s="10"/>
      <c r="W31" s="10"/>
      <c r="X31" s="10"/>
      <c r="Y31" s="10" t="s">
        <v>558</v>
      </c>
      <c r="Z31" s="10"/>
      <c r="AA31" s="10"/>
      <c r="AB31" s="74"/>
      <c r="AD31" s="57"/>
      <c r="AE31" s="57"/>
      <c r="AF31" s="77"/>
      <c r="AG31" s="57"/>
      <c r="AH31" s="74"/>
      <c r="AI31" s="74"/>
      <c r="AJ31" s="81"/>
      <c r="AK31" s="82"/>
      <c r="AL31" s="10"/>
      <c r="AM31" s="10"/>
      <c r="AR31" s="10" t="s">
        <v>1045</v>
      </c>
      <c r="AX31" s="74"/>
      <c r="AY31" s="74"/>
      <c r="AZ31" s="74"/>
      <c r="BA31" s="74"/>
      <c r="BB31" s="79"/>
      <c r="BC31" s="74"/>
      <c r="BD31" s="74"/>
    </row>
    <row r="32" customFormat="false" ht="15" hidden="false" customHeight="false" outlineLevel="0" collapsed="false">
      <c r="A32" s="97" t="s">
        <v>5833</v>
      </c>
      <c r="B32" s="113" t="e">
        <f aca="false">INDEX(#REF!,MATCH($A32, #REF!,0),1)</f>
        <v>#VALUE!</v>
      </c>
      <c r="C32" s="113" t="e">
        <f aca="false">INDEX(#REF!,MATCH(A32, #REF!,0),1)</f>
        <v>#VALUE!</v>
      </c>
      <c r="D32" s="113" t="e">
        <f aca="false">INDEX(#REF!,MATCH($A32, #REF!,0),1)</f>
        <v>#VALUE!</v>
      </c>
      <c r="E32" s="113" t="e">
        <f aca="false">INDEX(#REF!,MATCH($A32, #REF!,0),1)</f>
        <v>#VALUE!</v>
      </c>
      <c r="F32" s="113" t="e">
        <f aca="false">INDEX(participants!$K$1:$K$699,MATCH($B32, participants!$A$1:$A$690,0),1)</f>
        <v>#VALUE!</v>
      </c>
      <c r="G32" s="10" t="s">
        <v>752</v>
      </c>
      <c r="H32" s="113" t="e">
        <f aca="false">INDEX(participants #REF!:participants #REF!,MATCH($B32, participants!$A$1:$A$690,0),1)</f>
        <v>#VALUE!</v>
      </c>
      <c r="I32" s="114" t="e">
        <f aca="false">INDEX(samples!$C$1:$C$943,MATCH($D32, #REF!,0),1)</f>
        <v>#VALUE!</v>
      </c>
      <c r="J32" s="114" t="e">
        <f aca="false">INDEX(samples!$I$1:$I$943,MATCH($D32, #REF!,0),1)</f>
        <v>#VALUE!</v>
      </c>
      <c r="K32" s="10" t="s">
        <v>511</v>
      </c>
      <c r="L32" s="10" t="s">
        <v>511</v>
      </c>
      <c r="M32" s="73" t="s">
        <v>487</v>
      </c>
      <c r="N32" s="73" t="s">
        <v>487</v>
      </c>
      <c r="O32" s="73" t="s">
        <v>511</v>
      </c>
      <c r="P32" s="10" t="n">
        <v>1</v>
      </c>
      <c r="Q32" s="10" t="s">
        <v>487</v>
      </c>
      <c r="R32" s="10" t="s">
        <v>487</v>
      </c>
      <c r="S32" s="10" t="s">
        <v>487</v>
      </c>
      <c r="T32" s="10" t="s">
        <v>487</v>
      </c>
      <c r="U32" s="10" t="s">
        <v>487</v>
      </c>
      <c r="V32" s="10" t="s">
        <v>487</v>
      </c>
      <c r="W32" s="10" t="s">
        <v>5812</v>
      </c>
      <c r="X32" s="10" t="s">
        <v>5414</v>
      </c>
      <c r="Y32" s="73" t="s">
        <v>558</v>
      </c>
      <c r="Z32" s="10" t="s">
        <v>487</v>
      </c>
      <c r="AA32" s="57" t="s">
        <v>752</v>
      </c>
      <c r="AB32" s="31" t="n">
        <v>44092</v>
      </c>
      <c r="AC32" s="73" t="s">
        <v>5834</v>
      </c>
      <c r="AD32" s="57" t="s">
        <v>1100</v>
      </c>
      <c r="AE32" s="74" t="s">
        <v>487</v>
      </c>
      <c r="AF32" s="74" t="s">
        <v>487</v>
      </c>
      <c r="AG32" s="74" t="s">
        <v>487</v>
      </c>
      <c r="AH32" s="74" t="s">
        <v>487</v>
      </c>
      <c r="AI32" s="74" t="s">
        <v>487</v>
      </c>
      <c r="AJ32" s="74" t="s">
        <v>487</v>
      </c>
      <c r="AK32" s="74" t="s">
        <v>487</v>
      </c>
      <c r="AL32" s="74" t="s">
        <v>487</v>
      </c>
      <c r="AM32" s="74" t="s">
        <v>487</v>
      </c>
      <c r="AN32" s="74" t="s">
        <v>487</v>
      </c>
      <c r="AO32" s="74" t="s">
        <v>487</v>
      </c>
      <c r="AP32" s="73" t="s">
        <v>558</v>
      </c>
      <c r="AR32" s="57" t="s">
        <v>1100</v>
      </c>
      <c r="AS32" s="74"/>
      <c r="AY32" s="74"/>
      <c r="AZ32" s="74"/>
      <c r="BA32" s="74"/>
      <c r="BB32" s="79"/>
      <c r="BC32" s="74"/>
      <c r="BD32" s="74"/>
      <c r="BE32" s="77"/>
      <c r="BF32" s="57"/>
      <c r="BG32" s="74"/>
      <c r="BH32" s="74"/>
    </row>
    <row r="33" customFormat="false" ht="15" hidden="false" customHeight="false" outlineLevel="0" collapsed="false">
      <c r="A33" s="102" t="s">
        <v>5835</v>
      </c>
      <c r="B33" s="113" t="e">
        <f aca="false">INDEX(#REF!,MATCH($A33, #REF!,0),1)</f>
        <v>#VALUE!</v>
      </c>
      <c r="C33" s="113" t="e">
        <f aca="false">INDEX(#REF!,MATCH(A33, #REF!,0),1)</f>
        <v>#VALUE!</v>
      </c>
      <c r="D33" s="113" t="e">
        <f aca="false">INDEX(#REF!,MATCH($A33, #REF!,0),1)</f>
        <v>#VALUE!</v>
      </c>
      <c r="E33" s="113" t="e">
        <f aca="false">INDEX(#REF!,MATCH($A33, #REF!,0),1)</f>
        <v>#VALUE!</v>
      </c>
      <c r="F33" s="113" t="e">
        <f aca="false">INDEX(participants!$K$1:$K$699,MATCH($B33, participants!$A$1:$A$690,0),1)</f>
        <v>#VALUE!</v>
      </c>
      <c r="G33" s="10" t="s">
        <v>752</v>
      </c>
      <c r="H33" s="113" t="e">
        <f aca="false">INDEX(participants #REF!:participants #REF!,MATCH($B33, participants!$A$1:$A$690,0),1)</f>
        <v>#VALUE!</v>
      </c>
      <c r="I33" s="114" t="e">
        <f aca="false">INDEX(samples!$C$1:$C$943,MATCH($D33, #REF!,0),1)</f>
        <v>#VALUE!</v>
      </c>
      <c r="J33" s="114" t="e">
        <f aca="false">INDEX(samples!$I$1:$I$943,MATCH($D33, #REF!,0),1)</f>
        <v>#VALUE!</v>
      </c>
      <c r="K33" s="73" t="s">
        <v>558</v>
      </c>
      <c r="L33" s="73" t="s">
        <v>511</v>
      </c>
      <c r="M33" s="74" t="n">
        <v>44116</v>
      </c>
      <c r="N33" s="10" t="s">
        <v>5414</v>
      </c>
      <c r="O33" s="10" t="s">
        <v>511</v>
      </c>
      <c r="P33" s="73" t="n">
        <v>2</v>
      </c>
      <c r="Q33" s="73" t="s">
        <v>511</v>
      </c>
      <c r="R33" s="73" t="s">
        <v>5414</v>
      </c>
      <c r="S33" s="74" t="n">
        <v>44116</v>
      </c>
      <c r="T33" s="74" t="n">
        <v>44116</v>
      </c>
      <c r="U33" s="73" t="s">
        <v>5836</v>
      </c>
      <c r="V33" s="10" t="s">
        <v>487</v>
      </c>
      <c r="W33" s="10" t="s">
        <v>5837</v>
      </c>
      <c r="X33" s="10" t="s">
        <v>487</v>
      </c>
      <c r="Y33" s="73" t="s">
        <v>558</v>
      </c>
      <c r="Z33" s="10" t="s">
        <v>487</v>
      </c>
      <c r="AA33" s="57" t="s">
        <v>752</v>
      </c>
      <c r="AB33" s="31" t="n">
        <v>44116</v>
      </c>
      <c r="AC33" s="73" t="s">
        <v>5838</v>
      </c>
      <c r="AD33" s="57" t="s">
        <v>1100</v>
      </c>
      <c r="AE33" s="82" t="s">
        <v>5417</v>
      </c>
      <c r="AF33" s="10" t="s">
        <v>511</v>
      </c>
      <c r="AG33" s="10" t="s">
        <v>511</v>
      </c>
      <c r="AH33" s="10" t="s">
        <v>511</v>
      </c>
      <c r="AI33" s="74" t="s">
        <v>487</v>
      </c>
      <c r="AJ33" s="10" t="s">
        <v>558</v>
      </c>
      <c r="AK33" s="10" t="s">
        <v>5412</v>
      </c>
      <c r="AL33" s="10" t="s">
        <v>5412</v>
      </c>
      <c r="AM33" s="73" t="s">
        <v>487</v>
      </c>
      <c r="AN33" s="73" t="s">
        <v>487</v>
      </c>
      <c r="AO33" s="74" t="s">
        <v>487</v>
      </c>
      <c r="AP33" s="73" t="s">
        <v>558</v>
      </c>
      <c r="AR33" s="57" t="s">
        <v>1100</v>
      </c>
      <c r="AS33" s="10"/>
      <c r="AY33" s="74"/>
      <c r="AZ33" s="74"/>
      <c r="BA33" s="74"/>
      <c r="BB33" s="79"/>
      <c r="BC33" s="74"/>
      <c r="BD33" s="74"/>
      <c r="BE33" s="77"/>
      <c r="BF33" s="57"/>
      <c r="BG33" s="74"/>
      <c r="BH33" s="74"/>
    </row>
    <row r="34" customFormat="false" ht="15" hidden="false" customHeight="false" outlineLevel="0" collapsed="false">
      <c r="A34" s="97" t="s">
        <v>5839</v>
      </c>
      <c r="B34" s="113" t="e">
        <f aca="false">INDEX(#REF!,MATCH($A34, #REF!,0),1)</f>
        <v>#VALUE!</v>
      </c>
      <c r="C34" s="113" t="e">
        <f aca="false">INDEX(#REF!,MATCH(A34, #REF!,0),1)</f>
        <v>#VALUE!</v>
      </c>
      <c r="D34" s="113" t="e">
        <f aca="false">INDEX(#REF!,MATCH($A34, #REF!,0),1)</f>
        <v>#VALUE!</v>
      </c>
      <c r="E34" s="113" t="e">
        <f aca="false">INDEX(#REF!,MATCH($A34, #REF!,0),1)</f>
        <v>#VALUE!</v>
      </c>
      <c r="F34" s="113" t="e">
        <f aca="false">INDEX(participants!$K$1:$K$699,MATCH($B34, participants!$A$1:$A$690,0),1)</f>
        <v>#VALUE!</v>
      </c>
      <c r="G34" s="10" t="s">
        <v>752</v>
      </c>
      <c r="H34" s="113" t="e">
        <f aca="false">INDEX(participants #REF!:participants #REF!,MATCH($B34, participants!$A$1:$A$690,0),1)</f>
        <v>#VALUE!</v>
      </c>
      <c r="I34" s="114" t="e">
        <f aca="false">INDEX(samples!$C$1:$C$943,MATCH($D34, #REF!,0),1)</f>
        <v>#VALUE!</v>
      </c>
      <c r="J34" s="114" t="e">
        <f aca="false">INDEX(samples!$I$1:$I$943,MATCH($D34, #REF!,0),1)</f>
        <v>#VALUE!</v>
      </c>
      <c r="K34" s="10" t="s">
        <v>511</v>
      </c>
      <c r="L34" s="10" t="s">
        <v>511</v>
      </c>
      <c r="M34" s="10" t="s">
        <v>487</v>
      </c>
      <c r="N34" s="10" t="s">
        <v>487</v>
      </c>
      <c r="O34" s="10" t="s">
        <v>558</v>
      </c>
      <c r="P34" s="10" t="s">
        <v>487</v>
      </c>
      <c r="Q34" s="10" t="s">
        <v>487</v>
      </c>
      <c r="R34" s="10" t="s">
        <v>487</v>
      </c>
      <c r="S34" s="10" t="s">
        <v>487</v>
      </c>
      <c r="T34" s="10" t="s">
        <v>487</v>
      </c>
      <c r="U34" s="10" t="s">
        <v>487</v>
      </c>
      <c r="V34" s="10" t="s">
        <v>487</v>
      </c>
      <c r="W34" s="10" t="s">
        <v>5812</v>
      </c>
      <c r="X34" s="10" t="s">
        <v>5414</v>
      </c>
      <c r="Y34" s="73" t="s">
        <v>558</v>
      </c>
      <c r="Z34" s="10" t="s">
        <v>487</v>
      </c>
      <c r="AA34" s="57" t="s">
        <v>752</v>
      </c>
      <c r="AB34" s="31" t="n">
        <v>44116</v>
      </c>
      <c r="AC34" s="73" t="s">
        <v>5838</v>
      </c>
      <c r="AD34" s="57" t="s">
        <v>1100</v>
      </c>
      <c r="AE34" s="82" t="s">
        <v>5417</v>
      </c>
      <c r="AF34" s="10" t="s">
        <v>511</v>
      </c>
      <c r="AG34" s="10" t="s">
        <v>511</v>
      </c>
      <c r="AH34" s="10" t="s">
        <v>511</v>
      </c>
      <c r="AI34" s="74" t="s">
        <v>487</v>
      </c>
      <c r="AJ34" s="10" t="s">
        <v>558</v>
      </c>
      <c r="AK34" s="10" t="s">
        <v>5412</v>
      </c>
      <c r="AL34" s="10" t="s">
        <v>5412</v>
      </c>
      <c r="AM34" s="73" t="s">
        <v>487</v>
      </c>
      <c r="AN34" s="73" t="s">
        <v>487</v>
      </c>
      <c r="AO34" s="74" t="s">
        <v>487</v>
      </c>
      <c r="AP34" s="73" t="s">
        <v>558</v>
      </c>
      <c r="AR34" s="57" t="s">
        <v>1156</v>
      </c>
      <c r="AS34" s="10"/>
      <c r="AY34" s="74"/>
      <c r="AZ34" s="74"/>
      <c r="BA34" s="74"/>
      <c r="BB34" s="79"/>
      <c r="BC34" s="74"/>
      <c r="BD34" s="74"/>
      <c r="BE34" s="77"/>
      <c r="BF34" s="57"/>
      <c r="BG34" s="74"/>
      <c r="BH34" s="74"/>
    </row>
    <row r="35" customFormat="false" ht="15" hidden="false" customHeight="false" outlineLevel="0" collapsed="false">
      <c r="A35" s="97" t="s">
        <v>5840</v>
      </c>
      <c r="B35" s="113" t="e">
        <f aca="false">INDEX(#REF!,MATCH($A35, #REF!,0),1)</f>
        <v>#VALUE!</v>
      </c>
      <c r="C35" s="113" t="e">
        <f aca="false">INDEX(#REF!,MATCH(A35, #REF!,0),1)</f>
        <v>#VALUE!</v>
      </c>
      <c r="D35" s="113" t="e">
        <f aca="false">INDEX(#REF!,MATCH($A35, #REF!,0),1)</f>
        <v>#VALUE!</v>
      </c>
      <c r="E35" s="113" t="e">
        <f aca="false">INDEX(#REF!,MATCH($A35, #REF!,0),1)</f>
        <v>#VALUE!</v>
      </c>
      <c r="F35" s="113" t="e">
        <f aca="false">INDEX(participants!$K$1:$K$699,MATCH($B35, participants!$A$1:$A$690,0),1)</f>
        <v>#VALUE!</v>
      </c>
      <c r="G35" s="10" t="s">
        <v>752</v>
      </c>
      <c r="H35" s="113" t="e">
        <f aca="false">INDEX(participants #REF!:participants #REF!,MATCH($B35, participants!$A$1:$A$690,0),1)</f>
        <v>#VALUE!</v>
      </c>
      <c r="I35" s="114" t="e">
        <f aca="false">INDEX(samples!$C$1:$C$943,MATCH($D35, #REF!,0),1)</f>
        <v>#VALUE!</v>
      </c>
      <c r="J35" s="114" t="e">
        <f aca="false">INDEX(samples!$I$1:$I$943,MATCH($D35, #REF!,0),1)</f>
        <v>#VALUE!</v>
      </c>
      <c r="K35" s="10" t="s">
        <v>511</v>
      </c>
      <c r="L35" s="10" t="s">
        <v>511</v>
      </c>
      <c r="M35" s="10" t="s">
        <v>487</v>
      </c>
      <c r="N35" s="73" t="s">
        <v>487</v>
      </c>
      <c r="O35" s="73" t="s">
        <v>511</v>
      </c>
      <c r="P35" s="73" t="n">
        <v>1</v>
      </c>
      <c r="Q35" s="73" t="s">
        <v>511</v>
      </c>
      <c r="R35" s="73" t="s">
        <v>5841</v>
      </c>
      <c r="S35" s="107" t="n">
        <v>44607</v>
      </c>
      <c r="T35" s="73" t="s">
        <v>5579</v>
      </c>
      <c r="U35" s="73" t="s">
        <v>5842</v>
      </c>
      <c r="V35" s="10" t="s">
        <v>487</v>
      </c>
      <c r="W35" s="10" t="s">
        <v>5843</v>
      </c>
      <c r="X35" s="10" t="s">
        <v>487</v>
      </c>
      <c r="Y35" s="73" t="s">
        <v>558</v>
      </c>
      <c r="Z35" s="10" t="s">
        <v>487</v>
      </c>
      <c r="AA35" s="57" t="s">
        <v>752</v>
      </c>
      <c r="AB35" s="31" t="n">
        <v>44216</v>
      </c>
      <c r="AC35" s="73" t="s">
        <v>5844</v>
      </c>
      <c r="AD35" s="57" t="s">
        <v>1161</v>
      </c>
      <c r="AE35" s="71" t="s">
        <v>558</v>
      </c>
      <c r="AF35" s="73" t="s">
        <v>511</v>
      </c>
      <c r="AG35" s="73" t="s">
        <v>558</v>
      </c>
      <c r="AH35" s="73" t="s">
        <v>511</v>
      </c>
      <c r="AI35" s="74" t="s">
        <v>487</v>
      </c>
      <c r="AJ35" s="73" t="s">
        <v>558</v>
      </c>
      <c r="AK35" s="73" t="s">
        <v>487</v>
      </c>
      <c r="AL35" s="73" t="s">
        <v>487</v>
      </c>
      <c r="AM35" s="73" t="s">
        <v>487</v>
      </c>
      <c r="AN35" s="73" t="s">
        <v>487</v>
      </c>
      <c r="AO35" s="74" t="s">
        <v>487</v>
      </c>
      <c r="AP35" s="73" t="s">
        <v>558</v>
      </c>
      <c r="AR35" s="57" t="s">
        <v>1161</v>
      </c>
      <c r="AS35" s="10"/>
      <c r="AY35" s="74"/>
      <c r="AZ35" s="74"/>
      <c r="BA35" s="74"/>
      <c r="BB35" s="79"/>
      <c r="BC35" s="74"/>
      <c r="BD35" s="74"/>
      <c r="BE35" s="77"/>
      <c r="BF35" s="57"/>
      <c r="BG35" s="74"/>
      <c r="BH35" s="74"/>
    </row>
    <row r="36" customFormat="false" ht="15" hidden="false" customHeight="false" outlineLevel="0" collapsed="false">
      <c r="A36" s="102" t="s">
        <v>5845</v>
      </c>
      <c r="B36" s="113" t="e">
        <f aca="false">INDEX(#REF!,MATCH($A36, #REF!,0),1)</f>
        <v>#VALUE!</v>
      </c>
      <c r="C36" s="113" t="e">
        <f aca="false">INDEX(#REF!,MATCH(A36, #REF!,0),1)</f>
        <v>#VALUE!</v>
      </c>
      <c r="D36" s="113" t="e">
        <f aca="false">INDEX(#REF!,MATCH($A36, #REF!,0),1)</f>
        <v>#VALUE!</v>
      </c>
      <c r="E36" s="113" t="e">
        <f aca="false">INDEX(#REF!,MATCH($A36, #REF!,0),1)</f>
        <v>#VALUE!</v>
      </c>
      <c r="F36" s="113" t="e">
        <f aca="false">INDEX(participants!$K$1:$K$699,MATCH($B36, participants!$A$1:$A$690,0),1)</f>
        <v>#VALUE!</v>
      </c>
      <c r="G36" s="10" t="s">
        <v>752</v>
      </c>
      <c r="H36" s="113" t="e">
        <f aca="false">INDEX(participants #REF!:participants #REF!,MATCH($B36, participants!$A$1:$A$690,0),1)</f>
        <v>#VALUE!</v>
      </c>
      <c r="I36" s="114" t="e">
        <f aca="false">INDEX(samples!$C$1:$C$943,MATCH($D36, #REF!,0),1)</f>
        <v>#VALUE!</v>
      </c>
      <c r="J36" s="114" t="e">
        <f aca="false">INDEX(samples!$I$1:$I$943,MATCH($D36, #REF!,0),1)</f>
        <v>#VALUE!</v>
      </c>
      <c r="K36" s="10" t="s">
        <v>558</v>
      </c>
      <c r="L36" s="10" t="s">
        <v>558</v>
      </c>
      <c r="M36" s="107" t="n">
        <v>44607</v>
      </c>
      <c r="N36" s="10" t="s">
        <v>5841</v>
      </c>
      <c r="O36" s="10" t="s">
        <v>511</v>
      </c>
      <c r="P36" s="10" t="n">
        <v>2</v>
      </c>
      <c r="Q36" s="10" t="s">
        <v>511</v>
      </c>
      <c r="R36" s="73" t="s">
        <v>5841</v>
      </c>
      <c r="S36" s="107" t="n">
        <v>44607</v>
      </c>
      <c r="T36" s="107" t="n">
        <v>44867</v>
      </c>
      <c r="U36" s="73" t="s">
        <v>5842</v>
      </c>
      <c r="V36" s="10" t="s">
        <v>487</v>
      </c>
      <c r="W36" s="10" t="s">
        <v>5843</v>
      </c>
      <c r="X36" s="10" t="s">
        <v>487</v>
      </c>
      <c r="Y36" s="73" t="s">
        <v>558</v>
      </c>
      <c r="Z36" s="10" t="s">
        <v>487</v>
      </c>
      <c r="AA36" s="57" t="s">
        <v>752</v>
      </c>
      <c r="AB36" s="31" t="n">
        <v>44216</v>
      </c>
      <c r="AC36" s="73" t="s">
        <v>5844</v>
      </c>
      <c r="AD36" s="57" t="s">
        <v>1161</v>
      </c>
      <c r="AE36" s="71" t="s">
        <v>558</v>
      </c>
      <c r="AF36" s="73" t="s">
        <v>511</v>
      </c>
      <c r="AG36" s="73" t="s">
        <v>558</v>
      </c>
      <c r="AH36" s="73" t="s">
        <v>511</v>
      </c>
      <c r="AI36" s="74" t="s">
        <v>487</v>
      </c>
      <c r="AJ36" s="73" t="s">
        <v>558</v>
      </c>
      <c r="AK36" s="73" t="s">
        <v>487</v>
      </c>
      <c r="AL36" s="73" t="s">
        <v>487</v>
      </c>
      <c r="AM36" s="73" t="s">
        <v>487</v>
      </c>
      <c r="AN36" s="73" t="s">
        <v>487</v>
      </c>
      <c r="AO36" s="74" t="s">
        <v>487</v>
      </c>
      <c r="AP36" s="73" t="s">
        <v>558</v>
      </c>
      <c r="AR36" s="57" t="s">
        <v>1161</v>
      </c>
      <c r="AS36" s="10"/>
      <c r="AY36" s="74"/>
      <c r="AZ36" s="74"/>
      <c r="BA36" s="74"/>
      <c r="BB36" s="79"/>
      <c r="BC36" s="74"/>
      <c r="BD36" s="74"/>
      <c r="BE36" s="77"/>
      <c r="BF36" s="57"/>
      <c r="BG36" s="74"/>
      <c r="BH36" s="74"/>
    </row>
    <row r="37" customFormat="false" ht="15" hidden="false" customHeight="false" outlineLevel="0" collapsed="false">
      <c r="A37" s="97" t="s">
        <v>5846</v>
      </c>
      <c r="B37" s="113" t="e">
        <f aca="false">INDEX(#REF!,MATCH($A37, #REF!,0),1)</f>
        <v>#VALUE!</v>
      </c>
      <c r="C37" s="113" t="e">
        <f aca="false">INDEX(#REF!,MATCH(A37, #REF!,0),1)</f>
        <v>#VALUE!</v>
      </c>
      <c r="D37" s="113" t="e">
        <f aca="false">INDEX(#REF!,MATCH($A37, #REF!,0),1)</f>
        <v>#VALUE!</v>
      </c>
      <c r="E37" s="113" t="e">
        <f aca="false">INDEX(#REF!,MATCH($A37, #REF!,0),1)</f>
        <v>#VALUE!</v>
      </c>
      <c r="F37" s="113" t="s">
        <v>752</v>
      </c>
      <c r="G37" s="79" t="s">
        <v>5415</v>
      </c>
      <c r="H37" s="113" t="e">
        <f aca="false">INDEX(participants #REF!:participants #REF!,MATCH($B37, participants!$A$1:$A$690,0),1)</f>
        <v>#VALUE!</v>
      </c>
      <c r="I37" s="114" t="e">
        <f aca="false">INDEX(samples!$C$1:$C$943,MATCH($D37, #REF!,0),1)</f>
        <v>#VALUE!</v>
      </c>
      <c r="J37" s="114" t="e">
        <f aca="false">INDEX(samples!$I$1:$I$943,MATCH($D37, #REF!,0),1)</f>
        <v>#VALUE!</v>
      </c>
      <c r="K37" s="10" t="s">
        <v>511</v>
      </c>
      <c r="L37" s="10" t="s">
        <v>511</v>
      </c>
      <c r="M37" s="74" t="n">
        <v>44641</v>
      </c>
      <c r="N37" s="10" t="s">
        <v>5414</v>
      </c>
      <c r="O37" s="10" t="s">
        <v>558</v>
      </c>
      <c r="P37" s="10" t="s">
        <v>487</v>
      </c>
      <c r="Q37" s="10" t="s">
        <v>487</v>
      </c>
      <c r="R37" s="10" t="s">
        <v>487</v>
      </c>
      <c r="S37" s="10" t="s">
        <v>487</v>
      </c>
      <c r="T37" s="10" t="s">
        <v>487</v>
      </c>
      <c r="U37" s="10" t="s">
        <v>487</v>
      </c>
      <c r="V37" s="10" t="s">
        <v>487</v>
      </c>
      <c r="W37" s="10" t="s">
        <v>5847</v>
      </c>
      <c r="X37" s="10" t="s">
        <v>487</v>
      </c>
      <c r="Y37" s="73" t="s">
        <v>558</v>
      </c>
      <c r="Z37" s="10" t="s">
        <v>487</v>
      </c>
      <c r="AA37" s="10" t="s">
        <v>5848</v>
      </c>
      <c r="AB37" s="74" t="n">
        <v>44641</v>
      </c>
      <c r="AC37" s="10" t="s">
        <v>5849</v>
      </c>
      <c r="AD37" s="83" t="s">
        <v>1187</v>
      </c>
      <c r="AE37" s="71" t="s">
        <v>5421</v>
      </c>
      <c r="AF37" s="73" t="s">
        <v>511</v>
      </c>
      <c r="AG37" s="73" t="s">
        <v>511</v>
      </c>
      <c r="AH37" s="73" t="s">
        <v>511</v>
      </c>
      <c r="AI37" s="74" t="s">
        <v>487</v>
      </c>
      <c r="AJ37" s="73" t="s">
        <v>558</v>
      </c>
      <c r="AK37" s="73" t="s">
        <v>5422</v>
      </c>
      <c r="AL37" s="73" t="s">
        <v>5422</v>
      </c>
      <c r="AM37" s="73" t="s">
        <v>487</v>
      </c>
      <c r="AN37" s="73" t="s">
        <v>5422</v>
      </c>
      <c r="AO37" s="74" t="s">
        <v>487</v>
      </c>
      <c r="AP37" s="73" t="s">
        <v>558</v>
      </c>
      <c r="AR37" s="10" t="s">
        <v>1187</v>
      </c>
      <c r="AS37" s="74"/>
      <c r="AY37" s="74"/>
      <c r="AZ37" s="74"/>
      <c r="BA37" s="74"/>
      <c r="BB37" s="79"/>
      <c r="BC37" s="74"/>
      <c r="BD37" s="74"/>
      <c r="BE37" s="77"/>
      <c r="BF37" s="57"/>
      <c r="BG37" s="74"/>
      <c r="BH37" s="74"/>
    </row>
    <row r="38" customFormat="false" ht="15" hidden="false" customHeight="false" outlineLevel="0" collapsed="false">
      <c r="A38" s="97" t="s">
        <v>5850</v>
      </c>
      <c r="B38" s="113" t="e">
        <f aca="false">INDEX(#REF!,MATCH($A38, #REF!,0),1)</f>
        <v>#VALUE!</v>
      </c>
      <c r="C38" s="113" t="e">
        <f aca="false">INDEX(#REF!,MATCH(A38, #REF!,0),1)</f>
        <v>#VALUE!</v>
      </c>
      <c r="D38" s="113" t="e">
        <f aca="false">INDEX(#REF!,MATCH($A38, #REF!,0),1)</f>
        <v>#VALUE!</v>
      </c>
      <c r="E38" s="113" t="e">
        <f aca="false">INDEX(#REF!,MATCH($A38, #REF!,0),1)</f>
        <v>#VALUE!</v>
      </c>
      <c r="F38" s="113" t="s">
        <v>752</v>
      </c>
      <c r="G38" s="79" t="s">
        <v>5415</v>
      </c>
      <c r="H38" s="113" t="e">
        <f aca="false">INDEX(participants #REF!:participants #REF!,MATCH($B38, participants!$A$1:$A$690,0),1)</f>
        <v>#VALUE!</v>
      </c>
      <c r="I38" s="114" t="e">
        <f aca="false">INDEX(samples!$C$1:$C$943,MATCH($D38, #REF!,0),1)</f>
        <v>#VALUE!</v>
      </c>
      <c r="J38" s="114" t="e">
        <f aca="false">INDEX(samples!$I$1:$I$943,MATCH($D38, #REF!,0),1)</f>
        <v>#VALUE!</v>
      </c>
      <c r="K38" s="10" t="s">
        <v>511</v>
      </c>
      <c r="L38" s="10" t="s">
        <v>511</v>
      </c>
      <c r="M38" s="74" t="n">
        <v>44351</v>
      </c>
      <c r="N38" s="10" t="s">
        <v>5414</v>
      </c>
      <c r="O38" s="10" t="s">
        <v>558</v>
      </c>
      <c r="P38" s="10" t="s">
        <v>487</v>
      </c>
      <c r="Q38" s="10" t="s">
        <v>487</v>
      </c>
      <c r="R38" s="10" t="s">
        <v>487</v>
      </c>
      <c r="S38" s="10" t="s">
        <v>487</v>
      </c>
      <c r="T38" s="10" t="s">
        <v>487</v>
      </c>
      <c r="U38" s="10" t="s">
        <v>487</v>
      </c>
      <c r="V38" s="10" t="s">
        <v>487</v>
      </c>
      <c r="W38" s="10" t="s">
        <v>5851</v>
      </c>
      <c r="X38" s="10" t="s">
        <v>487</v>
      </c>
      <c r="Y38" s="10" t="s">
        <v>558</v>
      </c>
      <c r="Z38" s="10" t="s">
        <v>487</v>
      </c>
      <c r="AA38" s="79" t="s">
        <v>5415</v>
      </c>
      <c r="AB38" s="74" t="n">
        <v>44361</v>
      </c>
      <c r="AC38" s="77"/>
      <c r="AD38" s="57" t="s">
        <v>1268</v>
      </c>
      <c r="AE38" s="10" t="s">
        <v>487</v>
      </c>
      <c r="AF38" s="10" t="s">
        <v>487</v>
      </c>
      <c r="AG38" s="10" t="s">
        <v>487</v>
      </c>
      <c r="AH38" s="10" t="s">
        <v>487</v>
      </c>
      <c r="AI38" s="10" t="s">
        <v>487</v>
      </c>
      <c r="AJ38" s="10" t="s">
        <v>558</v>
      </c>
      <c r="AK38" s="10" t="s">
        <v>487</v>
      </c>
      <c r="AL38" s="10" t="s">
        <v>487</v>
      </c>
      <c r="AM38" s="10" t="s">
        <v>487</v>
      </c>
      <c r="AN38" s="10" t="s">
        <v>487</v>
      </c>
      <c r="AO38" s="74" t="s">
        <v>487</v>
      </c>
      <c r="AP38" s="73" t="s">
        <v>558</v>
      </c>
      <c r="AR38" s="57" t="s">
        <v>1268</v>
      </c>
      <c r="AS38" s="10"/>
      <c r="AY38" s="74"/>
      <c r="AZ38" s="74"/>
      <c r="BA38" s="74"/>
      <c r="BB38" s="79"/>
      <c r="BC38" s="74"/>
      <c r="BD38" s="74"/>
      <c r="BE38" s="77"/>
      <c r="BF38" s="57"/>
      <c r="BG38" s="74"/>
      <c r="BH38" s="74"/>
    </row>
    <row r="39" customFormat="false" ht="15" hidden="false" customHeight="false" outlineLevel="0" collapsed="false">
      <c r="A39" s="102" t="s">
        <v>5852</v>
      </c>
      <c r="B39" s="113" t="e">
        <f aca="false">INDEX(#REF!,MATCH($A39, #REF!,0),1)</f>
        <v>#VALUE!</v>
      </c>
      <c r="C39" s="113" t="e">
        <f aca="false">INDEX(#REF!,MATCH(A39, #REF!,0),1)</f>
        <v>#VALUE!</v>
      </c>
      <c r="D39" s="113" t="e">
        <f aca="false">INDEX(#REF!,MATCH($A39, #REF!,0),1)</f>
        <v>#VALUE!</v>
      </c>
      <c r="E39" s="113" t="e">
        <f aca="false">INDEX(#REF!,MATCH($A39, #REF!,0),1)</f>
        <v>#VALUE!</v>
      </c>
      <c r="F39" s="113" t="e">
        <f aca="false">INDEX(participants!$K$1:$K$699,MATCH($B39, participants!$A$1:$A$690,0),1)</f>
        <v>#VALUE!</v>
      </c>
      <c r="G39" s="10" t="s">
        <v>752</v>
      </c>
      <c r="H39" s="113" t="e">
        <f aca="false">INDEX(participants #REF!:participants #REF!,MATCH($B39, participants!$A$1:$A$690,0),1)</f>
        <v>#VALUE!</v>
      </c>
      <c r="I39" s="114" t="e">
        <f aca="false">INDEX(samples!$C$1:$C$943,MATCH($D39, #REF!,0),1)</f>
        <v>#VALUE!</v>
      </c>
      <c r="J39" s="114" t="e">
        <f aca="false">INDEX(samples!$I$1:$I$943,MATCH($D39, #REF!,0),1)</f>
        <v>#VALUE!</v>
      </c>
      <c r="K39" s="10" t="s">
        <v>511</v>
      </c>
      <c r="L39" s="10" t="s">
        <v>511</v>
      </c>
      <c r="M39" s="10" t="s">
        <v>487</v>
      </c>
      <c r="N39" s="10" t="s">
        <v>487</v>
      </c>
      <c r="O39" s="10" t="s">
        <v>558</v>
      </c>
      <c r="P39" s="73" t="s">
        <v>487</v>
      </c>
      <c r="Q39" s="73" t="s">
        <v>487</v>
      </c>
      <c r="R39" s="73" t="s">
        <v>487</v>
      </c>
      <c r="S39" s="73" t="s">
        <v>487</v>
      </c>
      <c r="T39" s="73" t="s">
        <v>487</v>
      </c>
      <c r="U39" s="73" t="s">
        <v>487</v>
      </c>
      <c r="V39" s="73" t="s">
        <v>487</v>
      </c>
      <c r="W39" s="10" t="s">
        <v>5853</v>
      </c>
      <c r="X39" s="10" t="s">
        <v>5414</v>
      </c>
      <c r="Y39" s="73" t="s">
        <v>558</v>
      </c>
      <c r="Z39" s="10" t="s">
        <v>487</v>
      </c>
      <c r="AA39" s="57" t="s">
        <v>752</v>
      </c>
      <c r="AB39" s="74" t="n">
        <v>44740</v>
      </c>
      <c r="AC39" s="10" t="s">
        <v>5854</v>
      </c>
      <c r="AD39" s="83" t="s">
        <v>1333</v>
      </c>
      <c r="AE39" s="71" t="s">
        <v>558</v>
      </c>
      <c r="AF39" s="73" t="s">
        <v>511</v>
      </c>
      <c r="AG39" s="73" t="s">
        <v>511</v>
      </c>
      <c r="AH39" s="73" t="s">
        <v>511</v>
      </c>
      <c r="AI39" s="74" t="s">
        <v>487</v>
      </c>
      <c r="AJ39" s="73" t="s">
        <v>558</v>
      </c>
      <c r="AK39" s="10" t="s">
        <v>5412</v>
      </c>
      <c r="AL39" s="73" t="s">
        <v>487</v>
      </c>
      <c r="AM39" s="73" t="s">
        <v>487</v>
      </c>
      <c r="AN39" s="73" t="s">
        <v>487</v>
      </c>
      <c r="AO39" s="74" t="s">
        <v>487</v>
      </c>
      <c r="AP39" s="73" t="s">
        <v>558</v>
      </c>
      <c r="AR39" s="83" t="s">
        <v>1333</v>
      </c>
      <c r="AS39" s="74"/>
      <c r="AY39" s="74"/>
      <c r="AZ39" s="74"/>
      <c r="BA39" s="74"/>
      <c r="BB39" s="79"/>
      <c r="BC39" s="74"/>
      <c r="BD39" s="74"/>
      <c r="BE39" s="77"/>
      <c r="BG39" s="74"/>
      <c r="BH39" s="74"/>
    </row>
    <row r="40" customFormat="false" ht="15" hidden="false" customHeight="false" outlineLevel="0" collapsed="false">
      <c r="A40" s="102" t="s">
        <v>5855</v>
      </c>
      <c r="B40" s="113" t="e">
        <f aca="false">INDEX(#REF!,MATCH($A40, #REF!,0),1)</f>
        <v>#VALUE!</v>
      </c>
      <c r="C40" s="113" t="e">
        <f aca="false">INDEX(#REF!,MATCH(A40, #REF!,0),1)</f>
        <v>#VALUE!</v>
      </c>
      <c r="D40" s="113" t="e">
        <f aca="false">INDEX(#REF!,MATCH($A40, #REF!,0),1)</f>
        <v>#VALUE!</v>
      </c>
      <c r="E40" s="113" t="e">
        <f aca="false">INDEX(#REF!,MATCH($A40, #REF!,0),1)</f>
        <v>#VALUE!</v>
      </c>
      <c r="F40" s="113" t="s">
        <v>752</v>
      </c>
      <c r="G40" s="10" t="s">
        <v>5515</v>
      </c>
      <c r="H40" s="113" t="e">
        <f aca="false">INDEX(participants #REF!:participants #REF!,MATCH($B40, participants!$A$1:$A$690,0),1)</f>
        <v>#VALUE!</v>
      </c>
      <c r="I40" s="114" t="e">
        <f aca="false">INDEX(samples!$C$1:$C$943,MATCH($D40, #REF!,0),1)</f>
        <v>#VALUE!</v>
      </c>
      <c r="J40" s="114" t="e">
        <f aca="false">INDEX(samples!$I$1:$I$943,MATCH($D40, #REF!,0),1)</f>
        <v>#VALUE!</v>
      </c>
      <c r="K40" s="10"/>
      <c r="L40" s="10"/>
      <c r="M40" s="10"/>
      <c r="N40" s="10"/>
      <c r="O40" s="10"/>
      <c r="P40" s="10"/>
      <c r="Q40" s="10"/>
      <c r="R40" s="10"/>
      <c r="S40" s="10"/>
      <c r="T40" s="10"/>
      <c r="U40" s="10"/>
      <c r="V40" s="10"/>
      <c r="W40" s="10"/>
      <c r="X40" s="10"/>
      <c r="Y40" s="10"/>
      <c r="AB40" s="74"/>
      <c r="AC40" s="77"/>
      <c r="AD40" s="57"/>
      <c r="AE40" s="57"/>
      <c r="AF40" s="77"/>
      <c r="AG40" s="57"/>
      <c r="AH40" s="74"/>
      <c r="AI40" s="74"/>
      <c r="AJ40" s="10"/>
      <c r="AK40" s="10"/>
      <c r="AL40" s="10"/>
      <c r="AM40" s="10"/>
      <c r="AN40" s="10"/>
      <c r="AO40" s="10"/>
      <c r="AP40" s="10"/>
      <c r="AR40" s="10" t="s">
        <v>1415</v>
      </c>
      <c r="AS40" s="78"/>
      <c r="AT40" s="10"/>
      <c r="AU40" s="10"/>
      <c r="AV40" s="10"/>
      <c r="AW40" s="10"/>
      <c r="AX40" s="74"/>
      <c r="AY40" s="74"/>
      <c r="AZ40" s="74"/>
      <c r="BA40" s="74"/>
      <c r="BB40" s="79"/>
      <c r="BC40" s="74"/>
      <c r="BD40" s="74"/>
    </row>
    <row r="41" customFormat="false" ht="15" hidden="false" customHeight="false" outlineLevel="0" collapsed="false">
      <c r="A41" s="102" t="s">
        <v>5856</v>
      </c>
      <c r="B41" s="113" t="e">
        <f aca="false">INDEX(#REF!,MATCH($A41, #REF!,0),1)</f>
        <v>#VALUE!</v>
      </c>
      <c r="C41" s="113" t="e">
        <f aca="false">INDEX(#REF!,MATCH(A41, #REF!,0),1)</f>
        <v>#VALUE!</v>
      </c>
      <c r="D41" s="113" t="e">
        <f aca="false">INDEX(#REF!,MATCH($A41, #REF!,0),1)</f>
        <v>#VALUE!</v>
      </c>
      <c r="E41" s="113" t="e">
        <f aca="false">INDEX(#REF!,MATCH($A41, #REF!,0),1)</f>
        <v>#VALUE!</v>
      </c>
      <c r="F41" s="113" t="s">
        <v>752</v>
      </c>
      <c r="G41" s="10" t="s">
        <v>5515</v>
      </c>
      <c r="H41" s="113" t="e">
        <f aca="false">INDEX(participants #REF!:participants #REF!,MATCH($B41, participants!$A$1:$A$690,0),1)</f>
        <v>#VALUE!</v>
      </c>
      <c r="I41" s="114" t="e">
        <f aca="false">INDEX(samples!$C$1:$C$943,MATCH($D41, #REF!,0),1)</f>
        <v>#VALUE!</v>
      </c>
      <c r="J41" s="114" t="e">
        <f aca="false">INDEX(samples!$I$1:$I$943,MATCH($D41, #REF!,0),1)</f>
        <v>#VALUE!</v>
      </c>
      <c r="K41" s="10"/>
      <c r="L41" s="10"/>
      <c r="M41" s="10"/>
      <c r="N41" s="10"/>
      <c r="O41" s="10"/>
      <c r="P41" s="10"/>
      <c r="Q41" s="10"/>
      <c r="R41" s="10"/>
      <c r="S41" s="10"/>
      <c r="T41" s="10"/>
      <c r="U41" s="10"/>
      <c r="V41" s="10"/>
      <c r="W41" s="10"/>
      <c r="X41" s="10"/>
      <c r="Y41" s="10"/>
      <c r="AB41" s="74"/>
      <c r="AC41" s="77"/>
      <c r="AD41" s="57"/>
      <c r="AE41" s="57"/>
      <c r="AF41" s="77"/>
      <c r="AG41" s="57"/>
      <c r="AH41" s="74"/>
      <c r="AI41" s="74"/>
      <c r="AK41" s="10"/>
      <c r="AL41" s="10"/>
      <c r="AM41" s="10"/>
      <c r="AN41" s="10"/>
      <c r="AO41" s="10"/>
      <c r="AP41" s="10"/>
      <c r="AR41" s="10" t="s">
        <v>1418</v>
      </c>
      <c r="AS41" s="10"/>
      <c r="AT41" s="10"/>
      <c r="AU41" s="10"/>
      <c r="AV41" s="10"/>
      <c r="AW41" s="10"/>
      <c r="AX41" s="74"/>
      <c r="AY41" s="74"/>
      <c r="AZ41" s="74"/>
      <c r="BA41" s="74"/>
      <c r="BB41" s="79"/>
      <c r="BC41" s="74"/>
      <c r="BD41" s="74"/>
    </row>
    <row r="42" customFormat="false" ht="15" hidden="false" customHeight="false" outlineLevel="0" collapsed="false">
      <c r="A42" s="102" t="s">
        <v>5857</v>
      </c>
      <c r="B42" s="113" t="e">
        <f aca="false">INDEX(#REF!,MATCH($A42, #REF!,0),1)</f>
        <v>#VALUE!</v>
      </c>
      <c r="C42" s="113" t="e">
        <f aca="false">INDEX(#REF!,MATCH(A42, #REF!,0),1)</f>
        <v>#VALUE!</v>
      </c>
      <c r="D42" s="113" t="e">
        <f aca="false">INDEX(#REF!,MATCH($A42, #REF!,0),1)</f>
        <v>#VALUE!</v>
      </c>
      <c r="E42" s="113" t="e">
        <f aca="false">INDEX(#REF!,MATCH($A42, #REF!,0),1)</f>
        <v>#VALUE!</v>
      </c>
      <c r="F42" s="113" t="s">
        <v>752</v>
      </c>
      <c r="G42" s="10" t="s">
        <v>5515</v>
      </c>
      <c r="H42" s="113" t="e">
        <f aca="false">INDEX(participants #REF!:participants #REF!,MATCH($B42, participants!$A$1:$A$690,0),1)</f>
        <v>#VALUE!</v>
      </c>
      <c r="I42" s="114" t="e">
        <f aca="false">INDEX(samples!$C$1:$C$943,MATCH($D42, #REF!,0),1)</f>
        <v>#VALUE!</v>
      </c>
      <c r="J42" s="114" t="e">
        <f aca="false">INDEX(samples!$I$1:$I$943,MATCH($D42, #REF!,0),1)</f>
        <v>#VALUE!</v>
      </c>
      <c r="K42" s="10"/>
      <c r="L42" s="10"/>
      <c r="M42" s="10"/>
      <c r="N42" s="10"/>
      <c r="O42" s="10"/>
      <c r="P42" s="10"/>
      <c r="Q42" s="10"/>
      <c r="R42" s="10"/>
      <c r="S42" s="10"/>
      <c r="T42" s="10"/>
      <c r="U42" s="10"/>
      <c r="V42" s="10"/>
      <c r="W42" s="10"/>
      <c r="X42" s="10"/>
      <c r="Y42" s="10"/>
      <c r="AB42" s="31"/>
      <c r="AD42" s="57"/>
      <c r="AE42" s="57"/>
      <c r="AF42" s="77"/>
      <c r="AG42" s="57"/>
      <c r="AH42" s="74"/>
      <c r="AI42" s="74"/>
      <c r="AJ42" s="81"/>
      <c r="AK42" s="82"/>
      <c r="AL42" s="10"/>
      <c r="AM42" s="10"/>
      <c r="AN42" s="10"/>
      <c r="AO42" s="74"/>
      <c r="AP42" s="10"/>
      <c r="AR42" s="10" t="s">
        <v>1415</v>
      </c>
      <c r="AS42" s="10"/>
      <c r="AT42" s="10"/>
      <c r="AU42" s="10"/>
      <c r="AX42" s="74"/>
      <c r="AY42" s="74"/>
      <c r="AZ42" s="74"/>
      <c r="BA42" s="74"/>
      <c r="BB42" s="79"/>
      <c r="BC42" s="74"/>
      <c r="BD42" s="74"/>
    </row>
    <row r="43" s="73" customFormat="true" ht="13.8" hidden="false" customHeight="false" outlineLevel="0" collapsed="false">
      <c r="A43" s="97" t="s">
        <v>5858</v>
      </c>
      <c r="B43" s="113" t="e">
        <f aca="false">INDEX(#REF!,MATCH($A43, #REF!,0),1)</f>
        <v>#VALUE!</v>
      </c>
      <c r="C43" s="113" t="e">
        <f aca="false">INDEX(#REF!,MATCH(A43, #REF!,0),1)</f>
        <v>#VALUE!</v>
      </c>
      <c r="D43" s="113" t="e">
        <f aca="false">INDEX(#REF!,MATCH($A43, #REF!,0),1)</f>
        <v>#VALUE!</v>
      </c>
      <c r="E43" s="113" t="e">
        <f aca="false">INDEX(#REF!,MATCH($A43, #REF!,0),1)</f>
        <v>#VALUE!</v>
      </c>
      <c r="F43" s="113" t="s">
        <v>752</v>
      </c>
      <c r="G43" s="10" t="s">
        <v>5515</v>
      </c>
      <c r="H43" s="113" t="e">
        <f aca="false">INDEX(participants #REF!:participants #REF!,MATCH($B43, participants!$A$1:$A$690,0),1)</f>
        <v>#VALUE!</v>
      </c>
      <c r="I43" s="114" t="e">
        <f aca="false">INDEX(samples!$C$1:$C$943,MATCH($D43, #REF!,0),1)</f>
        <v>#VALUE!</v>
      </c>
      <c r="J43" s="114" t="e">
        <f aca="false">INDEX(samples!$I$1:$I$943,MATCH($D43, #REF!,0),1)</f>
        <v>#VALUE!</v>
      </c>
    </row>
    <row r="44" customFormat="false" ht="13.8" hidden="false" customHeight="false" outlineLevel="0" collapsed="false">
      <c r="A44" s="97" t="s">
        <v>5859</v>
      </c>
      <c r="B44" s="113" t="e">
        <f aca="false">INDEX(#REF!,MATCH($A44, #REF!,0),1)</f>
        <v>#VALUE!</v>
      </c>
      <c r="C44" s="113" t="e">
        <f aca="false">INDEX(#REF!,MATCH(A44, #REF!,0),1)</f>
        <v>#VALUE!</v>
      </c>
      <c r="D44" s="113" t="e">
        <f aca="false">INDEX(#REF!,MATCH($A44, #REF!,0),1)</f>
        <v>#VALUE!</v>
      </c>
      <c r="E44" s="113" t="e">
        <f aca="false">INDEX(#REF!,MATCH($A44, #REF!,0),1)</f>
        <v>#VALUE!</v>
      </c>
      <c r="F44" s="113" t="s">
        <v>752</v>
      </c>
      <c r="G44" s="10" t="s">
        <v>5515</v>
      </c>
      <c r="H44" s="113" t="e">
        <f aca="false">INDEX(participants #REF!:participants #REF!,MATCH($B44, participants!$A$1:$A$690,0),1)</f>
        <v>#VALUE!</v>
      </c>
      <c r="I44" s="114" t="e">
        <f aca="false">INDEX(samples!$C$1:$C$943,MATCH($D44, #REF!,0),1)</f>
        <v>#VALUE!</v>
      </c>
      <c r="J44" s="114" t="e">
        <f aca="false">INDEX(samples!$I$1:$I$943,MATCH($D44, #REF!,0),1)</f>
        <v>#VALUE!</v>
      </c>
    </row>
    <row r="45" customFormat="false" ht="13.8" hidden="false" customHeight="false" outlineLevel="0" collapsed="false">
      <c r="A45" s="97" t="s">
        <v>5821</v>
      </c>
    </row>
  </sheetData>
  <autoFilter ref="A1:BJ1"/>
  <conditionalFormatting sqref="A1:A1048576">
    <cfRule type="duplicateValues" priority="2" aboveAverage="0" equalAverage="0" bottom="0" percent="0" rank="0" text="" dxfId="2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U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O2" activePane="bottomLeft" state="frozen"/>
      <selection pane="topLeft" activeCell="A1" activeCellId="0" sqref="A1"/>
      <selection pane="bottomLeft" activeCell="B7" activeCellId="0" sqref="B7"/>
    </sheetView>
  </sheetViews>
  <sheetFormatPr defaultColWidth="9.23828125" defaultRowHeight="13.8" zeroHeight="false" outlineLevelRow="0" outlineLevelCol="0"/>
  <cols>
    <col collapsed="false" customWidth="true" hidden="false" outlineLevel="0" max="1" min="1" style="37" width="9.85"/>
    <col collapsed="false" customWidth="true" hidden="false" outlineLevel="0" max="4" min="2" style="0" width="19.31"/>
    <col collapsed="false" customWidth="true" hidden="false" outlineLevel="0" max="5" min="5" style="0" width="30.28"/>
    <col collapsed="false" customWidth="true" hidden="false" outlineLevel="0" max="6" min="6" style="0" width="9.42"/>
    <col collapsed="false" customWidth="true" hidden="false" outlineLevel="0" max="8" min="7" style="0" width="10.85"/>
    <col collapsed="false" customWidth="true" hidden="false" outlineLevel="0" max="9" min="9" style="31" width="10.85"/>
    <col collapsed="false" customWidth="true" hidden="false" outlineLevel="0" max="10" min="10" style="0" width="8.4"/>
    <col collapsed="false" customWidth="true" hidden="false" outlineLevel="0" max="11" min="11" style="0" width="8.57"/>
    <col collapsed="false" customWidth="true" hidden="false" outlineLevel="0" max="12" min="12" style="0" width="11.99"/>
    <col collapsed="false" customWidth="true" hidden="false" outlineLevel="0" max="13" min="13" style="0" width="12.86"/>
    <col collapsed="false" customWidth="true" hidden="false" outlineLevel="0" max="14" min="14" style="0" width="10.71"/>
    <col collapsed="false" customWidth="true" hidden="false" outlineLevel="0" max="15" min="15" style="0" width="12.86"/>
    <col collapsed="false" customWidth="true" hidden="false" outlineLevel="0" max="16" min="16" style="0" width="11.42"/>
    <col collapsed="false" customWidth="true" hidden="false" outlineLevel="0" max="17" min="17" style="0" width="10.85"/>
    <col collapsed="false" customWidth="true" hidden="false" outlineLevel="0" max="18" min="18" style="0" width="13.29"/>
    <col collapsed="false" customWidth="true" hidden="false" outlineLevel="0" max="19" min="19" style="0" width="10.85"/>
    <col collapsed="false" customWidth="true" hidden="false" outlineLevel="0" max="20" min="20" style="0" width="20.71"/>
    <col collapsed="false" customWidth="true" hidden="false" outlineLevel="0" max="21" min="21" style="0" width="7.57"/>
    <col collapsed="false" customWidth="true" hidden="false" outlineLevel="0" max="22" min="22" style="0" width="10.42"/>
    <col collapsed="false" customWidth="true" hidden="false" outlineLevel="0" max="23" min="23" style="0" width="20.71"/>
    <col collapsed="false" customWidth="true" hidden="false" outlineLevel="0" max="24" min="24" style="0" width="59.29"/>
    <col collapsed="false" customWidth="true" hidden="false" outlineLevel="0" max="25" min="25" style="0" width="7.57"/>
    <col collapsed="false" customWidth="true" hidden="false" outlineLevel="0" max="26" min="26" style="0" width="15.15"/>
    <col collapsed="false" customWidth="true" hidden="false" outlineLevel="0" max="27" min="27" style="0" width="20.71"/>
    <col collapsed="false" customWidth="true" hidden="false" outlineLevel="0" max="28" min="28" style="0" width="15.71"/>
    <col collapsed="false" customWidth="true" hidden="false" outlineLevel="0" max="29" min="29" style="0" width="15.29"/>
    <col collapsed="false" customWidth="true" hidden="false" outlineLevel="0" max="30" min="30" style="0" width="17.4"/>
    <col collapsed="false" customWidth="true" hidden="false" outlineLevel="0" max="31" min="31" style="0" width="48.15"/>
    <col collapsed="false" customWidth="true" hidden="false" outlineLevel="0" max="32" min="32" style="0" width="19.31"/>
    <col collapsed="false" customWidth="true" hidden="false" outlineLevel="0" max="33" min="33" style="0" width="10.71"/>
    <col collapsed="false" customWidth="true" hidden="false" outlineLevel="0" max="34" min="34" style="0" width="12.86"/>
  </cols>
  <sheetData>
    <row r="1" customFormat="false" ht="13.8" hidden="false" customHeight="false" outlineLevel="0" collapsed="false">
      <c r="A1" s="115" t="s">
        <v>274</v>
      </c>
      <c r="B1" s="116" t="s">
        <v>215</v>
      </c>
      <c r="C1" s="116" t="s">
        <v>44</v>
      </c>
      <c r="D1" s="116" t="s">
        <v>5782</v>
      </c>
      <c r="E1" s="116" t="s">
        <v>3865</v>
      </c>
      <c r="F1" s="116" t="s">
        <v>82</v>
      </c>
      <c r="G1" s="116" t="s">
        <v>5860</v>
      </c>
      <c r="H1" s="116" t="s">
        <v>89</v>
      </c>
      <c r="I1" s="117"/>
      <c r="J1" s="116" t="s">
        <v>5552</v>
      </c>
      <c r="K1" s="112" t="s">
        <v>259</v>
      </c>
      <c r="L1" s="116" t="s">
        <v>109</v>
      </c>
      <c r="M1" s="112" t="s">
        <v>170</v>
      </c>
      <c r="N1" s="112" t="s">
        <v>139</v>
      </c>
      <c r="O1" s="112" t="s">
        <v>96</v>
      </c>
      <c r="P1" s="112" t="s">
        <v>185</v>
      </c>
      <c r="Q1" s="112" t="s">
        <v>182</v>
      </c>
      <c r="R1" s="112" t="s">
        <v>334</v>
      </c>
      <c r="S1" s="112" t="s">
        <v>332</v>
      </c>
      <c r="T1" s="112" t="s">
        <v>151</v>
      </c>
      <c r="U1" s="112" t="s">
        <v>412</v>
      </c>
      <c r="V1" s="112" t="s">
        <v>248</v>
      </c>
      <c r="W1" s="112" t="s">
        <v>244</v>
      </c>
      <c r="X1" s="112" t="s">
        <v>405</v>
      </c>
      <c r="Y1" s="116" t="s">
        <v>252</v>
      </c>
      <c r="Z1" s="116" t="s">
        <v>255</v>
      </c>
      <c r="AA1" s="116" t="s">
        <v>375</v>
      </c>
      <c r="AB1" s="116" t="s">
        <v>384</v>
      </c>
      <c r="AC1" s="112" t="s">
        <v>377</v>
      </c>
      <c r="AD1" s="116" t="s">
        <v>293</v>
      </c>
      <c r="AE1" s="116" t="s">
        <v>5861</v>
      </c>
      <c r="AF1" s="116" t="s">
        <v>209</v>
      </c>
      <c r="AG1" s="116" t="s">
        <v>89</v>
      </c>
      <c r="AH1" s="8"/>
      <c r="AI1" s="8"/>
      <c r="AJ1" s="8"/>
      <c r="AK1" s="8"/>
      <c r="AL1" s="8"/>
      <c r="AM1" s="8"/>
      <c r="AN1" s="8"/>
      <c r="AO1" s="8"/>
      <c r="AP1" s="8"/>
      <c r="AQ1" s="8"/>
      <c r="AR1" s="8"/>
      <c r="AS1" s="8"/>
      <c r="AT1" s="8"/>
      <c r="AU1" s="8"/>
    </row>
    <row r="2" customFormat="false" ht="18.75" hidden="false" customHeight="true" outlineLevel="0" collapsed="false">
      <c r="A2" s="37" t="s">
        <v>5862</v>
      </c>
      <c r="B2" s="113" t="e">
        <f aca="false">INDEX(#REF!,MATCH($A2, #REF!,0),1)</f>
        <v>#VALUE!</v>
      </c>
      <c r="C2" s="113" t="e">
        <f aca="false">INDEX(#REF!,MATCH($A2, #REF!,0),1)</f>
        <v>#VALUE!</v>
      </c>
      <c r="D2" s="113" t="e">
        <f aca="false">INDEX(#REF!,MATCH($A2, #REF!,0),1)</f>
        <v>#VALUE!</v>
      </c>
      <c r="E2" s="113" t="e">
        <f aca="false">INDEX(#REF!,MATCH($A2, #REF!,0),1)</f>
        <v>#VALUE!</v>
      </c>
      <c r="F2" s="113" t="e">
        <f aca="false">INDEX(participants!$K$1:$K$718,MATCH($B2,participants!$A$1:$A$718,0),1)</f>
        <v>#VALUE!</v>
      </c>
      <c r="G2" s="113" t="e">
        <f aca="false">INDEX(participants #REF!:participants #REF!,MATCH($B2,participants!$A$1:$A$718,0),1)</f>
        <v>#VALUE!</v>
      </c>
      <c r="H2" s="113" t="e">
        <f aca="false">INDEX(samples!$I$2:$I$887,MATCH($D2,#REF!,0),1)</f>
        <v>#VALUE!</v>
      </c>
      <c r="I2" s="114" t="e">
        <f aca="false">INDEX(samples!$C$2:$C$887,MATCH($D2,#REF!,0),1)</f>
        <v>#VALUE!</v>
      </c>
      <c r="J2" s="0" t="s">
        <v>558</v>
      </c>
      <c r="K2" s="0" t="s">
        <v>558</v>
      </c>
      <c r="N2" s="0" t="s">
        <v>511</v>
      </c>
      <c r="O2" s="0" t="s">
        <v>511</v>
      </c>
      <c r="P2" s="0" t="s">
        <v>5863</v>
      </c>
      <c r="Q2" s="0" t="s">
        <v>5864</v>
      </c>
      <c r="T2" s="0" t="s">
        <v>558</v>
      </c>
      <c r="AF2" s="10" t="s">
        <v>5865</v>
      </c>
      <c r="AG2" s="118"/>
    </row>
    <row r="3" customFormat="false" ht="16.5" hidden="false" customHeight="true" outlineLevel="0" collapsed="false">
      <c r="A3" s="37" t="s">
        <v>5866</v>
      </c>
      <c r="B3" s="113" t="e">
        <f aca="false">INDEX(#REF!,MATCH($A3, #REF!,0),1)</f>
        <v>#VALUE!</v>
      </c>
      <c r="C3" s="113" t="e">
        <f aca="false">INDEX(#REF!,MATCH($A3, #REF!,0),1)</f>
        <v>#VALUE!</v>
      </c>
      <c r="D3" s="113" t="e">
        <f aca="false">INDEX(#REF!,MATCH($A3, #REF!,0),1)</f>
        <v>#VALUE!</v>
      </c>
      <c r="E3" s="113" t="e">
        <f aca="false">INDEX(#REF!,MATCH($A3, #REF!,0),1)</f>
        <v>#VALUE!</v>
      </c>
      <c r="F3" s="113" t="e">
        <f aca="false">INDEX(participants!$K$1:$K$718,MATCH($B3,participants!$A$1:$A$718,0),1)</f>
        <v>#VALUE!</v>
      </c>
      <c r="G3" s="113" t="e">
        <f aca="false">INDEX(participants #REF!:participants #REF!,MATCH($B3,participants!$A$1:$A$718,0),1)</f>
        <v>#VALUE!</v>
      </c>
      <c r="H3" s="113" t="e">
        <f aca="false">INDEX(samples!$I$2:$I$887,MATCH($D3,#REF!,0),1)</f>
        <v>#VALUE!</v>
      </c>
      <c r="I3" s="114" t="e">
        <f aca="false">INDEX(samples!$C$2:$C$887,MATCH($D3,#REF!,0),1)</f>
        <v>#VALUE!</v>
      </c>
      <c r="J3" s="0" t="s">
        <v>558</v>
      </c>
      <c r="K3" s="0" t="s">
        <v>558</v>
      </c>
      <c r="N3" s="0" t="s">
        <v>511</v>
      </c>
      <c r="O3" s="0" t="s">
        <v>511</v>
      </c>
      <c r="P3" s="0" t="s">
        <v>5863</v>
      </c>
      <c r="Q3" s="0" t="s">
        <v>5867</v>
      </c>
      <c r="T3" s="0" t="s">
        <v>558</v>
      </c>
      <c r="Y3" s="0" t="n">
        <v>2116</v>
      </c>
      <c r="Z3" s="119" t="n">
        <v>-0.138</v>
      </c>
      <c r="AA3" s="119"/>
      <c r="AF3" s="10" t="s">
        <v>5868</v>
      </c>
      <c r="AG3" s="118"/>
    </row>
    <row r="4" customFormat="false" ht="23.25" hidden="false" customHeight="true" outlineLevel="0" collapsed="false">
      <c r="A4" s="37" t="s">
        <v>5869</v>
      </c>
      <c r="B4" s="113" t="e">
        <f aca="false">INDEX(#REF!,MATCH($A4, #REF!,0),1)</f>
        <v>#VALUE!</v>
      </c>
      <c r="C4" s="113" t="e">
        <f aca="false">INDEX(#REF!,MATCH($A4, #REF!,0),1)</f>
        <v>#VALUE!</v>
      </c>
      <c r="D4" s="113" t="e">
        <f aca="false">INDEX(#REF!,MATCH($A4, #REF!,0),1)</f>
        <v>#VALUE!</v>
      </c>
      <c r="E4" s="113" t="e">
        <f aca="false">INDEX(#REF!,MATCH($A4, #REF!,0),1)</f>
        <v>#VALUE!</v>
      </c>
      <c r="F4" s="113" t="e">
        <f aca="false">INDEX(participants!$K$1:$K$718,MATCH($B4,participants!$A$1:$A$718,0),1)</f>
        <v>#VALUE!</v>
      </c>
      <c r="G4" s="113" t="e">
        <f aca="false">INDEX(participants #REF!:participants #REF!,MATCH($B4,participants!$A$1:$A$718,0),1)</f>
        <v>#VALUE!</v>
      </c>
      <c r="H4" s="113" t="e">
        <f aca="false">INDEX(samples!$I$2:$I$887,MATCH($D4,#REF!,0),1)</f>
        <v>#VALUE!</v>
      </c>
      <c r="I4" s="114" t="e">
        <f aca="false">INDEX(samples!$C$2:$C$887,MATCH($D4,#REF!,0),1)</f>
        <v>#VALUE!</v>
      </c>
      <c r="J4" s="0" t="s">
        <v>558</v>
      </c>
      <c r="K4" s="0" t="s">
        <v>558</v>
      </c>
      <c r="N4" s="0" t="s">
        <v>511</v>
      </c>
      <c r="O4" s="0" t="s">
        <v>511</v>
      </c>
      <c r="P4" s="0" t="s">
        <v>5863</v>
      </c>
      <c r="Q4" s="0" t="s">
        <v>5870</v>
      </c>
      <c r="T4" s="0" t="s">
        <v>558</v>
      </c>
      <c r="Y4" s="0" t="n">
        <v>1914</v>
      </c>
      <c r="AF4" s="10" t="s">
        <v>5871</v>
      </c>
      <c r="AG4" s="118"/>
    </row>
    <row r="5" customFormat="false" ht="13.8" hidden="false" customHeight="false" outlineLevel="0" collapsed="false">
      <c r="A5" s="37" t="s">
        <v>5872</v>
      </c>
      <c r="B5" s="113" t="e">
        <f aca="false">INDEX(#REF!,MATCH($A5, #REF!,0),1)</f>
        <v>#VALUE!</v>
      </c>
      <c r="C5" s="113" t="e">
        <f aca="false">INDEX(#REF!,MATCH($A5, #REF!,0),1)</f>
        <v>#VALUE!</v>
      </c>
      <c r="D5" s="113" t="e">
        <f aca="false">INDEX(#REF!,MATCH($A5, #REF!,0),1)</f>
        <v>#VALUE!</v>
      </c>
      <c r="E5" s="113" t="e">
        <f aca="false">INDEX(#REF!,MATCH($A5, #REF!,0),1)</f>
        <v>#VALUE!</v>
      </c>
      <c r="F5" s="113" t="e">
        <f aca="false">INDEX(participants!$K$1:$K$718,MATCH($B5,participants!$A$1:$A$718,0),1)</f>
        <v>#VALUE!</v>
      </c>
      <c r="G5" s="113" t="e">
        <f aca="false">INDEX(participants #REF!:participants #REF!,MATCH($B5,participants!$A$1:$A$718,0),1)</f>
        <v>#VALUE!</v>
      </c>
      <c r="H5" s="113" t="e">
        <f aca="false">INDEX(samples!$I$2:$I$887,MATCH($D5,#REF!,0),1)</f>
        <v>#VALUE!</v>
      </c>
      <c r="I5" s="114" t="n">
        <v>39946</v>
      </c>
      <c r="J5" s="83" t="s">
        <v>511</v>
      </c>
      <c r="K5" s="83" t="s">
        <v>558</v>
      </c>
      <c r="L5" s="118"/>
      <c r="M5" s="118"/>
      <c r="N5" s="118" t="s">
        <v>558</v>
      </c>
      <c r="O5" s="118" t="s">
        <v>558</v>
      </c>
      <c r="P5" s="83"/>
      <c r="Q5" s="83"/>
      <c r="R5" s="83"/>
      <c r="S5" s="83"/>
      <c r="T5" s="120"/>
      <c r="U5" s="0" t="s">
        <v>5555</v>
      </c>
      <c r="V5" s="31" t="n">
        <v>39946</v>
      </c>
      <c r="W5" s="31" t="n">
        <v>40308</v>
      </c>
      <c r="X5" s="0" t="s">
        <v>5873</v>
      </c>
      <c r="Y5" s="0" t="n">
        <v>1859</v>
      </c>
      <c r="AE5" s="10"/>
      <c r="AF5" s="10" t="s">
        <v>4741</v>
      </c>
      <c r="AG5" s="118"/>
    </row>
    <row r="6" customFormat="false" ht="13.8" hidden="false" customHeight="false" outlineLevel="0" collapsed="false">
      <c r="A6" s="37" t="s">
        <v>5874</v>
      </c>
      <c r="B6" s="113" t="e">
        <f aca="false">INDEX(#REF!,MATCH($A6, #REF!,0),1)</f>
        <v>#VALUE!</v>
      </c>
      <c r="C6" s="113" t="e">
        <f aca="false">INDEX(#REF!,MATCH($A6, #REF!,0),1)</f>
        <v>#VALUE!</v>
      </c>
      <c r="D6" s="113" t="e">
        <f aca="false">INDEX(#REF!,MATCH($A6, #REF!,0),1)</f>
        <v>#VALUE!</v>
      </c>
      <c r="E6" s="113" t="e">
        <f aca="false">INDEX(#REF!,MATCH($A6, #REF!,0),1)</f>
        <v>#VALUE!</v>
      </c>
      <c r="F6" s="113" t="e">
        <f aca="false">INDEX(participants!$K$1:$K$718,MATCH($B6,participants!$A$1:$A$718,0),1)</f>
        <v>#VALUE!</v>
      </c>
      <c r="G6" s="113" t="e">
        <f aca="false">INDEX(participants #REF!:participants #REF!,MATCH($B6,participants!$A$1:$A$718,0),1)</f>
        <v>#VALUE!</v>
      </c>
      <c r="H6" s="113" t="e">
        <f aca="false">INDEX(samples!$I$2:$I$887,MATCH($D6,#REF!,0),1)</f>
        <v>#VALUE!</v>
      </c>
      <c r="I6" s="114" t="e">
        <f aca="false">INDEX(samples!$C$2:$C$887,MATCH($D6,#REF!,0),1)</f>
        <v>#VALUE!</v>
      </c>
      <c r="J6" s="0" t="s">
        <v>511</v>
      </c>
      <c r="K6" s="0" t="s">
        <v>558</v>
      </c>
      <c r="N6" s="0" t="s">
        <v>558</v>
      </c>
      <c r="AF6" s="10" t="s">
        <v>5875</v>
      </c>
      <c r="AG6" s="118"/>
    </row>
    <row r="7" customFormat="false" ht="13.8" hidden="false" customHeight="false" outlineLevel="0" collapsed="false">
      <c r="A7" s="37" t="s">
        <v>5876</v>
      </c>
      <c r="B7" s="113" t="e">
        <f aca="false">INDEX(#REF!,MATCH($A7, #REF!,0),1)</f>
        <v>#VALUE!</v>
      </c>
      <c r="C7" s="113" t="e">
        <f aca="false">INDEX(#REF!,MATCH($A7, #REF!,0),1)</f>
        <v>#VALUE!</v>
      </c>
      <c r="D7" s="113" t="e">
        <f aca="false">INDEX(#REF!,MATCH($A7, #REF!,0),1)</f>
        <v>#VALUE!</v>
      </c>
      <c r="E7" s="113" t="e">
        <f aca="false">INDEX(#REF!,MATCH($A7, #REF!,0),1)</f>
        <v>#VALUE!</v>
      </c>
      <c r="F7" s="113" t="e">
        <f aca="false">INDEX(participants!$K$1:$K$718,MATCH($B7,participants!$A$1:$A$718,0),1)</f>
        <v>#VALUE!</v>
      </c>
      <c r="G7" s="113" t="e">
        <f aca="false">INDEX(participants #REF!:participants #REF!,MATCH($B7,participants!$A$1:$A$718,0),1)</f>
        <v>#VALUE!</v>
      </c>
      <c r="H7" s="113" t="e">
        <f aca="false">INDEX(samples!$I$2:$I$887,MATCH($D7,#REF!,0),1)</f>
        <v>#VALUE!</v>
      </c>
      <c r="I7" s="114" t="e">
        <f aca="false">INDEX(samples!$C$2:$C$887,MATCH($D7,#REF!,0),1)</f>
        <v>#VALUE!</v>
      </c>
      <c r="J7" s="0" t="s">
        <v>511</v>
      </c>
      <c r="K7" s="0" t="s">
        <v>558</v>
      </c>
      <c r="N7" s="0" t="s">
        <v>558</v>
      </c>
      <c r="O7" s="0" t="s">
        <v>558</v>
      </c>
      <c r="P7" s="0" t="s">
        <v>5863</v>
      </c>
      <c r="Q7" s="0" t="s">
        <v>5877</v>
      </c>
      <c r="T7" s="0" t="s">
        <v>558</v>
      </c>
      <c r="AF7" s="10" t="s">
        <v>5878</v>
      </c>
      <c r="AG7" s="118"/>
    </row>
    <row r="8" customFormat="false" ht="13.8" hidden="false" customHeight="false" outlineLevel="0" collapsed="false">
      <c r="A8" s="37" t="s">
        <v>5879</v>
      </c>
      <c r="B8" s="113" t="e">
        <f aca="false">INDEX(#REF!,MATCH($A8, #REF!,0),1)</f>
        <v>#VALUE!</v>
      </c>
      <c r="C8" s="113" t="e">
        <f aca="false">INDEX(#REF!,MATCH($A8, #REF!,0),1)</f>
        <v>#VALUE!</v>
      </c>
      <c r="D8" s="113" t="e">
        <f aca="false">INDEX(#REF!,MATCH($A8, #REF!,0),1)</f>
        <v>#VALUE!</v>
      </c>
      <c r="E8" s="113" t="e">
        <f aca="false">INDEX(#REF!,MATCH($A8, #REF!,0),1)</f>
        <v>#VALUE!</v>
      </c>
      <c r="F8" s="113" t="e">
        <f aca="false">INDEX(participants!$K$1:$K$718,MATCH($B8,participants!$A$1:$A$718,0),1)</f>
        <v>#VALUE!</v>
      </c>
      <c r="G8" s="113" t="e">
        <f aca="false">INDEX(participants #REF!:participants #REF!,MATCH($B8,participants!$A$1:$A$718,0),1)</f>
        <v>#VALUE!</v>
      </c>
      <c r="H8" s="113" t="e">
        <f aca="false">INDEX(samples!$I$2:$I$887,MATCH($D8,#REF!,0),1)</f>
        <v>#VALUE!</v>
      </c>
      <c r="I8" s="114" t="e">
        <f aca="false">INDEX(samples!$C$2:$C$887,MATCH($D8,#REF!,0),1)</f>
        <v>#VALUE!</v>
      </c>
      <c r="J8" s="0" t="s">
        <v>511</v>
      </c>
      <c r="K8" s="0" t="s">
        <v>558</v>
      </c>
      <c r="N8" s="0" t="s">
        <v>511</v>
      </c>
      <c r="O8" s="0" t="s">
        <v>511</v>
      </c>
      <c r="P8" s="0" t="s">
        <v>5863</v>
      </c>
      <c r="Q8" s="0" t="s">
        <v>5880</v>
      </c>
      <c r="AF8" s="10" t="s">
        <v>5881</v>
      </c>
      <c r="AG8" s="118"/>
    </row>
    <row r="9" customFormat="false" ht="13.8" hidden="false" customHeight="false" outlineLevel="0" collapsed="false">
      <c r="A9" s="37" t="s">
        <v>5882</v>
      </c>
      <c r="B9" s="113" t="e">
        <f aca="false">INDEX(#REF!,MATCH($A9, #REF!,0),1)</f>
        <v>#VALUE!</v>
      </c>
      <c r="C9" s="113" t="e">
        <f aca="false">INDEX(#REF!,MATCH($A9, #REF!,0),1)</f>
        <v>#VALUE!</v>
      </c>
      <c r="D9" s="113" t="e">
        <f aca="false">INDEX(#REF!,MATCH($A9, #REF!,0),1)</f>
        <v>#VALUE!</v>
      </c>
      <c r="E9" s="113" t="e">
        <f aca="false">INDEX(#REF!,MATCH($A9, #REF!,0),1)</f>
        <v>#VALUE!</v>
      </c>
      <c r="F9" s="113" t="e">
        <f aca="false">INDEX(participants!$K$1:$K$718,MATCH($B9,participants!$A$1:$A$718,0),1)</f>
        <v>#VALUE!</v>
      </c>
      <c r="G9" s="113" t="e">
        <f aca="false">INDEX(participants #REF!:participants #REF!,MATCH($B9,participants!$A$1:$A$718,0),1)</f>
        <v>#VALUE!</v>
      </c>
      <c r="H9" s="113" t="e">
        <f aca="false">INDEX(samples!$I$2:$I$887,MATCH($D9,#REF!,0),1)</f>
        <v>#VALUE!</v>
      </c>
      <c r="I9" s="114" t="e">
        <f aca="false">INDEX(samples!$C$2:$C$887,MATCH($D9,#REF!,0),1)</f>
        <v>#VALUE!</v>
      </c>
      <c r="AF9" s="10" t="s">
        <v>5883</v>
      </c>
      <c r="AG9" s="118" t="s">
        <v>526</v>
      </c>
    </row>
    <row r="10" customFormat="false" ht="13.8" hidden="false" customHeight="false" outlineLevel="0" collapsed="false">
      <c r="A10" s="37" t="s">
        <v>5884</v>
      </c>
      <c r="B10" s="113" t="e">
        <f aca="false">INDEX(#REF!,MATCH($A10, #REF!,0),1)</f>
        <v>#VALUE!</v>
      </c>
      <c r="C10" s="113" t="e">
        <f aca="false">INDEX(#REF!,MATCH($A10, #REF!,0),1)</f>
        <v>#VALUE!</v>
      </c>
      <c r="D10" s="113" t="e">
        <f aca="false">INDEX(#REF!,MATCH($A10, #REF!,0),1)</f>
        <v>#VALUE!</v>
      </c>
      <c r="E10" s="113" t="e">
        <f aca="false">INDEX(#REF!,MATCH($A10, #REF!,0),1)</f>
        <v>#VALUE!</v>
      </c>
      <c r="F10" s="113" t="e">
        <f aca="false">INDEX(participants!$K$1:$K$718,MATCH($B10,participants!$A$1:$A$718,0),1)</f>
        <v>#VALUE!</v>
      </c>
      <c r="G10" s="113" t="e">
        <f aca="false">INDEX(participants #REF!:participants #REF!,MATCH($B10,participants!$A$1:$A$718,0),1)</f>
        <v>#VALUE!</v>
      </c>
      <c r="H10" s="113" t="e">
        <f aca="false">INDEX(samples!$I$2:$I$887,MATCH($D10,#REF!,0),1)</f>
        <v>#VALUE!</v>
      </c>
      <c r="I10" s="114" t="e">
        <f aca="false">INDEX(samples!$C$2:$C$887,MATCH($D10,#REF!,0),1)</f>
        <v>#VALUE!</v>
      </c>
      <c r="J10" s="0" t="s">
        <v>511</v>
      </c>
      <c r="N10" s="0" t="s">
        <v>511</v>
      </c>
      <c r="O10" s="0" t="s">
        <v>558</v>
      </c>
      <c r="P10" s="0" t="s">
        <v>5863</v>
      </c>
      <c r="AF10" s="10" t="s">
        <v>5885</v>
      </c>
      <c r="AG10" s="118"/>
    </row>
    <row r="11" customFormat="false" ht="13.8" hidden="false" customHeight="false" outlineLevel="0" collapsed="false">
      <c r="A11" s="37" t="s">
        <v>5886</v>
      </c>
      <c r="B11" s="113" t="e">
        <f aca="false">INDEX(#REF!,MATCH($A11, #REF!,0),1)</f>
        <v>#VALUE!</v>
      </c>
      <c r="C11" s="113" t="e">
        <f aca="false">INDEX(#REF!,MATCH($A11, #REF!,0),1)</f>
        <v>#VALUE!</v>
      </c>
      <c r="D11" s="113" t="e">
        <f aca="false">INDEX(#REF!,MATCH($A11, #REF!,0),1)</f>
        <v>#VALUE!</v>
      </c>
      <c r="E11" s="113" t="e">
        <f aca="false">INDEX(#REF!,MATCH($A11, #REF!,0),1)</f>
        <v>#VALUE!</v>
      </c>
      <c r="F11" s="113" t="e">
        <f aca="false">INDEX(participants!$K$1:$K$718,MATCH($B11,participants!$A$1:$A$718,0),1)</f>
        <v>#VALUE!</v>
      </c>
      <c r="G11" s="113" t="e">
        <f aca="false">INDEX(participants #REF!:participants #REF!,MATCH($B11,participants!$A$1:$A$718,0),1)</f>
        <v>#VALUE!</v>
      </c>
      <c r="H11" s="113" t="e">
        <f aca="false">INDEX(samples!$I$2:$I$887,MATCH($D11,#REF!,0),1)</f>
        <v>#VALUE!</v>
      </c>
      <c r="I11" s="114" t="e">
        <f aca="false">INDEX(samples!$C$2:$C$887,MATCH($D11,#REF!,0),1)</f>
        <v>#VALUE!</v>
      </c>
      <c r="J11" s="0" t="s">
        <v>511</v>
      </c>
      <c r="K11" s="0" t="s">
        <v>558</v>
      </c>
      <c r="N11" s="0" t="s">
        <v>511</v>
      </c>
      <c r="O11" s="0" t="s">
        <v>558</v>
      </c>
      <c r="P11" s="0" t="s">
        <v>5863</v>
      </c>
      <c r="AF11" s="10" t="s">
        <v>5887</v>
      </c>
      <c r="AG11" s="118"/>
    </row>
    <row r="12" customFormat="false" ht="13.8" hidden="false" customHeight="false" outlineLevel="0" collapsed="false">
      <c r="A12" s="37" t="s">
        <v>5888</v>
      </c>
      <c r="B12" s="113" t="e">
        <f aca="false">INDEX(#REF!,MATCH($A12, #REF!,0),1)</f>
        <v>#VALUE!</v>
      </c>
      <c r="C12" s="113" t="e">
        <f aca="false">INDEX(#REF!,MATCH($A12, #REF!,0),1)</f>
        <v>#VALUE!</v>
      </c>
      <c r="D12" s="113" t="e">
        <f aca="false">INDEX(#REF!,MATCH($A12, #REF!,0),1)</f>
        <v>#VALUE!</v>
      </c>
      <c r="E12" s="113" t="e">
        <f aca="false">INDEX(#REF!,MATCH($A12, #REF!,0),1)</f>
        <v>#VALUE!</v>
      </c>
      <c r="F12" s="113" t="e">
        <f aca="false">INDEX(participants!$K$1:$K$718,MATCH($B12,participants!$A$1:$A$718,0),1)</f>
        <v>#VALUE!</v>
      </c>
      <c r="G12" s="113" t="e">
        <f aca="false">INDEX(participants #REF!:participants #REF!,MATCH($B12,participants!$A$1:$A$718,0),1)</f>
        <v>#VALUE!</v>
      </c>
      <c r="H12" s="113" t="e">
        <f aca="false">INDEX(samples!$I$2:$I$887,MATCH($D12,#REF!,0),1)</f>
        <v>#VALUE!</v>
      </c>
      <c r="I12" s="114" t="e">
        <f aca="false">INDEX(samples!$C$2:$C$887,MATCH($D12,#REF!,0),1)</f>
        <v>#VALUE!</v>
      </c>
      <c r="J12" s="0" t="s">
        <v>511</v>
      </c>
      <c r="K12" s="0" t="s">
        <v>558</v>
      </c>
      <c r="N12" s="0" t="s">
        <v>558</v>
      </c>
      <c r="O12" s="0" t="s">
        <v>558</v>
      </c>
      <c r="X12" s="0" t="s">
        <v>5889</v>
      </c>
      <c r="AF12" s="10" t="s">
        <v>5890</v>
      </c>
      <c r="AG12" s="118"/>
    </row>
    <row r="13" customFormat="false" ht="13.8" hidden="false" customHeight="false" outlineLevel="0" collapsed="false">
      <c r="A13" s="37" t="s">
        <v>5891</v>
      </c>
      <c r="B13" s="113" t="e">
        <f aca="false">INDEX(#REF!,MATCH($A13, #REF!,0),1)</f>
        <v>#VALUE!</v>
      </c>
      <c r="C13" s="113" t="e">
        <f aca="false">INDEX(#REF!,MATCH($A13, #REF!,0),1)</f>
        <v>#VALUE!</v>
      </c>
      <c r="D13" s="113" t="e">
        <f aca="false">INDEX(#REF!,MATCH($A13, #REF!,0),1)</f>
        <v>#VALUE!</v>
      </c>
      <c r="E13" s="113" t="e">
        <f aca="false">INDEX(#REF!,MATCH($A13, #REF!,0),1)</f>
        <v>#VALUE!</v>
      </c>
      <c r="F13" s="113" t="e">
        <f aca="false">INDEX(participants!$K$1:$K$718,MATCH($B13,participants!$A$1:$A$718,0),1)</f>
        <v>#VALUE!</v>
      </c>
      <c r="G13" s="113" t="e">
        <f aca="false">INDEX(participants #REF!:participants #REF!,MATCH($B13,participants!$A$1:$A$718,0),1)</f>
        <v>#VALUE!</v>
      </c>
      <c r="H13" s="113" t="e">
        <f aca="false">INDEX(samples!$I$2:$I$887,MATCH($D13,#REF!,0),1)</f>
        <v>#VALUE!</v>
      </c>
      <c r="I13" s="114" t="e">
        <f aca="false">INDEX(samples!$C$2:$C$887,MATCH($D13,#REF!,0),1)</f>
        <v>#VALUE!</v>
      </c>
      <c r="J13" s="0" t="s">
        <v>511</v>
      </c>
      <c r="K13" s="0" t="s">
        <v>558</v>
      </c>
      <c r="N13" s="0" t="s">
        <v>558</v>
      </c>
      <c r="O13" s="0" t="s">
        <v>558</v>
      </c>
      <c r="T13" s="0" t="s">
        <v>558</v>
      </c>
      <c r="AF13" s="10" t="s">
        <v>5892</v>
      </c>
      <c r="AG13" s="118"/>
    </row>
    <row r="14" customFormat="false" ht="13.8" hidden="false" customHeight="false" outlineLevel="0" collapsed="false">
      <c r="A14" s="37" t="s">
        <v>5893</v>
      </c>
      <c r="B14" s="113" t="e">
        <f aca="false">INDEX(#REF!,MATCH($A14, #REF!,0),1)</f>
        <v>#VALUE!</v>
      </c>
      <c r="C14" s="113" t="e">
        <f aca="false">INDEX(#REF!,MATCH($A14, #REF!,0),1)</f>
        <v>#VALUE!</v>
      </c>
      <c r="D14" s="113" t="e">
        <f aca="false">INDEX(#REF!,MATCH($A14, #REF!,0),1)</f>
        <v>#VALUE!</v>
      </c>
      <c r="E14" s="113" t="e">
        <f aca="false">INDEX(#REF!,MATCH($A14, #REF!,0),1)</f>
        <v>#VALUE!</v>
      </c>
      <c r="F14" s="113" t="e">
        <f aca="false">INDEX(participants!$K$1:$K$718,MATCH($B14,participants!$A$1:$A$718,0),1)</f>
        <v>#VALUE!</v>
      </c>
      <c r="G14" s="113" t="e">
        <f aca="false">INDEX(participants #REF!:participants #REF!,MATCH($B14,participants!$A$1:$A$718,0),1)</f>
        <v>#VALUE!</v>
      </c>
      <c r="H14" s="113" t="e">
        <f aca="false">INDEX(samples!$I$2:$I$887,MATCH($D14,#REF!,0),1)</f>
        <v>#VALUE!</v>
      </c>
      <c r="I14" s="114" t="e">
        <f aca="false">INDEX(samples!$C$2:$C$887,MATCH($D14,#REF!,0),1)</f>
        <v>#VALUE!</v>
      </c>
      <c r="J14" s="0" t="s">
        <v>511</v>
      </c>
      <c r="K14" s="0" t="s">
        <v>558</v>
      </c>
      <c r="N14" s="0" t="s">
        <v>511</v>
      </c>
      <c r="O14" s="0" t="s">
        <v>511</v>
      </c>
      <c r="P14" s="0" t="s">
        <v>5863</v>
      </c>
      <c r="Q14" s="0" t="s">
        <v>5894</v>
      </c>
      <c r="T14" s="0" t="s">
        <v>558</v>
      </c>
      <c r="AF14" s="10" t="s">
        <v>5895</v>
      </c>
      <c r="AG14" s="118"/>
    </row>
    <row r="15" customFormat="false" ht="13.8" hidden="false" customHeight="false" outlineLevel="0" collapsed="false">
      <c r="A15" s="37" t="s">
        <v>5896</v>
      </c>
      <c r="B15" s="113" t="e">
        <f aca="false">INDEX(#REF!,MATCH($A15, #REF!,0),1)</f>
        <v>#VALUE!</v>
      </c>
      <c r="C15" s="113" t="e">
        <f aca="false">INDEX(#REF!,MATCH($A15, #REF!,0),1)</f>
        <v>#VALUE!</v>
      </c>
      <c r="D15" s="113" t="e">
        <f aca="false">INDEX(#REF!,MATCH($A15, #REF!,0),1)</f>
        <v>#VALUE!</v>
      </c>
      <c r="E15" s="113" t="e">
        <f aca="false">INDEX(#REF!,MATCH($A15, #REF!,0),1)</f>
        <v>#VALUE!</v>
      </c>
      <c r="F15" s="113" t="e">
        <f aca="false">INDEX(participants!$K$1:$K$718,MATCH($B15,participants!$A$1:$A$718,0),1)</f>
        <v>#VALUE!</v>
      </c>
      <c r="G15" s="113" t="e">
        <f aca="false">INDEX(participants #REF!:participants #REF!,MATCH($B15,participants!$A$1:$A$718,0),1)</f>
        <v>#VALUE!</v>
      </c>
      <c r="H15" s="113" t="e">
        <f aca="false">INDEX(samples!$I$2:$I$887,MATCH($D15,#REF!,0),1)</f>
        <v>#VALUE!</v>
      </c>
      <c r="I15" s="114" t="e">
        <f aca="false">INDEX(samples!$C$2:$C$887,MATCH($D15,#REF!,0),1)</f>
        <v>#VALUE!</v>
      </c>
      <c r="J15" s="0" t="s">
        <v>511</v>
      </c>
      <c r="K15" s="0" t="s">
        <v>558</v>
      </c>
      <c r="T15" s="0" t="s">
        <v>511</v>
      </c>
      <c r="U15" s="0" t="s">
        <v>5414</v>
      </c>
      <c r="V15" s="31" t="n">
        <v>43159</v>
      </c>
      <c r="W15" s="31" t="n">
        <v>43159</v>
      </c>
      <c r="X15" s="0" t="s">
        <v>5897</v>
      </c>
      <c r="AF15" s="10" t="s">
        <v>5898</v>
      </c>
      <c r="AG15" s="118"/>
    </row>
    <row r="16" customFormat="false" ht="13.8" hidden="false" customHeight="false" outlineLevel="0" collapsed="false">
      <c r="A16" s="37" t="s">
        <v>5899</v>
      </c>
      <c r="B16" s="113" t="e">
        <f aca="false">INDEX(#REF!,MATCH($A16, #REF!,0),1)</f>
        <v>#VALUE!</v>
      </c>
      <c r="C16" s="113" t="e">
        <f aca="false">INDEX(#REF!,MATCH($A16, #REF!,0),1)</f>
        <v>#VALUE!</v>
      </c>
      <c r="D16" s="113" t="e">
        <f aca="false">INDEX(#REF!,MATCH($A16, #REF!,0),1)</f>
        <v>#VALUE!</v>
      </c>
      <c r="E16" s="113" t="e">
        <f aca="false">INDEX(#REF!,MATCH($A16, #REF!,0),1)</f>
        <v>#VALUE!</v>
      </c>
      <c r="F16" s="113" t="e">
        <f aca="false">INDEX(participants!$K$1:$K$718,MATCH($B16,participants!$A$1:$A$718,0),1)</f>
        <v>#VALUE!</v>
      </c>
      <c r="G16" s="113" t="e">
        <f aca="false">INDEX(participants #REF!:participants #REF!,MATCH($B16,participants!$A$1:$A$718,0),1)</f>
        <v>#VALUE!</v>
      </c>
      <c r="H16" s="113" t="e">
        <f aca="false">INDEX(samples!$I$2:$I$887,MATCH($D16,#REF!,0),1)</f>
        <v>#VALUE!</v>
      </c>
      <c r="I16" s="114" t="e">
        <f aca="false">INDEX(samples!$C$2:$C$887,MATCH($D16,#REF!,0),1)</f>
        <v>#VALUE!</v>
      </c>
      <c r="J16" s="0" t="s">
        <v>558</v>
      </c>
      <c r="K16" s="0" t="s">
        <v>558</v>
      </c>
      <c r="N16" s="0" t="s">
        <v>511</v>
      </c>
      <c r="O16" s="0" t="s">
        <v>511</v>
      </c>
      <c r="P16" s="0" t="s">
        <v>5863</v>
      </c>
      <c r="Q16" s="0" t="s">
        <v>5900</v>
      </c>
      <c r="AF16" s="10" t="s">
        <v>5901</v>
      </c>
      <c r="AG16" s="118"/>
    </row>
    <row r="17" customFormat="false" ht="13.8" hidden="false" customHeight="false" outlineLevel="0" collapsed="false">
      <c r="A17" s="37" t="s">
        <v>5902</v>
      </c>
      <c r="B17" s="113" t="e">
        <f aca="false">INDEX(#REF!,MATCH($A17, #REF!,0),1)</f>
        <v>#VALUE!</v>
      </c>
      <c r="C17" s="113" t="e">
        <f aca="false">INDEX(#REF!,MATCH($A17, #REF!,0),1)</f>
        <v>#VALUE!</v>
      </c>
      <c r="D17" s="113" t="e">
        <f aca="false">INDEX(#REF!,MATCH($A17, #REF!,0),1)</f>
        <v>#VALUE!</v>
      </c>
      <c r="E17" s="113" t="e">
        <f aca="false">INDEX(#REF!,MATCH($A17, #REF!,0),1)</f>
        <v>#VALUE!</v>
      </c>
      <c r="F17" s="113" t="e">
        <f aca="false">INDEX(participants!$K$1:$K$718,MATCH($B17,participants!$A$1:$A$718,0),1)</f>
        <v>#VALUE!</v>
      </c>
      <c r="G17" s="113" t="e">
        <f aca="false">INDEX(participants #REF!:participants #REF!,MATCH($B17,participants!$A$1:$A$718,0),1)</f>
        <v>#VALUE!</v>
      </c>
      <c r="H17" s="113" t="e">
        <f aca="false">INDEX(samples!$I$2:$I$887,MATCH($D17,#REF!,0),1)</f>
        <v>#VALUE!</v>
      </c>
      <c r="I17" s="114" t="e">
        <f aca="false">INDEX(samples!$C$2:$C$887,MATCH($D17,#REF!,0),1)</f>
        <v>#VALUE!</v>
      </c>
      <c r="P17" s="0" t="s">
        <v>5863</v>
      </c>
      <c r="Q17" s="0" t="s">
        <v>5900</v>
      </c>
      <c r="AF17" s="10" t="s">
        <v>5903</v>
      </c>
      <c r="AG17" s="118"/>
    </row>
    <row r="18" customFormat="false" ht="13.8" hidden="false" customHeight="false" outlineLevel="0" collapsed="false">
      <c r="A18" s="37" t="s">
        <v>5904</v>
      </c>
      <c r="B18" s="113" t="e">
        <f aca="false">INDEX(#REF!,MATCH($A18, #REF!,0),1)</f>
        <v>#VALUE!</v>
      </c>
      <c r="C18" s="113" t="e">
        <f aca="false">INDEX(#REF!,MATCH($A18, #REF!,0),1)</f>
        <v>#VALUE!</v>
      </c>
      <c r="D18" s="113" t="e">
        <f aca="false">INDEX(#REF!,MATCH($A18, #REF!,0),1)</f>
        <v>#VALUE!</v>
      </c>
      <c r="E18" s="113" t="e">
        <f aca="false">INDEX(#REF!,MATCH($A18, #REF!,0),1)</f>
        <v>#VALUE!</v>
      </c>
      <c r="F18" s="113" t="e">
        <f aca="false">INDEX(participants!$K$1:$K$718,MATCH($B18,participants!$A$1:$A$718,0),1)</f>
        <v>#VALUE!</v>
      </c>
      <c r="G18" s="113" t="e">
        <f aca="false">INDEX(participants #REF!:participants #REF!,MATCH($B18,participants!$A$1:$A$718,0),1)</f>
        <v>#VALUE!</v>
      </c>
      <c r="H18" s="113" t="e">
        <f aca="false">INDEX(samples!$I$2:$I$887,MATCH($D18,#REF!,0),1)</f>
        <v>#VALUE!</v>
      </c>
      <c r="I18" s="114" t="e">
        <f aca="false">INDEX(samples!$C$2:$C$887,MATCH($D18,#REF!,0),1)</f>
        <v>#VALUE!</v>
      </c>
      <c r="P18" s="0" t="s">
        <v>5863</v>
      </c>
      <c r="Q18" s="0" t="s">
        <v>5905</v>
      </c>
      <c r="AF18" s="10" t="s">
        <v>5906</v>
      </c>
      <c r="AG18" s="118"/>
    </row>
    <row r="19" customFormat="false" ht="13.8" hidden="false" customHeight="false" outlineLevel="0" collapsed="false">
      <c r="A19" s="37" t="s">
        <v>5907</v>
      </c>
      <c r="B19" s="113" t="e">
        <f aca="false">INDEX(#REF!,MATCH($A19, #REF!,0),1)</f>
        <v>#VALUE!</v>
      </c>
      <c r="C19" s="113" t="e">
        <f aca="false">INDEX(#REF!,MATCH($A19, #REF!,0),1)</f>
        <v>#VALUE!</v>
      </c>
      <c r="D19" s="113" t="e">
        <f aca="false">INDEX(#REF!,MATCH($A19, #REF!,0),1)</f>
        <v>#VALUE!</v>
      </c>
      <c r="E19" s="113" t="e">
        <f aca="false">INDEX(#REF!,MATCH($A19, #REF!,0),1)</f>
        <v>#VALUE!</v>
      </c>
      <c r="F19" s="113" t="e">
        <f aca="false">INDEX(participants!$K$1:$K$718,MATCH($B19,participants!$A$1:$A$718,0),1)</f>
        <v>#VALUE!</v>
      </c>
      <c r="G19" s="113" t="e">
        <f aca="false">INDEX(participants #REF!:participants #REF!,MATCH($B19,participants!$A$1:$A$718,0),1)</f>
        <v>#VALUE!</v>
      </c>
      <c r="H19" s="113" t="e">
        <f aca="false">INDEX(samples!$I$2:$I$887,MATCH($D19,#REF!,0),1)</f>
        <v>#VALUE!</v>
      </c>
      <c r="I19" s="114" t="e">
        <f aca="false">INDEX(samples!$C$2:$C$887,MATCH($D19,#REF!,0),1)</f>
        <v>#VALUE!</v>
      </c>
      <c r="AF19" s="10" t="s">
        <v>5908</v>
      </c>
      <c r="AG19" s="118"/>
    </row>
    <row r="20" customFormat="false" ht="13.8" hidden="false" customHeight="false" outlineLevel="0" collapsed="false">
      <c r="A20" s="37" t="s">
        <v>5909</v>
      </c>
      <c r="B20" s="113" t="e">
        <f aca="false">INDEX(#REF!,MATCH($A20, #REF!,0),1)</f>
        <v>#VALUE!</v>
      </c>
      <c r="C20" s="113" t="e">
        <f aca="false">INDEX(#REF!,MATCH($A20, #REF!,0),1)</f>
        <v>#VALUE!</v>
      </c>
      <c r="D20" s="113" t="e">
        <f aca="false">INDEX(#REF!,MATCH($A20, #REF!,0),1)</f>
        <v>#VALUE!</v>
      </c>
      <c r="E20" s="113" t="e">
        <f aca="false">INDEX(#REF!,MATCH($A20, #REF!,0),1)</f>
        <v>#VALUE!</v>
      </c>
      <c r="F20" s="113" t="e">
        <f aca="false">INDEX(participants!$K$1:$K$718,MATCH($B20,participants!$A$1:$A$718,0),1)</f>
        <v>#VALUE!</v>
      </c>
      <c r="G20" s="113" t="e">
        <f aca="false">INDEX(participants #REF!:participants #REF!,MATCH($B20,participants!$A$1:$A$718,0),1)</f>
        <v>#VALUE!</v>
      </c>
      <c r="H20" s="113" t="e">
        <f aca="false">INDEX(samples!$I$2:$I$887,MATCH($D20,#REF!,0),1)</f>
        <v>#VALUE!</v>
      </c>
      <c r="I20" s="114" t="e">
        <f aca="false">INDEX(samples!$C$2:$C$887,MATCH($D20,#REF!,0),1)</f>
        <v>#VALUE!</v>
      </c>
      <c r="J20" s="0" t="s">
        <v>511</v>
      </c>
      <c r="K20" s="0" t="s">
        <v>558</v>
      </c>
      <c r="N20" s="0" t="s">
        <v>558</v>
      </c>
      <c r="O20" s="0" t="s">
        <v>558</v>
      </c>
      <c r="AF20" s="10" t="s">
        <v>5910</v>
      </c>
      <c r="AG20" s="118"/>
    </row>
    <row r="21" customFormat="false" ht="13.8" hidden="false" customHeight="false" outlineLevel="0" collapsed="false">
      <c r="A21" s="37" t="s">
        <v>5911</v>
      </c>
      <c r="B21" s="113" t="e">
        <f aca="false">INDEX(#REF!,MATCH($A21, #REF!,0),1)</f>
        <v>#VALUE!</v>
      </c>
      <c r="C21" s="113" t="e">
        <f aca="false">INDEX(#REF!,MATCH($A21, #REF!,0),1)</f>
        <v>#VALUE!</v>
      </c>
      <c r="D21" s="113" t="e">
        <f aca="false">INDEX(#REF!,MATCH($A21, #REF!,0),1)</f>
        <v>#VALUE!</v>
      </c>
      <c r="E21" s="113" t="e">
        <f aca="false">INDEX(#REF!,MATCH($A21, #REF!,0),1)</f>
        <v>#VALUE!</v>
      </c>
      <c r="F21" s="113" t="e">
        <f aca="false">INDEX(participants!$K$1:$K$718,MATCH($B21,participants!$A$1:$A$718,0),1)</f>
        <v>#VALUE!</v>
      </c>
      <c r="G21" s="113" t="e">
        <f aca="false">INDEX(participants #REF!:participants #REF!,MATCH($B21,participants!$A$1:$A$718,0),1)</f>
        <v>#VALUE!</v>
      </c>
      <c r="H21" s="113" t="e">
        <f aca="false">INDEX(samples!$I$2:$I$887,MATCH($D21,#REF!,0),1)</f>
        <v>#VALUE!</v>
      </c>
      <c r="I21" s="114" t="e">
        <f aca="false">INDEX(samples!$C$2:$C$887,MATCH($D21,#REF!,0),1)</f>
        <v>#VALUE!</v>
      </c>
      <c r="J21" s="0" t="s">
        <v>511</v>
      </c>
      <c r="K21" s="0" t="s">
        <v>558</v>
      </c>
      <c r="N21" s="0" t="s">
        <v>511</v>
      </c>
      <c r="O21" s="0" t="s">
        <v>511</v>
      </c>
      <c r="P21" s="0" t="s">
        <v>5863</v>
      </c>
      <c r="Q21" s="0" t="s">
        <v>5900</v>
      </c>
      <c r="T21" s="0" t="s">
        <v>511</v>
      </c>
      <c r="U21" s="0" t="s">
        <v>5414</v>
      </c>
      <c r="V21" s="31" t="n">
        <v>43442</v>
      </c>
      <c r="W21" s="31" t="n">
        <v>43442</v>
      </c>
      <c r="X21" s="121" t="s">
        <v>5912</v>
      </c>
      <c r="AF21" s="10" t="s">
        <v>5913</v>
      </c>
      <c r="AG21" s="118"/>
    </row>
    <row r="22" customFormat="false" ht="13.8" hidden="false" customHeight="false" outlineLevel="0" collapsed="false">
      <c r="A22" s="37" t="s">
        <v>5914</v>
      </c>
      <c r="B22" s="113" t="e">
        <f aca="false">INDEX(#REF!,MATCH($A22, #REF!,0),1)</f>
        <v>#VALUE!</v>
      </c>
      <c r="C22" s="113" t="e">
        <f aca="false">INDEX(#REF!,MATCH($A22, #REF!,0),1)</f>
        <v>#VALUE!</v>
      </c>
      <c r="D22" s="113" t="e">
        <f aca="false">INDEX(#REF!,MATCH($A22, #REF!,0),1)</f>
        <v>#VALUE!</v>
      </c>
      <c r="E22" s="113" t="e">
        <f aca="false">INDEX(#REF!,MATCH($A22, #REF!,0),1)</f>
        <v>#VALUE!</v>
      </c>
      <c r="F22" s="113" t="e">
        <f aca="false">INDEX(participants!$K$1:$K$718,MATCH($B22,participants!$A$1:$A$718,0),1)</f>
        <v>#VALUE!</v>
      </c>
      <c r="G22" s="113" t="e">
        <f aca="false">INDEX(participants #REF!:participants #REF!,MATCH($B22,participants!$A$1:$A$718,0),1)</f>
        <v>#VALUE!</v>
      </c>
      <c r="H22" s="113" t="e">
        <f aca="false">INDEX(samples!$I$2:$I$887,MATCH($D22,#REF!,0),1)</f>
        <v>#VALUE!</v>
      </c>
      <c r="I22" s="114" t="e">
        <f aca="false">INDEX(samples!$C$2:$C$887,MATCH($D22,#REF!,0),1)</f>
        <v>#VALUE!</v>
      </c>
      <c r="N22" s="0" t="s">
        <v>511</v>
      </c>
      <c r="O22" s="0" t="s">
        <v>511</v>
      </c>
      <c r="P22" s="0" t="s">
        <v>5863</v>
      </c>
      <c r="Q22" s="0" t="s">
        <v>5867</v>
      </c>
      <c r="AF22" s="10" t="s">
        <v>5915</v>
      </c>
      <c r="AG22" s="118"/>
    </row>
    <row r="23" customFormat="false" ht="13.8" hidden="false" customHeight="false" outlineLevel="0" collapsed="false">
      <c r="A23" s="37" t="s">
        <v>5916</v>
      </c>
      <c r="B23" s="113" t="e">
        <f aca="false">INDEX(#REF!,MATCH($A23, #REF!,0),1)</f>
        <v>#VALUE!</v>
      </c>
      <c r="C23" s="113" t="e">
        <f aca="false">INDEX(#REF!,MATCH($A23, #REF!,0),1)</f>
        <v>#VALUE!</v>
      </c>
      <c r="D23" s="113" t="e">
        <f aca="false">INDEX(#REF!,MATCH($A23, #REF!,0),1)</f>
        <v>#VALUE!</v>
      </c>
      <c r="E23" s="113" t="e">
        <f aca="false">INDEX(#REF!,MATCH($A23, #REF!,0),1)</f>
        <v>#VALUE!</v>
      </c>
      <c r="F23" s="113" t="e">
        <f aca="false">INDEX(participants!$K$1:$K$718,MATCH($B23,participants!$A$1:$A$718,0),1)</f>
        <v>#VALUE!</v>
      </c>
      <c r="G23" s="113" t="e">
        <f aca="false">INDEX(participants #REF!:participants #REF!,MATCH($B23,participants!$A$1:$A$718,0),1)</f>
        <v>#VALUE!</v>
      </c>
      <c r="H23" s="113" t="e">
        <f aca="false">INDEX(samples!$I$2:$I$887,MATCH($D23,#REF!,0),1)</f>
        <v>#VALUE!</v>
      </c>
      <c r="I23" s="114" t="e">
        <f aca="false">INDEX(samples!$C$2:$C$887,MATCH($D23,#REF!,0),1)</f>
        <v>#VALUE!</v>
      </c>
      <c r="J23" s="0" t="s">
        <v>511</v>
      </c>
      <c r="K23" s="0" t="s">
        <v>558</v>
      </c>
      <c r="N23" s="0" t="s">
        <v>558</v>
      </c>
      <c r="O23" s="0" t="s">
        <v>558</v>
      </c>
      <c r="T23" s="0" t="s">
        <v>558</v>
      </c>
      <c r="AF23" s="10" t="s">
        <v>5917</v>
      </c>
      <c r="AG23" s="118"/>
    </row>
    <row r="24" customFormat="false" ht="13.8" hidden="false" customHeight="false" outlineLevel="0" collapsed="false">
      <c r="A24" s="37" t="s">
        <v>5918</v>
      </c>
      <c r="B24" s="113" t="e">
        <f aca="false">INDEX(#REF!,MATCH($A24, #REF!,0),1)</f>
        <v>#VALUE!</v>
      </c>
      <c r="C24" s="113" t="e">
        <f aca="false">INDEX(#REF!,MATCH($A24, #REF!,0),1)</f>
        <v>#VALUE!</v>
      </c>
      <c r="D24" s="113" t="e">
        <f aca="false">INDEX(#REF!,MATCH($A24, #REF!,0),1)</f>
        <v>#VALUE!</v>
      </c>
      <c r="E24" s="113" t="e">
        <f aca="false">INDEX(#REF!,MATCH($A24, #REF!,0),1)</f>
        <v>#VALUE!</v>
      </c>
      <c r="F24" s="113" t="e">
        <f aca="false">INDEX(participants!$K$1:$K$718,MATCH($B24,participants!$A$1:$A$718,0),1)</f>
        <v>#VALUE!</v>
      </c>
      <c r="G24" s="113" t="e">
        <f aca="false">INDEX(participants #REF!:participants #REF!,MATCH($B24,participants!$A$1:$A$718,0),1)</f>
        <v>#VALUE!</v>
      </c>
      <c r="H24" s="113" t="e">
        <f aca="false">INDEX(samples!$I$2:$I$887,MATCH($D24,#REF!,0),1)</f>
        <v>#VALUE!</v>
      </c>
      <c r="I24" s="114" t="e">
        <f aca="false">INDEX(samples!$C$2:$C$887,MATCH($D24,#REF!,0),1)</f>
        <v>#VALUE!</v>
      </c>
      <c r="T24" s="0" t="s">
        <v>558</v>
      </c>
      <c r="AF24" s="10" t="s">
        <v>5919</v>
      </c>
      <c r="AG24" s="118" t="s">
        <v>526</v>
      </c>
    </row>
    <row r="25" customFormat="false" ht="13.8" hidden="false" customHeight="false" outlineLevel="0" collapsed="false">
      <c r="A25" s="37" t="s">
        <v>5920</v>
      </c>
      <c r="B25" s="113" t="e">
        <f aca="false">INDEX(#REF!,MATCH($A25, #REF!,0),1)</f>
        <v>#VALUE!</v>
      </c>
      <c r="C25" s="113" t="e">
        <f aca="false">INDEX(#REF!,MATCH($A25, #REF!,0),1)</f>
        <v>#VALUE!</v>
      </c>
      <c r="D25" s="113" t="e">
        <f aca="false">INDEX(#REF!,MATCH($A25, #REF!,0),1)</f>
        <v>#VALUE!</v>
      </c>
      <c r="E25" s="113" t="e">
        <f aca="false">INDEX(#REF!,MATCH($A25, #REF!,0),1)</f>
        <v>#VALUE!</v>
      </c>
      <c r="F25" s="113" t="e">
        <f aca="false">INDEX(participants!$K$1:$K$718,MATCH($B25,participants!$A$1:$A$718,0),1)</f>
        <v>#VALUE!</v>
      </c>
      <c r="G25" s="113" t="e">
        <f aca="false">INDEX(participants #REF!:participants #REF!,MATCH($B25,participants!$A$1:$A$718,0),1)</f>
        <v>#VALUE!</v>
      </c>
      <c r="H25" s="113" t="e">
        <f aca="false">INDEX(samples!$I$2:$I$887,MATCH($D25,#REF!,0),1)</f>
        <v>#VALUE!</v>
      </c>
      <c r="I25" s="114" t="e">
        <f aca="false">INDEX(samples!$C$2:$C$887,MATCH($D25,#REF!,0),1)</f>
        <v>#VALUE!</v>
      </c>
      <c r="T25" s="0" t="s">
        <v>511</v>
      </c>
      <c r="U25" s="0" t="s">
        <v>5414</v>
      </c>
      <c r="V25" s="31" t="n">
        <v>43430</v>
      </c>
      <c r="W25" s="31" t="n">
        <v>43430</v>
      </c>
      <c r="X25" s="121" t="s">
        <v>5921</v>
      </c>
      <c r="AF25" s="10" t="s">
        <v>5922</v>
      </c>
      <c r="AG25" s="118" t="s">
        <v>526</v>
      </c>
    </row>
    <row r="26" customFormat="false" ht="13.8" hidden="false" customHeight="false" outlineLevel="0" collapsed="false">
      <c r="A26" s="37" t="s">
        <v>5923</v>
      </c>
      <c r="B26" s="113" t="e">
        <f aca="false">INDEX(#REF!,MATCH($A26, #REF!,0),1)</f>
        <v>#VALUE!</v>
      </c>
      <c r="C26" s="113" t="e">
        <f aca="false">INDEX(#REF!,MATCH($A26, #REF!,0),1)</f>
        <v>#VALUE!</v>
      </c>
      <c r="D26" s="113" t="e">
        <f aca="false">INDEX(#REF!,MATCH($A26, #REF!,0),1)</f>
        <v>#VALUE!</v>
      </c>
      <c r="E26" s="113" t="e">
        <f aca="false">INDEX(#REF!,MATCH($A26, #REF!,0),1)</f>
        <v>#VALUE!</v>
      </c>
      <c r="F26" s="113" t="e">
        <f aca="false">INDEX(participants!$K$1:$K$718,MATCH($B26,participants!$A$1:$A$718,0),1)</f>
        <v>#VALUE!</v>
      </c>
      <c r="G26" s="113" t="e">
        <f aca="false">INDEX(participants #REF!:participants #REF!,MATCH($B26,participants!$A$1:$A$718,0),1)</f>
        <v>#VALUE!</v>
      </c>
      <c r="H26" s="113" t="e">
        <f aca="false">INDEX(samples!$I$2:$I$887,MATCH($D26,#REF!,0),1)</f>
        <v>#VALUE!</v>
      </c>
      <c r="I26" s="114" t="e">
        <f aca="false">INDEX(samples!$C$2:$C$887,MATCH($D26,#REF!,0),1)</f>
        <v>#VALUE!</v>
      </c>
      <c r="AF26" s="10" t="s">
        <v>5924</v>
      </c>
      <c r="AG26" s="118"/>
    </row>
    <row r="27" customFormat="false" ht="13.8" hidden="false" customHeight="false" outlineLevel="0" collapsed="false">
      <c r="A27" s="37" t="s">
        <v>5925</v>
      </c>
      <c r="B27" s="113" t="e">
        <f aca="false">INDEX(#REF!,MATCH($A27, #REF!,0),1)</f>
        <v>#VALUE!</v>
      </c>
      <c r="C27" s="113" t="e">
        <f aca="false">INDEX(#REF!,MATCH($A27, #REF!,0),1)</f>
        <v>#VALUE!</v>
      </c>
      <c r="D27" s="113" t="e">
        <f aca="false">INDEX(#REF!,MATCH($A27, #REF!,0),1)</f>
        <v>#VALUE!</v>
      </c>
      <c r="E27" s="113" t="e">
        <f aca="false">INDEX(#REF!,MATCH($A27, #REF!,0),1)</f>
        <v>#VALUE!</v>
      </c>
      <c r="F27" s="113" t="e">
        <f aca="false">INDEX(participants!$K$1:$K$718,MATCH($B27,participants!$A$1:$A$718,0),1)</f>
        <v>#VALUE!</v>
      </c>
      <c r="G27" s="113" t="e">
        <f aca="false">INDEX(participants #REF!:participants #REF!,MATCH($B27,participants!$A$1:$A$718,0),1)</f>
        <v>#VALUE!</v>
      </c>
      <c r="H27" s="113" t="e">
        <f aca="false">INDEX(samples!$I$2:$I$887,MATCH($D27,#REF!,0),1)</f>
        <v>#VALUE!</v>
      </c>
      <c r="I27" s="114" t="e">
        <f aca="false">INDEX(samples!$C$2:$C$887,MATCH($D27,#REF!,0),1)</f>
        <v>#VALUE!</v>
      </c>
      <c r="AF27" s="10" t="s">
        <v>5926</v>
      </c>
      <c r="AG27" s="118"/>
    </row>
    <row r="28" customFormat="false" ht="13.8" hidden="false" customHeight="false" outlineLevel="0" collapsed="false">
      <c r="A28" s="37" t="s">
        <v>5927</v>
      </c>
      <c r="B28" s="113" t="e">
        <f aca="false">INDEX(#REF!,MATCH($A28, #REF!,0),1)</f>
        <v>#VALUE!</v>
      </c>
      <c r="C28" s="113" t="e">
        <f aca="false">INDEX(#REF!,MATCH($A28, #REF!,0),1)</f>
        <v>#VALUE!</v>
      </c>
      <c r="D28" s="113" t="e">
        <f aca="false">INDEX(#REF!,MATCH($A28, #REF!,0),1)</f>
        <v>#VALUE!</v>
      </c>
      <c r="E28" s="113" t="e">
        <f aca="false">INDEX(#REF!,MATCH($A28, #REF!,0),1)</f>
        <v>#VALUE!</v>
      </c>
      <c r="F28" s="113" t="e">
        <f aca="false">INDEX(participants!$K$1:$K$718,MATCH($B28,participants!$A$1:$A$718,0),1)</f>
        <v>#VALUE!</v>
      </c>
      <c r="G28" s="113" t="e">
        <f aca="false">INDEX(participants #REF!:participants #REF!,MATCH($B28,participants!$A$1:$A$718,0),1)</f>
        <v>#VALUE!</v>
      </c>
      <c r="H28" s="113" t="e">
        <f aca="false">INDEX(samples!$I$2:$I$887,MATCH($D28,#REF!,0),1)</f>
        <v>#VALUE!</v>
      </c>
      <c r="I28" s="114" t="e">
        <f aca="false">INDEX(samples!$C$2:$C$887,MATCH($D28,#REF!,0),1)</f>
        <v>#VALUE!</v>
      </c>
      <c r="J28" s="0" t="s">
        <v>511</v>
      </c>
      <c r="K28" s="0" t="s">
        <v>558</v>
      </c>
      <c r="N28" s="0" t="s">
        <v>511</v>
      </c>
      <c r="O28" s="0" t="s">
        <v>511</v>
      </c>
      <c r="P28" s="0" t="s">
        <v>5863</v>
      </c>
      <c r="Q28" s="0" t="s">
        <v>5877</v>
      </c>
      <c r="T28" s="0" t="s">
        <v>558</v>
      </c>
      <c r="Y28" s="0" t="n">
        <v>648</v>
      </c>
      <c r="Z28" s="119" t="n">
        <v>-0.212</v>
      </c>
      <c r="AF28" s="10" t="s">
        <v>5928</v>
      </c>
      <c r="AG28" s="118"/>
    </row>
    <row r="29" customFormat="false" ht="13.8" hidden="false" customHeight="false" outlineLevel="0" collapsed="false">
      <c r="A29" s="37" t="s">
        <v>5929</v>
      </c>
      <c r="B29" s="113" t="e">
        <f aca="false">INDEX(#REF!,MATCH($A29, #REF!,0),1)</f>
        <v>#VALUE!</v>
      </c>
      <c r="C29" s="113" t="e">
        <f aca="false">INDEX(#REF!,MATCH($A29, #REF!,0),1)</f>
        <v>#VALUE!</v>
      </c>
      <c r="D29" s="113" t="e">
        <f aca="false">INDEX(#REF!,MATCH($A29, #REF!,0),1)</f>
        <v>#VALUE!</v>
      </c>
      <c r="E29" s="113" t="e">
        <f aca="false">INDEX(#REF!,MATCH($A29, #REF!,0),1)</f>
        <v>#VALUE!</v>
      </c>
      <c r="F29" s="113" t="e">
        <f aca="false">INDEX(participants!$K$1:$K$718,MATCH($B29,participants!$A$1:$A$718,0),1)</f>
        <v>#VALUE!</v>
      </c>
      <c r="G29" s="113" t="e">
        <f aca="false">INDEX(participants #REF!:participants #REF!,MATCH($B29,participants!$A$1:$A$718,0),1)</f>
        <v>#VALUE!</v>
      </c>
      <c r="H29" s="113" t="e">
        <f aca="false">INDEX(samples!$I$2:$I$887,MATCH($D29,#REF!,0),1)</f>
        <v>#VALUE!</v>
      </c>
      <c r="I29" s="114" t="e">
        <f aca="false">INDEX(samples!$C$2:$C$887,MATCH($D29,#REF!,0),1)</f>
        <v>#VALUE!</v>
      </c>
      <c r="J29" s="0" t="s">
        <v>558</v>
      </c>
      <c r="K29" s="0" t="s">
        <v>558</v>
      </c>
      <c r="N29" s="0" t="s">
        <v>511</v>
      </c>
      <c r="O29" s="0" t="s">
        <v>511</v>
      </c>
      <c r="P29" s="0" t="s">
        <v>5863</v>
      </c>
      <c r="Q29" s="0" t="s">
        <v>5894</v>
      </c>
      <c r="T29" s="0" t="s">
        <v>558</v>
      </c>
      <c r="AF29" s="10" t="s">
        <v>5930</v>
      </c>
      <c r="AG29" s="118"/>
    </row>
    <row r="30" customFormat="false" ht="13.8" hidden="false" customHeight="false" outlineLevel="0" collapsed="false">
      <c r="A30" s="37" t="s">
        <v>5931</v>
      </c>
      <c r="B30" s="113" t="e">
        <f aca="false">INDEX(#REF!,MATCH($A30, #REF!,0),1)</f>
        <v>#VALUE!</v>
      </c>
      <c r="C30" s="113" t="e">
        <f aca="false">INDEX(#REF!,MATCH($A30, #REF!,0),1)</f>
        <v>#VALUE!</v>
      </c>
      <c r="D30" s="113" t="e">
        <f aca="false">INDEX(#REF!,MATCH($A30, #REF!,0),1)</f>
        <v>#VALUE!</v>
      </c>
      <c r="E30" s="113" t="e">
        <f aca="false">INDEX(#REF!,MATCH($A30, #REF!,0),1)</f>
        <v>#VALUE!</v>
      </c>
      <c r="F30" s="113" t="e">
        <f aca="false">INDEX(participants!$K$1:$K$718,MATCH($B30,participants!$A$1:$A$718,0),1)</f>
        <v>#VALUE!</v>
      </c>
      <c r="G30" s="113" t="e">
        <f aca="false">INDEX(participants #REF!:participants #REF!,MATCH($B30,participants!$A$1:$A$718,0),1)</f>
        <v>#VALUE!</v>
      </c>
      <c r="H30" s="113" t="e">
        <f aca="false">INDEX(samples!$I$2:$I$887,MATCH($D30,#REF!,0),1)</f>
        <v>#VALUE!</v>
      </c>
      <c r="I30" s="114" t="e">
        <f aca="false">INDEX(samples!$C$2:$C$887,MATCH($D30,#REF!,0),1)</f>
        <v>#VALUE!</v>
      </c>
      <c r="AE30" s="10"/>
      <c r="AF30" s="10" t="s">
        <v>4752</v>
      </c>
      <c r="AG30" s="118"/>
    </row>
    <row r="31" customFormat="false" ht="13.8" hidden="false" customHeight="false" outlineLevel="0" collapsed="false">
      <c r="A31" s="37" t="s">
        <v>5932</v>
      </c>
      <c r="B31" s="113" t="e">
        <f aca="false">INDEX(#REF!,MATCH($A31, #REF!,0),1)</f>
        <v>#VALUE!</v>
      </c>
      <c r="C31" s="113" t="e">
        <f aca="false">INDEX(#REF!,MATCH($A31, #REF!,0),1)</f>
        <v>#VALUE!</v>
      </c>
      <c r="D31" s="113" t="e">
        <f aca="false">INDEX(#REF!,MATCH($A31, #REF!,0),1)</f>
        <v>#VALUE!</v>
      </c>
      <c r="E31" s="113" t="e">
        <f aca="false">INDEX(#REF!,MATCH($A31, #REF!,0),1)</f>
        <v>#VALUE!</v>
      </c>
      <c r="F31" s="113" t="e">
        <f aca="false">INDEX(participants!$K$1:$K$718,MATCH($B31,participants!$A$1:$A$718,0),1)</f>
        <v>#VALUE!</v>
      </c>
      <c r="G31" s="113" t="e">
        <f aca="false">INDEX(participants #REF!:participants #REF!,MATCH($B31,participants!$A$1:$A$718,0),1)</f>
        <v>#VALUE!</v>
      </c>
      <c r="H31" s="113" t="e">
        <f aca="false">INDEX(samples!$I$2:$I$887,MATCH($D31,#REF!,0),1)</f>
        <v>#VALUE!</v>
      </c>
      <c r="I31" s="114" t="e">
        <f aca="false">INDEX(samples!$C$2:$C$887,MATCH($D31,#REF!,0),1)</f>
        <v>#VALUE!</v>
      </c>
      <c r="AF31" s="10" t="s">
        <v>5933</v>
      </c>
      <c r="AG31" s="118"/>
    </row>
    <row r="32" customFormat="false" ht="13.8" hidden="false" customHeight="false" outlineLevel="0" collapsed="false">
      <c r="A32" s="37" t="s">
        <v>5934</v>
      </c>
      <c r="B32" s="113" t="e">
        <f aca="false">INDEX(#REF!,MATCH($A32, #REF!,0),1)</f>
        <v>#VALUE!</v>
      </c>
      <c r="C32" s="113" t="e">
        <f aca="false">INDEX(#REF!,MATCH($A32, #REF!,0),1)</f>
        <v>#VALUE!</v>
      </c>
      <c r="D32" s="113" t="e">
        <f aca="false">INDEX(#REF!,MATCH($A32, #REF!,0),1)</f>
        <v>#VALUE!</v>
      </c>
      <c r="E32" s="113" t="e">
        <f aca="false">INDEX(#REF!,MATCH($A32, #REF!,0),1)</f>
        <v>#VALUE!</v>
      </c>
      <c r="F32" s="113" t="e">
        <f aca="false">INDEX(participants!$K$1:$K$718,MATCH($B32,participants!$A$1:$A$718,0),1)</f>
        <v>#VALUE!</v>
      </c>
      <c r="G32" s="113" t="e">
        <f aca="false">INDEX(participants #REF!:participants #REF!,MATCH($B32,participants!$A$1:$A$718,0),1)</f>
        <v>#VALUE!</v>
      </c>
      <c r="H32" s="113" t="e">
        <f aca="false">INDEX(samples!$I$2:$I$887,MATCH($D32,#REF!,0),1)</f>
        <v>#VALUE!</v>
      </c>
      <c r="I32" s="114" t="e">
        <f aca="false">INDEX(samples!$C$2:$C$887,MATCH($D32,#REF!,0),1)</f>
        <v>#VALUE!</v>
      </c>
      <c r="AF32" s="10" t="s">
        <v>5935</v>
      </c>
      <c r="AG32" s="118"/>
    </row>
    <row r="33" customFormat="false" ht="13.8" hidden="false" customHeight="false" outlineLevel="0" collapsed="false">
      <c r="A33" s="37" t="s">
        <v>5936</v>
      </c>
      <c r="B33" s="113" t="e">
        <f aca="false">INDEX(#REF!,MATCH($A33, #REF!,0),1)</f>
        <v>#VALUE!</v>
      </c>
      <c r="C33" s="113" t="e">
        <f aca="false">INDEX(#REF!,MATCH($A33, #REF!,0),1)</f>
        <v>#VALUE!</v>
      </c>
      <c r="D33" s="113" t="e">
        <f aca="false">INDEX(#REF!,MATCH($A33, #REF!,0),1)</f>
        <v>#VALUE!</v>
      </c>
      <c r="E33" s="113" t="e">
        <f aca="false">INDEX(#REF!,MATCH($A33, #REF!,0),1)</f>
        <v>#VALUE!</v>
      </c>
      <c r="F33" s="113" t="e">
        <f aca="false">INDEX(participants!$K$1:$K$718,MATCH($B33,participants!$A$1:$A$718,0),1)</f>
        <v>#VALUE!</v>
      </c>
      <c r="G33" s="113" t="e">
        <f aca="false">INDEX(participants #REF!:participants #REF!,MATCH($B33,participants!$A$1:$A$718,0),1)</f>
        <v>#VALUE!</v>
      </c>
      <c r="H33" s="113" t="e">
        <f aca="false">INDEX(samples!$I$2:$I$887,MATCH($D33,#REF!,0),1)</f>
        <v>#VALUE!</v>
      </c>
      <c r="I33" s="114" t="e">
        <f aca="false">INDEX(samples!$C$2:$C$887,MATCH($D33,#REF!,0),1)</f>
        <v>#VALUE!</v>
      </c>
      <c r="AF33" s="10" t="s">
        <v>5937</v>
      </c>
      <c r="AG33" s="118"/>
    </row>
    <row r="34" customFormat="false" ht="13.8" hidden="false" customHeight="false" outlineLevel="0" collapsed="false">
      <c r="A34" s="37" t="s">
        <v>5938</v>
      </c>
      <c r="B34" s="113" t="e">
        <f aca="false">INDEX(#REF!,MATCH($A34, #REF!,0),1)</f>
        <v>#VALUE!</v>
      </c>
      <c r="C34" s="113" t="e">
        <f aca="false">INDEX(#REF!,MATCH($A34, #REF!,0),1)</f>
        <v>#VALUE!</v>
      </c>
      <c r="D34" s="113" t="e">
        <f aca="false">INDEX(#REF!,MATCH($A34, #REF!,0),1)</f>
        <v>#VALUE!</v>
      </c>
      <c r="E34" s="113" t="e">
        <f aca="false">INDEX(#REF!,MATCH($A34, #REF!,0),1)</f>
        <v>#VALUE!</v>
      </c>
      <c r="F34" s="113" t="e">
        <f aca="false">INDEX(participants!$K$1:$K$718,MATCH($B34,participants!$A$1:$A$718,0),1)</f>
        <v>#VALUE!</v>
      </c>
      <c r="G34" s="113" t="e">
        <f aca="false">INDEX(participants #REF!:participants #REF!,MATCH($B34,participants!$A$1:$A$718,0),1)</f>
        <v>#VALUE!</v>
      </c>
      <c r="H34" s="113" t="e">
        <f aca="false">INDEX(samples!$I$2:$I$887,MATCH($D34,#REF!,0),1)</f>
        <v>#VALUE!</v>
      </c>
      <c r="I34" s="114" t="e">
        <f aca="false">INDEX(samples!$C$2:$C$887,MATCH($D34,#REF!,0),1)</f>
        <v>#VALUE!</v>
      </c>
      <c r="AF34" s="10" t="s">
        <v>5939</v>
      </c>
      <c r="AG34" s="118"/>
    </row>
    <row r="35" customFormat="false" ht="13.8" hidden="false" customHeight="false" outlineLevel="0" collapsed="false">
      <c r="A35" s="37" t="s">
        <v>5940</v>
      </c>
      <c r="B35" s="113" t="e">
        <f aca="false">INDEX(#REF!,MATCH($A35, #REF!,0),1)</f>
        <v>#VALUE!</v>
      </c>
      <c r="C35" s="113" t="e">
        <f aca="false">INDEX(#REF!,MATCH($A35, #REF!,0),1)</f>
        <v>#VALUE!</v>
      </c>
      <c r="D35" s="113" t="e">
        <f aca="false">INDEX(#REF!,MATCH($A35, #REF!,0),1)</f>
        <v>#VALUE!</v>
      </c>
      <c r="E35" s="113" t="e">
        <f aca="false">INDEX(#REF!,MATCH($A35, #REF!,0),1)</f>
        <v>#VALUE!</v>
      </c>
      <c r="F35" s="113" t="e">
        <f aca="false">INDEX(participants!$K$1:$K$718,MATCH($B35,participants!$A$1:$A$718,0),1)</f>
        <v>#VALUE!</v>
      </c>
      <c r="G35" s="113" t="e">
        <f aca="false">INDEX(participants #REF!:participants #REF!,MATCH($B35,participants!$A$1:$A$718,0),1)</f>
        <v>#VALUE!</v>
      </c>
      <c r="H35" s="113" t="e">
        <f aca="false">INDEX(samples!$I$2:$I$887,MATCH($D35,#REF!,0),1)</f>
        <v>#VALUE!</v>
      </c>
      <c r="I35" s="114" t="e">
        <f aca="false">INDEX(samples!$C$2:$C$887,MATCH($D35,#REF!,0),1)</f>
        <v>#VALUE!</v>
      </c>
      <c r="AF35" s="10" t="s">
        <v>5941</v>
      </c>
      <c r="AG35" s="118"/>
    </row>
    <row r="36" customFormat="false" ht="13.8" hidden="false" customHeight="false" outlineLevel="0" collapsed="false">
      <c r="A36" s="37" t="s">
        <v>5942</v>
      </c>
      <c r="B36" s="113" t="e">
        <f aca="false">INDEX(#REF!,MATCH($A36, #REF!,0),1)</f>
        <v>#VALUE!</v>
      </c>
      <c r="C36" s="113" t="e">
        <f aca="false">INDEX(#REF!,MATCH($A36, #REF!,0),1)</f>
        <v>#VALUE!</v>
      </c>
      <c r="D36" s="113" t="e">
        <f aca="false">INDEX(#REF!,MATCH($A36, #REF!,0),1)</f>
        <v>#VALUE!</v>
      </c>
      <c r="E36" s="113" t="e">
        <f aca="false">INDEX(#REF!,MATCH($A36, #REF!,0),1)</f>
        <v>#VALUE!</v>
      </c>
      <c r="F36" s="113" t="e">
        <f aca="false">INDEX(participants!$K$1:$K$718,MATCH($B36,participants!$A$1:$A$718,0),1)</f>
        <v>#VALUE!</v>
      </c>
      <c r="G36" s="113" t="e">
        <f aca="false">INDEX(participants #REF!:participants #REF!,MATCH($B36,participants!$A$1:$A$718,0),1)</f>
        <v>#VALUE!</v>
      </c>
      <c r="H36" s="113" t="e">
        <f aca="false">INDEX(samples!$I$2:$I$887,MATCH($D36,#REF!,0),1)</f>
        <v>#VALUE!</v>
      </c>
      <c r="I36" s="114" t="e">
        <f aca="false">INDEX(samples!$C$2:$C$887,MATCH($D36,#REF!,0),1)</f>
        <v>#VALUE!</v>
      </c>
      <c r="AF36" s="10" t="s">
        <v>5943</v>
      </c>
      <c r="AG36" s="118"/>
    </row>
    <row r="37" customFormat="false" ht="13.8" hidden="false" customHeight="false" outlineLevel="0" collapsed="false">
      <c r="A37" s="37" t="s">
        <v>5944</v>
      </c>
      <c r="B37" s="113" t="e">
        <f aca="false">INDEX(#REF!,MATCH($A37, #REF!,0),1)</f>
        <v>#VALUE!</v>
      </c>
      <c r="C37" s="113" t="e">
        <f aca="false">INDEX(#REF!,MATCH($A37, #REF!,0),1)</f>
        <v>#VALUE!</v>
      </c>
      <c r="D37" s="113" t="e">
        <f aca="false">INDEX(#REF!,MATCH($A37, #REF!,0),1)</f>
        <v>#VALUE!</v>
      </c>
      <c r="E37" s="113" t="e">
        <f aca="false">INDEX(#REF!,MATCH($A37, #REF!,0),1)</f>
        <v>#VALUE!</v>
      </c>
      <c r="F37" s="113" t="e">
        <f aca="false">INDEX(participants!$K$1:$K$718,MATCH($B37,participants!$A$1:$A$718,0),1)</f>
        <v>#VALUE!</v>
      </c>
      <c r="G37" s="113" t="e">
        <f aca="false">INDEX(participants #REF!:participants #REF!,MATCH($B37,participants!$A$1:$A$718,0),1)</f>
        <v>#VALUE!</v>
      </c>
      <c r="H37" s="113" t="e">
        <f aca="false">INDEX(samples!$I$2:$I$887,MATCH($D37,#REF!,0),1)</f>
        <v>#VALUE!</v>
      </c>
      <c r="I37" s="114" t="e">
        <f aca="false">INDEX(samples!$C$2:$C$887,MATCH($D37,#REF!,0),1)</f>
        <v>#VALUE!</v>
      </c>
      <c r="AF37" s="10" t="s">
        <v>5945</v>
      </c>
      <c r="AG37" s="118"/>
    </row>
    <row r="38" customFormat="false" ht="13.8" hidden="false" customHeight="false" outlineLevel="0" collapsed="false">
      <c r="A38" s="37" t="s">
        <v>5946</v>
      </c>
      <c r="B38" s="113" t="e">
        <f aca="false">INDEX(#REF!,MATCH($A38, #REF!,0),1)</f>
        <v>#VALUE!</v>
      </c>
      <c r="C38" s="113" t="e">
        <f aca="false">INDEX(#REF!,MATCH($A38, #REF!,0),1)</f>
        <v>#VALUE!</v>
      </c>
      <c r="D38" s="113" t="e">
        <f aca="false">INDEX(#REF!,MATCH($A38, #REF!,0),1)</f>
        <v>#VALUE!</v>
      </c>
      <c r="E38" s="113" t="e">
        <f aca="false">INDEX(#REF!,MATCH($A38, #REF!,0),1)</f>
        <v>#VALUE!</v>
      </c>
      <c r="F38" s="113" t="e">
        <f aca="false">INDEX(participants!$K$1:$K$718,MATCH($B38,participants!$A$1:$A$718,0),1)</f>
        <v>#VALUE!</v>
      </c>
      <c r="G38" s="113" t="e">
        <f aca="false">INDEX(participants #REF!:participants #REF!,MATCH($B38,participants!$A$1:$A$718,0),1)</f>
        <v>#VALUE!</v>
      </c>
      <c r="H38" s="113" t="e">
        <f aca="false">INDEX(samples!$I$2:$I$887,MATCH($D38,#REF!,0),1)</f>
        <v>#VALUE!</v>
      </c>
      <c r="I38" s="114" t="e">
        <f aca="false">INDEX(samples!$C$2:$C$887,MATCH($D38,#REF!,0),1)</f>
        <v>#VALUE!</v>
      </c>
      <c r="AF38" s="10" t="s">
        <v>5947</v>
      </c>
      <c r="AG38" s="118"/>
    </row>
    <row r="39" customFormat="false" ht="13.8" hidden="false" customHeight="false" outlineLevel="0" collapsed="false">
      <c r="A39" s="37" t="s">
        <v>5948</v>
      </c>
      <c r="B39" s="113" t="e">
        <f aca="false">INDEX(#REF!,MATCH($A39, #REF!,0),1)</f>
        <v>#VALUE!</v>
      </c>
      <c r="C39" s="113" t="e">
        <f aca="false">INDEX(#REF!,MATCH($A39, #REF!,0),1)</f>
        <v>#VALUE!</v>
      </c>
      <c r="D39" s="113" t="e">
        <f aca="false">INDEX(#REF!,MATCH($A39, #REF!,0),1)</f>
        <v>#VALUE!</v>
      </c>
      <c r="E39" s="113" t="e">
        <f aca="false">INDEX(#REF!,MATCH($A39, #REF!,0),1)</f>
        <v>#VALUE!</v>
      </c>
      <c r="F39" s="113" t="e">
        <f aca="false">INDEX(participants!$K$1:$K$718,MATCH($B39,participants!$A$1:$A$718,0),1)</f>
        <v>#VALUE!</v>
      </c>
      <c r="G39" s="113" t="e">
        <f aca="false">INDEX(participants #REF!:participants #REF!,MATCH($B39,participants!$A$1:$A$718,0),1)</f>
        <v>#VALUE!</v>
      </c>
      <c r="H39" s="113" t="e">
        <f aca="false">INDEX(samples!$I$2:$I$887,MATCH($D39,#REF!,0),1)</f>
        <v>#VALUE!</v>
      </c>
      <c r="I39" s="114" t="e">
        <f aca="false">INDEX(samples!$C$2:$C$887,MATCH($D39,#REF!,0),1)</f>
        <v>#VALUE!</v>
      </c>
      <c r="AF39" s="10" t="s">
        <v>5949</v>
      </c>
      <c r="AG39" s="118"/>
    </row>
    <row r="40" customFormat="false" ht="13.8" hidden="false" customHeight="false" outlineLevel="0" collapsed="false">
      <c r="A40" s="37" t="s">
        <v>5950</v>
      </c>
      <c r="B40" s="113" t="e">
        <f aca="false">INDEX(#REF!,MATCH($A40, #REF!,0),1)</f>
        <v>#VALUE!</v>
      </c>
      <c r="C40" s="113" t="e">
        <f aca="false">INDEX(#REF!,MATCH($A40, #REF!,0),1)</f>
        <v>#VALUE!</v>
      </c>
      <c r="D40" s="113" t="e">
        <f aca="false">INDEX(#REF!,MATCH($A40, #REF!,0),1)</f>
        <v>#VALUE!</v>
      </c>
      <c r="E40" s="113" t="e">
        <f aca="false">INDEX(#REF!,MATCH($A40, #REF!,0),1)</f>
        <v>#VALUE!</v>
      </c>
      <c r="F40" s="113" t="e">
        <f aca="false">INDEX(participants!$K$1:$K$718,MATCH($B40,participants!$A$1:$A$718,0),1)</f>
        <v>#VALUE!</v>
      </c>
      <c r="G40" s="113" t="e">
        <f aca="false">INDEX(participants #REF!:participants #REF!,MATCH($B40,participants!$A$1:$A$718,0),1)</f>
        <v>#VALUE!</v>
      </c>
      <c r="H40" s="113" t="e">
        <f aca="false">INDEX(samples!$I$2:$I$887,MATCH($D40,#REF!,0),1)</f>
        <v>#VALUE!</v>
      </c>
      <c r="I40" s="114" t="e">
        <f aca="false">INDEX(samples!$C$2:$C$887,MATCH($D40,#REF!,0),1)</f>
        <v>#VALUE!</v>
      </c>
      <c r="AF40" s="10" t="s">
        <v>5951</v>
      </c>
      <c r="AG40" s="118" t="s">
        <v>526</v>
      </c>
    </row>
    <row r="41" customFormat="false" ht="13.8" hidden="false" customHeight="false" outlineLevel="0" collapsed="false">
      <c r="A41" s="37" t="s">
        <v>5952</v>
      </c>
      <c r="B41" s="113" t="e">
        <f aca="false">INDEX(#REF!,MATCH($A41, #REF!,0),1)</f>
        <v>#VALUE!</v>
      </c>
      <c r="C41" s="113" t="e">
        <f aca="false">INDEX(#REF!,MATCH($A41, #REF!,0),1)</f>
        <v>#VALUE!</v>
      </c>
      <c r="D41" s="113" t="e">
        <f aca="false">INDEX(#REF!,MATCH($A41, #REF!,0),1)</f>
        <v>#VALUE!</v>
      </c>
      <c r="E41" s="113" t="e">
        <f aca="false">INDEX(#REF!,MATCH($A41, #REF!,0),1)</f>
        <v>#VALUE!</v>
      </c>
      <c r="F41" s="113" t="e">
        <f aca="false">INDEX(participants!$K$1:$K$718,MATCH($B41,participants!$A$1:$A$718,0),1)</f>
        <v>#VALUE!</v>
      </c>
      <c r="G41" s="113" t="e">
        <f aca="false">INDEX(participants #REF!:participants #REF!,MATCH($B41,participants!$A$1:$A$718,0),1)</f>
        <v>#VALUE!</v>
      </c>
      <c r="H41" s="113" t="e">
        <f aca="false">INDEX(samples!$I$2:$I$887,MATCH($D41,#REF!,0),1)</f>
        <v>#VALUE!</v>
      </c>
      <c r="I41" s="114" t="e">
        <f aca="false">INDEX(samples!$C$2:$C$887,MATCH($D41,#REF!,0),1)</f>
        <v>#VALUE!</v>
      </c>
      <c r="AE41" s="10" t="s">
        <v>5953</v>
      </c>
      <c r="AF41" s="10" t="s">
        <v>5954</v>
      </c>
      <c r="AG41" s="118"/>
    </row>
    <row r="42" customFormat="false" ht="13.8" hidden="false" customHeight="false" outlineLevel="0" collapsed="false">
      <c r="A42" s="37" t="s">
        <v>5955</v>
      </c>
      <c r="B42" s="113" t="e">
        <f aca="false">INDEX(#REF!,MATCH($A42, #REF!,0),1)</f>
        <v>#VALUE!</v>
      </c>
      <c r="C42" s="113" t="e">
        <f aca="false">INDEX(#REF!,MATCH($A42, #REF!,0),1)</f>
        <v>#VALUE!</v>
      </c>
      <c r="D42" s="113" t="e">
        <f aca="false">INDEX(#REF!,MATCH($A42, #REF!,0),1)</f>
        <v>#VALUE!</v>
      </c>
      <c r="E42" s="113" t="e">
        <f aca="false">INDEX(#REF!,MATCH($A42, #REF!,0),1)</f>
        <v>#VALUE!</v>
      </c>
      <c r="F42" s="113" t="e">
        <f aca="false">INDEX(participants!$K$1:$K$718,MATCH($B42,participants!$A$1:$A$718,0),1)</f>
        <v>#VALUE!</v>
      </c>
      <c r="G42" s="113" t="e">
        <f aca="false">INDEX(participants #REF!:participants #REF!,MATCH($B42,participants!$A$1:$A$718,0),1)</f>
        <v>#VALUE!</v>
      </c>
      <c r="H42" s="113" t="e">
        <f aca="false">INDEX(samples!$I$2:$I$887,MATCH($D42,#REF!,0),1)</f>
        <v>#VALUE!</v>
      </c>
      <c r="I42" s="114" t="e">
        <f aca="false">INDEX(samples!$C$2:$C$887,MATCH($D42,#REF!,0),1)</f>
        <v>#VALUE!</v>
      </c>
      <c r="AE42" s="10" t="s">
        <v>5956</v>
      </c>
      <c r="AF42" s="10" t="s">
        <v>5957</v>
      </c>
      <c r="AG42" s="118"/>
    </row>
    <row r="43" customFormat="false" ht="13.8" hidden="false" customHeight="false" outlineLevel="0" collapsed="false">
      <c r="A43" s="37" t="s">
        <v>5958</v>
      </c>
      <c r="B43" s="113" t="e">
        <f aca="false">INDEX(#REF!,MATCH($A43, #REF!,0),1)</f>
        <v>#VALUE!</v>
      </c>
      <c r="C43" s="113" t="e">
        <f aca="false">INDEX(#REF!,MATCH($A43, #REF!,0),1)</f>
        <v>#VALUE!</v>
      </c>
      <c r="D43" s="113" t="e">
        <f aca="false">INDEX(#REF!,MATCH($A43, #REF!,0),1)</f>
        <v>#VALUE!</v>
      </c>
      <c r="E43" s="113" t="e">
        <f aca="false">INDEX(#REF!,MATCH($A43, #REF!,0),1)</f>
        <v>#VALUE!</v>
      </c>
      <c r="F43" s="113" t="e">
        <f aca="false">INDEX(participants!$K$1:$K$718,MATCH($B43,participants!$A$1:$A$718,0),1)</f>
        <v>#VALUE!</v>
      </c>
      <c r="G43" s="113" t="e">
        <f aca="false">INDEX(participants #REF!:participants #REF!,MATCH($B43,participants!$A$1:$A$718,0),1)</f>
        <v>#VALUE!</v>
      </c>
      <c r="H43" s="113" t="e">
        <f aca="false">INDEX(samples!$I$2:$I$887,MATCH($D43,#REF!,0),1)</f>
        <v>#VALUE!</v>
      </c>
      <c r="I43" s="114" t="e">
        <f aca="false">INDEX(samples!$C$2:$C$887,MATCH($D43,#REF!,0),1)</f>
        <v>#VALUE!</v>
      </c>
      <c r="AF43" s="10" t="s">
        <v>5959</v>
      </c>
      <c r="AG43" s="118"/>
    </row>
    <row r="44" customFormat="false" ht="13.8" hidden="false" customHeight="false" outlineLevel="0" collapsed="false">
      <c r="A44" s="37" t="s">
        <v>5960</v>
      </c>
      <c r="B44" s="113" t="e">
        <f aca="false">INDEX(#REF!,MATCH($A44, #REF!,0),1)</f>
        <v>#VALUE!</v>
      </c>
      <c r="C44" s="113" t="e">
        <f aca="false">INDEX(#REF!,MATCH($A44, #REF!,0),1)</f>
        <v>#VALUE!</v>
      </c>
      <c r="D44" s="113" t="e">
        <f aca="false">INDEX(#REF!,MATCH($A44, #REF!,0),1)</f>
        <v>#VALUE!</v>
      </c>
      <c r="E44" s="113" t="e">
        <f aca="false">INDEX(#REF!,MATCH($A44, #REF!,0),1)</f>
        <v>#VALUE!</v>
      </c>
      <c r="F44" s="113" t="e">
        <f aca="false">INDEX(participants!$K$1:$K$718,MATCH($B44,participants!$A$1:$A$718,0),1)</f>
        <v>#VALUE!</v>
      </c>
      <c r="G44" s="113" t="e">
        <f aca="false">INDEX(participants #REF!:participants #REF!,MATCH($B44,participants!$A$1:$A$718,0),1)</f>
        <v>#VALUE!</v>
      </c>
      <c r="H44" s="113" t="e">
        <f aca="false">INDEX(samples!$I$2:$I$887,MATCH($D44,#REF!,0),1)</f>
        <v>#VALUE!</v>
      </c>
      <c r="I44" s="114" t="e">
        <f aca="false">INDEX(samples!$C$2:$C$887,MATCH($D44,#REF!,0),1)</f>
        <v>#VALUE!</v>
      </c>
      <c r="AF44" s="10" t="s">
        <v>5961</v>
      </c>
      <c r="AG44" s="118"/>
    </row>
    <row r="45" customFormat="false" ht="13.8" hidden="false" customHeight="false" outlineLevel="0" collapsed="false">
      <c r="A45" s="37" t="s">
        <v>5962</v>
      </c>
      <c r="B45" s="113" t="e">
        <f aca="false">INDEX(#REF!,MATCH($A45, #REF!,0),1)</f>
        <v>#VALUE!</v>
      </c>
      <c r="C45" s="113" t="e">
        <f aca="false">INDEX(#REF!,MATCH($A45, #REF!,0),1)</f>
        <v>#VALUE!</v>
      </c>
      <c r="D45" s="113" t="e">
        <f aca="false">INDEX(#REF!,MATCH($A45, #REF!,0),1)</f>
        <v>#VALUE!</v>
      </c>
      <c r="E45" s="113" t="e">
        <f aca="false">INDEX(#REF!,MATCH($A45, #REF!,0),1)</f>
        <v>#VALUE!</v>
      </c>
      <c r="F45" s="113" t="e">
        <f aca="false">INDEX(participants!$K$1:$K$718,MATCH($B45,participants!$A$1:$A$718,0),1)</f>
        <v>#VALUE!</v>
      </c>
      <c r="G45" s="113" t="e">
        <f aca="false">INDEX(participants #REF!:participants #REF!,MATCH($B45,participants!$A$1:$A$718,0),1)</f>
        <v>#VALUE!</v>
      </c>
      <c r="H45" s="113" t="e">
        <f aca="false">INDEX(samples!$I$2:$I$887,MATCH($D45,#REF!,0),1)</f>
        <v>#VALUE!</v>
      </c>
      <c r="I45" s="114" t="e">
        <f aca="false">INDEX(samples!$C$2:$C$887,MATCH($D45,#REF!,0),1)</f>
        <v>#VALUE!</v>
      </c>
      <c r="J45" s="0" t="s">
        <v>511</v>
      </c>
      <c r="N45" s="0" t="s">
        <v>511</v>
      </c>
      <c r="O45" s="0" t="s">
        <v>511</v>
      </c>
      <c r="P45" s="0" t="s">
        <v>5863</v>
      </c>
      <c r="Q45" s="0" t="s">
        <v>5963</v>
      </c>
      <c r="Y45" s="0" t="s">
        <v>5964</v>
      </c>
      <c r="Z45" s="119" t="n">
        <v>-0.312</v>
      </c>
      <c r="AF45" s="10" t="s">
        <v>5965</v>
      </c>
      <c r="AG45" s="118"/>
    </row>
    <row r="46" customFormat="false" ht="13.8" hidden="false" customHeight="false" outlineLevel="0" collapsed="false">
      <c r="A46" s="37" t="s">
        <v>5966</v>
      </c>
      <c r="B46" s="113" t="e">
        <f aca="false">INDEX(#REF!,MATCH($A46, #REF!,0),1)</f>
        <v>#VALUE!</v>
      </c>
      <c r="C46" s="113" t="e">
        <f aca="false">INDEX(#REF!,MATCH($A46, #REF!,0),1)</f>
        <v>#VALUE!</v>
      </c>
      <c r="D46" s="113" t="e">
        <f aca="false">INDEX(#REF!,MATCH($A46, #REF!,0),1)</f>
        <v>#VALUE!</v>
      </c>
      <c r="E46" s="113" t="e">
        <f aca="false">INDEX(#REF!,MATCH($A46, #REF!,0),1)</f>
        <v>#VALUE!</v>
      </c>
      <c r="F46" s="113" t="e">
        <f aca="false">INDEX(participants!$K$1:$K$718,MATCH($B46,participants!$A$1:$A$718,0),1)</f>
        <v>#VALUE!</v>
      </c>
      <c r="G46" s="113" t="e">
        <f aca="false">INDEX(participants #REF!:participants #REF!,MATCH($B46,participants!$A$1:$A$718,0),1)</f>
        <v>#VALUE!</v>
      </c>
      <c r="H46" s="113" t="e">
        <f aca="false">INDEX(samples!$I$2:$I$887,MATCH($D46,#REF!,0),1)</f>
        <v>#VALUE!</v>
      </c>
      <c r="I46" s="114" t="e">
        <f aca="false">INDEX(samples!$C$2:$C$887,MATCH($D46,#REF!,0),1)</f>
        <v>#VALUE!</v>
      </c>
      <c r="N46" s="0" t="s">
        <v>511</v>
      </c>
      <c r="O46" s="0" t="s">
        <v>511</v>
      </c>
      <c r="P46" s="0" t="s">
        <v>5863</v>
      </c>
      <c r="Q46" s="0" t="s">
        <v>5967</v>
      </c>
      <c r="AE46" s="10" t="s">
        <v>5968</v>
      </c>
      <c r="AF46" s="10" t="s">
        <v>5969</v>
      </c>
      <c r="AG46" s="118"/>
    </row>
    <row r="47" customFormat="false" ht="13.8" hidden="false" customHeight="false" outlineLevel="0" collapsed="false">
      <c r="A47" s="37" t="s">
        <v>5970</v>
      </c>
      <c r="B47" s="113" t="e">
        <f aca="false">INDEX(#REF!,MATCH($A47, #REF!,0),1)</f>
        <v>#VALUE!</v>
      </c>
      <c r="C47" s="113" t="e">
        <f aca="false">INDEX(#REF!,MATCH($A47, #REF!,0),1)</f>
        <v>#VALUE!</v>
      </c>
      <c r="D47" s="113" t="e">
        <f aca="false">INDEX(#REF!,MATCH($A47, #REF!,0),1)</f>
        <v>#VALUE!</v>
      </c>
      <c r="E47" s="113" t="e">
        <f aca="false">INDEX(#REF!,MATCH($A47, #REF!,0),1)</f>
        <v>#VALUE!</v>
      </c>
      <c r="F47" s="113" t="e">
        <f aca="false">INDEX(participants!$K$1:$K$718,MATCH($B47,participants!$A$1:$A$718,0),1)</f>
        <v>#VALUE!</v>
      </c>
      <c r="G47" s="113" t="e">
        <f aca="false">INDEX(participants #REF!:participants #REF!,MATCH($B47,participants!$A$1:$A$718,0),1)</f>
        <v>#VALUE!</v>
      </c>
      <c r="H47" s="113" t="e">
        <f aca="false">INDEX(samples!$I$2:$I$887,MATCH($D47,#REF!,0),1)</f>
        <v>#VALUE!</v>
      </c>
      <c r="I47" s="114" t="e">
        <f aca="false">INDEX(samples!$C$2:$C$887,MATCH($D47,#REF!,0),1)</f>
        <v>#VALUE!</v>
      </c>
      <c r="N47" s="0" t="s">
        <v>511</v>
      </c>
      <c r="O47" s="0" t="s">
        <v>511</v>
      </c>
      <c r="P47" s="0" t="s">
        <v>5863</v>
      </c>
      <c r="Q47" s="0" t="s">
        <v>5971</v>
      </c>
      <c r="Y47" s="0" t="n">
        <v>500</v>
      </c>
      <c r="Z47" s="119" t="n">
        <v>0.104</v>
      </c>
      <c r="AE47" s="10" t="s">
        <v>5972</v>
      </c>
      <c r="AF47" s="10" t="s">
        <v>5973</v>
      </c>
      <c r="AG47" s="118"/>
    </row>
    <row r="48" customFormat="false" ht="13.8" hidden="false" customHeight="false" outlineLevel="0" collapsed="false">
      <c r="A48" s="37" t="s">
        <v>5974</v>
      </c>
      <c r="B48" s="113" t="e">
        <f aca="false">INDEX(#REF!,MATCH($A48, #REF!,0),1)</f>
        <v>#VALUE!</v>
      </c>
      <c r="C48" s="113" t="e">
        <f aca="false">INDEX(#REF!,MATCH($A48, #REF!,0),1)</f>
        <v>#VALUE!</v>
      </c>
      <c r="D48" s="113" t="e">
        <f aca="false">INDEX(#REF!,MATCH($A48, #REF!,0),1)</f>
        <v>#VALUE!</v>
      </c>
      <c r="E48" s="113" t="e">
        <f aca="false">INDEX(#REF!,MATCH($A48, #REF!,0),1)</f>
        <v>#VALUE!</v>
      </c>
      <c r="F48" s="113" t="e">
        <f aca="false">INDEX(participants!$K$1:$K$718,MATCH($B48,participants!$A$1:$A$718,0),1)</f>
        <v>#VALUE!</v>
      </c>
      <c r="G48" s="113" t="e">
        <f aca="false">INDEX(participants #REF!:participants #REF!,MATCH($B48,participants!$A$1:$A$718,0),1)</f>
        <v>#VALUE!</v>
      </c>
      <c r="H48" s="113" t="e">
        <f aca="false">INDEX(samples!$I$2:$I$887,MATCH($D48,#REF!,0),1)</f>
        <v>#VALUE!</v>
      </c>
      <c r="I48" s="114" t="e">
        <f aca="false">INDEX(samples!$C$2:$C$887,MATCH($D48,#REF!,0),1)</f>
        <v>#VALUE!</v>
      </c>
      <c r="AF48" s="10" t="s">
        <v>5975</v>
      </c>
      <c r="AG48" s="118"/>
    </row>
    <row r="49" customFormat="false" ht="13.8" hidden="false" customHeight="false" outlineLevel="0" collapsed="false">
      <c r="A49" s="37" t="s">
        <v>5976</v>
      </c>
      <c r="B49" s="113" t="e">
        <f aca="false">INDEX(#REF!,MATCH($A49, #REF!,0),1)</f>
        <v>#VALUE!</v>
      </c>
      <c r="C49" s="113" t="e">
        <f aca="false">INDEX(#REF!,MATCH($A49, #REF!,0),1)</f>
        <v>#VALUE!</v>
      </c>
      <c r="D49" s="113" t="e">
        <f aca="false">INDEX(#REF!,MATCH($A49, #REF!,0),1)</f>
        <v>#VALUE!</v>
      </c>
      <c r="E49" s="113" t="e">
        <f aca="false">INDEX(#REF!,MATCH($A49, #REF!,0),1)</f>
        <v>#VALUE!</v>
      </c>
      <c r="F49" s="113" t="e">
        <f aca="false">INDEX(participants!$K$1:$K$718,MATCH($B49,participants!$A$1:$A$718,0),1)</f>
        <v>#VALUE!</v>
      </c>
      <c r="G49" s="113" t="e">
        <f aca="false">INDEX(participants #REF!:participants #REF!,MATCH($B49,participants!$A$1:$A$718,0),1)</f>
        <v>#VALUE!</v>
      </c>
      <c r="H49" s="113" t="e">
        <f aca="false">INDEX(samples!$I$2:$I$887,MATCH($D49,#REF!,0),1)</f>
        <v>#VALUE!</v>
      </c>
      <c r="I49" s="114" t="e">
        <f aca="false">INDEX(samples!$C$2:$C$887,MATCH($D49,#REF!,0),1)</f>
        <v>#VALUE!</v>
      </c>
      <c r="AF49" s="10" t="s">
        <v>5977</v>
      </c>
      <c r="AG49" s="118"/>
    </row>
    <row r="50" customFormat="false" ht="13.8" hidden="false" customHeight="false" outlineLevel="0" collapsed="false">
      <c r="A50" s="37" t="s">
        <v>5978</v>
      </c>
      <c r="B50" s="113" t="e">
        <f aca="false">INDEX(#REF!,MATCH($A50, #REF!,0),1)</f>
        <v>#VALUE!</v>
      </c>
      <c r="C50" s="113" t="e">
        <f aca="false">INDEX(#REF!,MATCH($A50, #REF!,0),1)</f>
        <v>#VALUE!</v>
      </c>
      <c r="D50" s="113" t="e">
        <f aca="false">INDEX(#REF!,MATCH($A50, #REF!,0),1)</f>
        <v>#VALUE!</v>
      </c>
      <c r="E50" s="113" t="e">
        <f aca="false">INDEX(#REF!,MATCH($A50, #REF!,0),1)</f>
        <v>#VALUE!</v>
      </c>
      <c r="F50" s="113" t="e">
        <f aca="false">INDEX(participants!$K$1:$K$718,MATCH($B50,participants!$A$1:$A$718,0),1)</f>
        <v>#VALUE!</v>
      </c>
      <c r="G50" s="113" t="e">
        <f aca="false">INDEX(participants #REF!:participants #REF!,MATCH($B50,participants!$A$1:$A$718,0),1)</f>
        <v>#VALUE!</v>
      </c>
      <c r="H50" s="113" t="e">
        <f aca="false">INDEX(samples!$I$2:$I$887,MATCH($D50,#REF!,0),1)</f>
        <v>#VALUE!</v>
      </c>
      <c r="I50" s="114" t="e">
        <f aca="false">INDEX(samples!$C$2:$C$887,MATCH($D50,#REF!,0),1)</f>
        <v>#VALUE!</v>
      </c>
      <c r="AF50" s="10" t="s">
        <v>5979</v>
      </c>
      <c r="AG50" s="118"/>
    </row>
    <row r="51" customFormat="false" ht="13.8" hidden="false" customHeight="false" outlineLevel="0" collapsed="false">
      <c r="A51" s="37" t="s">
        <v>5980</v>
      </c>
      <c r="B51" s="113" t="e">
        <f aca="false">INDEX(#REF!,MATCH($A51, #REF!,0),1)</f>
        <v>#VALUE!</v>
      </c>
      <c r="C51" s="113" t="e">
        <f aca="false">INDEX(#REF!,MATCH($A51, #REF!,0),1)</f>
        <v>#VALUE!</v>
      </c>
      <c r="D51" s="113" t="e">
        <f aca="false">INDEX(#REF!,MATCH($A51, #REF!,0),1)</f>
        <v>#VALUE!</v>
      </c>
      <c r="E51" s="113" t="e">
        <f aca="false">INDEX(#REF!,MATCH($A51, #REF!,0),1)</f>
        <v>#VALUE!</v>
      </c>
      <c r="F51" s="113" t="e">
        <f aca="false">INDEX(participants!$K$1:$K$718,MATCH($B51,participants!$A$1:$A$718,0),1)</f>
        <v>#VALUE!</v>
      </c>
      <c r="G51" s="113" t="e">
        <f aca="false">INDEX(participants #REF!:participants #REF!,MATCH($B51,participants!$A$1:$A$718,0),1)</f>
        <v>#VALUE!</v>
      </c>
      <c r="H51" s="113" t="e">
        <f aca="false">INDEX(samples!$I$2:$I$887,MATCH($D51,#REF!,0),1)</f>
        <v>#VALUE!</v>
      </c>
      <c r="I51" s="114" t="e">
        <f aca="false">INDEX(samples!$C$2:$C$887,MATCH($D51,#REF!,0),1)</f>
        <v>#VALUE!</v>
      </c>
      <c r="AF51" s="10" t="s">
        <v>5981</v>
      </c>
      <c r="AG51" s="118"/>
    </row>
    <row r="52" customFormat="false" ht="13.8" hidden="false" customHeight="false" outlineLevel="0" collapsed="false">
      <c r="A52" s="37" t="s">
        <v>5982</v>
      </c>
      <c r="B52" s="113" t="e">
        <f aca="false">INDEX(#REF!,MATCH($A52, #REF!,0),1)</f>
        <v>#VALUE!</v>
      </c>
      <c r="C52" s="113" t="e">
        <f aca="false">INDEX(#REF!,MATCH($A52, #REF!,0),1)</f>
        <v>#VALUE!</v>
      </c>
      <c r="D52" s="113" t="e">
        <f aca="false">INDEX(#REF!,MATCH($A52, #REF!,0),1)</f>
        <v>#VALUE!</v>
      </c>
      <c r="E52" s="113" t="e">
        <f aca="false">INDEX(#REF!,MATCH($A52, #REF!,0),1)</f>
        <v>#VALUE!</v>
      </c>
      <c r="F52" s="113" t="e">
        <f aca="false">INDEX(participants!$K$1:$K$718,MATCH($B52,participants!$A$1:$A$718,0),1)</f>
        <v>#VALUE!</v>
      </c>
      <c r="G52" s="113" t="e">
        <f aca="false">INDEX(participants #REF!:participants #REF!,MATCH($B52,participants!$A$1:$A$718,0),1)</f>
        <v>#VALUE!</v>
      </c>
      <c r="H52" s="113" t="e">
        <f aca="false">INDEX(samples!$I$2:$I$887,MATCH($D52,#REF!,0),1)</f>
        <v>#VALUE!</v>
      </c>
      <c r="I52" s="114" t="e">
        <f aca="false">INDEX(samples!$C$2:$C$887,MATCH($D52,#REF!,0),1)</f>
        <v>#VALUE!</v>
      </c>
      <c r="AF52" s="10" t="s">
        <v>5983</v>
      </c>
      <c r="AG52" s="118"/>
    </row>
    <row r="53" customFormat="false" ht="13.8" hidden="false" customHeight="false" outlineLevel="0" collapsed="false">
      <c r="A53" s="37" t="s">
        <v>5984</v>
      </c>
      <c r="B53" s="113" t="e">
        <f aca="false">INDEX(#REF!,MATCH($A53, #REF!,0),1)</f>
        <v>#VALUE!</v>
      </c>
      <c r="C53" s="113" t="e">
        <f aca="false">INDEX(#REF!,MATCH($A53, #REF!,0),1)</f>
        <v>#VALUE!</v>
      </c>
      <c r="D53" s="113" t="e">
        <f aca="false">INDEX(#REF!,MATCH($A53, #REF!,0),1)</f>
        <v>#VALUE!</v>
      </c>
      <c r="E53" s="113" t="e">
        <f aca="false">INDEX(#REF!,MATCH($A53, #REF!,0),1)</f>
        <v>#VALUE!</v>
      </c>
      <c r="F53" s="113" t="e">
        <f aca="false">INDEX(participants!$K$1:$K$718,MATCH($B53,participants!$A$1:$A$718,0),1)</f>
        <v>#VALUE!</v>
      </c>
      <c r="G53" s="113" t="e">
        <f aca="false">INDEX(participants #REF!:participants #REF!,MATCH($B53,participants!$A$1:$A$718,0),1)</f>
        <v>#VALUE!</v>
      </c>
      <c r="H53" s="113" t="e">
        <f aca="false">INDEX(samples!$I$2:$I$887,MATCH($D53,#REF!,0),1)</f>
        <v>#VALUE!</v>
      </c>
      <c r="I53" s="114" t="e">
        <f aca="false">INDEX(samples!$C$2:$C$887,MATCH($D53,#REF!,0),1)</f>
        <v>#VALUE!</v>
      </c>
      <c r="AF53" s="10" t="s">
        <v>5985</v>
      </c>
      <c r="AG53" s="118"/>
    </row>
    <row r="54" customFormat="false" ht="13.8" hidden="false" customHeight="false" outlineLevel="0" collapsed="false">
      <c r="A54" s="37" t="s">
        <v>5986</v>
      </c>
      <c r="B54" s="113" t="e">
        <f aca="false">INDEX(#REF!,MATCH($A54, #REF!,0),1)</f>
        <v>#VALUE!</v>
      </c>
      <c r="C54" s="113" t="e">
        <f aca="false">INDEX(#REF!,MATCH($A54, #REF!,0),1)</f>
        <v>#VALUE!</v>
      </c>
      <c r="D54" s="113" t="e">
        <f aca="false">INDEX(#REF!,MATCH($A54, #REF!,0),1)</f>
        <v>#VALUE!</v>
      </c>
      <c r="E54" s="113" t="e">
        <f aca="false">INDEX(#REF!,MATCH($A54, #REF!,0),1)</f>
        <v>#VALUE!</v>
      </c>
      <c r="F54" s="113" t="e">
        <f aca="false">INDEX(participants!$K$1:$K$718,MATCH($B54,participants!$A$1:$A$718,0),1)</f>
        <v>#VALUE!</v>
      </c>
      <c r="G54" s="113" t="e">
        <f aca="false">INDEX(participants #REF!:participants #REF!,MATCH($B54,participants!$A$1:$A$718,0),1)</f>
        <v>#VALUE!</v>
      </c>
      <c r="H54" s="113" t="e">
        <f aca="false">INDEX(samples!$I$2:$I$887,MATCH($D54,#REF!,0),1)</f>
        <v>#VALUE!</v>
      </c>
      <c r="I54" s="114" t="e">
        <f aca="false">INDEX(samples!$C$2:$C$887,MATCH($D54,#REF!,0),1)</f>
        <v>#VALUE!</v>
      </c>
      <c r="AF54" s="10" t="s">
        <v>5987</v>
      </c>
      <c r="AG54" s="118"/>
    </row>
    <row r="55" customFormat="false" ht="13.8" hidden="false" customHeight="false" outlineLevel="0" collapsed="false">
      <c r="A55" s="37" t="s">
        <v>5988</v>
      </c>
      <c r="B55" s="113" t="e">
        <f aca="false">INDEX(#REF!,MATCH($A55, #REF!,0),1)</f>
        <v>#VALUE!</v>
      </c>
      <c r="C55" s="113" t="e">
        <f aca="false">INDEX(#REF!,MATCH($A55, #REF!,0),1)</f>
        <v>#VALUE!</v>
      </c>
      <c r="D55" s="113" t="e">
        <f aca="false">INDEX(#REF!,MATCH($A55, #REF!,0),1)</f>
        <v>#VALUE!</v>
      </c>
      <c r="E55" s="113" t="e">
        <f aca="false">INDEX(#REF!,MATCH($A55, #REF!,0),1)</f>
        <v>#VALUE!</v>
      </c>
      <c r="F55" s="113" t="e">
        <f aca="false">INDEX(participants!$K$1:$K$718,MATCH($B55,participants!$A$1:$A$718,0),1)</f>
        <v>#VALUE!</v>
      </c>
      <c r="G55" s="113" t="e">
        <f aca="false">INDEX(participants #REF!:participants #REF!,MATCH($B55,participants!$A$1:$A$718,0),1)</f>
        <v>#VALUE!</v>
      </c>
      <c r="H55" s="113" t="e">
        <f aca="false">INDEX(samples!$I$2:$I$887,MATCH($D55,#REF!,0),1)</f>
        <v>#VALUE!</v>
      </c>
      <c r="I55" s="114" t="e">
        <f aca="false">INDEX(samples!$C$2:$C$887,MATCH($D55,#REF!,0),1)</f>
        <v>#VALUE!</v>
      </c>
      <c r="AF55" s="10" t="s">
        <v>5989</v>
      </c>
      <c r="AG55" s="118"/>
    </row>
    <row r="56" customFormat="false" ht="13.8" hidden="false" customHeight="false" outlineLevel="0" collapsed="false">
      <c r="A56" s="37" t="s">
        <v>5990</v>
      </c>
      <c r="B56" s="113" t="e">
        <f aca="false">INDEX(#REF!,MATCH($A56, #REF!,0),1)</f>
        <v>#VALUE!</v>
      </c>
      <c r="C56" s="113" t="e">
        <f aca="false">INDEX(#REF!,MATCH($A56, #REF!,0),1)</f>
        <v>#VALUE!</v>
      </c>
      <c r="D56" s="113" t="e">
        <f aca="false">INDEX(#REF!,MATCH($A56, #REF!,0),1)</f>
        <v>#VALUE!</v>
      </c>
      <c r="E56" s="113" t="e">
        <f aca="false">INDEX(#REF!,MATCH($A56, #REF!,0),1)</f>
        <v>#VALUE!</v>
      </c>
      <c r="F56" s="113" t="e">
        <f aca="false">INDEX(participants!$K$1:$K$718,MATCH($B56,participants!$A$1:$A$718,0),1)</f>
        <v>#VALUE!</v>
      </c>
      <c r="G56" s="113" t="e">
        <f aca="false">INDEX(participants #REF!:participants #REF!,MATCH($B56,participants!$A$1:$A$718,0),1)</f>
        <v>#VALUE!</v>
      </c>
      <c r="H56" s="113" t="e">
        <f aca="false">INDEX(samples!$I$2:$I$887,MATCH($D56,#REF!,0),1)</f>
        <v>#VALUE!</v>
      </c>
      <c r="I56" s="114" t="e">
        <f aca="false">INDEX(samples!$C$2:$C$887,MATCH($D56,#REF!,0),1)</f>
        <v>#VALUE!</v>
      </c>
      <c r="AE56" s="10"/>
      <c r="AF56" s="10" t="s">
        <v>5991</v>
      </c>
      <c r="AG56" s="118"/>
    </row>
    <row r="57" customFormat="false" ht="13.8" hidden="false" customHeight="false" outlineLevel="0" collapsed="false">
      <c r="A57" s="37" t="s">
        <v>5992</v>
      </c>
      <c r="B57" s="113" t="e">
        <f aca="false">INDEX(#REF!,MATCH($A57, #REF!,0),1)</f>
        <v>#VALUE!</v>
      </c>
      <c r="C57" s="113" t="e">
        <f aca="false">INDEX(#REF!,MATCH($A57, #REF!,0),1)</f>
        <v>#VALUE!</v>
      </c>
      <c r="D57" s="113" t="e">
        <f aca="false">INDEX(#REF!,MATCH($A57, #REF!,0),1)</f>
        <v>#VALUE!</v>
      </c>
      <c r="E57" s="113" t="e">
        <f aca="false">INDEX(#REF!,MATCH($A57, #REF!,0),1)</f>
        <v>#VALUE!</v>
      </c>
      <c r="F57" s="113" t="e">
        <f aca="false">INDEX(participants!$K$1:$K$718,MATCH($B57,participants!$A$1:$A$718,0),1)</f>
        <v>#VALUE!</v>
      </c>
      <c r="G57" s="113" t="e">
        <f aca="false">INDEX(participants #REF!:participants #REF!,MATCH($B57,participants!$A$1:$A$718,0),1)</f>
        <v>#VALUE!</v>
      </c>
      <c r="H57" s="113" t="e">
        <f aca="false">INDEX(samples!$I$2:$I$887,MATCH($D57,#REF!,0),1)</f>
        <v>#VALUE!</v>
      </c>
      <c r="I57" s="114" t="e">
        <f aca="false">INDEX(samples!$C$2:$C$887,MATCH($D57,#REF!,0),1)</f>
        <v>#VALUE!</v>
      </c>
      <c r="AF57" s="10" t="s">
        <v>5993</v>
      </c>
      <c r="AG57" s="118"/>
    </row>
    <row r="58" customFormat="false" ht="13.8" hidden="false" customHeight="false" outlineLevel="0" collapsed="false">
      <c r="A58" s="37" t="s">
        <v>5994</v>
      </c>
      <c r="B58" s="113" t="e">
        <f aca="false">INDEX(#REF!,MATCH($A58, #REF!,0),1)</f>
        <v>#VALUE!</v>
      </c>
      <c r="C58" s="113" t="e">
        <f aca="false">INDEX(#REF!,MATCH($A58, #REF!,0),1)</f>
        <v>#VALUE!</v>
      </c>
      <c r="D58" s="113" t="e">
        <f aca="false">INDEX(#REF!,MATCH($A58, #REF!,0),1)</f>
        <v>#VALUE!</v>
      </c>
      <c r="E58" s="113" t="e">
        <f aca="false">INDEX(#REF!,MATCH($A58, #REF!,0),1)</f>
        <v>#VALUE!</v>
      </c>
      <c r="F58" s="113" t="e">
        <f aca="false">INDEX(participants!$K$1:$K$718,MATCH($B58,participants!$A$1:$A$718,0),1)</f>
        <v>#VALUE!</v>
      </c>
      <c r="G58" s="113" t="e">
        <f aca="false">INDEX(participants #REF!:participants #REF!,MATCH($B58,participants!$A$1:$A$718,0),1)</f>
        <v>#VALUE!</v>
      </c>
      <c r="H58" s="113" t="e">
        <f aca="false">INDEX(samples!$I$2:$I$887,MATCH($D58,#REF!,0),1)</f>
        <v>#VALUE!</v>
      </c>
      <c r="I58" s="114" t="e">
        <f aca="false">INDEX(samples!$C$2:$C$887,MATCH($D58,#REF!,0),1)</f>
        <v>#VALUE!</v>
      </c>
      <c r="AF58" s="10" t="s">
        <v>5995</v>
      </c>
      <c r="AG58" s="118"/>
    </row>
    <row r="59" customFormat="false" ht="13.8" hidden="false" customHeight="false" outlineLevel="0" collapsed="false">
      <c r="A59" s="37" t="s">
        <v>5996</v>
      </c>
      <c r="B59" s="113" t="e">
        <f aca="false">INDEX(#REF!,MATCH($A59, #REF!,0),1)</f>
        <v>#VALUE!</v>
      </c>
      <c r="C59" s="113" t="e">
        <f aca="false">INDEX(#REF!,MATCH($A59, #REF!,0),1)</f>
        <v>#VALUE!</v>
      </c>
      <c r="D59" s="113" t="e">
        <f aca="false">INDEX(#REF!,MATCH($A59, #REF!,0),1)</f>
        <v>#VALUE!</v>
      </c>
      <c r="E59" s="113" t="e">
        <f aca="false">INDEX(#REF!,MATCH($A59, #REF!,0),1)</f>
        <v>#VALUE!</v>
      </c>
      <c r="F59" s="113" t="e">
        <f aca="false">INDEX(participants!$K$1:$K$718,MATCH($B59,participants!$A$1:$A$718,0),1)</f>
        <v>#VALUE!</v>
      </c>
      <c r="G59" s="113" t="e">
        <f aca="false">INDEX(participants #REF!:participants #REF!,MATCH($B59,participants!$A$1:$A$718,0),1)</f>
        <v>#VALUE!</v>
      </c>
      <c r="H59" s="113" t="e">
        <f aca="false">INDEX(samples!$I$2:$I$887,MATCH($D59,#REF!,0),1)</f>
        <v>#VALUE!</v>
      </c>
      <c r="I59" s="114" t="e">
        <f aca="false">INDEX(samples!$C$2:$C$887,MATCH($D59,#REF!,0),1)</f>
        <v>#VALUE!</v>
      </c>
      <c r="AF59" s="10" t="s">
        <v>5997</v>
      </c>
      <c r="AG59" s="118"/>
    </row>
    <row r="60" customFormat="false" ht="13.8" hidden="false" customHeight="false" outlineLevel="0" collapsed="false">
      <c r="A60" s="37" t="s">
        <v>5998</v>
      </c>
      <c r="B60" s="113" t="e">
        <f aca="false">INDEX(#REF!,MATCH($A60, #REF!,0),1)</f>
        <v>#VALUE!</v>
      </c>
      <c r="C60" s="113" t="e">
        <f aca="false">INDEX(#REF!,MATCH($A60, #REF!,0),1)</f>
        <v>#VALUE!</v>
      </c>
      <c r="D60" s="113" t="e">
        <f aca="false">INDEX(#REF!,MATCH($A60, #REF!,0),1)</f>
        <v>#VALUE!</v>
      </c>
      <c r="E60" s="113" t="e">
        <f aca="false">INDEX(#REF!,MATCH($A60, #REF!,0),1)</f>
        <v>#VALUE!</v>
      </c>
      <c r="F60" s="113" t="e">
        <f aca="false">INDEX(participants!$K$1:$K$718,MATCH($B60,participants!$A$1:$A$718,0),1)</f>
        <v>#VALUE!</v>
      </c>
      <c r="G60" s="113" t="e">
        <f aca="false">INDEX(participants #REF!:participants #REF!,MATCH($B60,participants!$A$1:$A$718,0),1)</f>
        <v>#VALUE!</v>
      </c>
      <c r="H60" s="113" t="e">
        <f aca="false">INDEX(samples!$I$2:$I$887,MATCH($D60,#REF!,0),1)</f>
        <v>#VALUE!</v>
      </c>
      <c r="I60" s="114" t="e">
        <f aca="false">INDEX(samples!$C$2:$C$887,MATCH($D60,#REF!,0),1)</f>
        <v>#VALUE!</v>
      </c>
      <c r="AE60" s="10"/>
      <c r="AF60" s="10" t="s">
        <v>4740</v>
      </c>
      <c r="AG60" s="118"/>
    </row>
    <row r="61" customFormat="false" ht="13.8" hidden="false" customHeight="false" outlineLevel="0" collapsed="false">
      <c r="A61" s="37" t="s">
        <v>5999</v>
      </c>
      <c r="B61" s="113" t="e">
        <f aca="false">INDEX(#REF!,MATCH($A61, #REF!,0),1)</f>
        <v>#VALUE!</v>
      </c>
      <c r="C61" s="113" t="e">
        <f aca="false">INDEX(#REF!,MATCH($A61, #REF!,0),1)</f>
        <v>#VALUE!</v>
      </c>
      <c r="D61" s="113" t="e">
        <f aca="false">INDEX(#REF!,MATCH($A61, #REF!,0),1)</f>
        <v>#VALUE!</v>
      </c>
      <c r="E61" s="113" t="e">
        <f aca="false">INDEX(#REF!,MATCH($A61, #REF!,0),1)</f>
        <v>#VALUE!</v>
      </c>
      <c r="F61" s="113" t="e">
        <f aca="false">INDEX(participants!$K$1:$K$718,MATCH($B61,participants!$A$1:$A$718,0),1)</f>
        <v>#VALUE!</v>
      </c>
      <c r="G61" s="113" t="e">
        <f aca="false">INDEX(participants #REF!:participants #REF!,MATCH($B61,participants!$A$1:$A$718,0),1)</f>
        <v>#VALUE!</v>
      </c>
      <c r="H61" s="113" t="e">
        <f aca="false">INDEX(samples!$I$2:$I$887,MATCH($D61,#REF!,0),1)</f>
        <v>#VALUE!</v>
      </c>
      <c r="I61" s="114" t="e">
        <f aca="false">INDEX(samples!$C$2:$C$887,MATCH($D61,#REF!,0),1)</f>
        <v>#VALUE!</v>
      </c>
      <c r="AE61" s="10" t="s">
        <v>6000</v>
      </c>
      <c r="AF61" s="10" t="s">
        <v>6001</v>
      </c>
      <c r="AG61" s="118"/>
    </row>
    <row r="62" customFormat="false" ht="13.8" hidden="false" customHeight="false" outlineLevel="0" collapsed="false">
      <c r="A62" s="37" t="s">
        <v>6002</v>
      </c>
      <c r="B62" s="113" t="e">
        <f aca="false">INDEX(#REF!,MATCH($A62, #REF!,0),1)</f>
        <v>#VALUE!</v>
      </c>
      <c r="C62" s="113" t="e">
        <f aca="false">INDEX(#REF!,MATCH($A62, #REF!,0),1)</f>
        <v>#VALUE!</v>
      </c>
      <c r="D62" s="113" t="e">
        <f aca="false">INDEX(#REF!,MATCH($A62, #REF!,0),1)</f>
        <v>#VALUE!</v>
      </c>
      <c r="E62" s="113" t="e">
        <f aca="false">INDEX(#REF!,MATCH($A62, #REF!,0),1)</f>
        <v>#VALUE!</v>
      </c>
      <c r="F62" s="113" t="e">
        <f aca="false">INDEX(participants!$K$1:$K$718,MATCH($B62,participants!$A$1:$A$718,0),1)</f>
        <v>#VALUE!</v>
      </c>
      <c r="G62" s="113" t="e">
        <f aca="false">INDEX(participants #REF!:participants #REF!,MATCH($B62,participants!$A$1:$A$718,0),1)</f>
        <v>#VALUE!</v>
      </c>
      <c r="H62" s="113" t="e">
        <f aca="false">INDEX(samples!$I$2:$I$887,MATCH($D62,#REF!,0),1)</f>
        <v>#VALUE!</v>
      </c>
      <c r="I62" s="114" t="e">
        <f aca="false">INDEX(samples!$C$2:$C$887,MATCH($D62,#REF!,0),1)</f>
        <v>#VALUE!</v>
      </c>
      <c r="AE62" s="10"/>
      <c r="AF62" s="10" t="s">
        <v>4745</v>
      </c>
      <c r="AG62" s="118"/>
    </row>
    <row r="63" customFormat="false" ht="13.8" hidden="false" customHeight="false" outlineLevel="0" collapsed="false">
      <c r="A63" s="37" t="s">
        <v>6003</v>
      </c>
      <c r="B63" s="113" t="e">
        <f aca="false">INDEX(#REF!,MATCH($A63, #REF!,0),1)</f>
        <v>#VALUE!</v>
      </c>
      <c r="C63" s="113" t="e">
        <f aca="false">INDEX(#REF!,MATCH($A63, #REF!,0),1)</f>
        <v>#VALUE!</v>
      </c>
      <c r="D63" s="113" t="e">
        <f aca="false">INDEX(#REF!,MATCH($A63, #REF!,0),1)</f>
        <v>#VALUE!</v>
      </c>
      <c r="E63" s="113" t="e">
        <f aca="false">INDEX(#REF!,MATCH($A63, #REF!,0),1)</f>
        <v>#VALUE!</v>
      </c>
      <c r="F63" s="113" t="e">
        <f aca="false">INDEX(participants!$K$1:$K$718,MATCH($B63,participants!$A$1:$A$718,0),1)</f>
        <v>#VALUE!</v>
      </c>
      <c r="G63" s="113" t="e">
        <f aca="false">INDEX(participants #REF!:participants #REF!,MATCH($B63,participants!$A$1:$A$718,0),1)</f>
        <v>#VALUE!</v>
      </c>
      <c r="H63" s="113" t="e">
        <f aca="false">INDEX(samples!$I$2:$I$887,MATCH($D63,#REF!,0),1)</f>
        <v>#VALUE!</v>
      </c>
      <c r="I63" s="114" t="e">
        <f aca="false">INDEX(samples!$C$2:$C$887,MATCH($D63,#REF!,0),1)</f>
        <v>#VALUE!</v>
      </c>
      <c r="AE63" s="10"/>
      <c r="AF63" s="10" t="s">
        <v>4747</v>
      </c>
      <c r="AG63" s="118"/>
    </row>
    <row r="64" customFormat="false" ht="13.8" hidden="false" customHeight="false" outlineLevel="0" collapsed="false">
      <c r="A64" s="37" t="s">
        <v>6004</v>
      </c>
      <c r="B64" s="113" t="e">
        <f aca="false">INDEX(#REF!,MATCH($A64, #REF!,0),1)</f>
        <v>#VALUE!</v>
      </c>
      <c r="C64" s="113" t="e">
        <f aca="false">INDEX(#REF!,MATCH($A64, #REF!,0),1)</f>
        <v>#VALUE!</v>
      </c>
      <c r="D64" s="113" t="e">
        <f aca="false">INDEX(#REF!,MATCH($A64, #REF!,0),1)</f>
        <v>#VALUE!</v>
      </c>
      <c r="E64" s="113" t="e">
        <f aca="false">INDEX(#REF!,MATCH($A64, #REF!,0),1)</f>
        <v>#VALUE!</v>
      </c>
      <c r="F64" s="113" t="e">
        <f aca="false">INDEX(participants!$K$1:$K$718,MATCH($B64,participants!$A$1:$A$718,0),1)</f>
        <v>#VALUE!</v>
      </c>
      <c r="G64" s="113" t="e">
        <f aca="false">INDEX(participants #REF!:participants #REF!,MATCH($B64,participants!$A$1:$A$718,0),1)</f>
        <v>#VALUE!</v>
      </c>
      <c r="H64" s="113" t="e">
        <f aca="false">INDEX(samples!$I$2:$I$887,MATCH($D64,#REF!,0),1)</f>
        <v>#VALUE!</v>
      </c>
      <c r="I64" s="114" t="e">
        <f aca="false">INDEX(samples!$C$2:$C$887,MATCH($D64,#REF!,0),1)</f>
        <v>#VALUE!</v>
      </c>
      <c r="AE64" s="10"/>
      <c r="AF64" s="10" t="s">
        <v>4753</v>
      </c>
      <c r="AG64" s="118"/>
    </row>
    <row r="65" customFormat="false" ht="13.8" hidden="false" customHeight="false" outlineLevel="0" collapsed="false">
      <c r="A65" s="37" t="s">
        <v>6005</v>
      </c>
      <c r="B65" s="113" t="e">
        <f aca="false">INDEX(#REF!,MATCH($A65, #REF!,0),1)</f>
        <v>#VALUE!</v>
      </c>
      <c r="C65" s="113" t="e">
        <f aca="false">INDEX(#REF!,MATCH($A65, #REF!,0),1)</f>
        <v>#VALUE!</v>
      </c>
      <c r="D65" s="113" t="e">
        <f aca="false">INDEX(#REF!,MATCH($A65, #REF!,0),1)</f>
        <v>#VALUE!</v>
      </c>
      <c r="E65" s="113" t="e">
        <f aca="false">INDEX(#REF!,MATCH($A65, #REF!,0),1)</f>
        <v>#VALUE!</v>
      </c>
      <c r="F65" s="113" t="e">
        <f aca="false">INDEX(participants!$K$1:$K$718,MATCH($B65,participants!$A$1:$A$718,0),1)</f>
        <v>#VALUE!</v>
      </c>
      <c r="G65" s="113" t="e">
        <f aca="false">INDEX(participants #REF!:participants #REF!,MATCH($B65,participants!$A$1:$A$718,0),1)</f>
        <v>#VALUE!</v>
      </c>
      <c r="H65" s="113" t="e">
        <f aca="false">INDEX(samples!$I$2:$I$887,MATCH($D65,#REF!,0),1)</f>
        <v>#VALUE!</v>
      </c>
      <c r="I65" s="114" t="e">
        <f aca="false">INDEX(samples!$C$2:$C$887,MATCH($D65,#REF!,0),1)</f>
        <v>#VALUE!</v>
      </c>
      <c r="AE65" s="10"/>
      <c r="AF65" s="10" t="s">
        <v>4751</v>
      </c>
      <c r="AG65" s="118"/>
    </row>
    <row r="66" customFormat="false" ht="13.8" hidden="false" customHeight="false" outlineLevel="0" collapsed="false">
      <c r="A66" s="37" t="s">
        <v>6006</v>
      </c>
      <c r="B66" s="113" t="e">
        <f aca="false">INDEX(#REF!,MATCH($A66, #REF!,0),1)</f>
        <v>#VALUE!</v>
      </c>
      <c r="C66" s="113" t="e">
        <f aca="false">INDEX(#REF!,MATCH($A66, #REF!,0),1)</f>
        <v>#VALUE!</v>
      </c>
      <c r="D66" s="113" t="e">
        <f aca="false">INDEX(#REF!,MATCH($A66, #REF!,0),1)</f>
        <v>#VALUE!</v>
      </c>
      <c r="E66" s="113" t="e">
        <f aca="false">INDEX(#REF!,MATCH($A66, #REF!,0),1)</f>
        <v>#VALUE!</v>
      </c>
      <c r="F66" s="113" t="e">
        <f aca="false">INDEX(participants!$K$1:$K$718,MATCH($B66,participants!$A$1:$A$718,0),1)</f>
        <v>#VALUE!</v>
      </c>
      <c r="G66" s="113" t="e">
        <f aca="false">INDEX(participants #REF!:participants #REF!,MATCH($B66,participants!$A$1:$A$718,0),1)</f>
        <v>#VALUE!</v>
      </c>
      <c r="H66" s="113" t="e">
        <f aca="false">INDEX(samples!$I$2:$I$887,MATCH($D66,#REF!,0),1)</f>
        <v>#VALUE!</v>
      </c>
      <c r="I66" s="114" t="e">
        <f aca="false">INDEX(samples!$C$2:$C$887,MATCH($D66,#REF!,0),1)</f>
        <v>#VALUE!</v>
      </c>
      <c r="AE66" s="10"/>
      <c r="AF66" s="10" t="s">
        <v>4744</v>
      </c>
      <c r="AG66" s="118"/>
    </row>
    <row r="67" customFormat="false" ht="13.8" hidden="false" customHeight="false" outlineLevel="0" collapsed="false">
      <c r="A67" s="37" t="s">
        <v>6007</v>
      </c>
      <c r="B67" s="113" t="e">
        <f aca="false">INDEX(#REF!,MATCH($A67, #REF!,0),1)</f>
        <v>#VALUE!</v>
      </c>
      <c r="C67" s="113" t="e">
        <f aca="false">INDEX(#REF!,MATCH($A67, #REF!,0),1)</f>
        <v>#VALUE!</v>
      </c>
      <c r="D67" s="113" t="e">
        <f aca="false">INDEX(#REF!,MATCH($A67, #REF!,0),1)</f>
        <v>#VALUE!</v>
      </c>
      <c r="E67" s="113" t="e">
        <f aca="false">INDEX(#REF!,MATCH($A67, #REF!,0),1)</f>
        <v>#VALUE!</v>
      </c>
      <c r="F67" s="113" t="e">
        <f aca="false">INDEX(participants!$K$1:$K$718,MATCH($B67,participants!$A$1:$A$718,0),1)</f>
        <v>#VALUE!</v>
      </c>
      <c r="G67" s="113" t="e">
        <f aca="false">INDEX(participants #REF!:participants #REF!,MATCH($B67,participants!$A$1:$A$718,0),1)</f>
        <v>#VALUE!</v>
      </c>
      <c r="H67" s="113" t="e">
        <f aca="false">INDEX(samples!$I$2:$I$887,MATCH($D67,#REF!,0),1)</f>
        <v>#VALUE!</v>
      </c>
      <c r="I67" s="114" t="n">
        <v>37834</v>
      </c>
      <c r="AE67" s="10"/>
      <c r="AF67" s="10" t="s">
        <v>4746</v>
      </c>
      <c r="AG67" s="118"/>
    </row>
    <row r="68" customFormat="false" ht="13.8" hidden="false" customHeight="false" outlineLevel="0" collapsed="false">
      <c r="A68" s="37" t="s">
        <v>6008</v>
      </c>
      <c r="B68" s="113" t="e">
        <f aca="false">INDEX(#REF!,MATCH($A68, #REF!,0),1)</f>
        <v>#VALUE!</v>
      </c>
      <c r="C68" s="113" t="e">
        <f aca="false">INDEX(#REF!,MATCH($A68, #REF!,0),1)</f>
        <v>#VALUE!</v>
      </c>
      <c r="D68" s="113" t="e">
        <f aca="false">INDEX(#REF!,MATCH($A68, #REF!,0),1)</f>
        <v>#VALUE!</v>
      </c>
      <c r="E68" s="113" t="e">
        <f aca="false">INDEX(#REF!,MATCH($A68, #REF!,0),1)</f>
        <v>#VALUE!</v>
      </c>
      <c r="F68" s="113" t="e">
        <f aca="false">INDEX(participants!$K$1:$K$718,MATCH($B68,participants!$A$1:$A$718,0),1)</f>
        <v>#VALUE!</v>
      </c>
      <c r="G68" s="113" t="e">
        <f aca="false">INDEX(participants #REF!:participants #REF!,MATCH($B68,participants!$A$1:$A$718,0),1)</f>
        <v>#VALUE!</v>
      </c>
      <c r="H68" s="113" t="e">
        <f aca="false">INDEX(samples!$I$2:$I$887,MATCH($D68,#REF!,0),1)</f>
        <v>#VALUE!</v>
      </c>
      <c r="I68" s="114" t="e">
        <f aca="false">INDEX(samples!$C$2:$C$887,MATCH($D68,#REF!,0),1)</f>
        <v>#VALUE!</v>
      </c>
      <c r="AE68" s="10"/>
      <c r="AF68" s="10" t="s">
        <v>4749</v>
      </c>
      <c r="AG68" s="118"/>
    </row>
    <row r="69" customFormat="false" ht="13.8" hidden="false" customHeight="false" outlineLevel="0" collapsed="false">
      <c r="A69" s="37" t="s">
        <v>6009</v>
      </c>
      <c r="B69" s="113" t="e">
        <f aca="false">INDEX(#REF!,MATCH($A69, #REF!,0),1)</f>
        <v>#VALUE!</v>
      </c>
      <c r="C69" s="113" t="e">
        <f aca="false">INDEX(#REF!,MATCH($A69, #REF!,0),1)</f>
        <v>#VALUE!</v>
      </c>
      <c r="D69" s="113" t="e">
        <f aca="false">INDEX(#REF!,MATCH($A69, #REF!,0),1)</f>
        <v>#VALUE!</v>
      </c>
      <c r="E69" s="113" t="e">
        <f aca="false">INDEX(#REF!,MATCH($A69, #REF!,0),1)</f>
        <v>#VALUE!</v>
      </c>
      <c r="F69" s="113" t="e">
        <f aca="false">INDEX(participants!$K$1:$K$718,MATCH($B69,participants!$A$1:$A$718,0),1)</f>
        <v>#VALUE!</v>
      </c>
      <c r="G69" s="113" t="e">
        <f aca="false">INDEX(participants #REF!:participants #REF!,MATCH($B69,participants!$A$1:$A$718,0),1)</f>
        <v>#VALUE!</v>
      </c>
      <c r="H69" s="113" t="e">
        <f aca="false">INDEX(samples!$I$2:$I$887,MATCH($D69,#REF!,0),1)</f>
        <v>#VALUE!</v>
      </c>
      <c r="I69" s="114" t="e">
        <f aca="false">INDEX(samples!$C$2:$C$887,MATCH($D69,#REF!,0),1)</f>
        <v>#VALUE!</v>
      </c>
      <c r="AE69" s="10" t="s">
        <v>6010</v>
      </c>
      <c r="AF69" s="10" t="s">
        <v>6011</v>
      </c>
      <c r="AG69" s="118"/>
    </row>
    <row r="70" customFormat="false" ht="13.8" hidden="false" customHeight="false" outlineLevel="0" collapsed="false">
      <c r="A70" s="37" t="s">
        <v>6012</v>
      </c>
      <c r="B70" s="113" t="e">
        <f aca="false">INDEX(#REF!,MATCH($A70, #REF!,0),1)</f>
        <v>#VALUE!</v>
      </c>
      <c r="C70" s="113" t="e">
        <f aca="false">INDEX(#REF!,MATCH($A70, #REF!,0),1)</f>
        <v>#VALUE!</v>
      </c>
      <c r="D70" s="113" t="e">
        <f aca="false">INDEX(#REF!,MATCH($A70, #REF!,0),1)</f>
        <v>#VALUE!</v>
      </c>
      <c r="E70" s="113" t="e">
        <f aca="false">INDEX(#REF!,MATCH($A70, #REF!,0),1)</f>
        <v>#VALUE!</v>
      </c>
      <c r="F70" s="113" t="e">
        <f aca="false">INDEX(participants!$K$1:$K$718,MATCH($B70,participants!$A$1:$A$718,0),1)</f>
        <v>#VALUE!</v>
      </c>
      <c r="G70" s="113" t="e">
        <f aca="false">INDEX(participants #REF!:participants #REF!,MATCH($B70,participants!$A$1:$A$718,0),1)</f>
        <v>#VALUE!</v>
      </c>
      <c r="H70" s="113" t="e">
        <f aca="false">INDEX(samples!$I$2:$I$887,MATCH($D70,#REF!,0),1)</f>
        <v>#VALUE!</v>
      </c>
      <c r="I70" s="114" t="e">
        <f aca="false">INDEX(samples!$C$2:$C$887,MATCH($D70,#REF!,0),1)</f>
        <v>#VALUE!</v>
      </c>
      <c r="AE70" s="10" t="s">
        <v>6013</v>
      </c>
      <c r="AF70" s="10" t="s">
        <v>6014</v>
      </c>
      <c r="AG70" s="118"/>
    </row>
    <row r="71" customFormat="false" ht="13.8" hidden="false" customHeight="false" outlineLevel="0" collapsed="false">
      <c r="A71" s="37" t="s">
        <v>6015</v>
      </c>
      <c r="B71" s="113" t="e">
        <f aca="false">INDEX(#REF!,MATCH($A71, #REF!,0),1)</f>
        <v>#VALUE!</v>
      </c>
      <c r="C71" s="113" t="e">
        <f aca="false">INDEX(#REF!,MATCH($A71, #REF!,0),1)</f>
        <v>#VALUE!</v>
      </c>
      <c r="D71" s="113" t="e">
        <f aca="false">INDEX(#REF!,MATCH($A71, #REF!,0),1)</f>
        <v>#VALUE!</v>
      </c>
      <c r="E71" s="113" t="e">
        <f aca="false">INDEX(#REF!,MATCH($A71, #REF!,0),1)</f>
        <v>#VALUE!</v>
      </c>
      <c r="F71" s="113" t="e">
        <f aca="false">INDEX(participants!$K$1:$K$718,MATCH($B71,participants!$A$1:$A$718,0),1)</f>
        <v>#VALUE!</v>
      </c>
      <c r="G71" s="113" t="e">
        <f aca="false">INDEX(participants #REF!:participants #REF!,MATCH($B71,participants!$A$1:$A$718,0),1)</f>
        <v>#VALUE!</v>
      </c>
      <c r="H71" s="113" t="e">
        <f aca="false">INDEX(samples!$I$2:$I$887,MATCH($D71,#REF!,0),1)</f>
        <v>#VALUE!</v>
      </c>
      <c r="I71" s="114" t="e">
        <f aca="false">INDEX(samples!$C$2:$C$887,MATCH($D71,#REF!,0),1)</f>
        <v>#VALUE!</v>
      </c>
      <c r="AE71" s="10"/>
      <c r="AF71" s="10" t="s">
        <v>4748</v>
      </c>
      <c r="AG71" s="118"/>
    </row>
    <row r="72" customFormat="false" ht="13.8" hidden="false" customHeight="false" outlineLevel="0" collapsed="false">
      <c r="A72" s="37" t="s">
        <v>6016</v>
      </c>
      <c r="B72" s="113" t="e">
        <f aca="false">INDEX(#REF!,MATCH($A72, #REF!,0),1)</f>
        <v>#VALUE!</v>
      </c>
      <c r="C72" s="113" t="e">
        <f aca="false">INDEX(#REF!,MATCH($A72, #REF!,0),1)</f>
        <v>#VALUE!</v>
      </c>
      <c r="D72" s="113" t="e">
        <f aca="false">INDEX(#REF!,MATCH($A72, #REF!,0),1)</f>
        <v>#VALUE!</v>
      </c>
      <c r="E72" s="113" t="e">
        <f aca="false">INDEX(#REF!,MATCH($A72, #REF!,0),1)</f>
        <v>#VALUE!</v>
      </c>
      <c r="F72" s="113" t="e">
        <f aca="false">INDEX(participants!$K$1:$K$718,MATCH($B72,participants!$A$1:$A$718,0),1)</f>
        <v>#VALUE!</v>
      </c>
      <c r="G72" s="113" t="e">
        <f aca="false">INDEX(participants #REF!:participants #REF!,MATCH($B72,participants!$A$1:$A$718,0),1)</f>
        <v>#VALUE!</v>
      </c>
      <c r="H72" s="113" t="e">
        <f aca="false">INDEX(samples!$I$2:$I$887,MATCH($D72,#REF!,0),1)</f>
        <v>#VALUE!</v>
      </c>
      <c r="I72" s="114" t="e">
        <f aca="false">INDEX(samples!$C$2:$C$887,MATCH($D72,#REF!,0),1)</f>
        <v>#VALUE!</v>
      </c>
      <c r="AE72" s="10"/>
      <c r="AF72" s="10" t="s">
        <v>4750</v>
      </c>
      <c r="AG72" s="118"/>
    </row>
    <row r="73" customFormat="false" ht="13.8" hidden="false" customHeight="false" outlineLevel="0" collapsed="false">
      <c r="A73" s="37" t="s">
        <v>6017</v>
      </c>
      <c r="B73" s="113" t="e">
        <f aca="false">INDEX(#REF!,MATCH($A73, #REF!,0),1)</f>
        <v>#VALUE!</v>
      </c>
      <c r="C73" s="113" t="e">
        <f aca="false">INDEX(#REF!,MATCH($A73, #REF!,0),1)</f>
        <v>#VALUE!</v>
      </c>
      <c r="D73" s="113" t="e">
        <f aca="false">INDEX(#REF!,MATCH($A73, #REF!,0),1)</f>
        <v>#VALUE!</v>
      </c>
      <c r="E73" s="113" t="e">
        <f aca="false">INDEX(#REF!,MATCH($A73, #REF!,0),1)</f>
        <v>#VALUE!</v>
      </c>
      <c r="F73" s="113" t="e">
        <f aca="false">INDEX(participants!$K$1:$K$718,MATCH($B73,participants!$A$1:$A$718,0),1)</f>
        <v>#VALUE!</v>
      </c>
      <c r="G73" s="113" t="e">
        <f aca="false">INDEX(participants #REF!:participants #REF!,MATCH($B73,participants!$A$1:$A$718,0),1)</f>
        <v>#VALUE!</v>
      </c>
      <c r="H73" s="113" t="e">
        <f aca="false">INDEX(samples!$I$2:$I$887,MATCH($D73,#REF!,0),1)</f>
        <v>#VALUE!</v>
      </c>
      <c r="I73" s="114" t="e">
        <f aca="false">INDEX(samples!$C$2:$C$887,MATCH($D73,#REF!,0),1)</f>
        <v>#VALUE!</v>
      </c>
      <c r="AE73" s="10" t="s">
        <v>6018</v>
      </c>
      <c r="AF73" s="10" t="s">
        <v>6019</v>
      </c>
      <c r="AG73" s="118"/>
    </row>
    <row r="74" customFormat="false" ht="13.8" hidden="false" customHeight="false" outlineLevel="0" collapsed="false">
      <c r="A74" s="37" t="s">
        <v>6020</v>
      </c>
      <c r="B74" s="113" t="e">
        <f aca="false">INDEX(#REF!,MATCH($A74, #REF!,0),1)</f>
        <v>#VALUE!</v>
      </c>
      <c r="C74" s="113" t="e">
        <f aca="false">INDEX(#REF!,MATCH($A74, #REF!,0),1)</f>
        <v>#VALUE!</v>
      </c>
      <c r="D74" s="113" t="e">
        <f aca="false">INDEX(#REF!,MATCH($A74, #REF!,0),1)</f>
        <v>#VALUE!</v>
      </c>
      <c r="E74" s="113" t="e">
        <f aca="false">INDEX(#REF!,MATCH($A74, #REF!,0),1)</f>
        <v>#VALUE!</v>
      </c>
      <c r="F74" s="113" t="e">
        <f aca="false">INDEX(participants!$K$1:$K$718,MATCH($B74,participants!$A$1:$A$718,0),1)</f>
        <v>#VALUE!</v>
      </c>
      <c r="G74" s="113" t="e">
        <f aca="false">INDEX(participants #REF!:participants #REF!,MATCH($B74,participants!$A$1:$A$718,0),1)</f>
        <v>#VALUE!</v>
      </c>
      <c r="H74" s="113" t="e">
        <f aca="false">INDEX(samples!$I$2:$I$887,MATCH($D74,#REF!,0),1)</f>
        <v>#VALUE!</v>
      </c>
      <c r="I74" s="114" t="e">
        <f aca="false">INDEX(samples!$C$2:$C$887,MATCH($D74,#REF!,0),1)</f>
        <v>#VALUE!</v>
      </c>
      <c r="AE74" s="10"/>
      <c r="AF74" s="10" t="s">
        <v>4742</v>
      </c>
      <c r="AG74" s="118"/>
    </row>
    <row r="75" customFormat="false" ht="79.85" hidden="false" customHeight="false" outlineLevel="0" collapsed="false">
      <c r="A75" s="37" t="s">
        <v>6021</v>
      </c>
      <c r="B75" s="113" t="e">
        <f aca="false">INDEX(#REF!,MATCH($A75, #REF!,0),1)</f>
        <v>#VALUE!</v>
      </c>
      <c r="C75" s="113" t="e">
        <f aca="false">INDEX(#REF!,MATCH($A75, #REF!,0),1)</f>
        <v>#VALUE!</v>
      </c>
      <c r="D75" s="113" t="e">
        <f aca="false">INDEX(#REF!,MATCH($A75, #REF!,0),1)</f>
        <v>#VALUE!</v>
      </c>
      <c r="E75" s="113" t="e">
        <f aca="false">INDEX(#REF!,MATCH($A75, #REF!,0),1)</f>
        <v>#VALUE!</v>
      </c>
      <c r="F75" s="113" t="e">
        <f aca="false">INDEX(participants!$K$1:$K$718,MATCH($B75,participants!$A$1:$A$718,0),1)</f>
        <v>#VALUE!</v>
      </c>
      <c r="G75" s="113" t="e">
        <f aca="false">INDEX(participants #REF!:participants #REF!,MATCH($B75,participants!$A$1:$A$718,0),1)</f>
        <v>#VALUE!</v>
      </c>
      <c r="H75" s="113" t="e">
        <f aca="false">INDEX(samples!$I$2:$I$887,MATCH($D75,#REF!,0),1)</f>
        <v>#VALUE!</v>
      </c>
      <c r="I75" s="114" t="e">
        <f aca="false">INDEX(samples!$C$2:$C$887,MATCH($D75,#REF!,0),1)</f>
        <v>#VALUE!</v>
      </c>
      <c r="J75" s="0" t="s">
        <v>487</v>
      </c>
      <c r="K75" s="0" t="s">
        <v>487</v>
      </c>
      <c r="L75" s="118"/>
      <c r="M75" s="0" t="s">
        <v>487</v>
      </c>
      <c r="N75" s="0" t="s">
        <v>487</v>
      </c>
      <c r="O75" s="0" t="s">
        <v>487</v>
      </c>
      <c r="P75" s="0" t="s">
        <v>487</v>
      </c>
      <c r="Q75" s="0" t="s">
        <v>487</v>
      </c>
      <c r="R75" s="0" t="s">
        <v>487</v>
      </c>
      <c r="S75" s="120" t="s">
        <v>487</v>
      </c>
      <c r="T75" s="120" t="s">
        <v>487</v>
      </c>
      <c r="U75" s="120" t="s">
        <v>487</v>
      </c>
      <c r="V75" s="120" t="s">
        <v>487</v>
      </c>
      <c r="W75" s="120" t="s">
        <v>487</v>
      </c>
      <c r="X75" s="120" t="s">
        <v>487</v>
      </c>
      <c r="Y75" s="120" t="s">
        <v>487</v>
      </c>
      <c r="Z75" s="120" t="s">
        <v>487</v>
      </c>
      <c r="AA75" s="0" t="s">
        <v>1824</v>
      </c>
      <c r="AB75" s="0" t="s">
        <v>6021</v>
      </c>
      <c r="AC75" s="96" t="s">
        <v>6022</v>
      </c>
      <c r="AD75" s="83" t="s">
        <v>511</v>
      </c>
      <c r="AF75" s="0" t="s">
        <v>942</v>
      </c>
      <c r="AG75" s="118"/>
      <c r="AH75" s="74"/>
      <c r="AI75" s="83"/>
      <c r="AJ75" s="83"/>
      <c r="AK75" s="83"/>
    </row>
    <row r="76" customFormat="false" ht="79.85" hidden="false" customHeight="false" outlineLevel="0" collapsed="false">
      <c r="A76" s="37" t="s">
        <v>6023</v>
      </c>
      <c r="B76" s="113" t="e">
        <f aca="false">INDEX(#REF!,MATCH($A76, #REF!,0),1)</f>
        <v>#VALUE!</v>
      </c>
      <c r="C76" s="113" t="e">
        <f aca="false">INDEX(#REF!,MATCH($A76, #REF!,0),1)</f>
        <v>#VALUE!</v>
      </c>
      <c r="D76" s="113" t="e">
        <f aca="false">INDEX(#REF!,MATCH($A76, #REF!,0),1)</f>
        <v>#VALUE!</v>
      </c>
      <c r="E76" s="113" t="e">
        <f aca="false">INDEX(#REF!,MATCH($A76, #REF!,0),1)</f>
        <v>#VALUE!</v>
      </c>
      <c r="F76" s="113" t="e">
        <f aca="false">INDEX(participants!$K$1:$K$718,MATCH($B76,participants!$A$1:$A$718,0),1)</f>
        <v>#VALUE!</v>
      </c>
      <c r="G76" s="113" t="e">
        <f aca="false">INDEX(participants #REF!:participants #REF!,MATCH($B76,participants!$A$1:$A$718,0),1)</f>
        <v>#VALUE!</v>
      </c>
      <c r="H76" s="113" t="e">
        <f aca="false">INDEX(samples!$I$2:$I$887,MATCH($D76,#REF!,0),1)</f>
        <v>#VALUE!</v>
      </c>
      <c r="I76" s="114" t="e">
        <f aca="false">INDEX(samples!$C$2:$C$887,MATCH($D76,#REF!,0),1)</f>
        <v>#VALUE!</v>
      </c>
      <c r="J76" s="0" t="s">
        <v>487</v>
      </c>
      <c r="K76" s="0" t="s">
        <v>487</v>
      </c>
      <c r="L76" s="118"/>
      <c r="M76" s="0" t="s">
        <v>487</v>
      </c>
      <c r="N76" s="0" t="s">
        <v>487</v>
      </c>
      <c r="O76" s="0" t="s">
        <v>487</v>
      </c>
      <c r="P76" s="0" t="s">
        <v>487</v>
      </c>
      <c r="Q76" s="0" t="s">
        <v>487</v>
      </c>
      <c r="R76" s="0" t="s">
        <v>487</v>
      </c>
      <c r="S76" s="120" t="s">
        <v>487</v>
      </c>
      <c r="T76" s="120" t="s">
        <v>487</v>
      </c>
      <c r="U76" s="120" t="s">
        <v>487</v>
      </c>
      <c r="V76" s="120" t="s">
        <v>487</v>
      </c>
      <c r="W76" s="120" t="s">
        <v>487</v>
      </c>
      <c r="X76" s="120" t="s">
        <v>487</v>
      </c>
      <c r="Y76" s="120" t="s">
        <v>487</v>
      </c>
      <c r="Z76" s="120" t="s">
        <v>487</v>
      </c>
      <c r="AA76" s="0" t="s">
        <v>3215</v>
      </c>
      <c r="AB76" s="0" t="s">
        <v>6021</v>
      </c>
      <c r="AC76" s="96" t="s">
        <v>6022</v>
      </c>
      <c r="AD76" s="83" t="s">
        <v>511</v>
      </c>
      <c r="AF76" s="0" t="s">
        <v>942</v>
      </c>
      <c r="AG76" s="118"/>
      <c r="AH76" s="74"/>
      <c r="AI76" s="83"/>
      <c r="AJ76" s="83"/>
      <c r="AK76" s="83"/>
    </row>
    <row r="77" customFormat="false" ht="91" hidden="false" customHeight="false" outlineLevel="0" collapsed="false">
      <c r="A77" s="37" t="s">
        <v>6024</v>
      </c>
      <c r="B77" s="113" t="e">
        <f aca="false">INDEX(#REF!,MATCH($A77, #REF!,0),1)</f>
        <v>#VALUE!</v>
      </c>
      <c r="C77" s="113" t="e">
        <f aca="false">INDEX(#REF!,MATCH($A77, #REF!,0),1)</f>
        <v>#VALUE!</v>
      </c>
      <c r="D77" s="113" t="e">
        <f aca="false">INDEX(#REF!,MATCH($A77, #REF!,0),1)</f>
        <v>#VALUE!</v>
      </c>
      <c r="E77" s="113" t="e">
        <f aca="false">INDEX(#REF!,MATCH($A77, #REF!,0),1)</f>
        <v>#VALUE!</v>
      </c>
      <c r="F77" s="113" t="e">
        <f aca="false">INDEX(participants!$K$1:$K$718,MATCH($B77,participants!$A$1:$A$718,0),1)</f>
        <v>#VALUE!</v>
      </c>
      <c r="G77" s="113" t="e">
        <f aca="false">INDEX(participants #REF!:participants #REF!,MATCH($B77,participants!$A$1:$A$718,0),1)</f>
        <v>#VALUE!</v>
      </c>
      <c r="H77" s="113" t="e">
        <f aca="false">INDEX(samples!$I$2:$I$887,MATCH($D77,#REF!,0),1)</f>
        <v>#VALUE!</v>
      </c>
      <c r="I77" s="114" t="e">
        <f aca="false">INDEX(samples!$C$2:$C$887,MATCH($D77,#REF!,0),1)</f>
        <v>#VALUE!</v>
      </c>
      <c r="J77" s="0" t="s">
        <v>511</v>
      </c>
      <c r="K77" s="83" t="s">
        <v>511</v>
      </c>
      <c r="L77" s="118"/>
      <c r="M77" s="0" t="s">
        <v>5667</v>
      </c>
      <c r="N77" s="83" t="s">
        <v>558</v>
      </c>
      <c r="O77" s="0" t="s">
        <v>558</v>
      </c>
      <c r="P77" s="0" t="s">
        <v>487</v>
      </c>
      <c r="Q77" s="0" t="s">
        <v>487</v>
      </c>
      <c r="R77" s="0" t="s">
        <v>558</v>
      </c>
      <c r="S77" s="120" t="s">
        <v>487</v>
      </c>
      <c r="T77" s="120" t="s">
        <v>487</v>
      </c>
      <c r="U77" s="120" t="s">
        <v>487</v>
      </c>
      <c r="V77" s="120" t="s">
        <v>487</v>
      </c>
      <c r="W77" s="120" t="s">
        <v>487</v>
      </c>
      <c r="X77" s="120" t="s">
        <v>487</v>
      </c>
      <c r="Y77" s="120" t="s">
        <v>487</v>
      </c>
      <c r="Z77" s="120" t="s">
        <v>487</v>
      </c>
      <c r="AA77" s="0" t="s">
        <v>3147</v>
      </c>
      <c r="AB77" s="0" t="s">
        <v>6021</v>
      </c>
      <c r="AC77" s="96" t="s">
        <v>6025</v>
      </c>
      <c r="AD77" s="83" t="s">
        <v>511</v>
      </c>
      <c r="AF77" s="0" t="s">
        <v>942</v>
      </c>
      <c r="AG77" s="118"/>
      <c r="AH77" s="74"/>
      <c r="AI77" s="83"/>
      <c r="AJ77" s="83"/>
      <c r="AK77" s="83"/>
    </row>
    <row r="78" customFormat="false" ht="13.8" hidden="false" customHeight="false" outlineLevel="0" collapsed="false">
      <c r="A78" s="37" t="s">
        <v>6026</v>
      </c>
      <c r="B78" s="113" t="e">
        <f aca="false">INDEX(#REF!,MATCH($A78, #REF!,0),1)</f>
        <v>#VALUE!</v>
      </c>
      <c r="C78" s="113" t="e">
        <f aca="false">INDEX(#REF!,MATCH($A78, #REF!,0),1)</f>
        <v>#VALUE!</v>
      </c>
      <c r="D78" s="113" t="e">
        <f aca="false">INDEX(#REF!,MATCH($A78, #REF!,0),1)</f>
        <v>#VALUE!</v>
      </c>
      <c r="E78" s="113" t="e">
        <f aca="false">INDEX(#REF!,MATCH($A78, #REF!,0),1)</f>
        <v>#VALUE!</v>
      </c>
      <c r="F78" s="113" t="e">
        <f aca="false">INDEX(participants!$K$1:$K$718,MATCH($B78,participants!$A$1:$A$718,0),1)</f>
        <v>#VALUE!</v>
      </c>
      <c r="G78" s="113" t="e">
        <f aca="false">INDEX(participants #REF!:participants #REF!,MATCH($B78,participants!$A$1:$A$718,0),1)</f>
        <v>#VALUE!</v>
      </c>
      <c r="H78" s="113" t="e">
        <f aca="false">INDEX(samples!$I$2:$I$887,MATCH($D78,#REF!,0),1)</f>
        <v>#VALUE!</v>
      </c>
      <c r="I78" s="114" t="e">
        <f aca="false">INDEX(samples!$C$2:$C$887,MATCH($D78,#REF!,0),1)</f>
        <v>#VALUE!</v>
      </c>
      <c r="J78" s="0" t="s">
        <v>511</v>
      </c>
      <c r="K78" s="83" t="s">
        <v>558</v>
      </c>
      <c r="L78" s="118"/>
      <c r="M78" s="0" t="s">
        <v>5841</v>
      </c>
      <c r="N78" s="83" t="s">
        <v>511</v>
      </c>
      <c r="O78" s="0" t="s">
        <v>511</v>
      </c>
      <c r="P78" s="0" t="s">
        <v>6027</v>
      </c>
      <c r="Q78" s="0" t="s">
        <v>6028</v>
      </c>
      <c r="R78" s="0" t="s">
        <v>558</v>
      </c>
      <c r="S78" s="120" t="s">
        <v>487</v>
      </c>
      <c r="T78" s="120" t="s">
        <v>487</v>
      </c>
      <c r="U78" s="120" t="s">
        <v>487</v>
      </c>
      <c r="V78" s="120" t="s">
        <v>487</v>
      </c>
      <c r="W78" s="120" t="s">
        <v>487</v>
      </c>
      <c r="X78" s="0" t="s">
        <v>6029</v>
      </c>
      <c r="Y78" s="120" t="s">
        <v>487</v>
      </c>
      <c r="Z78" s="120" t="s">
        <v>487</v>
      </c>
      <c r="AA78" s="0" t="s">
        <v>3147</v>
      </c>
      <c r="AB78" s="0" t="s">
        <v>6030</v>
      </c>
      <c r="AC78" s="0" t="s">
        <v>6031</v>
      </c>
      <c r="AD78" s="0" t="s">
        <v>558</v>
      </c>
      <c r="AF78" s="0" t="s">
        <v>1078</v>
      </c>
      <c r="AG78" s="118"/>
      <c r="AH78" s="74"/>
      <c r="AI78" s="83"/>
      <c r="AJ78" s="83"/>
      <c r="AK78" s="83"/>
    </row>
    <row r="79" customFormat="false" ht="13.8" hidden="false" customHeight="false" outlineLevel="0" collapsed="false">
      <c r="A79" s="37" t="s">
        <v>6032</v>
      </c>
      <c r="B79" s="113" t="e">
        <f aca="false">INDEX(#REF!,MATCH($A79, #REF!,0),1)</f>
        <v>#VALUE!</v>
      </c>
      <c r="C79" s="113" t="e">
        <f aca="false">INDEX(#REF!,MATCH($A79, #REF!,0),1)</f>
        <v>#VALUE!</v>
      </c>
      <c r="D79" s="113" t="e">
        <f aca="false">INDEX(#REF!,MATCH($A79, #REF!,0),1)</f>
        <v>#VALUE!</v>
      </c>
      <c r="E79" s="113" t="e">
        <f aca="false">INDEX(#REF!,MATCH($A79, #REF!,0),1)</f>
        <v>#VALUE!</v>
      </c>
      <c r="F79" s="113" t="e">
        <f aca="false">INDEX(participants!$K$1:$K$718,MATCH($B79,participants!$A$1:$A$718,0),1)</f>
        <v>#VALUE!</v>
      </c>
      <c r="G79" s="113" t="e">
        <f aca="false">INDEX(participants #REF!:participants #REF!,MATCH($B79,participants!$A$1:$A$718,0),1)</f>
        <v>#VALUE!</v>
      </c>
      <c r="H79" s="113" t="e">
        <f aca="false">INDEX(samples!$I$2:$I$887,MATCH($D79,#REF!,0),1)</f>
        <v>#VALUE!</v>
      </c>
      <c r="I79" s="114" t="e">
        <f aca="false">INDEX(samples!$C$2:$C$887,MATCH($D79,#REF!,0),1)</f>
        <v>#VALUE!</v>
      </c>
      <c r="J79" s="0" t="s">
        <v>511</v>
      </c>
      <c r="K79" s="83" t="s">
        <v>511</v>
      </c>
      <c r="L79" s="118"/>
      <c r="M79" s="0" t="s">
        <v>5667</v>
      </c>
      <c r="N79" s="83" t="s">
        <v>558</v>
      </c>
      <c r="O79" s="0" t="s">
        <v>558</v>
      </c>
      <c r="P79" s="0" t="s">
        <v>487</v>
      </c>
      <c r="Q79" s="0" t="s">
        <v>487</v>
      </c>
      <c r="R79" s="0" t="s">
        <v>558</v>
      </c>
      <c r="S79" s="120" t="s">
        <v>487</v>
      </c>
      <c r="T79" s="120" t="s">
        <v>487</v>
      </c>
      <c r="U79" s="120" t="s">
        <v>487</v>
      </c>
      <c r="V79" s="120" t="s">
        <v>487</v>
      </c>
      <c r="W79" s="120" t="s">
        <v>487</v>
      </c>
      <c r="X79" s="120" t="s">
        <v>487</v>
      </c>
      <c r="Y79" s="120" t="s">
        <v>487</v>
      </c>
      <c r="Z79" s="120" t="s">
        <v>487</v>
      </c>
      <c r="AA79" s="0" t="s">
        <v>3147</v>
      </c>
      <c r="AB79" s="0" t="s">
        <v>6030</v>
      </c>
      <c r="AC79" s="0" t="s">
        <v>6033</v>
      </c>
      <c r="AD79" s="83" t="s">
        <v>511</v>
      </c>
      <c r="AF79" s="83" t="s">
        <v>733</v>
      </c>
      <c r="AG79" s="118"/>
      <c r="AH79" s="74"/>
      <c r="AI79" s="83"/>
      <c r="AJ79" s="83"/>
      <c r="AK79" s="83"/>
    </row>
    <row r="80" customFormat="false" ht="13.8" hidden="false" customHeight="false" outlineLevel="0" collapsed="false">
      <c r="A80" s="37" t="s">
        <v>6034</v>
      </c>
      <c r="B80" s="113" t="e">
        <f aca="false">INDEX(#REF!,MATCH($A80, #REF!,0),1)</f>
        <v>#VALUE!</v>
      </c>
      <c r="C80" s="113" t="e">
        <f aca="false">INDEX(#REF!,MATCH($A80, #REF!,0),1)</f>
        <v>#VALUE!</v>
      </c>
      <c r="D80" s="113" t="e">
        <f aca="false">INDEX(#REF!,MATCH($A80, #REF!,0),1)</f>
        <v>#VALUE!</v>
      </c>
      <c r="E80" s="113" t="e">
        <f aca="false">INDEX(#REF!,MATCH($A80, #REF!,0),1)</f>
        <v>#VALUE!</v>
      </c>
      <c r="F80" s="113" t="e">
        <f aca="false">INDEX(participants!$K$1:$K$718,MATCH($B80,participants!$A$1:$A$718,0),1)</f>
        <v>#VALUE!</v>
      </c>
      <c r="G80" s="113" t="e">
        <f aca="false">INDEX(participants #REF!:participants #REF!,MATCH($B80,participants!$A$1:$A$718,0),1)</f>
        <v>#VALUE!</v>
      </c>
      <c r="H80" s="113" t="e">
        <f aca="false">INDEX(samples!$I$2:$I$887,MATCH($D80,#REF!,0),1)</f>
        <v>#VALUE!</v>
      </c>
      <c r="I80" s="114" t="e">
        <f aca="false">INDEX(samples!$C$2:$C$887,MATCH($D80,#REF!,0),1)</f>
        <v>#VALUE!</v>
      </c>
      <c r="J80" s="0" t="s">
        <v>511</v>
      </c>
      <c r="K80" s="83" t="s">
        <v>511</v>
      </c>
      <c r="L80" s="118"/>
      <c r="M80" s="0" t="s">
        <v>5667</v>
      </c>
      <c r="N80" s="83" t="s">
        <v>558</v>
      </c>
      <c r="O80" s="0" t="s">
        <v>558</v>
      </c>
      <c r="P80" s="0" t="s">
        <v>487</v>
      </c>
      <c r="Q80" s="0" t="s">
        <v>487</v>
      </c>
      <c r="R80" s="0" t="s">
        <v>558</v>
      </c>
      <c r="S80" s="120" t="s">
        <v>487</v>
      </c>
      <c r="T80" s="120" t="s">
        <v>487</v>
      </c>
      <c r="U80" s="120" t="s">
        <v>487</v>
      </c>
      <c r="V80" s="120" t="s">
        <v>487</v>
      </c>
      <c r="W80" s="120" t="s">
        <v>487</v>
      </c>
      <c r="X80" s="120" t="s">
        <v>487</v>
      </c>
      <c r="Y80" s="120" t="s">
        <v>487</v>
      </c>
      <c r="Z80" s="120" t="s">
        <v>487</v>
      </c>
      <c r="AA80" s="0" t="s">
        <v>3147</v>
      </c>
      <c r="AB80" s="0" t="s">
        <v>6030</v>
      </c>
      <c r="AC80" s="0" t="s">
        <v>6033</v>
      </c>
      <c r="AD80" s="0" t="s">
        <v>558</v>
      </c>
      <c r="AF80" s="83" t="s">
        <v>733</v>
      </c>
      <c r="AG80" s="118"/>
      <c r="AH80" s="74"/>
      <c r="AI80" s="83"/>
      <c r="AJ80" s="83"/>
      <c r="AK80" s="83"/>
    </row>
    <row r="81" customFormat="false" ht="13.8" hidden="false" customHeight="false" outlineLevel="0" collapsed="false">
      <c r="A81" s="37" t="s">
        <v>6035</v>
      </c>
      <c r="B81" s="113" t="e">
        <f aca="false">INDEX(#REF!,MATCH($A81, #REF!,0),1)</f>
        <v>#VALUE!</v>
      </c>
      <c r="C81" s="113" t="e">
        <f aca="false">INDEX(#REF!,MATCH($A81, #REF!,0),1)</f>
        <v>#VALUE!</v>
      </c>
      <c r="D81" s="113" t="e">
        <f aca="false">INDEX(#REF!,MATCH($A81, #REF!,0),1)</f>
        <v>#VALUE!</v>
      </c>
      <c r="E81" s="113" t="e">
        <f aca="false">INDEX(#REF!,MATCH($A81, #REF!,0),1)</f>
        <v>#VALUE!</v>
      </c>
      <c r="F81" s="113" t="e">
        <f aca="false">INDEX(participants!$K$1:$K$718,MATCH($B81,participants!$A$1:$A$718,0),1)</f>
        <v>#VALUE!</v>
      </c>
      <c r="G81" s="113" t="e">
        <f aca="false">INDEX(participants #REF!:participants #REF!,MATCH($B81,participants!$A$1:$A$718,0),1)</f>
        <v>#VALUE!</v>
      </c>
      <c r="H81" s="113" t="e">
        <f aca="false">INDEX(samples!$I$2:$I$887,MATCH($D81,#REF!,0),1)</f>
        <v>#VALUE!</v>
      </c>
      <c r="I81" s="114" t="e">
        <f aca="false">INDEX(samples!$C$2:$C$887,MATCH($D81,#REF!,0),1)</f>
        <v>#VALUE!</v>
      </c>
      <c r="J81" s="0" t="s">
        <v>511</v>
      </c>
      <c r="K81" s="83" t="s">
        <v>511</v>
      </c>
      <c r="L81" s="118"/>
      <c r="M81" s="0" t="s">
        <v>487</v>
      </c>
      <c r="N81" s="0" t="s">
        <v>487</v>
      </c>
      <c r="O81" s="0" t="s">
        <v>487</v>
      </c>
      <c r="P81" s="0" t="s">
        <v>487</v>
      </c>
      <c r="Q81" s="0" t="s">
        <v>487</v>
      </c>
      <c r="R81" s="0" t="s">
        <v>511</v>
      </c>
      <c r="S81" s="0" t="n">
        <v>1</v>
      </c>
      <c r="T81" s="120" t="s">
        <v>487</v>
      </c>
      <c r="U81" s="120" t="s">
        <v>487</v>
      </c>
      <c r="V81" s="120" t="s">
        <v>487</v>
      </c>
      <c r="W81" s="120" t="s">
        <v>487</v>
      </c>
      <c r="X81" s="120" t="s">
        <v>487</v>
      </c>
      <c r="Y81" s="120" t="s">
        <v>487</v>
      </c>
      <c r="Z81" s="120" t="s">
        <v>487</v>
      </c>
      <c r="AA81" s="0" t="s">
        <v>3147</v>
      </c>
      <c r="AB81" s="0" t="s">
        <v>6030</v>
      </c>
      <c r="AC81" s="0" t="s">
        <v>6036</v>
      </c>
      <c r="AD81" s="83" t="s">
        <v>511</v>
      </c>
      <c r="AF81" s="83" t="s">
        <v>737</v>
      </c>
      <c r="AG81" s="118"/>
      <c r="AH81" s="74"/>
      <c r="AI81" s="83"/>
      <c r="AJ81" s="83"/>
      <c r="AK81" s="83"/>
    </row>
    <row r="82" customFormat="false" ht="13.8" hidden="false" customHeight="false" outlineLevel="0" collapsed="false">
      <c r="A82" s="37" t="s">
        <v>6037</v>
      </c>
      <c r="B82" s="113" t="e">
        <f aca="false">INDEX(#REF!,MATCH($A82, #REF!,0),1)</f>
        <v>#VALUE!</v>
      </c>
      <c r="C82" s="113" t="e">
        <f aca="false">INDEX(#REF!,MATCH($A82, #REF!,0),1)</f>
        <v>#VALUE!</v>
      </c>
      <c r="D82" s="113" t="e">
        <f aca="false">INDEX(#REF!,MATCH($A82, #REF!,0),1)</f>
        <v>#VALUE!</v>
      </c>
      <c r="E82" s="113" t="e">
        <f aca="false">INDEX(#REF!,MATCH($A82, #REF!,0),1)</f>
        <v>#VALUE!</v>
      </c>
      <c r="F82" s="113" t="e">
        <f aca="false">INDEX(participants!$K$1:$K$718,MATCH($B82,participants!$A$1:$A$718,0),1)</f>
        <v>#VALUE!</v>
      </c>
      <c r="G82" s="113" t="e">
        <f aca="false">INDEX(participants #REF!:participants #REF!,MATCH($B82,participants!$A$1:$A$718,0),1)</f>
        <v>#VALUE!</v>
      </c>
      <c r="H82" s="113" t="e">
        <f aca="false">INDEX(samples!$I$2:$I$887,MATCH($D82,#REF!,0),1)</f>
        <v>#VALUE!</v>
      </c>
      <c r="I82" s="114" t="e">
        <f aca="false">INDEX(samples!$C$2:$C$887,MATCH($D82,#REF!,0),1)</f>
        <v>#VALUE!</v>
      </c>
      <c r="J82" s="0" t="s">
        <v>487</v>
      </c>
      <c r="K82" s="0" t="s">
        <v>487</v>
      </c>
      <c r="L82" s="118"/>
      <c r="M82" s="0" t="s">
        <v>487</v>
      </c>
      <c r="N82" s="0" t="s">
        <v>487</v>
      </c>
      <c r="O82" s="0" t="s">
        <v>487</v>
      </c>
      <c r="P82" s="0" t="s">
        <v>487</v>
      </c>
      <c r="Q82" s="0" t="s">
        <v>487</v>
      </c>
      <c r="R82" s="0" t="s">
        <v>487</v>
      </c>
      <c r="S82" s="120" t="s">
        <v>487</v>
      </c>
      <c r="T82" s="120" t="s">
        <v>487</v>
      </c>
      <c r="U82" s="120" t="s">
        <v>487</v>
      </c>
      <c r="V82" s="120" t="s">
        <v>487</v>
      </c>
      <c r="W82" s="120" t="s">
        <v>487</v>
      </c>
      <c r="X82" s="120" t="s">
        <v>487</v>
      </c>
      <c r="Y82" s="120" t="s">
        <v>487</v>
      </c>
      <c r="Z82" s="120" t="s">
        <v>487</v>
      </c>
      <c r="AA82" s="0" t="s">
        <v>3215</v>
      </c>
      <c r="AB82" s="0" t="s">
        <v>6030</v>
      </c>
      <c r="AC82" s="0" t="s">
        <v>6036</v>
      </c>
      <c r="AD82" s="83" t="s">
        <v>511</v>
      </c>
      <c r="AF82" s="83" t="s">
        <v>737</v>
      </c>
      <c r="AG82" s="118"/>
      <c r="AH82" s="74"/>
      <c r="AI82" s="83"/>
      <c r="AJ82" s="83"/>
      <c r="AK82" s="83"/>
    </row>
    <row r="83" customFormat="false" ht="13.8" hidden="false" customHeight="false" outlineLevel="0" collapsed="false">
      <c r="A83" s="37" t="s">
        <v>6038</v>
      </c>
      <c r="B83" s="113" t="e">
        <f aca="false">INDEX(#REF!,MATCH($A83, #REF!,0),1)</f>
        <v>#VALUE!</v>
      </c>
      <c r="C83" s="113" t="e">
        <f aca="false">INDEX(#REF!,MATCH($A83, #REF!,0),1)</f>
        <v>#VALUE!</v>
      </c>
      <c r="D83" s="113" t="e">
        <f aca="false">INDEX(#REF!,MATCH($A83, #REF!,0),1)</f>
        <v>#VALUE!</v>
      </c>
      <c r="E83" s="113" t="e">
        <f aca="false">INDEX(#REF!,MATCH($A83, #REF!,0),1)</f>
        <v>#VALUE!</v>
      </c>
      <c r="F83" s="113" t="e">
        <f aca="false">INDEX(participants!$K$1:$K$718,MATCH($B83,participants!$A$1:$A$718,0),1)</f>
        <v>#VALUE!</v>
      </c>
      <c r="G83" s="113" t="e">
        <f aca="false">INDEX(participants #REF!:participants #REF!,MATCH($B83,participants!$A$1:$A$718,0),1)</f>
        <v>#VALUE!</v>
      </c>
      <c r="H83" s="113" t="e">
        <f aca="false">INDEX(samples!$I$2:$I$887,MATCH($D83,#REF!,0),1)</f>
        <v>#VALUE!</v>
      </c>
      <c r="I83" s="114" t="e">
        <f aca="false">INDEX(samples!$C$2:$C$887,MATCH($D83,#REF!,0),1)</f>
        <v>#VALUE!</v>
      </c>
      <c r="J83" s="0" t="s">
        <v>558</v>
      </c>
      <c r="K83" s="83" t="s">
        <v>511</v>
      </c>
      <c r="L83" s="118"/>
      <c r="M83" s="0" t="s">
        <v>487</v>
      </c>
      <c r="N83" s="0" t="s">
        <v>487</v>
      </c>
      <c r="O83" s="0" t="s">
        <v>487</v>
      </c>
      <c r="P83" s="0" t="s">
        <v>487</v>
      </c>
      <c r="Q83" s="0" t="s">
        <v>487</v>
      </c>
      <c r="R83" s="0" t="s">
        <v>511</v>
      </c>
      <c r="S83" s="0" t="n">
        <v>2</v>
      </c>
      <c r="T83" s="120" t="s">
        <v>558</v>
      </c>
      <c r="U83" s="120" t="s">
        <v>487</v>
      </c>
      <c r="V83" s="120" t="s">
        <v>487</v>
      </c>
      <c r="W83" s="120" t="s">
        <v>487</v>
      </c>
      <c r="X83" s="120" t="s">
        <v>487</v>
      </c>
      <c r="Y83" s="120" t="s">
        <v>487</v>
      </c>
      <c r="Z83" s="120" t="s">
        <v>487</v>
      </c>
      <c r="AA83" s="0" t="s">
        <v>3147</v>
      </c>
      <c r="AB83" s="0" t="s">
        <v>6030</v>
      </c>
      <c r="AC83" s="0" t="s">
        <v>6036</v>
      </c>
      <c r="AD83" s="0" t="s">
        <v>558</v>
      </c>
      <c r="AF83" s="83" t="s">
        <v>737</v>
      </c>
      <c r="AG83" s="118"/>
      <c r="AH83" s="74"/>
      <c r="AI83" s="83"/>
      <c r="AJ83" s="83"/>
      <c r="AK83" s="83"/>
    </row>
    <row r="84" customFormat="false" ht="17.25" hidden="false" customHeight="true" outlineLevel="0" collapsed="false">
      <c r="A84" s="37" t="s">
        <v>6039</v>
      </c>
      <c r="B84" s="113" t="e">
        <f aca="false">INDEX(#REF!,MATCH($A84, #REF!,0),1)</f>
        <v>#VALUE!</v>
      </c>
      <c r="C84" s="113" t="e">
        <f aca="false">INDEX(#REF!,MATCH($A84, #REF!,0),1)</f>
        <v>#VALUE!</v>
      </c>
      <c r="D84" s="113" t="e">
        <f aca="false">INDEX(#REF!,MATCH($A84, #REF!,0),1)</f>
        <v>#VALUE!</v>
      </c>
      <c r="E84" s="113" t="e">
        <f aca="false">INDEX(#REF!,MATCH($A84, #REF!,0),1)</f>
        <v>#VALUE!</v>
      </c>
      <c r="F84" s="113" t="e">
        <f aca="false">INDEX(participants!$K$1:$K$718,MATCH($B84,participants!$A$1:$A$718,0),1)</f>
        <v>#VALUE!</v>
      </c>
      <c r="G84" s="113" t="e">
        <f aca="false">INDEX(participants #REF!:participants #REF!,MATCH($B84,participants!$A$1:$A$718,0),1)</f>
        <v>#VALUE!</v>
      </c>
      <c r="H84" s="113" t="e">
        <f aca="false">INDEX(samples!$I$2:$I$887,MATCH($D84,#REF!,0),1)</f>
        <v>#VALUE!</v>
      </c>
      <c r="I84" s="114" t="e">
        <f aca="false">INDEX(samples!$C$2:$C$887,MATCH($D84,#REF!,0),1)</f>
        <v>#VALUE!</v>
      </c>
      <c r="J84" s="0" t="s">
        <v>511</v>
      </c>
      <c r="K84" s="83" t="s">
        <v>511</v>
      </c>
      <c r="L84" s="118"/>
      <c r="M84" s="0" t="s">
        <v>487</v>
      </c>
      <c r="N84" s="0" t="s">
        <v>487</v>
      </c>
      <c r="O84" s="0" t="s">
        <v>487</v>
      </c>
      <c r="P84" s="0" t="s">
        <v>487</v>
      </c>
      <c r="Q84" s="0" t="s">
        <v>487</v>
      </c>
      <c r="R84" s="0" t="s">
        <v>558</v>
      </c>
      <c r="S84" s="120" t="s">
        <v>487</v>
      </c>
      <c r="T84" s="120" t="s">
        <v>487</v>
      </c>
      <c r="U84" s="120" t="s">
        <v>487</v>
      </c>
      <c r="V84" s="120" t="s">
        <v>487</v>
      </c>
      <c r="W84" s="120" t="s">
        <v>487</v>
      </c>
      <c r="X84" s="120" t="s">
        <v>487</v>
      </c>
      <c r="Y84" s="120" t="s">
        <v>487</v>
      </c>
      <c r="Z84" s="120" t="s">
        <v>487</v>
      </c>
      <c r="AA84" s="0" t="s">
        <v>3147</v>
      </c>
      <c r="AB84" s="0" t="s">
        <v>6030</v>
      </c>
      <c r="AC84" s="0" t="s">
        <v>6040</v>
      </c>
      <c r="AD84" s="83" t="s">
        <v>511</v>
      </c>
      <c r="AF84" s="83" t="s">
        <v>742</v>
      </c>
      <c r="AG84" s="118"/>
      <c r="AH84" s="74"/>
      <c r="AI84" s="83"/>
      <c r="AJ84" s="83"/>
      <c r="AK84" s="83"/>
    </row>
    <row r="85" customFormat="false" ht="20.25" hidden="false" customHeight="true" outlineLevel="0" collapsed="false">
      <c r="A85" s="37" t="s">
        <v>6041</v>
      </c>
      <c r="B85" s="113" t="e">
        <f aca="false">INDEX(#REF!,MATCH($A85, #REF!,0),1)</f>
        <v>#VALUE!</v>
      </c>
      <c r="C85" s="113" t="e">
        <f aca="false">INDEX(#REF!,MATCH($A85, #REF!,0),1)</f>
        <v>#VALUE!</v>
      </c>
      <c r="D85" s="113" t="e">
        <f aca="false">INDEX(#REF!,MATCH($A85, #REF!,0),1)</f>
        <v>#VALUE!</v>
      </c>
      <c r="E85" s="113" t="e">
        <f aca="false">INDEX(#REF!,MATCH($A85, #REF!,0),1)</f>
        <v>#VALUE!</v>
      </c>
      <c r="F85" s="113" t="e">
        <f aca="false">INDEX(participants!$K$1:$K$718,MATCH($B85,participants!$A$1:$A$718,0),1)</f>
        <v>#VALUE!</v>
      </c>
      <c r="G85" s="113" t="e">
        <f aca="false">INDEX(participants #REF!:participants #REF!,MATCH($B85,participants!$A$1:$A$718,0),1)</f>
        <v>#VALUE!</v>
      </c>
      <c r="H85" s="113" t="e">
        <f aca="false">INDEX(samples!$I$2:$I$887,MATCH($D85,#REF!,0),1)</f>
        <v>#VALUE!</v>
      </c>
      <c r="I85" s="114" t="e">
        <f aca="false">INDEX(samples!$C$2:$C$887,MATCH($D85,#REF!,0),1)</f>
        <v>#VALUE!</v>
      </c>
      <c r="J85" s="15" t="s">
        <v>511</v>
      </c>
      <c r="K85" s="122"/>
      <c r="L85" s="122"/>
      <c r="M85" s="15" t="s">
        <v>5841</v>
      </c>
      <c r="N85" s="122" t="s">
        <v>511</v>
      </c>
      <c r="O85" s="15" t="s">
        <v>558</v>
      </c>
      <c r="P85" s="15"/>
      <c r="Q85" s="15"/>
      <c r="R85" s="15" t="s">
        <v>558</v>
      </c>
      <c r="S85" s="123" t="s">
        <v>487</v>
      </c>
      <c r="T85" s="123" t="s">
        <v>487</v>
      </c>
      <c r="U85" s="123" t="s">
        <v>487</v>
      </c>
      <c r="V85" s="123" t="s">
        <v>487</v>
      </c>
      <c r="W85" s="123" t="s">
        <v>487</v>
      </c>
      <c r="X85" s="15"/>
      <c r="Y85" s="123" t="s">
        <v>487</v>
      </c>
      <c r="Z85" s="123" t="s">
        <v>487</v>
      </c>
      <c r="AA85" s="15" t="s">
        <v>3147</v>
      </c>
      <c r="AB85" s="15" t="s">
        <v>6030</v>
      </c>
      <c r="AC85" s="15"/>
      <c r="AD85" s="15" t="s">
        <v>558</v>
      </c>
      <c r="AE85" s="122"/>
      <c r="AF85" s="122" t="s">
        <v>1074</v>
      </c>
      <c r="AG85" s="122"/>
      <c r="AH85" s="74"/>
      <c r="AI85" s="83"/>
      <c r="AJ85" s="83"/>
      <c r="AK85" s="83"/>
    </row>
    <row r="86" customFormat="false" ht="13.8" hidden="false" customHeight="false" outlineLevel="0" collapsed="false">
      <c r="A86" s="37" t="s">
        <v>6042</v>
      </c>
      <c r="B86" s="113" t="e">
        <f aca="false">INDEX(#REF!,MATCH($A86, #REF!,0),1)</f>
        <v>#VALUE!</v>
      </c>
      <c r="C86" s="113" t="e">
        <f aca="false">INDEX(#REF!,MATCH($A86, #REF!,0),1)</f>
        <v>#VALUE!</v>
      </c>
      <c r="D86" s="113" t="e">
        <f aca="false">INDEX(#REF!,MATCH($A86, #REF!,0),1)</f>
        <v>#VALUE!</v>
      </c>
      <c r="E86" s="113" t="e">
        <f aca="false">INDEX(#REF!,MATCH($A86, #REF!,0),1)</f>
        <v>#VALUE!</v>
      </c>
      <c r="F86" s="113" t="e">
        <f aca="false">INDEX(participants!$K$1:$K$718,MATCH($B86,participants!$A$1:$A$718,0),1)</f>
        <v>#VALUE!</v>
      </c>
      <c r="G86" s="113" t="e">
        <f aca="false">INDEX(participants #REF!:participants #REF!,MATCH($B86,participants!$A$1:$A$718,0),1)</f>
        <v>#VALUE!</v>
      </c>
      <c r="H86" s="113" t="e">
        <f aca="false">INDEX(samples!$I$2:$I$887,MATCH($D86,#REF!,0),1)</f>
        <v>#VALUE!</v>
      </c>
      <c r="I86" s="114" t="e">
        <f aca="false">INDEX(samples!$C$2:$C$887,MATCH($D86,#REF!,0),1)</f>
        <v>#VALUE!</v>
      </c>
      <c r="J86" s="0" t="s">
        <v>511</v>
      </c>
      <c r="K86" s="83" t="s">
        <v>511</v>
      </c>
      <c r="L86" s="118"/>
      <c r="M86" s="0" t="s">
        <v>487</v>
      </c>
      <c r="N86" s="0" t="s">
        <v>487</v>
      </c>
      <c r="O86" s="0" t="s">
        <v>487</v>
      </c>
      <c r="P86" s="0" t="s">
        <v>487</v>
      </c>
      <c r="Q86" s="0" t="s">
        <v>487</v>
      </c>
      <c r="R86" s="0" t="s">
        <v>558</v>
      </c>
      <c r="S86" s="120" t="s">
        <v>487</v>
      </c>
      <c r="T86" s="120" t="s">
        <v>487</v>
      </c>
      <c r="U86" s="120" t="s">
        <v>487</v>
      </c>
      <c r="V86" s="120" t="s">
        <v>487</v>
      </c>
      <c r="W86" s="120" t="s">
        <v>487</v>
      </c>
      <c r="X86" s="120" t="s">
        <v>487</v>
      </c>
      <c r="Y86" s="120" t="s">
        <v>487</v>
      </c>
      <c r="Z86" s="120" t="s">
        <v>487</v>
      </c>
      <c r="AA86" s="0" t="s">
        <v>3147</v>
      </c>
      <c r="AB86" s="0" t="s">
        <v>6030</v>
      </c>
      <c r="AC86" s="0" t="s">
        <v>6036</v>
      </c>
      <c r="AD86" s="83" t="s">
        <v>511</v>
      </c>
      <c r="AE86" s="83"/>
      <c r="AF86" s="83" t="s">
        <v>746</v>
      </c>
      <c r="AG86" s="118"/>
      <c r="AH86" s="74"/>
      <c r="AI86" s="83"/>
      <c r="AJ86" s="83"/>
      <c r="AK86" s="83"/>
    </row>
    <row r="87" customFormat="false" ht="13.8" hidden="false" customHeight="false" outlineLevel="0" collapsed="false">
      <c r="A87" s="37" t="s">
        <v>6043</v>
      </c>
      <c r="B87" s="113" t="e">
        <f aca="false">INDEX(#REF!,MATCH($A87, #REF!,0),1)</f>
        <v>#VALUE!</v>
      </c>
      <c r="C87" s="113" t="e">
        <f aca="false">INDEX(#REF!,MATCH($A87, #REF!,0),1)</f>
        <v>#VALUE!</v>
      </c>
      <c r="D87" s="113" t="e">
        <f aca="false">INDEX(#REF!,MATCH($A87, #REF!,0),1)</f>
        <v>#VALUE!</v>
      </c>
      <c r="E87" s="113" t="e">
        <f aca="false">INDEX(#REF!,MATCH($A87, #REF!,0),1)</f>
        <v>#VALUE!</v>
      </c>
      <c r="F87" s="113" t="e">
        <f aca="false">INDEX(participants!$K$1:$K$718,MATCH($B87,participants!$A$1:$A$718,0),1)</f>
        <v>#VALUE!</v>
      </c>
      <c r="G87" s="113" t="e">
        <f aca="false">INDEX(participants #REF!:participants #REF!,MATCH($B87,participants!$A$1:$A$718,0),1)</f>
        <v>#VALUE!</v>
      </c>
      <c r="H87" s="113" t="e">
        <f aca="false">INDEX(samples!$I$2:$I$887,MATCH($D87,#REF!,0),1)</f>
        <v>#VALUE!</v>
      </c>
      <c r="I87" s="114" t="e">
        <f aca="false">INDEX(samples!$C$2:$C$887,MATCH($D87,#REF!,0),1)</f>
        <v>#VALUE!</v>
      </c>
      <c r="J87" s="15" t="s">
        <v>511</v>
      </c>
      <c r="K87" s="122"/>
      <c r="L87" s="122"/>
      <c r="M87" s="15"/>
      <c r="N87" s="122"/>
      <c r="O87" s="15"/>
      <c r="P87" s="15"/>
      <c r="Q87" s="15"/>
      <c r="R87" s="15" t="s">
        <v>558</v>
      </c>
      <c r="S87" s="123" t="s">
        <v>487</v>
      </c>
      <c r="T87" s="123" t="s">
        <v>487</v>
      </c>
      <c r="U87" s="123" t="s">
        <v>487</v>
      </c>
      <c r="V87" s="123" t="s">
        <v>487</v>
      </c>
      <c r="W87" s="123" t="s">
        <v>487</v>
      </c>
      <c r="X87" s="15"/>
      <c r="Y87" s="123" t="s">
        <v>487</v>
      </c>
      <c r="Z87" s="123" t="s">
        <v>487</v>
      </c>
      <c r="AA87" s="15" t="s">
        <v>3147</v>
      </c>
      <c r="AB87" s="15" t="s">
        <v>6030</v>
      </c>
      <c r="AC87" s="15"/>
      <c r="AD87" s="15" t="s">
        <v>558</v>
      </c>
      <c r="AE87" s="122"/>
      <c r="AF87" s="122" t="s">
        <v>746</v>
      </c>
      <c r="AG87" s="122"/>
      <c r="AH87" s="74"/>
      <c r="AI87" s="83"/>
      <c r="AJ87" s="83"/>
      <c r="AK87" s="83"/>
    </row>
    <row r="88" customFormat="false" ht="27.75" hidden="false" customHeight="true" outlineLevel="0" collapsed="false">
      <c r="A88" s="37" t="s">
        <v>6044</v>
      </c>
      <c r="B88" s="113" t="e">
        <f aca="false">INDEX(#REF!,MATCH($A88, #REF!,0),1)</f>
        <v>#VALUE!</v>
      </c>
      <c r="C88" s="113" t="e">
        <f aca="false">INDEX(#REF!,MATCH($A88, #REF!,0),1)</f>
        <v>#VALUE!</v>
      </c>
      <c r="D88" s="113" t="e">
        <f aca="false">INDEX(#REF!,MATCH($A88, #REF!,0),1)</f>
        <v>#VALUE!</v>
      </c>
      <c r="E88" s="113" t="e">
        <f aca="false">INDEX(#REF!,MATCH($A88, #REF!,0),1)</f>
        <v>#VALUE!</v>
      </c>
      <c r="F88" s="113" t="e">
        <f aca="false">INDEX(participants!$K$1:$K$718,MATCH($B88,participants!$A$1:$A$718,0),1)</f>
        <v>#VALUE!</v>
      </c>
      <c r="G88" s="113" t="e">
        <f aca="false">INDEX(participants #REF!:participants #REF!,MATCH($B88,participants!$A$1:$A$718,0),1)</f>
        <v>#VALUE!</v>
      </c>
      <c r="H88" s="113" t="e">
        <f aca="false">INDEX(samples!$I$2:$I$887,MATCH($D88,#REF!,0),1)</f>
        <v>#VALUE!</v>
      </c>
      <c r="I88" s="114" t="e">
        <f aca="false">INDEX(samples!$C$2:$C$887,MATCH($D88,#REF!,0),1)</f>
        <v>#VALUE!</v>
      </c>
      <c r="J88" s="8" t="s">
        <v>558</v>
      </c>
      <c r="K88" s="83" t="s">
        <v>511</v>
      </c>
      <c r="L88" s="83"/>
      <c r="M88" s="8" t="s">
        <v>5414</v>
      </c>
      <c r="N88" s="83" t="s">
        <v>511</v>
      </c>
      <c r="O88" s="8" t="s">
        <v>558</v>
      </c>
      <c r="P88" s="8" t="s">
        <v>6027</v>
      </c>
      <c r="Q88" s="8" t="s">
        <v>6045</v>
      </c>
      <c r="R88" s="8" t="s">
        <v>511</v>
      </c>
      <c r="S88" s="8" t="n">
        <v>2</v>
      </c>
      <c r="T88" s="8" t="s">
        <v>511</v>
      </c>
      <c r="U88" s="8" t="s">
        <v>5414</v>
      </c>
      <c r="V88" s="51" t="n">
        <v>44638</v>
      </c>
      <c r="W88" s="51" t="n">
        <v>44638</v>
      </c>
      <c r="X88" s="8" t="s">
        <v>6046</v>
      </c>
      <c r="Y88" s="124" t="s">
        <v>487</v>
      </c>
      <c r="Z88" s="124" t="s">
        <v>487</v>
      </c>
      <c r="AA88" s="8" t="s">
        <v>3147</v>
      </c>
      <c r="AB88" s="8" t="s">
        <v>6030</v>
      </c>
      <c r="AC88" s="8" t="s">
        <v>6047</v>
      </c>
      <c r="AD88" s="8" t="s">
        <v>558</v>
      </c>
      <c r="AE88" s="83"/>
      <c r="AF88" s="83" t="s">
        <v>751</v>
      </c>
      <c r="AG88" s="83" t="s">
        <v>526</v>
      </c>
      <c r="AH88" s="74"/>
      <c r="AI88" s="83"/>
      <c r="AJ88" s="83"/>
      <c r="AK88" s="83"/>
    </row>
    <row r="89" customFormat="false" ht="13.8" hidden="false" customHeight="false" outlineLevel="0" collapsed="false">
      <c r="A89" s="37" t="s">
        <v>6048</v>
      </c>
      <c r="B89" s="113" t="e">
        <f aca="false">INDEX(#REF!,MATCH($A89, #REF!,0),1)</f>
        <v>#VALUE!</v>
      </c>
      <c r="C89" s="113" t="e">
        <f aca="false">INDEX(#REF!,MATCH($A89, #REF!,0),1)</f>
        <v>#VALUE!</v>
      </c>
      <c r="D89" s="113" t="e">
        <f aca="false">INDEX(#REF!,MATCH($A89, #REF!,0),1)</f>
        <v>#VALUE!</v>
      </c>
      <c r="E89" s="113" t="e">
        <f aca="false">INDEX(#REF!,MATCH($A89, #REF!,0),1)</f>
        <v>#VALUE!</v>
      </c>
      <c r="F89" s="113" t="e">
        <f aca="false">INDEX(participants!$K$1:$K$718,MATCH($B89,participants!$A$1:$A$718,0),1)</f>
        <v>#VALUE!</v>
      </c>
      <c r="G89" s="113" t="e">
        <f aca="false">INDEX(participants #REF!:participants #REF!,MATCH($B89,participants!$A$1:$A$718,0),1)</f>
        <v>#VALUE!</v>
      </c>
      <c r="H89" s="113" t="e">
        <f aca="false">INDEX(samples!$I$2:$I$887,MATCH($D89,#REF!,0),1)</f>
        <v>#VALUE!</v>
      </c>
      <c r="I89" s="114" t="e">
        <f aca="false">INDEX(samples!$C$2:$C$887,MATCH($D89,#REF!,0),1)</f>
        <v>#VALUE!</v>
      </c>
      <c r="J89" s="8" t="s">
        <v>558</v>
      </c>
      <c r="K89" s="8" t="s">
        <v>511</v>
      </c>
      <c r="L89" s="83"/>
      <c r="M89" s="8" t="s">
        <v>5414</v>
      </c>
      <c r="N89" s="83" t="s">
        <v>511</v>
      </c>
      <c r="O89" s="8" t="s">
        <v>558</v>
      </c>
      <c r="P89" s="8" t="s">
        <v>6027</v>
      </c>
      <c r="Q89" s="8" t="s">
        <v>6045</v>
      </c>
      <c r="R89" s="8" t="s">
        <v>511</v>
      </c>
      <c r="S89" s="8" t="n">
        <v>3</v>
      </c>
      <c r="T89" s="8" t="s">
        <v>558</v>
      </c>
      <c r="U89" s="8" t="s">
        <v>487</v>
      </c>
      <c r="V89" s="8" t="s">
        <v>487</v>
      </c>
      <c r="W89" s="8" t="s">
        <v>487</v>
      </c>
      <c r="X89" s="8" t="s">
        <v>487</v>
      </c>
      <c r="Y89" s="124" t="s">
        <v>487</v>
      </c>
      <c r="Z89" s="124" t="s">
        <v>487</v>
      </c>
      <c r="AA89" s="8" t="s">
        <v>3147</v>
      </c>
      <c r="AB89" s="8" t="s">
        <v>6030</v>
      </c>
      <c r="AC89" s="8" t="s">
        <v>487</v>
      </c>
      <c r="AD89" s="8" t="s">
        <v>558</v>
      </c>
      <c r="AE89" s="8"/>
      <c r="AF89" s="83" t="s">
        <v>751</v>
      </c>
      <c r="AG89" s="83" t="s">
        <v>526</v>
      </c>
      <c r="AH89" s="74"/>
      <c r="AI89" s="83"/>
      <c r="AJ89" s="83"/>
      <c r="AK89" s="83"/>
    </row>
    <row r="90" customFormat="false" ht="13.8" hidden="false" customHeight="false" outlineLevel="0" collapsed="false">
      <c r="A90" s="37" t="s">
        <v>6049</v>
      </c>
      <c r="B90" s="113" t="e">
        <f aca="false">INDEX(#REF!,MATCH($A90, #REF!,0),1)</f>
        <v>#VALUE!</v>
      </c>
      <c r="C90" s="113" t="e">
        <f aca="false">INDEX(#REF!,MATCH($A90, #REF!,0),1)</f>
        <v>#VALUE!</v>
      </c>
      <c r="D90" s="113" t="e">
        <f aca="false">INDEX(#REF!,MATCH($A90, #REF!,0),1)</f>
        <v>#VALUE!</v>
      </c>
      <c r="E90" s="113" t="e">
        <f aca="false">INDEX(#REF!,MATCH($A90, #REF!,0),1)</f>
        <v>#VALUE!</v>
      </c>
      <c r="F90" s="113" t="e">
        <f aca="false">INDEX(participants!$K$1:$K$718,MATCH($B90,participants!$A$1:$A$718,0),1)</f>
        <v>#VALUE!</v>
      </c>
      <c r="G90" s="113" t="e">
        <f aca="false">INDEX(participants #REF!:participants #REF!,MATCH($B90,participants!$A$1:$A$718,0),1)</f>
        <v>#VALUE!</v>
      </c>
      <c r="H90" s="113" t="e">
        <f aca="false">INDEX(samples!$I$2:$I$887,MATCH($D90,#REF!,0),1)</f>
        <v>#VALUE!</v>
      </c>
      <c r="I90" s="114" t="e">
        <f aca="false">INDEX(samples!$C$2:$C$887,MATCH($D90,#REF!,0),1)</f>
        <v>#VALUE!</v>
      </c>
      <c r="J90" s="0" t="s">
        <v>511</v>
      </c>
      <c r="K90" s="0" t="s">
        <v>558</v>
      </c>
      <c r="L90" s="118"/>
      <c r="M90" s="0" t="s">
        <v>5841</v>
      </c>
      <c r="N90" s="83" t="s">
        <v>511</v>
      </c>
      <c r="O90" s="83" t="s">
        <v>511</v>
      </c>
      <c r="P90" s="0" t="s">
        <v>6050</v>
      </c>
      <c r="Q90" s="0" t="s">
        <v>6051</v>
      </c>
      <c r="R90" s="0" t="s">
        <v>511</v>
      </c>
      <c r="S90" s="0" t="n">
        <v>1</v>
      </c>
      <c r="T90" s="120" t="s">
        <v>487</v>
      </c>
      <c r="U90" s="120" t="s">
        <v>487</v>
      </c>
      <c r="V90" s="31" t="n">
        <v>43347</v>
      </c>
      <c r="W90" s="0" t="s">
        <v>5579</v>
      </c>
      <c r="X90" s="0" t="s">
        <v>6052</v>
      </c>
      <c r="Y90" s="120" t="s">
        <v>487</v>
      </c>
      <c r="Z90" s="120" t="s">
        <v>487</v>
      </c>
      <c r="AA90" s="0" t="s">
        <v>3147</v>
      </c>
      <c r="AB90" s="0" t="s">
        <v>6030</v>
      </c>
      <c r="AC90" s="0" t="s">
        <v>6036</v>
      </c>
      <c r="AD90" s="0" t="s">
        <v>511</v>
      </c>
      <c r="AF90" s="0" t="s">
        <v>757</v>
      </c>
      <c r="AG90" s="118"/>
    </row>
    <row r="91" customFormat="false" ht="13.8" hidden="false" customHeight="false" outlineLevel="0" collapsed="false">
      <c r="A91" s="37" t="s">
        <v>6053</v>
      </c>
      <c r="B91" s="113" t="e">
        <f aca="false">INDEX(#REF!,MATCH($A91, #REF!,0),1)</f>
        <v>#VALUE!</v>
      </c>
      <c r="C91" s="113" t="e">
        <f aca="false">INDEX(#REF!,MATCH($A91, #REF!,0),1)</f>
        <v>#VALUE!</v>
      </c>
      <c r="D91" s="113" t="e">
        <f aca="false">INDEX(#REF!,MATCH($A91, #REF!,0),1)</f>
        <v>#VALUE!</v>
      </c>
      <c r="E91" s="113" t="e">
        <f aca="false">INDEX(#REF!,MATCH($A91, #REF!,0),1)</f>
        <v>#VALUE!</v>
      </c>
      <c r="F91" s="113" t="e">
        <f aca="false">INDEX(participants!$K$1:$K$718,MATCH($B91,participants!$A$1:$A$718,0),1)</f>
        <v>#VALUE!</v>
      </c>
      <c r="G91" s="113" t="e">
        <f aca="false">INDEX(participants #REF!:participants #REF!,MATCH($B91,participants!$A$1:$A$718,0),1)</f>
        <v>#VALUE!</v>
      </c>
      <c r="H91" s="113" t="e">
        <f aca="false">INDEX(samples!$I$2:$I$887,MATCH($D91,#REF!,0),1)</f>
        <v>#VALUE!</v>
      </c>
      <c r="I91" s="114" t="e">
        <f aca="false">INDEX(samples!$C$2:$C$887,MATCH($D91,#REF!,0),1)</f>
        <v>#VALUE!</v>
      </c>
      <c r="J91" s="0" t="s">
        <v>558</v>
      </c>
      <c r="K91" s="0" t="s">
        <v>558</v>
      </c>
      <c r="L91" s="118"/>
      <c r="M91" s="0" t="s">
        <v>5841</v>
      </c>
      <c r="N91" s="83" t="s">
        <v>511</v>
      </c>
      <c r="O91" s="83" t="s">
        <v>511</v>
      </c>
      <c r="P91" s="0" t="s">
        <v>6050</v>
      </c>
      <c r="Q91" s="0" t="s">
        <v>487</v>
      </c>
      <c r="R91" s="0" t="s">
        <v>487</v>
      </c>
      <c r="S91" s="0" t="s">
        <v>487</v>
      </c>
      <c r="T91" s="120" t="s">
        <v>487</v>
      </c>
      <c r="U91" s="120" t="s">
        <v>487</v>
      </c>
      <c r="V91" s="31" t="n">
        <v>43347</v>
      </c>
      <c r="W91" s="0" t="s">
        <v>5579</v>
      </c>
      <c r="X91" s="0" t="s">
        <v>6052</v>
      </c>
      <c r="Y91" s="120" t="s">
        <v>487</v>
      </c>
      <c r="Z91" s="120" t="s">
        <v>487</v>
      </c>
      <c r="AA91" s="0" t="s">
        <v>3147</v>
      </c>
      <c r="AB91" s="0" t="s">
        <v>6030</v>
      </c>
      <c r="AC91" s="0" t="s">
        <v>6036</v>
      </c>
      <c r="AD91" s="0" t="s">
        <v>511</v>
      </c>
      <c r="AF91" s="0" t="s">
        <v>757</v>
      </c>
      <c r="AG91" s="118"/>
    </row>
    <row r="92" customFormat="false" ht="13.8" hidden="false" customHeight="false" outlineLevel="0" collapsed="false">
      <c r="A92" s="37" t="s">
        <v>6054</v>
      </c>
      <c r="B92" s="113" t="e">
        <f aca="false">INDEX(#REF!,MATCH($A92, #REF!,0),1)</f>
        <v>#VALUE!</v>
      </c>
      <c r="C92" s="113" t="e">
        <f aca="false">INDEX(#REF!,MATCH($A92, #REF!,0),1)</f>
        <v>#VALUE!</v>
      </c>
      <c r="D92" s="113" t="e">
        <f aca="false">INDEX(#REF!,MATCH($A92, #REF!,0),1)</f>
        <v>#VALUE!</v>
      </c>
      <c r="E92" s="113" t="e">
        <f aca="false">INDEX(#REF!,MATCH($A92, #REF!,0),1)</f>
        <v>#VALUE!</v>
      </c>
      <c r="F92" s="113" t="e">
        <f aca="false">INDEX(participants!$K$1:$K$718,MATCH($B92,participants!$A$1:$A$718,0),1)</f>
        <v>#VALUE!</v>
      </c>
      <c r="G92" s="113" t="e">
        <f aca="false">INDEX(participants #REF!:participants #REF!,MATCH($B92,participants!$A$1:$A$718,0),1)</f>
        <v>#VALUE!</v>
      </c>
      <c r="H92" s="113" t="e">
        <f aca="false">INDEX(samples!$I$2:$I$887,MATCH($D92,#REF!,0),1)</f>
        <v>#VALUE!</v>
      </c>
      <c r="I92" s="114" t="e">
        <f aca="false">INDEX(samples!$C$2:$C$887,MATCH($D92,#REF!,0),1)</f>
        <v>#VALUE!</v>
      </c>
      <c r="J92" s="0" t="s">
        <v>558</v>
      </c>
      <c r="K92" s="0" t="s">
        <v>558</v>
      </c>
      <c r="L92" s="118"/>
      <c r="M92" s="0" t="s">
        <v>5841</v>
      </c>
      <c r="N92" s="83" t="s">
        <v>511</v>
      </c>
      <c r="O92" s="83" t="s">
        <v>511</v>
      </c>
      <c r="P92" s="0" t="s">
        <v>6050</v>
      </c>
      <c r="Q92" s="0" t="s">
        <v>6055</v>
      </c>
      <c r="R92" s="0" t="s">
        <v>511</v>
      </c>
      <c r="S92" s="0" t="n">
        <v>2</v>
      </c>
      <c r="T92" s="120" t="s">
        <v>511</v>
      </c>
      <c r="U92" s="0" t="s">
        <v>5841</v>
      </c>
      <c r="V92" s="31" t="n">
        <v>43347</v>
      </c>
      <c r="W92" s="0" t="s">
        <v>5579</v>
      </c>
      <c r="X92" s="0" t="s">
        <v>6052</v>
      </c>
      <c r="Y92" s="120" t="s">
        <v>487</v>
      </c>
      <c r="Z92" s="120" t="s">
        <v>487</v>
      </c>
      <c r="AA92" s="0" t="s">
        <v>3215</v>
      </c>
      <c r="AB92" s="0" t="s">
        <v>6030</v>
      </c>
      <c r="AC92" s="0" t="s">
        <v>6036</v>
      </c>
      <c r="AD92" s="0" t="s">
        <v>511</v>
      </c>
      <c r="AF92" s="0" t="s">
        <v>757</v>
      </c>
      <c r="AG92" s="118"/>
    </row>
    <row r="93" customFormat="false" ht="13.8" hidden="false" customHeight="false" outlineLevel="0" collapsed="false">
      <c r="A93" s="37" t="s">
        <v>6056</v>
      </c>
      <c r="B93" s="113" t="e">
        <f aca="false">INDEX(#REF!,MATCH($A93, #REF!,0),1)</f>
        <v>#VALUE!</v>
      </c>
      <c r="C93" s="113" t="e">
        <f aca="false">INDEX(#REF!,MATCH($A93, #REF!,0),1)</f>
        <v>#VALUE!</v>
      </c>
      <c r="D93" s="113" t="e">
        <f aca="false">INDEX(#REF!,MATCH($A93, #REF!,0),1)</f>
        <v>#VALUE!</v>
      </c>
      <c r="E93" s="113" t="e">
        <f aca="false">INDEX(#REF!,MATCH($A93, #REF!,0),1)</f>
        <v>#VALUE!</v>
      </c>
      <c r="F93" s="113" t="e">
        <f aca="false">INDEX(participants!$K$1:$K$718,MATCH($B93,participants!$A$1:$A$718,0),1)</f>
        <v>#VALUE!</v>
      </c>
      <c r="G93" s="113" t="e">
        <f aca="false">INDEX(participants #REF!:participants #REF!,MATCH($B93,participants!$A$1:$A$718,0),1)</f>
        <v>#VALUE!</v>
      </c>
      <c r="H93" s="113" t="e">
        <f aca="false">INDEX(samples!$I$2:$I$887,MATCH($D93,#REF!,0),1)</f>
        <v>#VALUE!</v>
      </c>
      <c r="I93" s="114" t="e">
        <f aca="false">INDEX(samples!$C$2:$C$887,MATCH($D93,#REF!,0),1)</f>
        <v>#VALUE!</v>
      </c>
      <c r="J93" s="0" t="s">
        <v>511</v>
      </c>
      <c r="K93" s="83" t="s">
        <v>487</v>
      </c>
      <c r="L93" s="118"/>
      <c r="M93" s="0" t="s">
        <v>5841</v>
      </c>
      <c r="N93" s="83" t="s">
        <v>511</v>
      </c>
      <c r="O93" s="0" t="s">
        <v>511</v>
      </c>
      <c r="P93" s="0" t="s">
        <v>6050</v>
      </c>
      <c r="Q93" s="0" t="s">
        <v>6057</v>
      </c>
      <c r="R93" s="0" t="s">
        <v>558</v>
      </c>
      <c r="S93" s="120" t="s">
        <v>487</v>
      </c>
      <c r="T93" s="120" t="s">
        <v>487</v>
      </c>
      <c r="U93" s="120" t="s">
        <v>487</v>
      </c>
      <c r="V93" s="120" t="s">
        <v>487</v>
      </c>
      <c r="W93" s="120" t="s">
        <v>487</v>
      </c>
      <c r="X93" s="0" t="s">
        <v>5667</v>
      </c>
      <c r="Y93" s="120" t="s">
        <v>487</v>
      </c>
      <c r="Z93" s="120" t="s">
        <v>487</v>
      </c>
      <c r="AA93" s="0" t="s">
        <v>3147</v>
      </c>
      <c r="AB93" s="0" t="s">
        <v>6030</v>
      </c>
      <c r="AC93" s="0" t="s">
        <v>6036</v>
      </c>
      <c r="AD93" s="83" t="s">
        <v>511</v>
      </c>
      <c r="AF93" s="83" t="s">
        <v>762</v>
      </c>
      <c r="AG93" s="118"/>
      <c r="AH93" s="74"/>
      <c r="AI93" s="83"/>
      <c r="AJ93" s="83"/>
      <c r="AK93" s="83"/>
    </row>
    <row r="94" customFormat="false" ht="13.8" hidden="false" customHeight="false" outlineLevel="0" collapsed="false">
      <c r="A94" s="37" t="s">
        <v>6058</v>
      </c>
      <c r="B94" s="113" t="e">
        <f aca="false">INDEX(#REF!,MATCH($A94, #REF!,0),1)</f>
        <v>#VALUE!</v>
      </c>
      <c r="C94" s="113" t="e">
        <f aca="false">INDEX(#REF!,MATCH($A94, #REF!,0),1)</f>
        <v>#VALUE!</v>
      </c>
      <c r="D94" s="113" t="e">
        <f aca="false">INDEX(#REF!,MATCH($A94, #REF!,0),1)</f>
        <v>#VALUE!</v>
      </c>
      <c r="E94" s="113" t="e">
        <f aca="false">INDEX(#REF!,MATCH($A94, #REF!,0),1)</f>
        <v>#VALUE!</v>
      </c>
      <c r="F94" s="113" t="e">
        <f aca="false">INDEX(participants!$K$1:$K$718,MATCH($B94,participants!$A$1:$A$718,0),1)</f>
        <v>#VALUE!</v>
      </c>
      <c r="G94" s="113" t="e">
        <f aca="false">INDEX(participants #REF!:participants #REF!,MATCH($B94,participants!$A$1:$A$718,0),1)</f>
        <v>#VALUE!</v>
      </c>
      <c r="H94" s="113" t="e">
        <f aca="false">INDEX(samples!$I$2:$I$887,MATCH($D94,#REF!,0),1)</f>
        <v>#VALUE!</v>
      </c>
      <c r="I94" s="114" t="e">
        <f aca="false">INDEX(samples!$C$2:$C$887,MATCH($D94,#REF!,0),1)</f>
        <v>#VALUE!</v>
      </c>
      <c r="J94" s="0" t="s">
        <v>487</v>
      </c>
      <c r="K94" s="0" t="s">
        <v>487</v>
      </c>
      <c r="L94" s="118"/>
      <c r="M94" s="0" t="s">
        <v>487</v>
      </c>
      <c r="N94" s="0" t="s">
        <v>487</v>
      </c>
      <c r="O94" s="0" t="s">
        <v>487</v>
      </c>
      <c r="P94" s="0" t="s">
        <v>487</v>
      </c>
      <c r="Q94" s="0" t="s">
        <v>487</v>
      </c>
      <c r="R94" s="0" t="s">
        <v>487</v>
      </c>
      <c r="S94" s="120" t="s">
        <v>487</v>
      </c>
      <c r="T94" s="120" t="s">
        <v>487</v>
      </c>
      <c r="U94" s="120" t="s">
        <v>487</v>
      </c>
      <c r="V94" s="120" t="s">
        <v>487</v>
      </c>
      <c r="W94" s="120" t="s">
        <v>487</v>
      </c>
      <c r="X94" s="120" t="s">
        <v>487</v>
      </c>
      <c r="Y94" s="120" t="s">
        <v>487</v>
      </c>
      <c r="Z94" s="120" t="s">
        <v>487</v>
      </c>
      <c r="AA94" s="0" t="s">
        <v>3215</v>
      </c>
      <c r="AB94" s="0" t="s">
        <v>6030</v>
      </c>
      <c r="AC94" s="0" t="s">
        <v>6036</v>
      </c>
      <c r="AD94" s="83" t="s">
        <v>511</v>
      </c>
      <c r="AF94" s="83" t="s">
        <v>762</v>
      </c>
      <c r="AG94" s="118"/>
      <c r="AH94" s="74"/>
      <c r="AI94" s="83"/>
      <c r="AJ94" s="83"/>
      <c r="AK94" s="83"/>
    </row>
    <row r="95" customFormat="false" ht="13.8" hidden="false" customHeight="false" outlineLevel="0" collapsed="false">
      <c r="A95" s="37" t="s">
        <v>6059</v>
      </c>
      <c r="B95" s="113" t="e">
        <f aca="false">INDEX(#REF!,MATCH($A95, #REF!,0),1)</f>
        <v>#VALUE!</v>
      </c>
      <c r="C95" s="113" t="e">
        <f aca="false">INDEX(#REF!,MATCH($A95, #REF!,0),1)</f>
        <v>#VALUE!</v>
      </c>
      <c r="D95" s="113" t="e">
        <f aca="false">INDEX(#REF!,MATCH($A95, #REF!,0),1)</f>
        <v>#VALUE!</v>
      </c>
      <c r="E95" s="113" t="e">
        <f aca="false">INDEX(#REF!,MATCH($A95, #REF!,0),1)</f>
        <v>#VALUE!</v>
      </c>
      <c r="F95" s="113" t="e">
        <f aca="false">INDEX(participants!$K$1:$K$718,MATCH($B95,participants!$A$1:$A$718,0),1)</f>
        <v>#VALUE!</v>
      </c>
      <c r="G95" s="113" t="e">
        <f aca="false">INDEX(participants #REF!:participants #REF!,MATCH($B95,participants!$A$1:$A$718,0),1)</f>
        <v>#VALUE!</v>
      </c>
      <c r="H95" s="113" t="e">
        <f aca="false">INDEX(samples!$I$2:$I$887,MATCH($D95,#REF!,0),1)</f>
        <v>#VALUE!</v>
      </c>
      <c r="I95" s="114" t="e">
        <f aca="false">INDEX(samples!$C$2:$C$887,MATCH($D95,#REF!,0),1)</f>
        <v>#VALUE!</v>
      </c>
      <c r="J95" s="0" t="s">
        <v>511</v>
      </c>
      <c r="K95" s="83" t="s">
        <v>511</v>
      </c>
      <c r="L95" s="118"/>
      <c r="M95" s="0" t="s">
        <v>5841</v>
      </c>
      <c r="N95" s="83" t="s">
        <v>511</v>
      </c>
      <c r="O95" s="0" t="s">
        <v>558</v>
      </c>
      <c r="P95" s="0" t="s">
        <v>6050</v>
      </c>
      <c r="Q95" s="0" t="s">
        <v>487</v>
      </c>
      <c r="R95" s="0" t="s">
        <v>511</v>
      </c>
      <c r="S95" s="0" t="n">
        <v>1</v>
      </c>
      <c r="T95" s="120" t="s">
        <v>487</v>
      </c>
      <c r="U95" s="120" t="s">
        <v>487</v>
      </c>
      <c r="V95" s="120" t="s">
        <v>487</v>
      </c>
      <c r="W95" s="120" t="s">
        <v>487</v>
      </c>
      <c r="X95" s="120" t="s">
        <v>487</v>
      </c>
      <c r="Y95" s="120" t="s">
        <v>487</v>
      </c>
      <c r="Z95" s="120" t="s">
        <v>487</v>
      </c>
      <c r="AA95" s="0" t="s">
        <v>3147</v>
      </c>
      <c r="AB95" s="0" t="s">
        <v>6030</v>
      </c>
      <c r="AC95" s="0" t="s">
        <v>6036</v>
      </c>
      <c r="AD95" s="0" t="s">
        <v>558</v>
      </c>
      <c r="AE95" s="83"/>
      <c r="AF95" s="83" t="s">
        <v>1070</v>
      </c>
      <c r="AG95" s="118"/>
      <c r="AH95" s="74"/>
      <c r="AI95" s="83"/>
      <c r="AJ95" s="83"/>
      <c r="AK95" s="83"/>
    </row>
    <row r="96" customFormat="false" ht="13.8" hidden="false" customHeight="false" outlineLevel="0" collapsed="false">
      <c r="A96" s="37" t="s">
        <v>6060</v>
      </c>
      <c r="B96" s="113" t="e">
        <f aca="false">INDEX(#REF!,MATCH($A96, #REF!,0),1)</f>
        <v>#VALUE!</v>
      </c>
      <c r="C96" s="113" t="e">
        <f aca="false">INDEX(#REF!,MATCH($A96, #REF!,0),1)</f>
        <v>#VALUE!</v>
      </c>
      <c r="D96" s="113" t="e">
        <f aca="false">INDEX(#REF!,MATCH($A96, #REF!,0),1)</f>
        <v>#VALUE!</v>
      </c>
      <c r="E96" s="113" t="e">
        <f aca="false">INDEX(#REF!,MATCH($A96, #REF!,0),1)</f>
        <v>#VALUE!</v>
      </c>
      <c r="F96" s="113" t="e">
        <f aca="false">INDEX(participants!$K$1:$K$718,MATCH($B96,participants!$A$1:$A$718,0),1)</f>
        <v>#VALUE!</v>
      </c>
      <c r="G96" s="113" t="e">
        <f aca="false">INDEX(participants #REF!:participants #REF!,MATCH($B96,participants!$A$1:$A$718,0),1)</f>
        <v>#VALUE!</v>
      </c>
      <c r="H96" s="113" t="e">
        <f aca="false">INDEX(samples!$I$2:$I$887,MATCH($D96,#REF!,0),1)</f>
        <v>#VALUE!</v>
      </c>
      <c r="I96" s="114" t="e">
        <f aca="false">INDEX(samples!$C$2:$C$887,MATCH($D96,#REF!,0),1)</f>
        <v>#VALUE!</v>
      </c>
      <c r="J96" s="0" t="s">
        <v>558</v>
      </c>
      <c r="K96" s="83" t="s">
        <v>558</v>
      </c>
      <c r="L96" s="118"/>
      <c r="M96" s="0" t="s">
        <v>5841</v>
      </c>
      <c r="N96" s="83" t="s">
        <v>511</v>
      </c>
      <c r="O96" s="0" t="s">
        <v>511</v>
      </c>
      <c r="P96" s="0" t="s">
        <v>6050</v>
      </c>
      <c r="Q96" s="0" t="s">
        <v>487</v>
      </c>
      <c r="R96" s="0" t="s">
        <v>511</v>
      </c>
      <c r="S96" s="0" t="n">
        <v>2</v>
      </c>
      <c r="T96" s="0" t="s">
        <v>511</v>
      </c>
      <c r="U96" s="0" t="s">
        <v>5841</v>
      </c>
      <c r="V96" s="31" t="n">
        <v>44456</v>
      </c>
      <c r="W96" s="31" t="n">
        <v>44824</v>
      </c>
      <c r="X96" s="0" t="s">
        <v>6061</v>
      </c>
      <c r="Y96" s="120" t="s">
        <v>487</v>
      </c>
      <c r="Z96" s="120" t="s">
        <v>487</v>
      </c>
      <c r="AA96" s="0" t="s">
        <v>3147</v>
      </c>
      <c r="AB96" s="0" t="s">
        <v>6030</v>
      </c>
      <c r="AC96" s="0" t="s">
        <v>6036</v>
      </c>
      <c r="AD96" s="0" t="s">
        <v>558</v>
      </c>
      <c r="AE96" s="83"/>
      <c r="AF96" s="83" t="s">
        <v>1070</v>
      </c>
      <c r="AG96" s="118"/>
      <c r="AH96" s="74"/>
      <c r="AI96" s="83"/>
      <c r="AJ96" s="83"/>
      <c r="AK96" s="83"/>
    </row>
    <row r="97" customFormat="false" ht="13.8" hidden="false" customHeight="false" outlineLevel="0" collapsed="false">
      <c r="A97" s="37" t="s">
        <v>6062</v>
      </c>
      <c r="B97" s="113" t="e">
        <f aca="false">INDEX(#REF!,MATCH($A97, #REF!,0),1)</f>
        <v>#VALUE!</v>
      </c>
      <c r="C97" s="113" t="e">
        <f aca="false">INDEX(#REF!,MATCH($A97, #REF!,0),1)</f>
        <v>#VALUE!</v>
      </c>
      <c r="D97" s="113" t="e">
        <f aca="false">INDEX(#REF!,MATCH($A97, #REF!,0),1)</f>
        <v>#VALUE!</v>
      </c>
      <c r="E97" s="113" t="e">
        <f aca="false">INDEX(#REF!,MATCH($A97, #REF!,0),1)</f>
        <v>#VALUE!</v>
      </c>
      <c r="F97" s="113" t="e">
        <f aca="false">INDEX(participants!$K$1:$K$718,MATCH($B97,participants!$A$1:$A$718,0),1)</f>
        <v>#VALUE!</v>
      </c>
      <c r="G97" s="113" t="e">
        <f aca="false">INDEX(participants #REF!:participants #REF!,MATCH($B97,participants!$A$1:$A$718,0),1)</f>
        <v>#VALUE!</v>
      </c>
      <c r="H97" s="113" t="e">
        <f aca="false">INDEX(samples!$I$2:$I$887,MATCH($D97,#REF!,0),1)</f>
        <v>#VALUE!</v>
      </c>
      <c r="I97" s="114" t="e">
        <f aca="false">INDEX(samples!$C$2:$C$887,MATCH($D97,#REF!,0),1)</f>
        <v>#VALUE!</v>
      </c>
      <c r="J97" s="0" t="s">
        <v>511</v>
      </c>
      <c r="K97" s="83" t="s">
        <v>511</v>
      </c>
      <c r="L97" s="118"/>
      <c r="M97" s="0" t="s">
        <v>487</v>
      </c>
      <c r="N97" s="0" t="s">
        <v>487</v>
      </c>
      <c r="O97" s="0" t="s">
        <v>487</v>
      </c>
      <c r="P97" s="0" t="s">
        <v>487</v>
      </c>
      <c r="Q97" s="0" t="s">
        <v>487</v>
      </c>
      <c r="R97" s="0" t="s">
        <v>558</v>
      </c>
      <c r="S97" s="120" t="s">
        <v>487</v>
      </c>
      <c r="T97" s="120" t="s">
        <v>487</v>
      </c>
      <c r="U97" s="120" t="s">
        <v>487</v>
      </c>
      <c r="V97" s="120" t="s">
        <v>487</v>
      </c>
      <c r="W97" s="120" t="s">
        <v>487</v>
      </c>
      <c r="X97" s="0" t="s">
        <v>5667</v>
      </c>
      <c r="Y97" s="120" t="s">
        <v>487</v>
      </c>
      <c r="Z97" s="120" t="s">
        <v>487</v>
      </c>
      <c r="AA97" s="0" t="s">
        <v>3147</v>
      </c>
      <c r="AB97" s="0" t="s">
        <v>6030</v>
      </c>
      <c r="AC97" s="0" t="s">
        <v>6036</v>
      </c>
      <c r="AD97" s="0" t="s">
        <v>558</v>
      </c>
      <c r="AE97" s="83"/>
      <c r="AF97" s="83" t="s">
        <v>1272</v>
      </c>
      <c r="AG97" s="118"/>
      <c r="AH97" s="74"/>
      <c r="AI97" s="83"/>
      <c r="AJ97" s="83"/>
      <c r="AK97" s="83"/>
    </row>
    <row r="98" customFormat="false" ht="13.8" hidden="false" customHeight="false" outlineLevel="0" collapsed="false">
      <c r="A98" s="37" t="s">
        <v>6063</v>
      </c>
      <c r="B98" s="113" t="e">
        <f aca="false">INDEX(#REF!,MATCH($A98, #REF!,0),1)</f>
        <v>#VALUE!</v>
      </c>
      <c r="C98" s="113" t="e">
        <f aca="false">INDEX(#REF!,MATCH($A98, #REF!,0),1)</f>
        <v>#VALUE!</v>
      </c>
      <c r="D98" s="113" t="e">
        <f aca="false">INDEX(#REF!,MATCH($A98, #REF!,0),1)</f>
        <v>#VALUE!</v>
      </c>
      <c r="E98" s="113" t="e">
        <f aca="false">INDEX(#REF!,MATCH($A98, #REF!,0),1)</f>
        <v>#VALUE!</v>
      </c>
      <c r="F98" s="113" t="e">
        <f aca="false">INDEX(participants!$K$1:$K$718,MATCH($B98,participants!$A$1:$A$718,0),1)</f>
        <v>#VALUE!</v>
      </c>
      <c r="G98" s="113" t="e">
        <f aca="false">INDEX(participants #REF!:participants #REF!,MATCH($B98,participants!$A$1:$A$718,0),1)</f>
        <v>#VALUE!</v>
      </c>
      <c r="H98" s="113" t="e">
        <f aca="false">INDEX(samples!$I$2:$I$887,MATCH($D98,#REF!,0),1)</f>
        <v>#VALUE!</v>
      </c>
      <c r="I98" s="114" t="e">
        <f aca="false">INDEX(samples!$C$2:$C$887,MATCH($D98,#REF!,0),1)</f>
        <v>#VALUE!</v>
      </c>
      <c r="J98" s="0" t="s">
        <v>511</v>
      </c>
      <c r="K98" s="0" t="s">
        <v>511</v>
      </c>
      <c r="L98" s="118"/>
      <c r="M98" s="0" t="s">
        <v>5414</v>
      </c>
      <c r="N98" s="0" t="s">
        <v>487</v>
      </c>
      <c r="O98" s="0" t="s">
        <v>487</v>
      </c>
      <c r="P98" s="0" t="s">
        <v>487</v>
      </c>
      <c r="Q98" s="0" t="s">
        <v>487</v>
      </c>
      <c r="R98" s="0" t="s">
        <v>558</v>
      </c>
      <c r="S98" s="120" t="s">
        <v>487</v>
      </c>
      <c r="T98" s="120" t="s">
        <v>487</v>
      </c>
      <c r="U98" s="120" t="s">
        <v>487</v>
      </c>
      <c r="V98" s="120" t="s">
        <v>487</v>
      </c>
      <c r="W98" s="120" t="s">
        <v>487</v>
      </c>
      <c r="X98" s="0" t="s">
        <v>5667</v>
      </c>
      <c r="Y98" s="120" t="s">
        <v>487</v>
      </c>
      <c r="Z98" s="120" t="s">
        <v>487</v>
      </c>
      <c r="AA98" s="0" t="s">
        <v>3147</v>
      </c>
      <c r="AB98" s="0" t="s">
        <v>6030</v>
      </c>
      <c r="AC98" s="0" t="s">
        <v>6064</v>
      </c>
      <c r="AD98" s="83" t="s">
        <v>511</v>
      </c>
      <c r="AF98" s="83" t="s">
        <v>766</v>
      </c>
      <c r="AG98" s="118"/>
      <c r="AH98" s="74"/>
      <c r="AI98" s="83"/>
      <c r="AJ98" s="83"/>
      <c r="AK98" s="83"/>
    </row>
    <row r="99" customFormat="false" ht="13.8" hidden="false" customHeight="false" outlineLevel="0" collapsed="false">
      <c r="A99" s="37" t="s">
        <v>6065</v>
      </c>
      <c r="B99" s="113" t="e">
        <f aca="false">INDEX(#REF!,MATCH($A99, #REF!,0),1)</f>
        <v>#VALUE!</v>
      </c>
      <c r="C99" s="113" t="e">
        <f aca="false">INDEX(#REF!,MATCH($A99, #REF!,0),1)</f>
        <v>#VALUE!</v>
      </c>
      <c r="D99" s="113" t="e">
        <f aca="false">INDEX(#REF!,MATCH($A99, #REF!,0),1)</f>
        <v>#VALUE!</v>
      </c>
      <c r="E99" s="113" t="e">
        <f aca="false">INDEX(#REF!,MATCH($A99, #REF!,0),1)</f>
        <v>#VALUE!</v>
      </c>
      <c r="F99" s="113" t="e">
        <f aca="false">INDEX(participants!$K$1:$K$718,MATCH($B99,participants!$A$1:$A$718,0),1)</f>
        <v>#VALUE!</v>
      </c>
      <c r="G99" s="113" t="e">
        <f aca="false">INDEX(participants #REF!:participants #REF!,MATCH($B99,participants!$A$1:$A$718,0),1)</f>
        <v>#VALUE!</v>
      </c>
      <c r="H99" s="113" t="e">
        <f aca="false">INDEX(samples!$I$2:$I$887,MATCH($D99,#REF!,0),1)</f>
        <v>#VALUE!</v>
      </c>
      <c r="I99" s="114" t="e">
        <f aca="false">INDEX(samples!$C$2:$C$887,MATCH($D99,#REF!,0),1)</f>
        <v>#VALUE!</v>
      </c>
      <c r="J99" s="0" t="s">
        <v>487</v>
      </c>
      <c r="K99" s="0" t="s">
        <v>487</v>
      </c>
      <c r="L99" s="118"/>
      <c r="M99" s="0" t="s">
        <v>487</v>
      </c>
      <c r="N99" s="0" t="s">
        <v>487</v>
      </c>
      <c r="O99" s="0" t="s">
        <v>487</v>
      </c>
      <c r="P99" s="0" t="s">
        <v>487</v>
      </c>
      <c r="Q99" s="0" t="s">
        <v>487</v>
      </c>
      <c r="R99" s="0" t="s">
        <v>487</v>
      </c>
      <c r="S99" s="120" t="s">
        <v>487</v>
      </c>
      <c r="T99" s="120" t="s">
        <v>487</v>
      </c>
      <c r="U99" s="120" t="s">
        <v>487</v>
      </c>
      <c r="V99" s="120" t="s">
        <v>487</v>
      </c>
      <c r="W99" s="120" t="s">
        <v>487</v>
      </c>
      <c r="X99" s="0" t="s">
        <v>5667</v>
      </c>
      <c r="Y99" s="120" t="s">
        <v>487</v>
      </c>
      <c r="Z99" s="120" t="s">
        <v>487</v>
      </c>
      <c r="AA99" s="0" t="s">
        <v>3215</v>
      </c>
      <c r="AB99" s="0" t="s">
        <v>6030</v>
      </c>
      <c r="AC99" s="0" t="s">
        <v>487</v>
      </c>
      <c r="AD99" s="83" t="s">
        <v>511</v>
      </c>
      <c r="AF99" s="83" t="s">
        <v>766</v>
      </c>
      <c r="AG99" s="118"/>
      <c r="AH99" s="74"/>
      <c r="AI99" s="83"/>
      <c r="AJ99" s="83"/>
      <c r="AK99" s="83"/>
    </row>
    <row r="100" customFormat="false" ht="13.8" hidden="false" customHeight="false" outlineLevel="0" collapsed="false">
      <c r="A100" s="37" t="s">
        <v>6066</v>
      </c>
      <c r="B100" s="113" t="e">
        <f aca="false">INDEX(#REF!,MATCH($A100, #REF!,0),1)</f>
        <v>#VALUE!</v>
      </c>
      <c r="C100" s="113" t="e">
        <f aca="false">INDEX(#REF!,MATCH($A100, #REF!,0),1)</f>
        <v>#VALUE!</v>
      </c>
      <c r="D100" s="113" t="e">
        <f aca="false">INDEX(#REF!,MATCH($A100, #REF!,0),1)</f>
        <v>#VALUE!</v>
      </c>
      <c r="E100" s="113" t="e">
        <f aca="false">INDEX(#REF!,MATCH($A100, #REF!,0),1)</f>
        <v>#VALUE!</v>
      </c>
      <c r="F100" s="113" t="e">
        <f aca="false">INDEX(participants!$K$1:$K$718,MATCH($B100,participants!$A$1:$A$718,0),1)</f>
        <v>#VALUE!</v>
      </c>
      <c r="G100" s="113" t="e">
        <f aca="false">INDEX(participants #REF!:participants #REF!,MATCH($B100,participants!$A$1:$A$718,0),1)</f>
        <v>#VALUE!</v>
      </c>
      <c r="H100" s="113" t="e">
        <f aca="false">INDEX(samples!$I$2:$I$887,MATCH($D100,#REF!,0),1)</f>
        <v>#VALUE!</v>
      </c>
      <c r="I100" s="114" t="e">
        <f aca="false">INDEX(samples!$C$2:$C$887,MATCH($D100,#REF!,0),1)</f>
        <v>#VALUE!</v>
      </c>
      <c r="J100" s="0" t="s">
        <v>511</v>
      </c>
      <c r="K100" s="83" t="s">
        <v>511</v>
      </c>
      <c r="L100" s="118"/>
      <c r="M100" s="0" t="s">
        <v>5414</v>
      </c>
      <c r="N100" s="0" t="s">
        <v>487</v>
      </c>
      <c r="O100" s="0" t="s">
        <v>487</v>
      </c>
      <c r="P100" s="0" t="s">
        <v>487</v>
      </c>
      <c r="Q100" s="0" t="s">
        <v>487</v>
      </c>
      <c r="R100" s="0" t="s">
        <v>558</v>
      </c>
      <c r="S100" s="120" t="s">
        <v>487</v>
      </c>
      <c r="T100" s="120" t="s">
        <v>487</v>
      </c>
      <c r="U100" s="120" t="s">
        <v>487</v>
      </c>
      <c r="V100" s="120" t="s">
        <v>487</v>
      </c>
      <c r="W100" s="120" t="s">
        <v>487</v>
      </c>
      <c r="X100" s="0" t="s">
        <v>6067</v>
      </c>
      <c r="Y100" s="120" t="s">
        <v>487</v>
      </c>
      <c r="Z100" s="120" t="s">
        <v>487</v>
      </c>
      <c r="AA100" s="0" t="s">
        <v>3147</v>
      </c>
      <c r="AB100" s="0" t="s">
        <v>6030</v>
      </c>
      <c r="AC100" s="0" t="s">
        <v>6068</v>
      </c>
      <c r="AD100" s="83" t="s">
        <v>511</v>
      </c>
      <c r="AF100" s="83" t="s">
        <v>771</v>
      </c>
      <c r="AG100" s="118"/>
      <c r="AH100" s="74"/>
      <c r="AI100" s="83"/>
      <c r="AJ100" s="83"/>
      <c r="AK100" s="83"/>
    </row>
    <row r="101" customFormat="false" ht="13.8" hidden="false" customHeight="false" outlineLevel="0" collapsed="false">
      <c r="A101" s="37" t="s">
        <v>6069</v>
      </c>
      <c r="B101" s="113" t="e">
        <f aca="false">INDEX(#REF!,MATCH($A101, #REF!,0),1)</f>
        <v>#VALUE!</v>
      </c>
      <c r="C101" s="113" t="e">
        <f aca="false">INDEX(#REF!,MATCH($A101, #REF!,0),1)</f>
        <v>#VALUE!</v>
      </c>
      <c r="D101" s="113" t="e">
        <f aca="false">INDEX(#REF!,MATCH($A101, #REF!,0),1)</f>
        <v>#VALUE!</v>
      </c>
      <c r="E101" s="113" t="e">
        <f aca="false">INDEX(#REF!,MATCH($A101, #REF!,0),1)</f>
        <v>#VALUE!</v>
      </c>
      <c r="F101" s="113" t="e">
        <f aca="false">INDEX(participants!$K$1:$K$718,MATCH($B101,participants!$A$1:$A$718,0),1)</f>
        <v>#VALUE!</v>
      </c>
      <c r="G101" s="113" t="e">
        <f aca="false">INDEX(participants #REF!:participants #REF!,MATCH($B101,participants!$A$1:$A$718,0),1)</f>
        <v>#VALUE!</v>
      </c>
      <c r="H101" s="113" t="e">
        <f aca="false">INDEX(samples!$I$2:$I$887,MATCH($D101,#REF!,0),1)</f>
        <v>#VALUE!</v>
      </c>
      <c r="I101" s="114" t="e">
        <f aca="false">INDEX(samples!$C$2:$C$887,MATCH($D101,#REF!,0),1)</f>
        <v>#VALUE!</v>
      </c>
      <c r="J101" s="0" t="s">
        <v>511</v>
      </c>
      <c r="K101" s="83" t="s">
        <v>511</v>
      </c>
      <c r="L101" s="83"/>
      <c r="M101" s="0" t="s">
        <v>487</v>
      </c>
      <c r="N101" s="0" t="s">
        <v>487</v>
      </c>
      <c r="O101" s="0" t="s">
        <v>487</v>
      </c>
      <c r="P101" s="0" t="s">
        <v>487</v>
      </c>
      <c r="Q101" s="0" t="s">
        <v>487</v>
      </c>
      <c r="R101" s="0" t="s">
        <v>558</v>
      </c>
      <c r="S101" s="124" t="s">
        <v>487</v>
      </c>
      <c r="T101" s="124" t="s">
        <v>487</v>
      </c>
      <c r="U101" s="124" t="s">
        <v>487</v>
      </c>
      <c r="V101" s="124" t="s">
        <v>487</v>
      </c>
      <c r="W101" s="124" t="s">
        <v>487</v>
      </c>
      <c r="X101" s="0" t="s">
        <v>5667</v>
      </c>
      <c r="Y101" s="124" t="s">
        <v>487</v>
      </c>
      <c r="Z101" s="124" t="s">
        <v>487</v>
      </c>
      <c r="AA101" s="0" t="s">
        <v>3147</v>
      </c>
      <c r="AB101" s="0" t="s">
        <v>6030</v>
      </c>
      <c r="AC101" s="0" t="s">
        <v>6070</v>
      </c>
      <c r="AD101" s="83" t="s">
        <v>511</v>
      </c>
      <c r="AF101" s="83" t="s">
        <v>775</v>
      </c>
      <c r="AG101" s="83"/>
      <c r="AH101" s="74"/>
      <c r="AI101" s="83"/>
      <c r="AJ101" s="83"/>
      <c r="AK101" s="83"/>
    </row>
    <row r="102" customFormat="false" ht="13.8" hidden="false" customHeight="false" outlineLevel="0" collapsed="false">
      <c r="A102" s="37" t="s">
        <v>6071</v>
      </c>
      <c r="B102" s="113" t="e">
        <f aca="false">INDEX(#REF!,MATCH($A102, #REF!,0),1)</f>
        <v>#VALUE!</v>
      </c>
      <c r="C102" s="113" t="e">
        <f aca="false">INDEX(#REF!,MATCH($A102, #REF!,0),1)</f>
        <v>#VALUE!</v>
      </c>
      <c r="D102" s="113" t="e">
        <f aca="false">INDEX(#REF!,MATCH($A102, #REF!,0),1)</f>
        <v>#VALUE!</v>
      </c>
      <c r="E102" s="113" t="e">
        <f aca="false">INDEX(#REF!,MATCH($A102, #REF!,0),1)</f>
        <v>#VALUE!</v>
      </c>
      <c r="F102" s="113" t="e">
        <f aca="false">INDEX(participants!$K$1:$K$718,MATCH($B102,participants!$A$1:$A$718,0),1)</f>
        <v>#VALUE!</v>
      </c>
      <c r="G102" s="113" t="e">
        <f aca="false">INDEX(participants #REF!:participants #REF!,MATCH($B102,participants!$A$1:$A$718,0),1)</f>
        <v>#VALUE!</v>
      </c>
      <c r="H102" s="113" t="e">
        <f aca="false">INDEX(samples!$I$2:$I$887,MATCH($D102,#REF!,0),1)</f>
        <v>#VALUE!</v>
      </c>
      <c r="I102" s="114" t="e">
        <f aca="false">INDEX(samples!$C$2:$C$887,MATCH($D102,#REF!,0),1)</f>
        <v>#VALUE!</v>
      </c>
      <c r="J102" s="0" t="s">
        <v>487</v>
      </c>
      <c r="K102" s="0" t="s">
        <v>487</v>
      </c>
      <c r="L102" s="83"/>
      <c r="M102" s="0" t="s">
        <v>487</v>
      </c>
      <c r="N102" s="0" t="s">
        <v>487</v>
      </c>
      <c r="O102" s="0" t="s">
        <v>487</v>
      </c>
      <c r="P102" s="0" t="s">
        <v>487</v>
      </c>
      <c r="Q102" s="0" t="s">
        <v>487</v>
      </c>
      <c r="R102" s="0" t="s">
        <v>558</v>
      </c>
      <c r="S102" s="124" t="s">
        <v>487</v>
      </c>
      <c r="T102" s="124" t="s">
        <v>487</v>
      </c>
      <c r="U102" s="124" t="s">
        <v>487</v>
      </c>
      <c r="V102" s="124" t="s">
        <v>487</v>
      </c>
      <c r="W102" s="124" t="s">
        <v>487</v>
      </c>
      <c r="X102" s="0" t="s">
        <v>5667</v>
      </c>
      <c r="Y102" s="124" t="s">
        <v>487</v>
      </c>
      <c r="Z102" s="124" t="s">
        <v>487</v>
      </c>
      <c r="AA102" s="0" t="s">
        <v>3215</v>
      </c>
      <c r="AB102" s="0" t="s">
        <v>6030</v>
      </c>
      <c r="AC102" s="0" t="s">
        <v>487</v>
      </c>
      <c r="AD102" s="83" t="s">
        <v>511</v>
      </c>
      <c r="AF102" s="83" t="s">
        <v>775</v>
      </c>
      <c r="AG102" s="83"/>
      <c r="AH102" s="74"/>
      <c r="AI102" s="83"/>
      <c r="AJ102" s="83"/>
      <c r="AK102" s="83"/>
    </row>
    <row r="103" customFormat="false" ht="13.8" hidden="false" customHeight="false" outlineLevel="0" collapsed="false">
      <c r="A103" s="37" t="s">
        <v>6072</v>
      </c>
      <c r="B103" s="113" t="e">
        <f aca="false">INDEX(#REF!,MATCH($A103, #REF!,0),1)</f>
        <v>#VALUE!</v>
      </c>
      <c r="C103" s="113" t="e">
        <f aca="false">INDEX(#REF!,MATCH($A103, #REF!,0),1)</f>
        <v>#VALUE!</v>
      </c>
      <c r="D103" s="113" t="e">
        <f aca="false">INDEX(#REF!,MATCH($A103, #REF!,0),1)</f>
        <v>#VALUE!</v>
      </c>
      <c r="E103" s="113" t="e">
        <f aca="false">INDEX(#REF!,MATCH($A103, #REF!,0),1)</f>
        <v>#VALUE!</v>
      </c>
      <c r="F103" s="113" t="e">
        <f aca="false">INDEX(participants!$K$1:$K$718,MATCH($B103,participants!$A$1:$A$718,0),1)</f>
        <v>#VALUE!</v>
      </c>
      <c r="G103" s="113" t="e">
        <f aca="false">INDEX(participants #REF!:participants #REF!,MATCH($B103,participants!$A$1:$A$718,0),1)</f>
        <v>#VALUE!</v>
      </c>
      <c r="H103" s="113" t="e">
        <f aca="false">INDEX(samples!$I$2:$I$887,MATCH($D103,#REF!,0),1)</f>
        <v>#VALUE!</v>
      </c>
      <c r="I103" s="114" t="e">
        <f aca="false">INDEX(samples!$C$2:$C$887,MATCH($D103,#REF!,0),1)</f>
        <v>#VALUE!</v>
      </c>
      <c r="J103" s="0" t="s">
        <v>511</v>
      </c>
      <c r="K103" s="83" t="s">
        <v>511</v>
      </c>
      <c r="L103" s="118"/>
      <c r="M103" s="0" t="s">
        <v>487</v>
      </c>
      <c r="N103" s="0" t="s">
        <v>487</v>
      </c>
      <c r="O103" s="0" t="s">
        <v>487</v>
      </c>
      <c r="P103" s="0" t="s">
        <v>487</v>
      </c>
      <c r="Q103" s="0" t="s">
        <v>487</v>
      </c>
      <c r="R103" s="0" t="s">
        <v>558</v>
      </c>
      <c r="S103" s="120" t="s">
        <v>487</v>
      </c>
      <c r="T103" s="120" t="s">
        <v>487</v>
      </c>
      <c r="U103" s="120" t="s">
        <v>487</v>
      </c>
      <c r="V103" s="120" t="s">
        <v>487</v>
      </c>
      <c r="W103" s="120" t="s">
        <v>487</v>
      </c>
      <c r="X103" s="0" t="s">
        <v>5667</v>
      </c>
      <c r="Y103" s="120" t="s">
        <v>487</v>
      </c>
      <c r="Z103" s="120" t="s">
        <v>487</v>
      </c>
      <c r="AA103" s="0" t="s">
        <v>3147</v>
      </c>
      <c r="AB103" s="0" t="s">
        <v>6030</v>
      </c>
      <c r="AC103" s="0" t="s">
        <v>6036</v>
      </c>
      <c r="AD103" s="83" t="s">
        <v>511</v>
      </c>
      <c r="AF103" s="83" t="s">
        <v>779</v>
      </c>
      <c r="AG103" s="118"/>
      <c r="AH103" s="74"/>
      <c r="AI103" s="83"/>
      <c r="AJ103" s="83"/>
      <c r="AK103" s="83"/>
    </row>
    <row r="104" customFormat="false" ht="13.8" hidden="false" customHeight="false" outlineLevel="0" collapsed="false">
      <c r="A104" s="37" t="s">
        <v>6073</v>
      </c>
      <c r="B104" s="113" t="e">
        <f aca="false">INDEX(#REF!,MATCH($A104, #REF!,0),1)</f>
        <v>#VALUE!</v>
      </c>
      <c r="C104" s="113" t="e">
        <f aca="false">INDEX(#REF!,MATCH($A104, #REF!,0),1)</f>
        <v>#VALUE!</v>
      </c>
      <c r="D104" s="113" t="e">
        <f aca="false">INDEX(#REF!,MATCH($A104, #REF!,0),1)</f>
        <v>#VALUE!</v>
      </c>
      <c r="E104" s="113" t="e">
        <f aca="false">INDEX(#REF!,MATCH($A104, #REF!,0),1)</f>
        <v>#VALUE!</v>
      </c>
      <c r="F104" s="113" t="e">
        <f aca="false">INDEX(participants!$K$1:$K$718,MATCH($B104,participants!$A$1:$A$718,0),1)</f>
        <v>#VALUE!</v>
      </c>
      <c r="G104" s="113" t="e">
        <f aca="false">INDEX(participants #REF!:participants #REF!,MATCH($B104,participants!$A$1:$A$718,0),1)</f>
        <v>#VALUE!</v>
      </c>
      <c r="H104" s="113" t="e">
        <f aca="false">INDEX(samples!$I$2:$I$887,MATCH($D104,#REF!,0),1)</f>
        <v>#VALUE!</v>
      </c>
      <c r="I104" s="114" t="e">
        <f aca="false">INDEX(samples!$C$2:$C$887,MATCH($D104,#REF!,0),1)</f>
        <v>#VALUE!</v>
      </c>
      <c r="J104" s="0" t="s">
        <v>511</v>
      </c>
      <c r="K104" s="0" t="s">
        <v>511</v>
      </c>
      <c r="L104" s="118"/>
      <c r="M104" s="0" t="s">
        <v>487</v>
      </c>
      <c r="N104" s="0" t="s">
        <v>487</v>
      </c>
      <c r="O104" s="0" t="s">
        <v>487</v>
      </c>
      <c r="P104" s="0" t="s">
        <v>487</v>
      </c>
      <c r="Q104" s="0" t="s">
        <v>487</v>
      </c>
      <c r="R104" s="0" t="s">
        <v>558</v>
      </c>
      <c r="S104" s="120" t="s">
        <v>487</v>
      </c>
      <c r="T104" s="120" t="s">
        <v>487</v>
      </c>
      <c r="U104" s="120" t="s">
        <v>487</v>
      </c>
      <c r="V104" s="120" t="s">
        <v>487</v>
      </c>
      <c r="W104" s="120" t="s">
        <v>487</v>
      </c>
      <c r="X104" s="0" t="s">
        <v>5667</v>
      </c>
      <c r="Y104" s="120" t="s">
        <v>487</v>
      </c>
      <c r="Z104" s="120" t="s">
        <v>487</v>
      </c>
      <c r="AA104" s="0" t="s">
        <v>3147</v>
      </c>
      <c r="AB104" s="0" t="s">
        <v>6030</v>
      </c>
      <c r="AC104" s="0" t="s">
        <v>6036</v>
      </c>
      <c r="AD104" s="83" t="s">
        <v>511</v>
      </c>
      <c r="AF104" s="83" t="s">
        <v>783</v>
      </c>
      <c r="AG104" s="118"/>
      <c r="AH104" s="74"/>
      <c r="AI104" s="83"/>
      <c r="AJ104" s="83"/>
      <c r="AK104" s="83"/>
    </row>
    <row r="105" customFormat="false" ht="13.8" hidden="false" customHeight="false" outlineLevel="0" collapsed="false">
      <c r="A105" s="37" t="s">
        <v>6074</v>
      </c>
      <c r="B105" s="113" t="e">
        <f aca="false">INDEX(#REF!,MATCH($A105, #REF!,0),1)</f>
        <v>#VALUE!</v>
      </c>
      <c r="C105" s="113" t="e">
        <f aca="false">INDEX(#REF!,MATCH($A105, #REF!,0),1)</f>
        <v>#VALUE!</v>
      </c>
      <c r="D105" s="113" t="e">
        <f aca="false">INDEX(#REF!,MATCH($A105, #REF!,0),1)</f>
        <v>#VALUE!</v>
      </c>
      <c r="E105" s="113" t="e">
        <f aca="false">INDEX(#REF!,MATCH($A105, #REF!,0),1)</f>
        <v>#VALUE!</v>
      </c>
      <c r="F105" s="113" t="e">
        <f aca="false">INDEX(participants!$K$1:$K$718,MATCH($B105,participants!$A$1:$A$718,0),1)</f>
        <v>#VALUE!</v>
      </c>
      <c r="G105" s="113" t="e">
        <f aca="false">INDEX(participants #REF!:participants #REF!,MATCH($B105,participants!$A$1:$A$718,0),1)</f>
        <v>#VALUE!</v>
      </c>
      <c r="H105" s="113" t="e">
        <f aca="false">INDEX(samples!$I$2:$I$887,MATCH($D105,#REF!,0),1)</f>
        <v>#VALUE!</v>
      </c>
      <c r="I105" s="114" t="e">
        <f aca="false">INDEX(samples!$C$2:$C$887,MATCH($D105,#REF!,0),1)</f>
        <v>#VALUE!</v>
      </c>
      <c r="J105" s="0" t="s">
        <v>487</v>
      </c>
      <c r="K105" s="0" t="s">
        <v>487</v>
      </c>
      <c r="L105" s="118"/>
      <c r="M105" s="0" t="s">
        <v>487</v>
      </c>
      <c r="N105" s="0" t="s">
        <v>487</v>
      </c>
      <c r="O105" s="0" t="s">
        <v>487</v>
      </c>
      <c r="P105" s="0" t="s">
        <v>487</v>
      </c>
      <c r="Q105" s="0" t="s">
        <v>487</v>
      </c>
      <c r="R105" s="0" t="s">
        <v>487</v>
      </c>
      <c r="S105" s="0" t="s">
        <v>487</v>
      </c>
      <c r="T105" s="0" t="s">
        <v>487</v>
      </c>
      <c r="U105" s="0" t="s">
        <v>487</v>
      </c>
      <c r="V105" s="0" t="s">
        <v>487</v>
      </c>
      <c r="W105" s="0" t="s">
        <v>487</v>
      </c>
      <c r="X105" s="0" t="s">
        <v>487</v>
      </c>
      <c r="Y105" s="120" t="s">
        <v>487</v>
      </c>
      <c r="Z105" s="120" t="s">
        <v>487</v>
      </c>
      <c r="AA105" s="0" t="s">
        <v>3215</v>
      </c>
      <c r="AB105" s="0" t="s">
        <v>6030</v>
      </c>
      <c r="AC105" s="0" t="s">
        <v>6036</v>
      </c>
      <c r="AD105" s="83" t="s">
        <v>511</v>
      </c>
      <c r="AF105" s="83" t="s">
        <v>783</v>
      </c>
      <c r="AG105" s="118"/>
      <c r="AH105" s="74"/>
      <c r="AI105" s="83"/>
      <c r="AJ105" s="83"/>
      <c r="AK105" s="83"/>
    </row>
    <row r="106" customFormat="false" ht="13.8" hidden="false" customHeight="false" outlineLevel="0" collapsed="false">
      <c r="A106" s="37" t="s">
        <v>6075</v>
      </c>
      <c r="B106" s="113" t="e">
        <f aca="false">INDEX(#REF!,MATCH($A106, #REF!,0),1)</f>
        <v>#VALUE!</v>
      </c>
      <c r="C106" s="113" t="e">
        <f aca="false">INDEX(#REF!,MATCH($A106, #REF!,0),1)</f>
        <v>#VALUE!</v>
      </c>
      <c r="D106" s="113" t="e">
        <f aca="false">INDEX(#REF!,MATCH($A106, #REF!,0),1)</f>
        <v>#VALUE!</v>
      </c>
      <c r="E106" s="113" t="e">
        <f aca="false">INDEX(#REF!,MATCH($A106, #REF!,0),1)</f>
        <v>#VALUE!</v>
      </c>
      <c r="F106" s="113" t="e">
        <f aca="false">INDEX(participants!$K$1:$K$718,MATCH($B106,participants!$A$1:$A$718,0),1)</f>
        <v>#VALUE!</v>
      </c>
      <c r="G106" s="113" t="e">
        <f aca="false">INDEX(participants #REF!:participants #REF!,MATCH($B106,participants!$A$1:$A$718,0),1)</f>
        <v>#VALUE!</v>
      </c>
      <c r="H106" s="113" t="e">
        <f aca="false">INDEX(samples!$I$2:$I$887,MATCH($D106,#REF!,0),1)</f>
        <v>#VALUE!</v>
      </c>
      <c r="I106" s="114" t="e">
        <f aca="false">INDEX(samples!$C$2:$C$887,MATCH($D106,#REF!,0),1)</f>
        <v>#VALUE!</v>
      </c>
      <c r="J106" s="0" t="s">
        <v>487</v>
      </c>
      <c r="K106" s="0" t="s">
        <v>487</v>
      </c>
      <c r="L106" s="118"/>
      <c r="M106" s="0" t="s">
        <v>487</v>
      </c>
      <c r="N106" s="0" t="s">
        <v>487</v>
      </c>
      <c r="O106" s="0" t="s">
        <v>487</v>
      </c>
      <c r="P106" s="0" t="s">
        <v>487</v>
      </c>
      <c r="Q106" s="0" t="s">
        <v>487</v>
      </c>
      <c r="R106" s="0" t="s">
        <v>487</v>
      </c>
      <c r="S106" s="0" t="s">
        <v>487</v>
      </c>
      <c r="T106" s="0" t="s">
        <v>487</v>
      </c>
      <c r="U106" s="0" t="s">
        <v>487</v>
      </c>
      <c r="V106" s="0" t="s">
        <v>487</v>
      </c>
      <c r="W106" s="0" t="s">
        <v>487</v>
      </c>
      <c r="X106" s="0" t="s">
        <v>487</v>
      </c>
      <c r="Y106" s="0" t="s">
        <v>487</v>
      </c>
      <c r="Z106" s="0" t="s">
        <v>487</v>
      </c>
      <c r="AA106" s="0" t="s">
        <v>3215</v>
      </c>
      <c r="AB106" s="0" t="s">
        <v>6030</v>
      </c>
      <c r="AC106" s="0" t="s">
        <v>6036</v>
      </c>
      <c r="AD106" s="83" t="s">
        <v>511</v>
      </c>
      <c r="AF106" s="83" t="s">
        <v>783</v>
      </c>
      <c r="AG106" s="118"/>
      <c r="AH106" s="74"/>
      <c r="AI106" s="83"/>
      <c r="AJ106" s="83"/>
      <c r="AK106" s="83"/>
    </row>
    <row r="107" customFormat="false" ht="13.8" hidden="false" customHeight="false" outlineLevel="0" collapsed="false">
      <c r="A107" s="37" t="s">
        <v>6076</v>
      </c>
      <c r="B107" s="113" t="e">
        <f aca="false">INDEX(#REF!,MATCH($A107, #REF!,0),1)</f>
        <v>#VALUE!</v>
      </c>
      <c r="C107" s="113" t="e">
        <f aca="false">INDEX(#REF!,MATCH($A107, #REF!,0),1)</f>
        <v>#VALUE!</v>
      </c>
      <c r="D107" s="113" t="e">
        <f aca="false">INDEX(#REF!,MATCH($A107, #REF!,0),1)</f>
        <v>#VALUE!</v>
      </c>
      <c r="E107" s="113" t="e">
        <f aca="false">INDEX(#REF!,MATCH($A107, #REF!,0),1)</f>
        <v>#VALUE!</v>
      </c>
      <c r="F107" s="113" t="e">
        <f aca="false">INDEX(participants!$K$1:$K$718,MATCH($B107,participants!$A$1:$A$718,0),1)</f>
        <v>#VALUE!</v>
      </c>
      <c r="G107" s="113" t="e">
        <f aca="false">INDEX(participants #REF!:participants #REF!,MATCH($B107,participants!$A$1:$A$718,0),1)</f>
        <v>#VALUE!</v>
      </c>
      <c r="H107" s="113" t="e">
        <f aca="false">INDEX(samples!$I$2:$I$887,MATCH($D107,#REF!,0),1)</f>
        <v>#VALUE!</v>
      </c>
      <c r="I107" s="114" t="e">
        <f aca="false">INDEX(samples!$C$2:$C$887,MATCH($D107,#REF!,0),1)</f>
        <v>#VALUE!</v>
      </c>
      <c r="J107" s="0" t="s">
        <v>511</v>
      </c>
      <c r="K107" s="0" t="s">
        <v>511</v>
      </c>
      <c r="L107" s="118"/>
      <c r="M107" s="0" t="s">
        <v>487</v>
      </c>
      <c r="N107" s="0" t="s">
        <v>487</v>
      </c>
      <c r="O107" s="0" t="s">
        <v>487</v>
      </c>
      <c r="P107" s="0" t="s">
        <v>487</v>
      </c>
      <c r="Q107" s="0" t="s">
        <v>487</v>
      </c>
      <c r="R107" s="0" t="s">
        <v>558</v>
      </c>
      <c r="S107" s="120" t="s">
        <v>487</v>
      </c>
      <c r="T107" s="120" t="s">
        <v>487</v>
      </c>
      <c r="U107" s="120" t="s">
        <v>487</v>
      </c>
      <c r="V107" s="120" t="s">
        <v>487</v>
      </c>
      <c r="W107" s="120" t="s">
        <v>487</v>
      </c>
      <c r="X107" s="0" t="s">
        <v>487</v>
      </c>
      <c r="Y107" s="120" t="s">
        <v>487</v>
      </c>
      <c r="Z107" s="120" t="s">
        <v>487</v>
      </c>
      <c r="AA107" s="0" t="s">
        <v>3147</v>
      </c>
      <c r="AB107" s="0" t="s">
        <v>6030</v>
      </c>
      <c r="AC107" s="0" t="s">
        <v>6036</v>
      </c>
      <c r="AD107" s="83" t="s">
        <v>511</v>
      </c>
      <c r="AF107" s="83" t="s">
        <v>788</v>
      </c>
      <c r="AG107" s="118"/>
      <c r="AH107" s="74"/>
      <c r="AI107" s="83"/>
      <c r="AJ107" s="83"/>
      <c r="AK107" s="83"/>
    </row>
    <row r="108" customFormat="false" ht="13.8" hidden="false" customHeight="false" outlineLevel="0" collapsed="false">
      <c r="A108" s="37" t="s">
        <v>5653</v>
      </c>
      <c r="B108" s="113" t="e">
        <f aca="false">INDEX(#REF!,MATCH($A108, #REF!,0),1)</f>
        <v>#VALUE!</v>
      </c>
      <c r="C108" s="113" t="e">
        <f aca="false">INDEX(#REF!,MATCH($A108, #REF!,0),1)</f>
        <v>#VALUE!</v>
      </c>
      <c r="D108" s="113" t="e">
        <f aca="false">INDEX(#REF!,MATCH($A108, #REF!,0),1)</f>
        <v>#VALUE!</v>
      </c>
      <c r="E108" s="113" t="e">
        <f aca="false">INDEX(#REF!,MATCH($A108, #REF!,0),1)</f>
        <v>#VALUE!</v>
      </c>
      <c r="F108" s="113" t="e">
        <f aca="false">INDEX(participants!$K$1:$K$718,MATCH($B108,participants!$A$1:$A$718,0),1)</f>
        <v>#VALUE!</v>
      </c>
      <c r="G108" s="113" t="e">
        <f aca="false">INDEX(participants #REF!:participants #REF!,MATCH($B108,participants!$A$1:$A$718,0),1)</f>
        <v>#VALUE!</v>
      </c>
      <c r="H108" s="113" t="e">
        <f aca="false">INDEX(samples!$I$2:$I$887,MATCH($D108,#REF!,0),1)</f>
        <v>#VALUE!</v>
      </c>
      <c r="I108" s="114" t="e">
        <f aca="false">INDEX(samples!$C$2:$C$887,MATCH($D108,#REF!,0),1)</f>
        <v>#VALUE!</v>
      </c>
      <c r="J108" s="0" t="s">
        <v>511</v>
      </c>
      <c r="K108" s="0" t="s">
        <v>511</v>
      </c>
      <c r="L108" s="118"/>
      <c r="M108" s="0" t="s">
        <v>487</v>
      </c>
      <c r="N108" s="0" t="s">
        <v>487</v>
      </c>
      <c r="O108" s="0" t="s">
        <v>487</v>
      </c>
      <c r="P108" s="0" t="s">
        <v>487</v>
      </c>
      <c r="Q108" s="0" t="s">
        <v>487</v>
      </c>
      <c r="R108" s="0" t="s">
        <v>558</v>
      </c>
      <c r="S108" s="120" t="s">
        <v>487</v>
      </c>
      <c r="T108" s="120" t="s">
        <v>487</v>
      </c>
      <c r="U108" s="120" t="s">
        <v>487</v>
      </c>
      <c r="V108" s="120" t="s">
        <v>487</v>
      </c>
      <c r="W108" s="120" t="s">
        <v>487</v>
      </c>
      <c r="X108" s="0" t="s">
        <v>487</v>
      </c>
      <c r="Y108" s="120" t="s">
        <v>487</v>
      </c>
      <c r="Z108" s="120" t="s">
        <v>487</v>
      </c>
      <c r="AA108" s="0" t="s">
        <v>3147</v>
      </c>
      <c r="AB108" s="0" t="s">
        <v>6030</v>
      </c>
      <c r="AC108" s="0" t="s">
        <v>6036</v>
      </c>
      <c r="AD108" s="83" t="s">
        <v>511</v>
      </c>
      <c r="AF108" s="83" t="s">
        <v>663</v>
      </c>
      <c r="AG108" s="118"/>
      <c r="AH108" s="74"/>
      <c r="AI108" s="83"/>
      <c r="AJ108" s="83"/>
      <c r="AK108" s="83"/>
    </row>
    <row r="109" customFormat="false" ht="13.8" hidden="false" customHeight="false" outlineLevel="0" collapsed="false">
      <c r="A109" s="37" t="s">
        <v>6077</v>
      </c>
      <c r="B109" s="113" t="e">
        <f aca="false">INDEX(#REF!,MATCH($A109, #REF!,0),1)</f>
        <v>#VALUE!</v>
      </c>
      <c r="C109" s="113" t="e">
        <f aca="false">INDEX(#REF!,MATCH($A109, #REF!,0),1)</f>
        <v>#VALUE!</v>
      </c>
      <c r="D109" s="113" t="e">
        <f aca="false">INDEX(#REF!,MATCH($A109, #REF!,0),1)</f>
        <v>#VALUE!</v>
      </c>
      <c r="E109" s="113" t="e">
        <f aca="false">INDEX(#REF!,MATCH($A109, #REF!,0),1)</f>
        <v>#VALUE!</v>
      </c>
      <c r="F109" s="113" t="e">
        <f aca="false">INDEX(participants!$K$1:$K$718,MATCH($B109,participants!$A$1:$A$718,0),1)</f>
        <v>#VALUE!</v>
      </c>
      <c r="G109" s="113" t="e">
        <f aca="false">INDEX(participants #REF!:participants #REF!,MATCH($B109,participants!$A$1:$A$718,0),1)</f>
        <v>#VALUE!</v>
      </c>
      <c r="H109" s="113" t="e">
        <f aca="false">INDEX(samples!$I$2:$I$887,MATCH($D109,#REF!,0),1)</f>
        <v>#VALUE!</v>
      </c>
      <c r="I109" s="114" t="e">
        <f aca="false">INDEX(samples!$C$2:$C$887,MATCH($D109,#REF!,0),1)</f>
        <v>#VALUE!</v>
      </c>
      <c r="J109" s="0" t="s">
        <v>511</v>
      </c>
      <c r="K109" s="83" t="s">
        <v>558</v>
      </c>
      <c r="L109" s="118"/>
      <c r="M109" s="0" t="s">
        <v>5841</v>
      </c>
      <c r="N109" s="83" t="s">
        <v>511</v>
      </c>
      <c r="O109" s="0" t="s">
        <v>511</v>
      </c>
      <c r="P109" s="0" t="s">
        <v>6027</v>
      </c>
      <c r="Q109" s="0" t="s">
        <v>6078</v>
      </c>
      <c r="R109" s="0" t="s">
        <v>558</v>
      </c>
      <c r="S109" s="120" t="s">
        <v>487</v>
      </c>
      <c r="T109" s="120" t="s">
        <v>487</v>
      </c>
      <c r="U109" s="120" t="s">
        <v>487</v>
      </c>
      <c r="V109" s="120" t="s">
        <v>487</v>
      </c>
      <c r="W109" s="120" t="s">
        <v>487</v>
      </c>
      <c r="X109" s="0" t="s">
        <v>487</v>
      </c>
      <c r="Y109" s="120" t="s">
        <v>487</v>
      </c>
      <c r="Z109" s="120" t="s">
        <v>487</v>
      </c>
      <c r="AA109" s="0" t="s">
        <v>3147</v>
      </c>
      <c r="AB109" s="0" t="s">
        <v>6030</v>
      </c>
      <c r="AC109" s="0" t="s">
        <v>6036</v>
      </c>
      <c r="AD109" s="0" t="s">
        <v>558</v>
      </c>
      <c r="AF109" s="83" t="s">
        <v>1066</v>
      </c>
      <c r="AG109" s="118"/>
      <c r="AH109" s="74"/>
      <c r="AI109" s="83"/>
      <c r="AJ109" s="83"/>
      <c r="AK109" s="83"/>
    </row>
    <row r="110" customFormat="false" ht="13.8" hidden="false" customHeight="false" outlineLevel="0" collapsed="false">
      <c r="A110" s="37" t="s">
        <v>6079</v>
      </c>
      <c r="B110" s="113" t="e">
        <f aca="false">INDEX(#REF!,MATCH($A110, #REF!,0),1)</f>
        <v>#VALUE!</v>
      </c>
      <c r="C110" s="113" t="e">
        <f aca="false">INDEX(#REF!,MATCH($A110, #REF!,0),1)</f>
        <v>#VALUE!</v>
      </c>
      <c r="D110" s="113" t="e">
        <f aca="false">INDEX(#REF!,MATCH($A110, #REF!,0),1)</f>
        <v>#VALUE!</v>
      </c>
      <c r="E110" s="113" t="e">
        <f aca="false">INDEX(#REF!,MATCH($A110, #REF!,0),1)</f>
        <v>#VALUE!</v>
      </c>
      <c r="F110" s="113" t="e">
        <f aca="false">INDEX(participants!$K$1:$K$718,MATCH($B110,participants!$A$1:$A$718,0),1)</f>
        <v>#VALUE!</v>
      </c>
      <c r="G110" s="113" t="e">
        <f aca="false">INDEX(participants #REF!:participants #REF!,MATCH($B110,participants!$A$1:$A$718,0),1)</f>
        <v>#VALUE!</v>
      </c>
      <c r="H110" s="113" t="e">
        <f aca="false">INDEX(samples!$I$2:$I$887,MATCH($D110,#REF!,0),1)</f>
        <v>#VALUE!</v>
      </c>
      <c r="I110" s="114" t="e">
        <f aca="false">INDEX(samples!$C$2:$C$887,MATCH($D110,#REF!,0),1)</f>
        <v>#VALUE!</v>
      </c>
      <c r="J110" s="0" t="s">
        <v>511</v>
      </c>
      <c r="K110" s="0" t="s">
        <v>511</v>
      </c>
      <c r="L110" s="118"/>
      <c r="M110" s="0" t="s">
        <v>487</v>
      </c>
      <c r="N110" s="0" t="s">
        <v>487</v>
      </c>
      <c r="O110" s="0" t="s">
        <v>487</v>
      </c>
      <c r="P110" s="0" t="s">
        <v>487</v>
      </c>
      <c r="Q110" s="0" t="s">
        <v>487</v>
      </c>
      <c r="R110" s="0" t="s">
        <v>558</v>
      </c>
      <c r="S110" s="120" t="s">
        <v>487</v>
      </c>
      <c r="T110" s="120" t="s">
        <v>487</v>
      </c>
      <c r="U110" s="120" t="s">
        <v>487</v>
      </c>
      <c r="V110" s="120" t="s">
        <v>487</v>
      </c>
      <c r="W110" s="120" t="s">
        <v>487</v>
      </c>
      <c r="X110" s="0" t="s">
        <v>487</v>
      </c>
      <c r="Y110" s="120" t="s">
        <v>487</v>
      </c>
      <c r="Z110" s="120" t="s">
        <v>487</v>
      </c>
      <c r="AA110" s="0" t="s">
        <v>3147</v>
      </c>
      <c r="AB110" s="0" t="s">
        <v>6030</v>
      </c>
      <c r="AC110" s="0" t="s">
        <v>6036</v>
      </c>
      <c r="AD110" s="0" t="s">
        <v>558</v>
      </c>
      <c r="AF110" s="83" t="s">
        <v>798</v>
      </c>
      <c r="AG110" s="118"/>
      <c r="AH110" s="74"/>
      <c r="AI110" s="83"/>
      <c r="AJ110" s="83"/>
      <c r="AK110" s="83"/>
    </row>
    <row r="111" customFormat="false" ht="13.8" hidden="false" customHeight="false" outlineLevel="0" collapsed="false">
      <c r="A111" s="37" t="s">
        <v>6080</v>
      </c>
      <c r="B111" s="113" t="e">
        <f aca="false">INDEX(#REF!,MATCH($A111, #REF!,0),1)</f>
        <v>#VALUE!</v>
      </c>
      <c r="C111" s="113" t="e">
        <f aca="false">INDEX(#REF!,MATCH($A111, #REF!,0),1)</f>
        <v>#VALUE!</v>
      </c>
      <c r="D111" s="113" t="e">
        <f aca="false">INDEX(#REF!,MATCH($A111, #REF!,0),1)</f>
        <v>#VALUE!</v>
      </c>
      <c r="E111" s="113" t="e">
        <f aca="false">INDEX(#REF!,MATCH($A111, #REF!,0),1)</f>
        <v>#VALUE!</v>
      </c>
      <c r="F111" s="113" t="e">
        <f aca="false">INDEX(participants!$K$1:$K$718,MATCH($B111,participants!$A$1:$A$718,0),1)</f>
        <v>#VALUE!</v>
      </c>
      <c r="G111" s="113" t="e">
        <f aca="false">INDEX(participants #REF!:participants #REF!,MATCH($B111,participants!$A$1:$A$718,0),1)</f>
        <v>#VALUE!</v>
      </c>
      <c r="H111" s="113" t="e">
        <f aca="false">INDEX(samples!$I$2:$I$887,MATCH($D111,#REF!,0),1)</f>
        <v>#VALUE!</v>
      </c>
      <c r="I111" s="114" t="e">
        <f aca="false">INDEX(samples!$C$2:$C$887,MATCH($D111,#REF!,0),1)</f>
        <v>#VALUE!</v>
      </c>
      <c r="J111" s="0" t="s">
        <v>511</v>
      </c>
      <c r="K111" s="0" t="s">
        <v>511</v>
      </c>
      <c r="L111" s="118"/>
      <c r="M111" s="0" t="s">
        <v>487</v>
      </c>
      <c r="N111" s="0" t="s">
        <v>487</v>
      </c>
      <c r="O111" s="0" t="s">
        <v>487</v>
      </c>
      <c r="P111" s="0" t="s">
        <v>487</v>
      </c>
      <c r="Q111" s="0" t="s">
        <v>487</v>
      </c>
      <c r="R111" s="0" t="s">
        <v>558</v>
      </c>
      <c r="S111" s="120" t="s">
        <v>487</v>
      </c>
      <c r="T111" s="120" t="s">
        <v>487</v>
      </c>
      <c r="U111" s="120" t="s">
        <v>487</v>
      </c>
      <c r="V111" s="120" t="s">
        <v>487</v>
      </c>
      <c r="W111" s="120" t="s">
        <v>487</v>
      </c>
      <c r="X111" s="0" t="s">
        <v>487</v>
      </c>
      <c r="Y111" s="120" t="s">
        <v>487</v>
      </c>
      <c r="Z111" s="120" t="s">
        <v>487</v>
      </c>
      <c r="AA111" s="0" t="s">
        <v>3147</v>
      </c>
      <c r="AB111" s="0" t="s">
        <v>6030</v>
      </c>
      <c r="AC111" s="0" t="s">
        <v>6036</v>
      </c>
      <c r="AD111" s="83" t="s">
        <v>511</v>
      </c>
      <c r="AF111" s="83" t="s">
        <v>803</v>
      </c>
      <c r="AG111" s="118"/>
      <c r="AH111" s="74"/>
      <c r="AI111" s="83"/>
      <c r="AJ111" s="83"/>
      <c r="AK111" s="83"/>
    </row>
    <row r="112" customFormat="false" ht="13.8" hidden="false" customHeight="false" outlineLevel="0" collapsed="false">
      <c r="A112" s="37" t="s">
        <v>6081</v>
      </c>
      <c r="B112" s="113" t="e">
        <f aca="false">INDEX(#REF!,MATCH($A112, #REF!,0),1)</f>
        <v>#VALUE!</v>
      </c>
      <c r="C112" s="113" t="e">
        <f aca="false">INDEX(#REF!,MATCH($A112, #REF!,0),1)</f>
        <v>#VALUE!</v>
      </c>
      <c r="D112" s="113" t="e">
        <f aca="false">INDEX(#REF!,MATCH($A112, #REF!,0),1)</f>
        <v>#VALUE!</v>
      </c>
      <c r="E112" s="113" t="e">
        <f aca="false">INDEX(#REF!,MATCH($A112, #REF!,0),1)</f>
        <v>#VALUE!</v>
      </c>
      <c r="F112" s="113" t="e">
        <f aca="false">INDEX(participants!$K$1:$K$718,MATCH($B112,participants!$A$1:$A$718,0),1)</f>
        <v>#VALUE!</v>
      </c>
      <c r="G112" s="113" t="e">
        <f aca="false">INDEX(participants #REF!:participants #REF!,MATCH($B112,participants!$A$1:$A$718,0),1)</f>
        <v>#VALUE!</v>
      </c>
      <c r="H112" s="113" t="e">
        <f aca="false">INDEX(samples!$I$2:$I$887,MATCH($D112,#REF!,0),1)</f>
        <v>#VALUE!</v>
      </c>
      <c r="I112" s="114" t="e">
        <f aca="false">INDEX(samples!$C$2:$C$887,MATCH($D112,#REF!,0),1)</f>
        <v>#VALUE!</v>
      </c>
      <c r="J112" s="0" t="s">
        <v>511</v>
      </c>
      <c r="K112" s="0" t="s">
        <v>511</v>
      </c>
      <c r="L112" s="118"/>
      <c r="M112" s="0" t="s">
        <v>487</v>
      </c>
      <c r="N112" s="0" t="s">
        <v>487</v>
      </c>
      <c r="O112" s="0" t="s">
        <v>487</v>
      </c>
      <c r="P112" s="0" t="s">
        <v>487</v>
      </c>
      <c r="Q112" s="0" t="s">
        <v>487</v>
      </c>
      <c r="R112" s="0" t="s">
        <v>558</v>
      </c>
      <c r="S112" s="120" t="s">
        <v>487</v>
      </c>
      <c r="T112" s="120" t="s">
        <v>487</v>
      </c>
      <c r="U112" s="120" t="s">
        <v>487</v>
      </c>
      <c r="V112" s="120" t="s">
        <v>487</v>
      </c>
      <c r="W112" s="120" t="s">
        <v>487</v>
      </c>
      <c r="X112" s="0" t="s">
        <v>487</v>
      </c>
      <c r="Y112" s="120" t="s">
        <v>487</v>
      </c>
      <c r="Z112" s="120" t="s">
        <v>487</v>
      </c>
      <c r="AA112" s="0" t="s">
        <v>3147</v>
      </c>
      <c r="AB112" s="0" t="s">
        <v>6030</v>
      </c>
      <c r="AC112" s="0" t="s">
        <v>6082</v>
      </c>
      <c r="AD112" s="83" t="s">
        <v>511</v>
      </c>
      <c r="AF112" s="83" t="s">
        <v>807</v>
      </c>
      <c r="AG112" s="118"/>
      <c r="AH112" s="74"/>
      <c r="AI112" s="83"/>
      <c r="AJ112" s="83"/>
      <c r="AK112" s="83"/>
    </row>
    <row r="113" customFormat="false" ht="13.8" hidden="false" customHeight="false" outlineLevel="0" collapsed="false">
      <c r="A113" s="37" t="s">
        <v>6083</v>
      </c>
      <c r="B113" s="113" t="e">
        <f aca="false">INDEX(#REF!,MATCH($A113, #REF!,0),1)</f>
        <v>#VALUE!</v>
      </c>
      <c r="C113" s="113" t="e">
        <f aca="false">INDEX(#REF!,MATCH($A113, #REF!,0),1)</f>
        <v>#VALUE!</v>
      </c>
      <c r="D113" s="113" t="e">
        <f aca="false">INDEX(#REF!,MATCH($A113, #REF!,0),1)</f>
        <v>#VALUE!</v>
      </c>
      <c r="E113" s="113" t="e">
        <f aca="false">INDEX(#REF!,MATCH($A113, #REF!,0),1)</f>
        <v>#VALUE!</v>
      </c>
      <c r="F113" s="113" t="e">
        <f aca="false">INDEX(participants!$K$1:$K$718,MATCH($B113,participants!$A$1:$A$718,0),1)</f>
        <v>#VALUE!</v>
      </c>
      <c r="G113" s="113" t="e">
        <f aca="false">INDEX(participants #REF!:participants #REF!,MATCH($B113,participants!$A$1:$A$718,0),1)</f>
        <v>#VALUE!</v>
      </c>
      <c r="H113" s="113" t="e">
        <f aca="false">INDEX(samples!$I$2:$I$887,MATCH($D113,#REF!,0),1)</f>
        <v>#VALUE!</v>
      </c>
      <c r="I113" s="114" t="e">
        <f aca="false">INDEX(samples!$C$2:$C$887,MATCH($D113,#REF!,0),1)</f>
        <v>#VALUE!</v>
      </c>
      <c r="J113" s="0" t="s">
        <v>511</v>
      </c>
      <c r="K113" s="0" t="s">
        <v>511</v>
      </c>
      <c r="L113" s="118"/>
      <c r="M113" s="0" t="s">
        <v>487</v>
      </c>
      <c r="N113" s="0" t="s">
        <v>487</v>
      </c>
      <c r="O113" s="0" t="s">
        <v>487</v>
      </c>
      <c r="P113" s="0" t="s">
        <v>487</v>
      </c>
      <c r="Q113" s="0" t="s">
        <v>487</v>
      </c>
      <c r="R113" s="0" t="s">
        <v>558</v>
      </c>
      <c r="S113" s="120" t="s">
        <v>487</v>
      </c>
      <c r="T113" s="120" t="s">
        <v>487</v>
      </c>
      <c r="U113" s="120" t="s">
        <v>487</v>
      </c>
      <c r="V113" s="120" t="s">
        <v>487</v>
      </c>
      <c r="W113" s="120" t="s">
        <v>487</v>
      </c>
      <c r="X113" s="0" t="s">
        <v>487</v>
      </c>
      <c r="Y113" s="120" t="s">
        <v>487</v>
      </c>
      <c r="Z113" s="120" t="s">
        <v>487</v>
      </c>
      <c r="AA113" s="0" t="s">
        <v>3147</v>
      </c>
      <c r="AB113" s="0" t="s">
        <v>6030</v>
      </c>
      <c r="AC113" s="0" t="s">
        <v>6084</v>
      </c>
      <c r="AD113" s="83" t="s">
        <v>511</v>
      </c>
      <c r="AF113" s="83" t="s">
        <v>812</v>
      </c>
      <c r="AG113" s="118"/>
      <c r="AH113" s="74"/>
      <c r="AI113" s="83"/>
      <c r="AJ113" s="83"/>
      <c r="AK113" s="83"/>
    </row>
    <row r="114" customFormat="false" ht="13.8" hidden="false" customHeight="false" outlineLevel="0" collapsed="false">
      <c r="A114" s="37" t="s">
        <v>6085</v>
      </c>
      <c r="B114" s="113" t="e">
        <f aca="false">INDEX(#REF!,MATCH($A114, #REF!,0),1)</f>
        <v>#VALUE!</v>
      </c>
      <c r="C114" s="113" t="e">
        <f aca="false">INDEX(#REF!,MATCH($A114, #REF!,0),1)</f>
        <v>#VALUE!</v>
      </c>
      <c r="D114" s="113" t="e">
        <f aca="false">INDEX(#REF!,MATCH($A114, #REF!,0),1)</f>
        <v>#VALUE!</v>
      </c>
      <c r="E114" s="113" t="e">
        <f aca="false">INDEX(#REF!,MATCH($A114, #REF!,0),1)</f>
        <v>#VALUE!</v>
      </c>
      <c r="F114" s="113" t="e">
        <f aca="false">INDEX(participants!$K$1:$K$718,MATCH($B114,participants!$A$1:$A$718,0),1)</f>
        <v>#VALUE!</v>
      </c>
      <c r="G114" s="113" t="e">
        <f aca="false">INDEX(participants #REF!:participants #REF!,MATCH($B114,participants!$A$1:$A$718,0),1)</f>
        <v>#VALUE!</v>
      </c>
      <c r="H114" s="113" t="e">
        <f aca="false">INDEX(samples!$I$2:$I$887,MATCH($D114,#REF!,0),1)</f>
        <v>#VALUE!</v>
      </c>
      <c r="I114" s="114" t="e">
        <f aca="false">INDEX(samples!$C$2:$C$887,MATCH($D114,#REF!,0),1)</f>
        <v>#VALUE!</v>
      </c>
      <c r="J114" s="0" t="s">
        <v>487</v>
      </c>
      <c r="K114" s="0" t="s">
        <v>487</v>
      </c>
      <c r="L114" s="118"/>
      <c r="M114" s="0" t="s">
        <v>487</v>
      </c>
      <c r="N114" s="0" t="s">
        <v>487</v>
      </c>
      <c r="O114" s="0" t="s">
        <v>487</v>
      </c>
      <c r="P114" s="0" t="s">
        <v>487</v>
      </c>
      <c r="Q114" s="0" t="s">
        <v>487</v>
      </c>
      <c r="R114" s="0" t="s">
        <v>487</v>
      </c>
      <c r="S114" s="0" t="s">
        <v>487</v>
      </c>
      <c r="T114" s="0" t="s">
        <v>487</v>
      </c>
      <c r="U114" s="0" t="s">
        <v>487</v>
      </c>
      <c r="V114" s="0" t="s">
        <v>487</v>
      </c>
      <c r="W114" s="0" t="s">
        <v>487</v>
      </c>
      <c r="X114" s="0" t="s">
        <v>487</v>
      </c>
      <c r="Y114" s="0" t="s">
        <v>487</v>
      </c>
      <c r="Z114" s="0" t="s">
        <v>487</v>
      </c>
      <c r="AA114" s="0" t="s">
        <v>3215</v>
      </c>
      <c r="AB114" s="0" t="s">
        <v>6030</v>
      </c>
      <c r="AC114" s="0" t="s">
        <v>6084</v>
      </c>
      <c r="AD114" s="83" t="s">
        <v>511</v>
      </c>
      <c r="AF114" s="83" t="s">
        <v>812</v>
      </c>
      <c r="AG114" s="118"/>
      <c r="AH114" s="74"/>
      <c r="AI114" s="83"/>
      <c r="AJ114" s="83"/>
      <c r="AK114" s="83"/>
    </row>
    <row r="115" customFormat="false" ht="13.8" hidden="false" customHeight="false" outlineLevel="0" collapsed="false">
      <c r="A115" s="37" t="s">
        <v>6086</v>
      </c>
      <c r="B115" s="113" t="e">
        <f aca="false">INDEX(#REF!,MATCH($A115, #REF!,0),1)</f>
        <v>#VALUE!</v>
      </c>
      <c r="C115" s="113" t="e">
        <f aca="false">INDEX(#REF!,MATCH($A115, #REF!,0),1)</f>
        <v>#VALUE!</v>
      </c>
      <c r="D115" s="113" t="e">
        <f aca="false">INDEX(#REF!,MATCH($A115, #REF!,0),1)</f>
        <v>#VALUE!</v>
      </c>
      <c r="E115" s="113" t="e">
        <f aca="false">INDEX(#REF!,MATCH($A115, #REF!,0),1)</f>
        <v>#VALUE!</v>
      </c>
      <c r="F115" s="113" t="e">
        <f aca="false">INDEX(participants!$K$1:$K$718,MATCH($B115,participants!$A$1:$A$718,0),1)</f>
        <v>#VALUE!</v>
      </c>
      <c r="G115" s="113" t="e">
        <f aca="false">INDEX(participants #REF!:participants #REF!,MATCH($B115,participants!$A$1:$A$718,0),1)</f>
        <v>#VALUE!</v>
      </c>
      <c r="H115" s="113" t="e">
        <f aca="false">INDEX(samples!$I$2:$I$887,MATCH($D115,#REF!,0),1)</f>
        <v>#VALUE!</v>
      </c>
      <c r="I115" s="114" t="e">
        <f aca="false">INDEX(samples!$C$2:$C$887,MATCH($D115,#REF!,0),1)</f>
        <v>#VALUE!</v>
      </c>
      <c r="J115" s="0" t="s">
        <v>511</v>
      </c>
      <c r="K115" s="0" t="s">
        <v>511</v>
      </c>
      <c r="L115" s="118"/>
      <c r="M115" s="0" t="s">
        <v>487</v>
      </c>
      <c r="N115" s="0" t="s">
        <v>487</v>
      </c>
      <c r="O115" s="0" t="s">
        <v>487</v>
      </c>
      <c r="P115" s="0" t="s">
        <v>487</v>
      </c>
      <c r="Q115" s="0" t="s">
        <v>487</v>
      </c>
      <c r="R115" s="0" t="s">
        <v>558</v>
      </c>
      <c r="S115" s="120" t="s">
        <v>487</v>
      </c>
      <c r="T115" s="120" t="s">
        <v>487</v>
      </c>
      <c r="U115" s="120" t="s">
        <v>487</v>
      </c>
      <c r="V115" s="120" t="s">
        <v>487</v>
      </c>
      <c r="W115" s="120" t="s">
        <v>487</v>
      </c>
      <c r="X115" s="0" t="s">
        <v>487</v>
      </c>
      <c r="Y115" s="120" t="s">
        <v>487</v>
      </c>
      <c r="Z115" s="120" t="s">
        <v>487</v>
      </c>
      <c r="AA115" s="0" t="s">
        <v>3147</v>
      </c>
      <c r="AB115" s="0" t="s">
        <v>6030</v>
      </c>
      <c r="AC115" s="0" t="s">
        <v>6084</v>
      </c>
      <c r="AD115" s="0" t="s">
        <v>558</v>
      </c>
      <c r="AF115" s="83" t="s">
        <v>812</v>
      </c>
      <c r="AG115" s="118"/>
      <c r="AH115" s="74"/>
      <c r="AI115" s="83"/>
      <c r="AJ115" s="83"/>
      <c r="AK115" s="83"/>
    </row>
    <row r="116" customFormat="false" ht="13.8" hidden="false" customHeight="false" outlineLevel="0" collapsed="false">
      <c r="A116" s="37" t="s">
        <v>6087</v>
      </c>
      <c r="B116" s="113" t="e">
        <f aca="false">INDEX(#REF!,MATCH($A116, #REF!,0),1)</f>
        <v>#VALUE!</v>
      </c>
      <c r="C116" s="113" t="e">
        <f aca="false">INDEX(#REF!,MATCH($A116, #REF!,0),1)</f>
        <v>#VALUE!</v>
      </c>
      <c r="D116" s="113" t="e">
        <f aca="false">INDEX(#REF!,MATCH($A116, #REF!,0),1)</f>
        <v>#VALUE!</v>
      </c>
      <c r="E116" s="113" t="e">
        <f aca="false">INDEX(#REF!,MATCH($A116, #REF!,0),1)</f>
        <v>#VALUE!</v>
      </c>
      <c r="F116" s="113" t="e">
        <f aca="false">INDEX(participants!$K$1:$K$718,MATCH($B116,participants!$A$1:$A$718,0),1)</f>
        <v>#VALUE!</v>
      </c>
      <c r="G116" s="113" t="e">
        <f aca="false">INDEX(participants #REF!:participants #REF!,MATCH($B116,participants!$A$1:$A$718,0),1)</f>
        <v>#VALUE!</v>
      </c>
      <c r="H116" s="113" t="e">
        <f aca="false">INDEX(samples!$I$2:$I$887,MATCH($D116,#REF!,0),1)</f>
        <v>#VALUE!</v>
      </c>
      <c r="I116" s="114" t="e">
        <f aca="false">INDEX(samples!$C$2:$C$887,MATCH($D116,#REF!,0),1)</f>
        <v>#VALUE!</v>
      </c>
      <c r="J116" s="0" t="s">
        <v>511</v>
      </c>
      <c r="K116" s="0" t="s">
        <v>511</v>
      </c>
      <c r="L116" s="118"/>
      <c r="M116" s="0" t="s">
        <v>487</v>
      </c>
      <c r="N116" s="0" t="s">
        <v>487</v>
      </c>
      <c r="O116" s="0" t="s">
        <v>487</v>
      </c>
      <c r="P116" s="0" t="s">
        <v>487</v>
      </c>
      <c r="Q116" s="0" t="s">
        <v>487</v>
      </c>
      <c r="R116" s="0" t="s">
        <v>558</v>
      </c>
      <c r="S116" s="120" t="s">
        <v>487</v>
      </c>
      <c r="T116" s="120" t="s">
        <v>487</v>
      </c>
      <c r="U116" s="120" t="s">
        <v>487</v>
      </c>
      <c r="V116" s="120" t="s">
        <v>487</v>
      </c>
      <c r="W116" s="120" t="s">
        <v>487</v>
      </c>
      <c r="X116" s="0" t="s">
        <v>487</v>
      </c>
      <c r="Y116" s="120" t="s">
        <v>487</v>
      </c>
      <c r="Z116" s="120" t="s">
        <v>487</v>
      </c>
      <c r="AA116" s="0" t="s">
        <v>3147</v>
      </c>
      <c r="AB116" s="0" t="s">
        <v>6030</v>
      </c>
      <c r="AC116" s="0" t="s">
        <v>6088</v>
      </c>
      <c r="AD116" s="83" t="s">
        <v>511</v>
      </c>
      <c r="AF116" s="83" t="s">
        <v>729</v>
      </c>
      <c r="AG116" s="118"/>
      <c r="AH116" s="74"/>
      <c r="AI116" s="83"/>
      <c r="AJ116" s="83"/>
      <c r="AK116" s="83"/>
    </row>
    <row r="117" customFormat="false" ht="13.8" hidden="false" customHeight="false" outlineLevel="0" collapsed="false">
      <c r="A117" s="37" t="s">
        <v>6089</v>
      </c>
      <c r="B117" s="113" t="e">
        <f aca="false">INDEX(#REF!,MATCH($A117, #REF!,0),1)</f>
        <v>#VALUE!</v>
      </c>
      <c r="C117" s="113" t="e">
        <f aca="false">INDEX(#REF!,MATCH($A117, #REF!,0),1)</f>
        <v>#VALUE!</v>
      </c>
      <c r="D117" s="113" t="e">
        <f aca="false">INDEX(#REF!,MATCH($A117, #REF!,0),1)</f>
        <v>#VALUE!</v>
      </c>
      <c r="E117" s="113" t="e">
        <f aca="false">INDEX(#REF!,MATCH($A117, #REF!,0),1)</f>
        <v>#VALUE!</v>
      </c>
      <c r="F117" s="113" t="e">
        <f aca="false">INDEX(participants!$K$1:$K$718,MATCH($B117,participants!$A$1:$A$718,0),1)</f>
        <v>#VALUE!</v>
      </c>
      <c r="G117" s="113" t="e">
        <f aca="false">INDEX(participants #REF!:participants #REF!,MATCH($B117,participants!$A$1:$A$718,0),1)</f>
        <v>#VALUE!</v>
      </c>
      <c r="H117" s="113" t="e">
        <f aca="false">INDEX(samples!$I$2:$I$887,MATCH($D117,#REF!,0),1)</f>
        <v>#VALUE!</v>
      </c>
      <c r="I117" s="114" t="e">
        <f aca="false">INDEX(samples!$C$2:$C$887,MATCH($D117,#REF!,0),1)</f>
        <v>#VALUE!</v>
      </c>
      <c r="J117" s="0" t="s">
        <v>511</v>
      </c>
      <c r="K117" s="0" t="s">
        <v>511</v>
      </c>
      <c r="L117" s="118"/>
      <c r="M117" s="0" t="s">
        <v>487</v>
      </c>
      <c r="N117" s="0" t="s">
        <v>487</v>
      </c>
      <c r="O117" s="0" t="s">
        <v>487</v>
      </c>
      <c r="P117" s="0" t="s">
        <v>487</v>
      </c>
      <c r="Q117" s="0" t="s">
        <v>487</v>
      </c>
      <c r="R117" s="0" t="s">
        <v>558</v>
      </c>
      <c r="S117" s="120" t="s">
        <v>487</v>
      </c>
      <c r="T117" s="120" t="s">
        <v>487</v>
      </c>
      <c r="U117" s="120" t="s">
        <v>487</v>
      </c>
      <c r="V117" s="120" t="s">
        <v>487</v>
      </c>
      <c r="W117" s="120" t="s">
        <v>487</v>
      </c>
      <c r="X117" s="0" t="s">
        <v>487</v>
      </c>
      <c r="Y117" s="120" t="s">
        <v>487</v>
      </c>
      <c r="Z117" s="120" t="s">
        <v>487</v>
      </c>
      <c r="AA117" s="0" t="s">
        <v>3147</v>
      </c>
      <c r="AB117" s="0" t="s">
        <v>6030</v>
      </c>
      <c r="AC117" s="0" t="s">
        <v>6090</v>
      </c>
      <c r="AD117" s="83" t="s">
        <v>511</v>
      </c>
      <c r="AF117" s="83" t="s">
        <v>820</v>
      </c>
      <c r="AG117" s="118"/>
      <c r="AH117" s="74"/>
      <c r="AI117" s="83"/>
      <c r="AJ117" s="83"/>
      <c r="AK117" s="83"/>
    </row>
    <row r="118" customFormat="false" ht="13.8" hidden="false" customHeight="false" outlineLevel="0" collapsed="false">
      <c r="A118" s="37" t="s">
        <v>6091</v>
      </c>
      <c r="B118" s="113" t="e">
        <f aca="false">INDEX(#REF!,MATCH($A118, #REF!,0),1)</f>
        <v>#VALUE!</v>
      </c>
      <c r="C118" s="113" t="e">
        <f aca="false">INDEX(#REF!,MATCH($A118, #REF!,0),1)</f>
        <v>#VALUE!</v>
      </c>
      <c r="D118" s="113" t="e">
        <f aca="false">INDEX(#REF!,MATCH($A118, #REF!,0),1)</f>
        <v>#VALUE!</v>
      </c>
      <c r="E118" s="113" t="e">
        <f aca="false">INDEX(#REF!,MATCH($A118, #REF!,0),1)</f>
        <v>#VALUE!</v>
      </c>
      <c r="F118" s="113" t="e">
        <f aca="false">INDEX(participants!$K$1:$K$718,MATCH($B118,participants!$A$1:$A$718,0),1)</f>
        <v>#VALUE!</v>
      </c>
      <c r="G118" s="113" t="e">
        <f aca="false">INDEX(participants #REF!:participants #REF!,MATCH($B118,participants!$A$1:$A$718,0),1)</f>
        <v>#VALUE!</v>
      </c>
      <c r="H118" s="113" t="e">
        <f aca="false">INDEX(samples!$I$2:$I$887,MATCH($D118,#REF!,0),1)</f>
        <v>#VALUE!</v>
      </c>
      <c r="I118" s="114" t="e">
        <f aca="false">INDEX(samples!$C$2:$C$887,MATCH($D118,#REF!,0),1)</f>
        <v>#VALUE!</v>
      </c>
      <c r="J118" s="0" t="s">
        <v>487</v>
      </c>
      <c r="K118" s="0" t="s">
        <v>487</v>
      </c>
      <c r="L118" s="118"/>
      <c r="M118" s="0" t="s">
        <v>487</v>
      </c>
      <c r="N118" s="0" t="s">
        <v>487</v>
      </c>
      <c r="O118" s="0" t="s">
        <v>487</v>
      </c>
      <c r="P118" s="0" t="s">
        <v>487</v>
      </c>
      <c r="Q118" s="0" t="s">
        <v>487</v>
      </c>
      <c r="R118" s="0" t="s">
        <v>487</v>
      </c>
      <c r="S118" s="120" t="s">
        <v>487</v>
      </c>
      <c r="T118" s="120" t="s">
        <v>487</v>
      </c>
      <c r="U118" s="120" t="s">
        <v>487</v>
      </c>
      <c r="V118" s="120" t="s">
        <v>487</v>
      </c>
      <c r="W118" s="120" t="s">
        <v>487</v>
      </c>
      <c r="X118" s="0" t="s">
        <v>487</v>
      </c>
      <c r="Y118" s="120" t="s">
        <v>487</v>
      </c>
      <c r="Z118" s="120" t="s">
        <v>487</v>
      </c>
      <c r="AA118" s="0" t="s">
        <v>3215</v>
      </c>
      <c r="AB118" s="0" t="s">
        <v>6030</v>
      </c>
      <c r="AC118" s="0" t="s">
        <v>6090</v>
      </c>
      <c r="AD118" s="83" t="s">
        <v>511</v>
      </c>
      <c r="AF118" s="83" t="s">
        <v>820</v>
      </c>
      <c r="AG118" s="118"/>
      <c r="AH118" s="74"/>
      <c r="AI118" s="83"/>
      <c r="AJ118" s="83"/>
      <c r="AK118" s="83"/>
    </row>
    <row r="119" customFormat="false" ht="13.8" hidden="false" customHeight="false" outlineLevel="0" collapsed="false">
      <c r="A119" s="37" t="s">
        <v>6092</v>
      </c>
      <c r="B119" s="113" t="e">
        <f aca="false">INDEX(#REF!,MATCH($A119, #REF!,0),1)</f>
        <v>#VALUE!</v>
      </c>
      <c r="C119" s="113" t="e">
        <f aca="false">INDEX(#REF!,MATCH($A119, #REF!,0),1)</f>
        <v>#VALUE!</v>
      </c>
      <c r="D119" s="113" t="e">
        <f aca="false">INDEX(#REF!,MATCH($A119, #REF!,0),1)</f>
        <v>#VALUE!</v>
      </c>
      <c r="E119" s="113" t="e">
        <f aca="false">INDEX(#REF!,MATCH($A119, #REF!,0),1)</f>
        <v>#VALUE!</v>
      </c>
      <c r="F119" s="113" t="e">
        <f aca="false">INDEX(participants!$K$1:$K$718,MATCH($B119,participants!$A$1:$A$718,0),1)</f>
        <v>#VALUE!</v>
      </c>
      <c r="G119" s="113" t="e">
        <f aca="false">INDEX(participants #REF!:participants #REF!,MATCH($B119,participants!$A$1:$A$718,0),1)</f>
        <v>#VALUE!</v>
      </c>
      <c r="H119" s="113" t="e">
        <f aca="false">INDEX(samples!$I$2:$I$887,MATCH($D119,#REF!,0),1)</f>
        <v>#VALUE!</v>
      </c>
      <c r="I119" s="114" t="e">
        <f aca="false">INDEX(samples!$C$2:$C$887,MATCH($D119,#REF!,0),1)</f>
        <v>#VALUE!</v>
      </c>
      <c r="J119" s="0" t="s">
        <v>511</v>
      </c>
      <c r="K119" s="0" t="s">
        <v>511</v>
      </c>
      <c r="L119" s="118"/>
      <c r="M119" s="0" t="s">
        <v>487</v>
      </c>
      <c r="N119" s="0" t="s">
        <v>487</v>
      </c>
      <c r="O119" s="0" t="s">
        <v>487</v>
      </c>
      <c r="P119" s="0" t="s">
        <v>487</v>
      </c>
      <c r="Q119" s="0" t="s">
        <v>487</v>
      </c>
      <c r="R119" s="0" t="s">
        <v>487</v>
      </c>
      <c r="S119" s="120" t="s">
        <v>487</v>
      </c>
      <c r="T119" s="120" t="s">
        <v>487</v>
      </c>
      <c r="U119" s="120" t="s">
        <v>487</v>
      </c>
      <c r="V119" s="120" t="s">
        <v>487</v>
      </c>
      <c r="W119" s="120" t="s">
        <v>487</v>
      </c>
      <c r="X119" s="0" t="s">
        <v>487</v>
      </c>
      <c r="Y119" s="120" t="s">
        <v>487</v>
      </c>
      <c r="Z119" s="120" t="s">
        <v>487</v>
      </c>
      <c r="AA119" s="0" t="s">
        <v>3147</v>
      </c>
      <c r="AB119" s="0" t="s">
        <v>6030</v>
      </c>
      <c r="AC119" s="0" t="s">
        <v>6036</v>
      </c>
      <c r="AD119" s="83" t="s">
        <v>511</v>
      </c>
      <c r="AF119" s="83" t="s">
        <v>824</v>
      </c>
      <c r="AG119" s="118"/>
      <c r="AH119" s="74"/>
      <c r="AI119" s="83"/>
      <c r="AJ119" s="83"/>
      <c r="AK119" s="83"/>
    </row>
    <row r="120" customFormat="false" ht="13.8" hidden="false" customHeight="false" outlineLevel="0" collapsed="false">
      <c r="A120" s="37" t="s">
        <v>6093</v>
      </c>
      <c r="B120" s="113" t="e">
        <f aca="false">INDEX(#REF!,MATCH($A120, #REF!,0),1)</f>
        <v>#VALUE!</v>
      </c>
      <c r="C120" s="113" t="e">
        <f aca="false">INDEX(#REF!,MATCH($A120, #REF!,0),1)</f>
        <v>#VALUE!</v>
      </c>
      <c r="D120" s="113" t="e">
        <f aca="false">INDEX(#REF!,MATCH($A120, #REF!,0),1)</f>
        <v>#VALUE!</v>
      </c>
      <c r="E120" s="113" t="e">
        <f aca="false">INDEX(#REF!,MATCH($A120, #REF!,0),1)</f>
        <v>#VALUE!</v>
      </c>
      <c r="F120" s="113" t="e">
        <f aca="false">INDEX(participants!$K$1:$K$718,MATCH($B120,participants!$A$1:$A$718,0),1)</f>
        <v>#VALUE!</v>
      </c>
      <c r="G120" s="113" t="e">
        <f aca="false">INDEX(participants #REF!:participants #REF!,MATCH($B120,participants!$A$1:$A$718,0),1)</f>
        <v>#VALUE!</v>
      </c>
      <c r="H120" s="113" t="e">
        <f aca="false">INDEX(samples!$I$2:$I$887,MATCH($D120,#REF!,0),1)</f>
        <v>#VALUE!</v>
      </c>
      <c r="I120" s="114" t="e">
        <f aca="false">INDEX(samples!$C$2:$C$887,MATCH($D120,#REF!,0),1)</f>
        <v>#VALUE!</v>
      </c>
      <c r="J120" s="0" t="s">
        <v>487</v>
      </c>
      <c r="K120" s="0" t="s">
        <v>487</v>
      </c>
      <c r="L120" s="118"/>
      <c r="M120" s="0" t="s">
        <v>487</v>
      </c>
      <c r="N120" s="0" t="s">
        <v>487</v>
      </c>
      <c r="O120" s="0" t="s">
        <v>487</v>
      </c>
      <c r="P120" s="0" t="s">
        <v>487</v>
      </c>
      <c r="Q120" s="0" t="s">
        <v>487</v>
      </c>
      <c r="R120" s="0" t="s">
        <v>487</v>
      </c>
      <c r="S120" s="0" t="s">
        <v>487</v>
      </c>
      <c r="T120" s="0" t="s">
        <v>487</v>
      </c>
      <c r="U120" s="0" t="s">
        <v>487</v>
      </c>
      <c r="V120" s="0" t="s">
        <v>487</v>
      </c>
      <c r="W120" s="0" t="s">
        <v>487</v>
      </c>
      <c r="X120" s="0" t="s">
        <v>487</v>
      </c>
      <c r="Y120" s="0" t="s">
        <v>487</v>
      </c>
      <c r="Z120" s="0" t="s">
        <v>487</v>
      </c>
      <c r="AA120" s="0" t="s">
        <v>3215</v>
      </c>
      <c r="AB120" s="0" t="s">
        <v>6030</v>
      </c>
      <c r="AC120" s="0" t="s">
        <v>6036</v>
      </c>
      <c r="AD120" s="83" t="s">
        <v>511</v>
      </c>
      <c r="AF120" s="83" t="s">
        <v>824</v>
      </c>
      <c r="AG120" s="118"/>
      <c r="AH120" s="74"/>
      <c r="AI120" s="83"/>
      <c r="AJ120" s="83"/>
      <c r="AK120" s="83"/>
    </row>
    <row r="121" customFormat="false" ht="13.8" hidden="false" customHeight="false" outlineLevel="0" collapsed="false">
      <c r="A121" s="37" t="s">
        <v>6094</v>
      </c>
      <c r="B121" s="113" t="e">
        <f aca="false">INDEX(#REF!,MATCH($A121, #REF!,0),1)</f>
        <v>#VALUE!</v>
      </c>
      <c r="C121" s="113" t="e">
        <f aca="false">INDEX(#REF!,MATCH($A121, #REF!,0),1)</f>
        <v>#VALUE!</v>
      </c>
      <c r="D121" s="113" t="e">
        <f aca="false">INDEX(#REF!,MATCH($A121, #REF!,0),1)</f>
        <v>#VALUE!</v>
      </c>
      <c r="E121" s="113" t="e">
        <f aca="false">INDEX(#REF!,MATCH($A121, #REF!,0),1)</f>
        <v>#VALUE!</v>
      </c>
      <c r="F121" s="113" t="e">
        <f aca="false">INDEX(participants!$K$1:$K$718,MATCH($B121,participants!$A$1:$A$718,0),1)</f>
        <v>#VALUE!</v>
      </c>
      <c r="G121" s="113" t="e">
        <f aca="false">INDEX(participants #REF!:participants #REF!,MATCH($B121,participants!$A$1:$A$718,0),1)</f>
        <v>#VALUE!</v>
      </c>
      <c r="H121" s="113" t="e">
        <f aca="false">INDEX(samples!$I$2:$I$887,MATCH($D121,#REF!,0),1)</f>
        <v>#VALUE!</v>
      </c>
      <c r="I121" s="114" t="e">
        <f aca="false">INDEX(samples!$C$2:$C$887,MATCH($D121,#REF!,0),1)</f>
        <v>#VALUE!</v>
      </c>
      <c r="J121" s="0" t="s">
        <v>511</v>
      </c>
      <c r="K121" s="83" t="s">
        <v>511</v>
      </c>
      <c r="L121" s="118"/>
      <c r="M121" s="0" t="s">
        <v>487</v>
      </c>
      <c r="N121" s="0" t="s">
        <v>487</v>
      </c>
      <c r="O121" s="0" t="s">
        <v>487</v>
      </c>
      <c r="P121" s="0" t="s">
        <v>487</v>
      </c>
      <c r="Q121" s="0" t="s">
        <v>487</v>
      </c>
      <c r="R121" s="0" t="s">
        <v>511</v>
      </c>
      <c r="S121" s="0" t="n">
        <v>1</v>
      </c>
      <c r="T121" s="0" t="s">
        <v>487</v>
      </c>
      <c r="U121" s="0" t="s">
        <v>487</v>
      </c>
      <c r="V121" s="0" t="s">
        <v>487</v>
      </c>
      <c r="W121" s="0" t="s">
        <v>487</v>
      </c>
      <c r="X121" s="0" t="s">
        <v>487</v>
      </c>
      <c r="Y121" s="120" t="s">
        <v>487</v>
      </c>
      <c r="Z121" s="120" t="s">
        <v>487</v>
      </c>
      <c r="AA121" s="0" t="s">
        <v>3147</v>
      </c>
      <c r="AB121" s="0" t="s">
        <v>6030</v>
      </c>
      <c r="AC121" s="0" t="s">
        <v>6036</v>
      </c>
      <c r="AD121" s="83" t="s">
        <v>511</v>
      </c>
      <c r="AF121" s="83" t="s">
        <v>896</v>
      </c>
      <c r="AG121" s="118"/>
      <c r="AH121" s="74"/>
      <c r="AI121" s="83"/>
      <c r="AJ121" s="83"/>
      <c r="AK121" s="83"/>
    </row>
    <row r="122" customFormat="false" ht="13.8" hidden="false" customHeight="false" outlineLevel="0" collapsed="false">
      <c r="A122" s="37" t="s">
        <v>6095</v>
      </c>
      <c r="B122" s="113" t="e">
        <f aca="false">INDEX(#REF!,MATCH($A122, #REF!,0),1)</f>
        <v>#VALUE!</v>
      </c>
      <c r="C122" s="113" t="e">
        <f aca="false">INDEX(#REF!,MATCH($A122, #REF!,0),1)</f>
        <v>#VALUE!</v>
      </c>
      <c r="D122" s="113" t="e">
        <f aca="false">INDEX(#REF!,MATCH($A122, #REF!,0),1)</f>
        <v>#VALUE!</v>
      </c>
      <c r="E122" s="113" t="e">
        <f aca="false">INDEX(#REF!,MATCH($A122, #REF!,0),1)</f>
        <v>#VALUE!</v>
      </c>
      <c r="F122" s="113" t="e">
        <f aca="false">INDEX(participants!$K$1:$K$718,MATCH($B122,participants!$A$1:$A$718,0),1)</f>
        <v>#VALUE!</v>
      </c>
      <c r="G122" s="113" t="e">
        <f aca="false">INDEX(participants #REF!:participants #REF!,MATCH($B122,participants!$A$1:$A$718,0),1)</f>
        <v>#VALUE!</v>
      </c>
      <c r="H122" s="113" t="e">
        <f aca="false">INDEX(samples!$I$2:$I$887,MATCH($D122,#REF!,0),1)</f>
        <v>#VALUE!</v>
      </c>
      <c r="I122" s="114" t="e">
        <f aca="false">INDEX(samples!$C$2:$C$887,MATCH($D122,#REF!,0),1)</f>
        <v>#VALUE!</v>
      </c>
      <c r="J122" s="0" t="s">
        <v>558</v>
      </c>
      <c r="K122" s="83" t="s">
        <v>558</v>
      </c>
      <c r="L122" s="118"/>
      <c r="M122" s="0" t="s">
        <v>5841</v>
      </c>
      <c r="N122" s="83" t="s">
        <v>511</v>
      </c>
      <c r="O122" s="0" t="s">
        <v>511</v>
      </c>
      <c r="P122" s="0" t="s">
        <v>6027</v>
      </c>
      <c r="Q122" s="0" t="s">
        <v>6096</v>
      </c>
      <c r="R122" s="0" t="s">
        <v>511</v>
      </c>
      <c r="S122" s="0" t="n">
        <v>3</v>
      </c>
      <c r="T122" s="120" t="s">
        <v>511</v>
      </c>
      <c r="U122" s="0" t="s">
        <v>5841</v>
      </c>
      <c r="V122" s="31" t="n">
        <v>44019</v>
      </c>
      <c r="W122" s="31" t="n">
        <v>44691</v>
      </c>
      <c r="X122" s="0" t="s">
        <v>6052</v>
      </c>
      <c r="Y122" s="120" t="s">
        <v>487</v>
      </c>
      <c r="Z122" s="120" t="s">
        <v>487</v>
      </c>
      <c r="AA122" s="0" t="s">
        <v>3147</v>
      </c>
      <c r="AB122" s="0" t="s">
        <v>6030</v>
      </c>
      <c r="AC122" s="0" t="s">
        <v>6036</v>
      </c>
      <c r="AD122" s="0" t="s">
        <v>558</v>
      </c>
      <c r="AE122" s="83"/>
      <c r="AF122" s="83" t="s">
        <v>896</v>
      </c>
      <c r="AG122" s="118"/>
      <c r="AH122" s="74"/>
      <c r="AI122" s="83"/>
      <c r="AJ122" s="83"/>
      <c r="AK122" s="83"/>
    </row>
    <row r="123" customFormat="false" ht="13.8" hidden="false" customHeight="false" outlineLevel="0" collapsed="false">
      <c r="A123" s="37" t="s">
        <v>6097</v>
      </c>
      <c r="B123" s="113" t="e">
        <f aca="false">INDEX(#REF!,MATCH($A123, #REF!,0),1)</f>
        <v>#VALUE!</v>
      </c>
      <c r="C123" s="113" t="e">
        <f aca="false">INDEX(#REF!,MATCH($A123, #REF!,0),1)</f>
        <v>#VALUE!</v>
      </c>
      <c r="D123" s="113" t="e">
        <f aca="false">INDEX(#REF!,MATCH($A123, #REF!,0),1)</f>
        <v>#VALUE!</v>
      </c>
      <c r="E123" s="113" t="e">
        <f aca="false">INDEX(#REF!,MATCH($A123, #REF!,0),1)</f>
        <v>#VALUE!</v>
      </c>
      <c r="F123" s="113" t="e">
        <f aca="false">INDEX(participants!$K$1:$K$718,MATCH($B123,participants!$A$1:$A$718,0),1)</f>
        <v>#VALUE!</v>
      </c>
      <c r="G123" s="113" t="e">
        <f aca="false">INDEX(participants #REF!:participants #REF!,MATCH($B123,participants!$A$1:$A$718,0),1)</f>
        <v>#VALUE!</v>
      </c>
      <c r="H123" s="113" t="e">
        <f aca="false">INDEX(samples!$I$2:$I$887,MATCH($D123,#REF!,0),1)</f>
        <v>#VALUE!</v>
      </c>
      <c r="I123" s="114" t="e">
        <f aca="false">INDEX(samples!$C$2:$C$887,MATCH($D123,#REF!,0),1)</f>
        <v>#VALUE!</v>
      </c>
      <c r="J123" s="0" t="s">
        <v>558</v>
      </c>
      <c r="K123" s="83" t="s">
        <v>558</v>
      </c>
      <c r="L123" s="118"/>
      <c r="M123" s="0" t="s">
        <v>5841</v>
      </c>
      <c r="N123" s="83" t="s">
        <v>511</v>
      </c>
      <c r="O123" s="0" t="s">
        <v>511</v>
      </c>
      <c r="P123" s="0" t="s">
        <v>6027</v>
      </c>
      <c r="Q123" s="0" t="s">
        <v>6098</v>
      </c>
      <c r="R123" s="0" t="s">
        <v>511</v>
      </c>
      <c r="S123" s="0" t="n">
        <v>4</v>
      </c>
      <c r="T123" s="120" t="s">
        <v>511</v>
      </c>
      <c r="U123" s="0" t="s">
        <v>5841</v>
      </c>
      <c r="V123" s="31" t="n">
        <v>44019</v>
      </c>
      <c r="W123" s="31" t="n">
        <v>44691</v>
      </c>
      <c r="X123" s="0" t="s">
        <v>6052</v>
      </c>
      <c r="Y123" s="120" t="s">
        <v>487</v>
      </c>
      <c r="Z123" s="120" t="s">
        <v>487</v>
      </c>
      <c r="AA123" s="0" t="s">
        <v>3147</v>
      </c>
      <c r="AB123" s="0" t="s">
        <v>6030</v>
      </c>
      <c r="AC123" s="0" t="s">
        <v>6036</v>
      </c>
      <c r="AD123" s="0" t="s">
        <v>558</v>
      </c>
      <c r="AE123" s="83"/>
      <c r="AF123" s="83" t="s">
        <v>896</v>
      </c>
      <c r="AG123" s="118"/>
      <c r="AH123" s="74"/>
      <c r="AI123" s="83"/>
      <c r="AJ123" s="83"/>
      <c r="AK123" s="83"/>
    </row>
    <row r="124" customFormat="false" ht="13.8" hidden="false" customHeight="false" outlineLevel="0" collapsed="false">
      <c r="A124" s="37" t="s">
        <v>6099</v>
      </c>
      <c r="B124" s="113" t="e">
        <f aca="false">INDEX(#REF!,MATCH($A124, #REF!,0),1)</f>
        <v>#VALUE!</v>
      </c>
      <c r="C124" s="113" t="e">
        <f aca="false">INDEX(#REF!,MATCH($A124, #REF!,0),1)</f>
        <v>#VALUE!</v>
      </c>
      <c r="D124" s="113" t="e">
        <f aca="false">INDEX(#REF!,MATCH($A124, #REF!,0),1)</f>
        <v>#VALUE!</v>
      </c>
      <c r="E124" s="113" t="e">
        <f aca="false">INDEX(#REF!,MATCH($A124, #REF!,0),1)</f>
        <v>#VALUE!</v>
      </c>
      <c r="F124" s="113" t="e">
        <f aca="false">INDEX(participants!$K$1:$K$718,MATCH($B124,participants!$A$1:$A$718,0),1)</f>
        <v>#VALUE!</v>
      </c>
      <c r="G124" s="113" t="e">
        <f aca="false">INDEX(participants #REF!:participants #REF!,MATCH($B124,participants!$A$1:$A$718,0),1)</f>
        <v>#VALUE!</v>
      </c>
      <c r="H124" s="113" t="e">
        <f aca="false">INDEX(samples!$I$2:$I$887,MATCH($D124,#REF!,0),1)</f>
        <v>#VALUE!</v>
      </c>
      <c r="I124" s="114" t="e">
        <f aca="false">INDEX(samples!$C$2:$C$887,MATCH($D124,#REF!,0),1)</f>
        <v>#VALUE!</v>
      </c>
      <c r="J124" s="0" t="s">
        <v>558</v>
      </c>
      <c r="K124" s="83" t="s">
        <v>558</v>
      </c>
      <c r="L124" s="118"/>
      <c r="M124" s="0" t="s">
        <v>5841</v>
      </c>
      <c r="N124" s="83" t="s">
        <v>511</v>
      </c>
      <c r="O124" s="0" t="s">
        <v>511</v>
      </c>
      <c r="P124" s="0" t="s">
        <v>6027</v>
      </c>
      <c r="Q124" s="0" t="s">
        <v>6100</v>
      </c>
      <c r="R124" s="0" t="s">
        <v>511</v>
      </c>
      <c r="S124" s="0" t="n">
        <v>2</v>
      </c>
      <c r="T124" s="120" t="s">
        <v>511</v>
      </c>
      <c r="U124" s="0" t="s">
        <v>5841</v>
      </c>
      <c r="V124" s="31" t="n">
        <v>44019</v>
      </c>
      <c r="W124" s="31" t="n">
        <v>44691</v>
      </c>
      <c r="X124" s="0" t="s">
        <v>6052</v>
      </c>
      <c r="Y124" s="120" t="s">
        <v>487</v>
      </c>
      <c r="Z124" s="120" t="s">
        <v>487</v>
      </c>
      <c r="AA124" s="0" t="s">
        <v>3147</v>
      </c>
      <c r="AB124" s="0" t="s">
        <v>6030</v>
      </c>
      <c r="AC124" s="0" t="s">
        <v>6036</v>
      </c>
      <c r="AD124" s="0" t="s">
        <v>558</v>
      </c>
      <c r="AE124" s="83"/>
      <c r="AF124" s="83" t="s">
        <v>896</v>
      </c>
      <c r="AG124" s="118"/>
      <c r="AH124" s="74"/>
      <c r="AI124" s="83"/>
      <c r="AJ124" s="83"/>
      <c r="AK124" s="83"/>
    </row>
    <row r="125" customFormat="false" ht="13.8" hidden="false" customHeight="false" outlineLevel="0" collapsed="false">
      <c r="A125" s="37" t="s">
        <v>6101</v>
      </c>
      <c r="B125" s="113" t="e">
        <f aca="false">INDEX(#REF!,MATCH($A125, #REF!,0),1)</f>
        <v>#VALUE!</v>
      </c>
      <c r="C125" s="113" t="e">
        <f aca="false">INDEX(#REF!,MATCH($A125, #REF!,0),1)</f>
        <v>#VALUE!</v>
      </c>
      <c r="D125" s="113" t="e">
        <f aca="false">INDEX(#REF!,MATCH($A125, #REF!,0),1)</f>
        <v>#VALUE!</v>
      </c>
      <c r="E125" s="113" t="e">
        <f aca="false">INDEX(#REF!,MATCH($A125, #REF!,0),1)</f>
        <v>#VALUE!</v>
      </c>
      <c r="F125" s="113" t="e">
        <f aca="false">INDEX(participants!$K$1:$K$718,MATCH($B125,participants!$A$1:$A$718,0),1)</f>
        <v>#VALUE!</v>
      </c>
      <c r="G125" s="113" t="e">
        <f aca="false">INDEX(participants #REF!:participants #REF!,MATCH($B125,participants!$A$1:$A$718,0),1)</f>
        <v>#VALUE!</v>
      </c>
      <c r="H125" s="113" t="e">
        <f aca="false">INDEX(samples!$I$2:$I$887,MATCH($D125,#REF!,0),1)</f>
        <v>#VALUE!</v>
      </c>
      <c r="I125" s="114" t="e">
        <f aca="false">INDEX(samples!$C$2:$C$887,MATCH($D125,#REF!,0),1)</f>
        <v>#VALUE!</v>
      </c>
      <c r="J125" s="0" t="s">
        <v>511</v>
      </c>
      <c r="K125" s="83" t="s">
        <v>511</v>
      </c>
      <c r="L125" s="118"/>
      <c r="M125" s="0" t="s">
        <v>5587</v>
      </c>
      <c r="N125" s="0" t="s">
        <v>487</v>
      </c>
      <c r="O125" s="0" t="s">
        <v>487</v>
      </c>
      <c r="P125" s="0" t="s">
        <v>487</v>
      </c>
      <c r="Q125" s="0" t="s">
        <v>487</v>
      </c>
      <c r="R125" s="0" t="s">
        <v>558</v>
      </c>
      <c r="S125" s="120" t="s">
        <v>487</v>
      </c>
      <c r="T125" s="120" t="s">
        <v>487</v>
      </c>
      <c r="U125" s="120" t="s">
        <v>487</v>
      </c>
      <c r="V125" s="120" t="s">
        <v>487</v>
      </c>
      <c r="W125" s="120" t="s">
        <v>487</v>
      </c>
      <c r="X125" s="120" t="s">
        <v>487</v>
      </c>
      <c r="Y125" s="120" t="s">
        <v>487</v>
      </c>
      <c r="Z125" s="120" t="s">
        <v>487</v>
      </c>
      <c r="AA125" s="0" t="s">
        <v>3147</v>
      </c>
      <c r="AB125" s="0" t="s">
        <v>6030</v>
      </c>
      <c r="AC125" s="0" t="s">
        <v>6036</v>
      </c>
      <c r="AD125" s="0" t="s">
        <v>558</v>
      </c>
      <c r="AF125" s="83" t="s">
        <v>905</v>
      </c>
      <c r="AG125" s="118"/>
      <c r="AH125" s="74"/>
      <c r="AI125" s="83"/>
      <c r="AJ125" s="83"/>
      <c r="AK125" s="83"/>
    </row>
    <row r="126" customFormat="false" ht="13.8" hidden="false" customHeight="false" outlineLevel="0" collapsed="false">
      <c r="A126" s="37" t="s">
        <v>6102</v>
      </c>
      <c r="B126" s="113" t="e">
        <f aca="false">INDEX(#REF!,MATCH($A126, #REF!,0),1)</f>
        <v>#VALUE!</v>
      </c>
      <c r="C126" s="113" t="e">
        <f aca="false">INDEX(#REF!,MATCH($A126, #REF!,0),1)</f>
        <v>#VALUE!</v>
      </c>
      <c r="D126" s="113" t="e">
        <f aca="false">INDEX(#REF!,MATCH($A126, #REF!,0),1)</f>
        <v>#VALUE!</v>
      </c>
      <c r="E126" s="113" t="e">
        <f aca="false">INDEX(#REF!,MATCH($A126, #REF!,0),1)</f>
        <v>#VALUE!</v>
      </c>
      <c r="F126" s="113" t="e">
        <f aca="false">INDEX(participants!$K$1:$K$718,MATCH($B126,participants!$A$1:$A$718,0),1)</f>
        <v>#VALUE!</v>
      </c>
      <c r="G126" s="113" t="e">
        <f aca="false">INDEX(participants #REF!:participants #REF!,MATCH($B126,participants!$A$1:$A$718,0),1)</f>
        <v>#VALUE!</v>
      </c>
      <c r="H126" s="113" t="e">
        <f aca="false">INDEX(samples!$I$2:$I$887,MATCH($D126,#REF!,0),1)</f>
        <v>#VALUE!</v>
      </c>
      <c r="I126" s="114" t="e">
        <f aca="false">INDEX(samples!$C$2:$C$887,MATCH($D126,#REF!,0),1)</f>
        <v>#VALUE!</v>
      </c>
      <c r="J126" s="0" t="s">
        <v>511</v>
      </c>
      <c r="K126" s="83" t="s">
        <v>511</v>
      </c>
      <c r="L126" s="118"/>
      <c r="M126" s="0" t="s">
        <v>487</v>
      </c>
      <c r="N126" s="0" t="s">
        <v>487</v>
      </c>
      <c r="O126" s="0" t="s">
        <v>487</v>
      </c>
      <c r="P126" s="0" t="s">
        <v>487</v>
      </c>
      <c r="Q126" s="0" t="s">
        <v>487</v>
      </c>
      <c r="R126" s="0" t="s">
        <v>558</v>
      </c>
      <c r="S126" s="120" t="s">
        <v>487</v>
      </c>
      <c r="T126" s="120" t="s">
        <v>487</v>
      </c>
      <c r="U126" s="120" t="s">
        <v>487</v>
      </c>
      <c r="V126" s="120" t="s">
        <v>487</v>
      </c>
      <c r="W126" s="120" t="s">
        <v>487</v>
      </c>
      <c r="X126" s="120" t="s">
        <v>487</v>
      </c>
      <c r="Y126" s="120" t="s">
        <v>487</v>
      </c>
      <c r="Z126" s="120" t="s">
        <v>487</v>
      </c>
      <c r="AA126" s="0" t="s">
        <v>3147</v>
      </c>
      <c r="AB126" s="0" t="s">
        <v>6030</v>
      </c>
      <c r="AC126" s="0" t="s">
        <v>6036</v>
      </c>
      <c r="AD126" s="0" t="s">
        <v>558</v>
      </c>
      <c r="AF126" s="83" t="s">
        <v>1061</v>
      </c>
      <c r="AG126" s="118"/>
      <c r="AH126" s="74"/>
      <c r="AI126" s="83"/>
      <c r="AJ126" s="83"/>
      <c r="AK126" s="83"/>
    </row>
    <row r="127" customFormat="false" ht="13.8" hidden="false" customHeight="false" outlineLevel="0" collapsed="false">
      <c r="A127" s="37" t="s">
        <v>6103</v>
      </c>
      <c r="B127" s="113" t="e">
        <f aca="false">INDEX(#REF!,MATCH($A127, #REF!,0),1)</f>
        <v>#VALUE!</v>
      </c>
      <c r="C127" s="113" t="e">
        <f aca="false">INDEX(#REF!,MATCH($A127, #REF!,0),1)</f>
        <v>#VALUE!</v>
      </c>
      <c r="D127" s="113" t="e">
        <f aca="false">INDEX(#REF!,MATCH($A127, #REF!,0),1)</f>
        <v>#VALUE!</v>
      </c>
      <c r="E127" s="113" t="e">
        <f aca="false">INDEX(#REF!,MATCH($A127, #REF!,0),1)</f>
        <v>#VALUE!</v>
      </c>
      <c r="F127" s="113" t="e">
        <f aca="false">INDEX(participants!$K$1:$K$718,MATCH($B127,participants!$A$1:$A$718,0),1)</f>
        <v>#VALUE!</v>
      </c>
      <c r="G127" s="113" t="e">
        <f aca="false">INDEX(participants #REF!:participants #REF!,MATCH($B127,participants!$A$1:$A$718,0),1)</f>
        <v>#VALUE!</v>
      </c>
      <c r="H127" s="113" t="e">
        <f aca="false">INDEX(samples!$I$2:$I$887,MATCH($D127,#REF!,0),1)</f>
        <v>#VALUE!</v>
      </c>
      <c r="I127" s="114" t="e">
        <f aca="false">INDEX(samples!$C$2:$C$887,MATCH($D127,#REF!,0),1)</f>
        <v>#VALUE!</v>
      </c>
      <c r="J127" s="0" t="s">
        <v>511</v>
      </c>
      <c r="K127" s="0" t="s">
        <v>511</v>
      </c>
      <c r="L127" s="118"/>
      <c r="M127" s="0" t="s">
        <v>487</v>
      </c>
      <c r="N127" s="0" t="s">
        <v>487</v>
      </c>
      <c r="O127" s="0" t="s">
        <v>487</v>
      </c>
      <c r="P127" s="0" t="s">
        <v>487</v>
      </c>
      <c r="Q127" s="0" t="s">
        <v>487</v>
      </c>
      <c r="R127" s="0" t="s">
        <v>558</v>
      </c>
      <c r="S127" s="120" t="s">
        <v>487</v>
      </c>
      <c r="T127" s="120" t="s">
        <v>487</v>
      </c>
      <c r="U127" s="120" t="s">
        <v>487</v>
      </c>
      <c r="V127" s="120" t="s">
        <v>487</v>
      </c>
      <c r="W127" s="120" t="s">
        <v>487</v>
      </c>
      <c r="X127" s="120" t="s">
        <v>487</v>
      </c>
      <c r="Y127" s="120" t="s">
        <v>487</v>
      </c>
      <c r="Z127" s="120" t="s">
        <v>487</v>
      </c>
      <c r="AA127" s="0" t="s">
        <v>3147</v>
      </c>
      <c r="AB127" s="0" t="s">
        <v>6030</v>
      </c>
      <c r="AC127" s="0" t="s">
        <v>6104</v>
      </c>
      <c r="AD127" s="83" t="s">
        <v>511</v>
      </c>
      <c r="AF127" s="83" t="s">
        <v>909</v>
      </c>
      <c r="AG127" s="118"/>
      <c r="AH127" s="74"/>
      <c r="AI127" s="83"/>
      <c r="AJ127" s="83"/>
      <c r="AK127" s="83"/>
    </row>
    <row r="128" customFormat="false" ht="13.8" hidden="false" customHeight="false" outlineLevel="0" collapsed="false">
      <c r="A128" s="37" t="s">
        <v>6105</v>
      </c>
      <c r="B128" s="113" t="e">
        <f aca="false">INDEX(#REF!,MATCH($A128, #REF!,0),1)</f>
        <v>#VALUE!</v>
      </c>
      <c r="C128" s="113" t="e">
        <f aca="false">INDEX(#REF!,MATCH($A128, #REF!,0),1)</f>
        <v>#VALUE!</v>
      </c>
      <c r="D128" s="113" t="e">
        <f aca="false">INDEX(#REF!,MATCH($A128, #REF!,0),1)</f>
        <v>#VALUE!</v>
      </c>
      <c r="E128" s="113" t="e">
        <f aca="false">INDEX(#REF!,MATCH($A128, #REF!,0),1)</f>
        <v>#VALUE!</v>
      </c>
      <c r="F128" s="113" t="e">
        <f aca="false">INDEX(participants!$K$1:$K$718,MATCH($B128,participants!$A$1:$A$718,0),1)</f>
        <v>#VALUE!</v>
      </c>
      <c r="G128" s="113" t="e">
        <f aca="false">INDEX(participants #REF!:participants #REF!,MATCH($B128,participants!$A$1:$A$718,0),1)</f>
        <v>#VALUE!</v>
      </c>
      <c r="H128" s="113" t="e">
        <f aca="false">INDEX(samples!$I$2:$I$887,MATCH($D128,#REF!,0),1)</f>
        <v>#VALUE!</v>
      </c>
      <c r="I128" s="114" t="e">
        <f aca="false">INDEX(samples!$C$2:$C$887,MATCH($D128,#REF!,0),1)</f>
        <v>#VALUE!</v>
      </c>
      <c r="J128" s="0" t="s">
        <v>511</v>
      </c>
      <c r="K128" s="0" t="s">
        <v>511</v>
      </c>
      <c r="L128" s="83"/>
      <c r="M128" s="0" t="s">
        <v>487</v>
      </c>
      <c r="N128" s="0" t="s">
        <v>487</v>
      </c>
      <c r="O128" s="0" t="s">
        <v>487</v>
      </c>
      <c r="P128" s="0" t="s">
        <v>487</v>
      </c>
      <c r="Q128" s="0" t="s">
        <v>487</v>
      </c>
      <c r="R128" s="0" t="s">
        <v>558</v>
      </c>
      <c r="S128" s="120" t="s">
        <v>487</v>
      </c>
      <c r="T128" s="120" t="s">
        <v>487</v>
      </c>
      <c r="U128" s="120" t="s">
        <v>487</v>
      </c>
      <c r="V128" s="120" t="s">
        <v>487</v>
      </c>
      <c r="W128" s="120" t="s">
        <v>487</v>
      </c>
      <c r="X128" s="120" t="s">
        <v>487</v>
      </c>
      <c r="Y128" s="120" t="s">
        <v>487</v>
      </c>
      <c r="Z128" s="120" t="s">
        <v>487</v>
      </c>
      <c r="AA128" s="0" t="s">
        <v>3147</v>
      </c>
      <c r="AB128" s="0" t="s">
        <v>6030</v>
      </c>
      <c r="AC128" s="0" t="s">
        <v>6106</v>
      </c>
      <c r="AD128" s="83" t="s">
        <v>511</v>
      </c>
      <c r="AF128" s="83" t="s">
        <v>956</v>
      </c>
      <c r="AG128" s="118"/>
      <c r="AH128" s="74"/>
      <c r="AI128" s="83"/>
      <c r="AJ128" s="83"/>
      <c r="AK128" s="83"/>
    </row>
    <row r="129" customFormat="false" ht="13.8" hidden="false" customHeight="false" outlineLevel="0" collapsed="false">
      <c r="A129" s="37" t="s">
        <v>6107</v>
      </c>
      <c r="B129" s="113" t="e">
        <f aca="false">INDEX(#REF!,MATCH($A129, #REF!,0),1)</f>
        <v>#VALUE!</v>
      </c>
      <c r="C129" s="113" t="e">
        <f aca="false">INDEX(#REF!,MATCH($A129, #REF!,0),1)</f>
        <v>#VALUE!</v>
      </c>
      <c r="D129" s="113" t="e">
        <f aca="false">INDEX(#REF!,MATCH($A129, #REF!,0),1)</f>
        <v>#VALUE!</v>
      </c>
      <c r="E129" s="113" t="e">
        <f aca="false">INDEX(#REF!,MATCH($A129, #REF!,0),1)</f>
        <v>#VALUE!</v>
      </c>
      <c r="F129" s="113" t="e">
        <f aca="false">INDEX(participants!$K$1:$K$718,MATCH($B129,participants!$A$1:$A$718,0),1)</f>
        <v>#VALUE!</v>
      </c>
      <c r="G129" s="113" t="e">
        <f aca="false">INDEX(participants #REF!:participants #REF!,MATCH($B129,participants!$A$1:$A$718,0),1)</f>
        <v>#VALUE!</v>
      </c>
      <c r="H129" s="113" t="e">
        <f aca="false">INDEX(samples!$I$2:$I$887,MATCH($D129,#REF!,0),1)</f>
        <v>#VALUE!</v>
      </c>
      <c r="I129" s="114" t="e">
        <f aca="false">INDEX(samples!$C$2:$C$887,MATCH($D129,#REF!,0),1)</f>
        <v>#VALUE!</v>
      </c>
      <c r="J129" s="0" t="s">
        <v>511</v>
      </c>
      <c r="K129" s="0" t="s">
        <v>511</v>
      </c>
      <c r="L129" s="83"/>
      <c r="M129" s="0" t="s">
        <v>487</v>
      </c>
      <c r="N129" s="0" t="s">
        <v>487</v>
      </c>
      <c r="O129" s="0" t="s">
        <v>487</v>
      </c>
      <c r="P129" s="0" t="s">
        <v>487</v>
      </c>
      <c r="Q129" s="0" t="s">
        <v>487</v>
      </c>
      <c r="R129" s="0" t="s">
        <v>511</v>
      </c>
      <c r="S129" s="0" t="n">
        <v>1</v>
      </c>
      <c r="T129" s="120" t="s">
        <v>487</v>
      </c>
      <c r="U129" s="0" t="s">
        <v>5841</v>
      </c>
      <c r="V129" s="31" t="n">
        <v>43991</v>
      </c>
      <c r="W129" s="0" t="s">
        <v>5579</v>
      </c>
      <c r="X129" s="0" t="s">
        <v>6052</v>
      </c>
      <c r="Y129" s="120" t="s">
        <v>487</v>
      </c>
      <c r="Z129" s="120" t="s">
        <v>487</v>
      </c>
      <c r="AA129" s="0" t="s">
        <v>3147</v>
      </c>
      <c r="AB129" s="0" t="s">
        <v>6030</v>
      </c>
      <c r="AC129" s="0" t="s">
        <v>6036</v>
      </c>
      <c r="AD129" s="83" t="s">
        <v>511</v>
      </c>
      <c r="AF129" s="83" t="s">
        <v>951</v>
      </c>
      <c r="AG129" s="118"/>
      <c r="AH129" s="74"/>
      <c r="AI129" s="83"/>
      <c r="AJ129" s="83"/>
      <c r="AK129" s="83"/>
    </row>
    <row r="130" customFormat="false" ht="13.8" hidden="false" customHeight="false" outlineLevel="0" collapsed="false">
      <c r="A130" s="37" t="s">
        <v>6108</v>
      </c>
      <c r="B130" s="113" t="e">
        <f aca="false">INDEX(#REF!,MATCH($A130, #REF!,0),1)</f>
        <v>#VALUE!</v>
      </c>
      <c r="C130" s="113" t="e">
        <f aca="false">INDEX(#REF!,MATCH($A130, #REF!,0),1)</f>
        <v>#VALUE!</v>
      </c>
      <c r="D130" s="113" t="e">
        <f aca="false">INDEX(#REF!,MATCH($A130, #REF!,0),1)</f>
        <v>#VALUE!</v>
      </c>
      <c r="E130" s="113" t="e">
        <f aca="false">INDEX(#REF!,MATCH($A130, #REF!,0),1)</f>
        <v>#VALUE!</v>
      </c>
      <c r="F130" s="113" t="e">
        <f aca="false">INDEX(participants!$K$1:$K$718,MATCH($B130,participants!$A$1:$A$718,0),1)</f>
        <v>#VALUE!</v>
      </c>
      <c r="G130" s="113" t="e">
        <f aca="false">INDEX(participants #REF!:participants #REF!,MATCH($B130,participants!$A$1:$A$718,0),1)</f>
        <v>#VALUE!</v>
      </c>
      <c r="H130" s="113" t="e">
        <f aca="false">INDEX(samples!$I$2:$I$887,MATCH($D130,#REF!,0),1)</f>
        <v>#VALUE!</v>
      </c>
      <c r="I130" s="114" t="e">
        <f aca="false">INDEX(samples!$C$2:$C$887,MATCH($D130,#REF!,0),1)</f>
        <v>#VALUE!</v>
      </c>
      <c r="J130" s="0" t="s">
        <v>558</v>
      </c>
      <c r="K130" s="83" t="s">
        <v>558</v>
      </c>
      <c r="L130" s="83"/>
      <c r="M130" s="0" t="s">
        <v>5841</v>
      </c>
      <c r="N130" s="83" t="s">
        <v>511</v>
      </c>
      <c r="O130" s="83" t="s">
        <v>511</v>
      </c>
      <c r="P130" s="0" t="s">
        <v>6027</v>
      </c>
      <c r="Q130" s="0" t="s">
        <v>6096</v>
      </c>
      <c r="R130" s="0" t="s">
        <v>511</v>
      </c>
      <c r="S130" s="0" t="n">
        <v>3</v>
      </c>
      <c r="T130" s="120" t="s">
        <v>511</v>
      </c>
      <c r="U130" s="0" t="s">
        <v>5841</v>
      </c>
      <c r="V130" s="31" t="n">
        <v>43991</v>
      </c>
      <c r="W130" s="0" t="s">
        <v>5579</v>
      </c>
      <c r="X130" s="0" t="s">
        <v>6052</v>
      </c>
      <c r="Y130" s="120" t="s">
        <v>487</v>
      </c>
      <c r="Z130" s="120" t="s">
        <v>487</v>
      </c>
      <c r="AA130" s="0" t="s">
        <v>3147</v>
      </c>
      <c r="AB130" s="0" t="s">
        <v>6030</v>
      </c>
      <c r="AC130" s="0" t="s">
        <v>6036</v>
      </c>
      <c r="AD130" s="0" t="s">
        <v>558</v>
      </c>
      <c r="AF130" s="83" t="s">
        <v>951</v>
      </c>
      <c r="AG130" s="118"/>
      <c r="AH130" s="74"/>
      <c r="AI130" s="83"/>
      <c r="AJ130" s="83"/>
      <c r="AK130" s="83"/>
    </row>
    <row r="131" customFormat="false" ht="13.8" hidden="false" customHeight="false" outlineLevel="0" collapsed="false">
      <c r="A131" s="37" t="s">
        <v>6109</v>
      </c>
      <c r="B131" s="113" t="e">
        <f aca="false">INDEX(#REF!,MATCH($A131, #REF!,0),1)</f>
        <v>#VALUE!</v>
      </c>
      <c r="C131" s="113" t="e">
        <f aca="false">INDEX(#REF!,MATCH($A131, #REF!,0),1)</f>
        <v>#VALUE!</v>
      </c>
      <c r="D131" s="113" t="e">
        <f aca="false">INDEX(#REF!,MATCH($A131, #REF!,0),1)</f>
        <v>#VALUE!</v>
      </c>
      <c r="E131" s="113" t="e">
        <f aca="false">INDEX(#REF!,MATCH($A131, #REF!,0),1)</f>
        <v>#VALUE!</v>
      </c>
      <c r="F131" s="113" t="e">
        <f aca="false">INDEX(participants!$K$1:$K$718,MATCH($B131,participants!$A$1:$A$718,0),1)</f>
        <v>#VALUE!</v>
      </c>
      <c r="G131" s="113" t="e">
        <f aca="false">INDEX(participants #REF!:participants #REF!,MATCH($B131,participants!$A$1:$A$718,0),1)</f>
        <v>#VALUE!</v>
      </c>
      <c r="H131" s="113" t="e">
        <f aca="false">INDEX(samples!$I$2:$I$887,MATCH($D131,#REF!,0),1)</f>
        <v>#VALUE!</v>
      </c>
      <c r="I131" s="114" t="e">
        <f aca="false">INDEX(samples!$C$2:$C$887,MATCH($D131,#REF!,0),1)</f>
        <v>#VALUE!</v>
      </c>
      <c r="J131" s="0" t="s">
        <v>558</v>
      </c>
      <c r="K131" s="83" t="s">
        <v>558</v>
      </c>
      <c r="L131" s="83"/>
      <c r="M131" s="0" t="s">
        <v>5841</v>
      </c>
      <c r="N131" s="83" t="s">
        <v>511</v>
      </c>
      <c r="O131" s="83" t="s">
        <v>511</v>
      </c>
      <c r="P131" s="0" t="s">
        <v>6027</v>
      </c>
      <c r="Q131" s="0" t="s">
        <v>6098</v>
      </c>
      <c r="R131" s="0" t="s">
        <v>511</v>
      </c>
      <c r="S131" s="0" t="n">
        <v>4</v>
      </c>
      <c r="T131" s="120" t="s">
        <v>511</v>
      </c>
      <c r="U131" s="0" t="s">
        <v>5841</v>
      </c>
      <c r="V131" s="31" t="n">
        <v>43991</v>
      </c>
      <c r="W131" s="0" t="s">
        <v>5579</v>
      </c>
      <c r="X131" s="0" t="s">
        <v>6052</v>
      </c>
      <c r="Y131" s="120" t="s">
        <v>487</v>
      </c>
      <c r="Z131" s="120" t="s">
        <v>487</v>
      </c>
      <c r="AA131" s="0" t="s">
        <v>3147</v>
      </c>
      <c r="AB131" s="0" t="s">
        <v>6030</v>
      </c>
      <c r="AC131" s="0" t="s">
        <v>6036</v>
      </c>
      <c r="AD131" s="0" t="s">
        <v>558</v>
      </c>
      <c r="AF131" s="83" t="s">
        <v>951</v>
      </c>
      <c r="AG131" s="118"/>
      <c r="AH131" s="74"/>
      <c r="AI131" s="83"/>
      <c r="AJ131" s="83"/>
      <c r="AK131" s="83"/>
    </row>
    <row r="132" customFormat="false" ht="13.8" hidden="false" customHeight="false" outlineLevel="0" collapsed="false">
      <c r="A132" s="37" t="s">
        <v>6110</v>
      </c>
      <c r="B132" s="113" t="e">
        <f aca="false">INDEX(#REF!,MATCH($A132, #REF!,0),1)</f>
        <v>#VALUE!</v>
      </c>
      <c r="C132" s="113" t="e">
        <f aca="false">INDEX(#REF!,MATCH($A132, #REF!,0),1)</f>
        <v>#VALUE!</v>
      </c>
      <c r="D132" s="113" t="e">
        <f aca="false">INDEX(#REF!,MATCH($A132, #REF!,0),1)</f>
        <v>#VALUE!</v>
      </c>
      <c r="E132" s="113" t="e">
        <f aca="false">INDEX(#REF!,MATCH($A132, #REF!,0),1)</f>
        <v>#VALUE!</v>
      </c>
      <c r="F132" s="113" t="e">
        <f aca="false">INDEX(participants!$K$1:$K$718,MATCH($B132,participants!$A$1:$A$718,0),1)</f>
        <v>#VALUE!</v>
      </c>
      <c r="G132" s="113" t="e">
        <f aca="false">INDEX(participants #REF!:participants #REF!,MATCH($B132,participants!$A$1:$A$718,0),1)</f>
        <v>#VALUE!</v>
      </c>
      <c r="H132" s="113" t="e">
        <f aca="false">INDEX(samples!$I$2:$I$887,MATCH($D132,#REF!,0),1)</f>
        <v>#VALUE!</v>
      </c>
      <c r="I132" s="114" t="e">
        <f aca="false">INDEX(samples!$C$2:$C$887,MATCH($D132,#REF!,0),1)</f>
        <v>#VALUE!</v>
      </c>
      <c r="J132" s="0" t="s">
        <v>558</v>
      </c>
      <c r="K132" s="83" t="s">
        <v>558</v>
      </c>
      <c r="L132" s="83"/>
      <c r="M132" s="0" t="s">
        <v>5841</v>
      </c>
      <c r="N132" s="83" t="s">
        <v>511</v>
      </c>
      <c r="O132" s="83" t="s">
        <v>511</v>
      </c>
      <c r="P132" s="0" t="s">
        <v>6027</v>
      </c>
      <c r="Q132" s="0" t="s">
        <v>6111</v>
      </c>
      <c r="R132" s="0" t="s">
        <v>511</v>
      </c>
      <c r="S132" s="0" t="n">
        <v>5</v>
      </c>
      <c r="T132" s="120" t="s">
        <v>511</v>
      </c>
      <c r="U132" s="0" t="s">
        <v>5841</v>
      </c>
      <c r="V132" s="31" t="n">
        <v>43991</v>
      </c>
      <c r="W132" s="0" t="s">
        <v>5579</v>
      </c>
      <c r="X132" s="0" t="s">
        <v>6052</v>
      </c>
      <c r="Y132" s="120" t="s">
        <v>487</v>
      </c>
      <c r="Z132" s="120" t="s">
        <v>487</v>
      </c>
      <c r="AA132" s="0" t="s">
        <v>3147</v>
      </c>
      <c r="AB132" s="0" t="s">
        <v>6030</v>
      </c>
      <c r="AC132" s="0" t="s">
        <v>6036</v>
      </c>
      <c r="AD132" s="0" t="s">
        <v>558</v>
      </c>
      <c r="AF132" s="83" t="s">
        <v>951</v>
      </c>
      <c r="AG132" s="118"/>
      <c r="AH132" s="74"/>
      <c r="AI132" s="83"/>
      <c r="AJ132" s="83"/>
      <c r="AK132" s="83"/>
    </row>
    <row r="133" customFormat="false" ht="13.8" hidden="false" customHeight="false" outlineLevel="0" collapsed="false">
      <c r="A133" s="37" t="s">
        <v>6112</v>
      </c>
      <c r="B133" s="113" t="e">
        <f aca="false">INDEX(#REF!,MATCH($A133, #REF!,0),1)</f>
        <v>#VALUE!</v>
      </c>
      <c r="C133" s="113" t="e">
        <f aca="false">INDEX(#REF!,MATCH($A133, #REF!,0),1)</f>
        <v>#VALUE!</v>
      </c>
      <c r="D133" s="113" t="e">
        <f aca="false">INDEX(#REF!,MATCH($A133, #REF!,0),1)</f>
        <v>#VALUE!</v>
      </c>
      <c r="E133" s="113" t="e">
        <f aca="false">INDEX(#REF!,MATCH($A133, #REF!,0),1)</f>
        <v>#VALUE!</v>
      </c>
      <c r="F133" s="113" t="e">
        <f aca="false">INDEX(participants!$K$1:$K$718,MATCH($B133,participants!$A$1:$A$718,0),1)</f>
        <v>#VALUE!</v>
      </c>
      <c r="G133" s="113" t="e">
        <f aca="false">INDEX(participants #REF!:participants #REF!,MATCH($B133,participants!$A$1:$A$718,0),1)</f>
        <v>#VALUE!</v>
      </c>
      <c r="H133" s="113" t="e">
        <f aca="false">INDEX(samples!$I$2:$I$887,MATCH($D133,#REF!,0),1)</f>
        <v>#VALUE!</v>
      </c>
      <c r="I133" s="114" t="e">
        <f aca="false">INDEX(samples!$C$2:$C$887,MATCH($D133,#REF!,0),1)</f>
        <v>#VALUE!</v>
      </c>
      <c r="J133" s="0" t="s">
        <v>558</v>
      </c>
      <c r="K133" s="83" t="s">
        <v>558</v>
      </c>
      <c r="L133" s="83"/>
      <c r="M133" s="0" t="s">
        <v>5841</v>
      </c>
      <c r="N133" s="83" t="s">
        <v>511</v>
      </c>
      <c r="O133" s="83" t="s">
        <v>511</v>
      </c>
      <c r="P133" s="0" t="s">
        <v>6027</v>
      </c>
      <c r="Q133" s="0" t="s">
        <v>6113</v>
      </c>
      <c r="R133" s="0" t="s">
        <v>511</v>
      </c>
      <c r="S133" s="0" t="n">
        <v>6</v>
      </c>
      <c r="T133" s="120" t="s">
        <v>511</v>
      </c>
      <c r="U133" s="0" t="s">
        <v>5841</v>
      </c>
      <c r="V133" s="31" t="n">
        <v>43991</v>
      </c>
      <c r="W133" s="0" t="s">
        <v>5579</v>
      </c>
      <c r="X133" s="0" t="s">
        <v>6052</v>
      </c>
      <c r="Y133" s="120" t="s">
        <v>487</v>
      </c>
      <c r="Z133" s="120" t="s">
        <v>487</v>
      </c>
      <c r="AA133" s="0" t="s">
        <v>3147</v>
      </c>
      <c r="AB133" s="0" t="s">
        <v>6030</v>
      </c>
      <c r="AC133" s="0" t="s">
        <v>6036</v>
      </c>
      <c r="AD133" s="0" t="s">
        <v>558</v>
      </c>
      <c r="AF133" s="83" t="s">
        <v>951</v>
      </c>
      <c r="AG133" s="118"/>
      <c r="AH133" s="74"/>
      <c r="AI133" s="83"/>
      <c r="AJ133" s="83"/>
      <c r="AK133" s="83"/>
    </row>
    <row r="134" customFormat="false" ht="13.8" hidden="false" customHeight="false" outlineLevel="0" collapsed="false">
      <c r="A134" s="37" t="s">
        <v>6114</v>
      </c>
      <c r="B134" s="113" t="e">
        <f aca="false">INDEX(#REF!,MATCH($A134, #REF!,0),1)</f>
        <v>#VALUE!</v>
      </c>
      <c r="C134" s="113" t="e">
        <f aca="false">INDEX(#REF!,MATCH($A134, #REF!,0),1)</f>
        <v>#VALUE!</v>
      </c>
      <c r="D134" s="113" t="e">
        <f aca="false">INDEX(#REF!,MATCH($A134, #REF!,0),1)</f>
        <v>#VALUE!</v>
      </c>
      <c r="E134" s="113" t="e">
        <f aca="false">INDEX(#REF!,MATCH($A134, #REF!,0),1)</f>
        <v>#VALUE!</v>
      </c>
      <c r="F134" s="113" t="e">
        <f aca="false">INDEX(participants!$K$1:$K$718,MATCH($B134,participants!$A$1:$A$718,0),1)</f>
        <v>#VALUE!</v>
      </c>
      <c r="G134" s="113" t="e">
        <f aca="false">INDEX(participants #REF!:participants #REF!,MATCH($B134,participants!$A$1:$A$718,0),1)</f>
        <v>#VALUE!</v>
      </c>
      <c r="H134" s="113" t="e">
        <f aca="false">INDEX(samples!$I$2:$I$887,MATCH($D134,#REF!,0),1)</f>
        <v>#VALUE!</v>
      </c>
      <c r="I134" s="114" t="e">
        <f aca="false">INDEX(samples!$C$2:$C$887,MATCH($D134,#REF!,0),1)</f>
        <v>#VALUE!</v>
      </c>
      <c r="J134" s="0" t="s">
        <v>558</v>
      </c>
      <c r="K134" s="83" t="s">
        <v>558</v>
      </c>
      <c r="L134" s="83"/>
      <c r="M134" s="0" t="s">
        <v>5841</v>
      </c>
      <c r="N134" s="83" t="s">
        <v>511</v>
      </c>
      <c r="O134" s="83" t="s">
        <v>511</v>
      </c>
      <c r="P134" s="0" t="s">
        <v>6027</v>
      </c>
      <c r="Q134" s="0" t="s">
        <v>6078</v>
      </c>
      <c r="R134" s="0" t="s">
        <v>511</v>
      </c>
      <c r="S134" s="0" t="n">
        <v>2</v>
      </c>
      <c r="T134" s="120" t="s">
        <v>511</v>
      </c>
      <c r="U134" s="0" t="s">
        <v>5841</v>
      </c>
      <c r="V134" s="31" t="n">
        <v>43991</v>
      </c>
      <c r="W134" s="0" t="s">
        <v>5579</v>
      </c>
      <c r="X134" s="0" t="s">
        <v>6052</v>
      </c>
      <c r="Y134" s="120" t="s">
        <v>487</v>
      </c>
      <c r="Z134" s="120" t="s">
        <v>487</v>
      </c>
      <c r="AA134" s="0" t="s">
        <v>3147</v>
      </c>
      <c r="AB134" s="0" t="s">
        <v>6030</v>
      </c>
      <c r="AC134" s="0" t="s">
        <v>6036</v>
      </c>
      <c r="AD134" s="0" t="s">
        <v>558</v>
      </c>
      <c r="AF134" s="83" t="s">
        <v>951</v>
      </c>
      <c r="AG134" s="118"/>
      <c r="AH134" s="74"/>
      <c r="AI134" s="83"/>
      <c r="AJ134" s="83"/>
      <c r="AK134" s="83"/>
    </row>
    <row r="135" customFormat="false" ht="13.8" hidden="false" customHeight="false" outlineLevel="0" collapsed="false">
      <c r="A135" s="37" t="s">
        <v>6115</v>
      </c>
      <c r="B135" s="113" t="e">
        <f aca="false">INDEX(#REF!,MATCH($A135, #REF!,0),1)</f>
        <v>#VALUE!</v>
      </c>
      <c r="C135" s="113" t="e">
        <f aca="false">INDEX(#REF!,MATCH($A135, #REF!,0),1)</f>
        <v>#VALUE!</v>
      </c>
      <c r="D135" s="113" t="e">
        <f aca="false">INDEX(#REF!,MATCH($A135, #REF!,0),1)</f>
        <v>#VALUE!</v>
      </c>
      <c r="E135" s="113" t="e">
        <f aca="false">INDEX(#REF!,MATCH($A135, #REF!,0),1)</f>
        <v>#VALUE!</v>
      </c>
      <c r="F135" s="113" t="e">
        <f aca="false">INDEX(participants!$K$1:$K$718,MATCH($B135,participants!$A$1:$A$718,0),1)</f>
        <v>#VALUE!</v>
      </c>
      <c r="G135" s="113" t="e">
        <f aca="false">INDEX(participants #REF!:participants #REF!,MATCH($B135,participants!$A$1:$A$718,0),1)</f>
        <v>#VALUE!</v>
      </c>
      <c r="H135" s="113" t="e">
        <f aca="false">INDEX(samples!$I$2:$I$887,MATCH($D135,#REF!,0),1)</f>
        <v>#VALUE!</v>
      </c>
      <c r="I135" s="114" t="e">
        <f aca="false">INDEX(samples!$C$2:$C$887,MATCH($D135,#REF!,0),1)</f>
        <v>#VALUE!</v>
      </c>
      <c r="J135" s="0" t="s">
        <v>511</v>
      </c>
      <c r="K135" s="83" t="s">
        <v>511</v>
      </c>
      <c r="L135" s="83"/>
      <c r="M135" s="0" t="s">
        <v>487</v>
      </c>
      <c r="N135" s="0" t="s">
        <v>487</v>
      </c>
      <c r="O135" s="0" t="s">
        <v>487</v>
      </c>
      <c r="P135" s="0" t="s">
        <v>487</v>
      </c>
      <c r="Q135" s="0" t="s">
        <v>487</v>
      </c>
      <c r="R135" s="0" t="s">
        <v>558</v>
      </c>
      <c r="S135" s="120" t="s">
        <v>487</v>
      </c>
      <c r="T135" s="120" t="s">
        <v>487</v>
      </c>
      <c r="U135" s="120" t="s">
        <v>487</v>
      </c>
      <c r="V135" s="120" t="s">
        <v>487</v>
      </c>
      <c r="W135" s="120" t="s">
        <v>487</v>
      </c>
      <c r="X135" s="120" t="s">
        <v>487</v>
      </c>
      <c r="Y135" s="120" t="s">
        <v>487</v>
      </c>
      <c r="Z135" s="120" t="s">
        <v>487</v>
      </c>
      <c r="AA135" s="0" t="s">
        <v>3147</v>
      </c>
      <c r="AB135" s="0" t="s">
        <v>6030</v>
      </c>
      <c r="AC135" s="0" t="s">
        <v>6116</v>
      </c>
      <c r="AD135" s="0" t="s">
        <v>558</v>
      </c>
      <c r="AF135" s="83" t="s">
        <v>946</v>
      </c>
      <c r="AG135" s="118"/>
      <c r="AH135" s="74"/>
      <c r="AI135" s="83"/>
      <c r="AJ135" s="83"/>
      <c r="AK135" s="83"/>
    </row>
    <row r="136" customFormat="false" ht="13.8" hidden="false" customHeight="false" outlineLevel="0" collapsed="false">
      <c r="A136" s="37" t="s">
        <v>6117</v>
      </c>
      <c r="B136" s="113" t="e">
        <f aca="false">INDEX(#REF!,MATCH($A136, #REF!,0),1)</f>
        <v>#VALUE!</v>
      </c>
      <c r="C136" s="113" t="e">
        <f aca="false">INDEX(#REF!,MATCH($A136, #REF!,0),1)</f>
        <v>#VALUE!</v>
      </c>
      <c r="D136" s="113" t="e">
        <f aca="false">INDEX(#REF!,MATCH($A136, #REF!,0),1)</f>
        <v>#VALUE!</v>
      </c>
      <c r="E136" s="113" t="e">
        <f aca="false">INDEX(#REF!,MATCH($A136, #REF!,0),1)</f>
        <v>#VALUE!</v>
      </c>
      <c r="F136" s="113" t="e">
        <f aca="false">INDEX(participants!$K$1:$K$718,MATCH($B136,participants!$A$1:$A$718,0),1)</f>
        <v>#VALUE!</v>
      </c>
      <c r="G136" s="113" t="e">
        <f aca="false">INDEX(participants #REF!:participants #REF!,MATCH($B136,participants!$A$1:$A$718,0),1)</f>
        <v>#VALUE!</v>
      </c>
      <c r="H136" s="113" t="e">
        <f aca="false">INDEX(samples!$I$2:$I$887,MATCH($D136,#REF!,0),1)</f>
        <v>#VALUE!</v>
      </c>
      <c r="I136" s="114" t="e">
        <f aca="false">INDEX(samples!$C$2:$C$887,MATCH($D136,#REF!,0),1)</f>
        <v>#VALUE!</v>
      </c>
      <c r="J136" s="0" t="s">
        <v>511</v>
      </c>
      <c r="K136" s="83" t="s">
        <v>511</v>
      </c>
      <c r="L136" s="83"/>
      <c r="M136" s="0" t="s">
        <v>487</v>
      </c>
      <c r="N136" s="0" t="s">
        <v>487</v>
      </c>
      <c r="O136" s="0" t="s">
        <v>487</v>
      </c>
      <c r="P136" s="0" t="s">
        <v>487</v>
      </c>
      <c r="Q136" s="0" t="s">
        <v>487</v>
      </c>
      <c r="R136" s="0" t="s">
        <v>558</v>
      </c>
      <c r="S136" s="120" t="s">
        <v>487</v>
      </c>
      <c r="T136" s="120" t="s">
        <v>487</v>
      </c>
      <c r="U136" s="120" t="s">
        <v>487</v>
      </c>
      <c r="V136" s="120" t="s">
        <v>487</v>
      </c>
      <c r="W136" s="120" t="s">
        <v>487</v>
      </c>
      <c r="X136" s="120" t="s">
        <v>487</v>
      </c>
      <c r="Y136" s="120" t="s">
        <v>487</v>
      </c>
      <c r="Z136" s="120" t="s">
        <v>487</v>
      </c>
      <c r="AA136" s="0" t="s">
        <v>3147</v>
      </c>
      <c r="AB136" s="0" t="s">
        <v>6030</v>
      </c>
      <c r="AC136" s="0" t="s">
        <v>6036</v>
      </c>
      <c r="AD136" s="0" t="s">
        <v>558</v>
      </c>
      <c r="AF136" s="83" t="s">
        <v>1096</v>
      </c>
      <c r="AG136" s="118" t="s">
        <v>526</v>
      </c>
      <c r="AH136" s="74"/>
      <c r="AI136" s="83"/>
      <c r="AJ136" s="83"/>
      <c r="AK136" s="83"/>
    </row>
    <row r="137" customFormat="false" ht="13.8" hidden="false" customHeight="false" outlineLevel="0" collapsed="false">
      <c r="A137" s="37" t="s">
        <v>6118</v>
      </c>
      <c r="B137" s="113" t="e">
        <f aca="false">INDEX(#REF!,MATCH($A137, #REF!,0),1)</f>
        <v>#VALUE!</v>
      </c>
      <c r="C137" s="113" t="e">
        <f aca="false">INDEX(#REF!,MATCH($A137, #REF!,0),1)</f>
        <v>#VALUE!</v>
      </c>
      <c r="D137" s="113" t="e">
        <f aca="false">INDEX(#REF!,MATCH($A137, #REF!,0),1)</f>
        <v>#VALUE!</v>
      </c>
      <c r="E137" s="113" t="e">
        <f aca="false">INDEX(#REF!,MATCH($A137, #REF!,0),1)</f>
        <v>#VALUE!</v>
      </c>
      <c r="F137" s="113" t="e">
        <f aca="false">INDEX(participants!$K$1:$K$718,MATCH($B137,participants!$A$1:$A$718,0),1)</f>
        <v>#VALUE!</v>
      </c>
      <c r="G137" s="113" t="e">
        <f aca="false">INDEX(participants #REF!:participants #REF!,MATCH($B137,participants!$A$1:$A$718,0),1)</f>
        <v>#VALUE!</v>
      </c>
      <c r="H137" s="113" t="e">
        <f aca="false">INDEX(samples!$I$2:$I$887,MATCH($D137,#REF!,0),1)</f>
        <v>#VALUE!</v>
      </c>
      <c r="I137" s="114" t="e">
        <f aca="false">INDEX(samples!$C$2:$C$887,MATCH($D137,#REF!,0),1)</f>
        <v>#VALUE!</v>
      </c>
      <c r="J137" s="0" t="s">
        <v>511</v>
      </c>
      <c r="K137" s="83" t="s">
        <v>511</v>
      </c>
      <c r="L137" s="83"/>
      <c r="M137" s="0" t="s">
        <v>487</v>
      </c>
      <c r="N137" s="0" t="s">
        <v>487</v>
      </c>
      <c r="O137" s="0" t="s">
        <v>487</v>
      </c>
      <c r="P137" s="0" t="s">
        <v>487</v>
      </c>
      <c r="Q137" s="0" t="s">
        <v>487</v>
      </c>
      <c r="R137" s="0" t="s">
        <v>558</v>
      </c>
      <c r="S137" s="120" t="s">
        <v>487</v>
      </c>
      <c r="T137" s="120" t="s">
        <v>487</v>
      </c>
      <c r="U137" s="120" t="s">
        <v>487</v>
      </c>
      <c r="V137" s="120" t="s">
        <v>487</v>
      </c>
      <c r="W137" s="120" t="s">
        <v>487</v>
      </c>
      <c r="X137" s="120" t="s">
        <v>487</v>
      </c>
      <c r="Y137" s="120" t="s">
        <v>487</v>
      </c>
      <c r="Z137" s="120" t="s">
        <v>487</v>
      </c>
      <c r="AA137" s="0" t="s">
        <v>3147</v>
      </c>
      <c r="AB137" s="0" t="s">
        <v>6030</v>
      </c>
      <c r="AC137" s="0" t="s">
        <v>6036</v>
      </c>
      <c r="AD137" s="0" t="s">
        <v>558</v>
      </c>
      <c r="AF137" s="83" t="s">
        <v>1104</v>
      </c>
      <c r="AG137" s="118"/>
      <c r="AH137" s="74"/>
      <c r="AI137" s="83"/>
      <c r="AJ137" s="83"/>
      <c r="AK137" s="83"/>
    </row>
    <row r="138" customFormat="false" ht="13.8" hidden="false" customHeight="false" outlineLevel="0" collapsed="false">
      <c r="A138" s="37" t="s">
        <v>6119</v>
      </c>
      <c r="B138" s="113" t="e">
        <f aca="false">INDEX(#REF!,MATCH($A138, #REF!,0),1)</f>
        <v>#VALUE!</v>
      </c>
      <c r="C138" s="113" t="e">
        <f aca="false">INDEX(#REF!,MATCH($A138, #REF!,0),1)</f>
        <v>#VALUE!</v>
      </c>
      <c r="D138" s="113" t="e">
        <f aca="false">INDEX(#REF!,MATCH($A138, #REF!,0),1)</f>
        <v>#VALUE!</v>
      </c>
      <c r="E138" s="113" t="e">
        <f aca="false">INDEX(#REF!,MATCH($A138, #REF!,0),1)</f>
        <v>#VALUE!</v>
      </c>
      <c r="F138" s="113" t="e">
        <f aca="false">INDEX(participants!$K$1:$K$718,MATCH($B138,participants!$A$1:$A$718,0),1)</f>
        <v>#VALUE!</v>
      </c>
      <c r="G138" s="113" t="e">
        <f aca="false">INDEX(participants #REF!:participants #REF!,MATCH($B138,participants!$A$1:$A$718,0),1)</f>
        <v>#VALUE!</v>
      </c>
      <c r="H138" s="113" t="e">
        <f aca="false">INDEX(samples!$I$2:$I$887,MATCH($D138,#REF!,0),1)</f>
        <v>#VALUE!</v>
      </c>
      <c r="I138" s="114" t="e">
        <f aca="false">INDEX(samples!$C$2:$C$887,MATCH($D138,#REF!,0),1)</f>
        <v>#VALUE!</v>
      </c>
      <c r="J138" s="0" t="s">
        <v>511</v>
      </c>
      <c r="K138" s="83" t="s">
        <v>511</v>
      </c>
      <c r="L138" s="83"/>
      <c r="M138" s="0" t="s">
        <v>487</v>
      </c>
      <c r="N138" s="0" t="s">
        <v>487</v>
      </c>
      <c r="O138" s="0" t="s">
        <v>487</v>
      </c>
      <c r="P138" s="0" t="s">
        <v>487</v>
      </c>
      <c r="Q138" s="0" t="s">
        <v>487</v>
      </c>
      <c r="R138" s="0" t="s">
        <v>558</v>
      </c>
      <c r="S138" s="120" t="s">
        <v>487</v>
      </c>
      <c r="T138" s="120" t="s">
        <v>487</v>
      </c>
      <c r="U138" s="120" t="s">
        <v>487</v>
      </c>
      <c r="V138" s="120" t="s">
        <v>487</v>
      </c>
      <c r="W138" s="120" t="s">
        <v>487</v>
      </c>
      <c r="X138" s="120" t="s">
        <v>487</v>
      </c>
      <c r="Y138" s="120" t="s">
        <v>487</v>
      </c>
      <c r="Z138" s="120" t="s">
        <v>487</v>
      </c>
      <c r="AA138" s="0" t="s">
        <v>3147</v>
      </c>
      <c r="AB138" s="0" t="s">
        <v>6030</v>
      </c>
      <c r="AC138" s="0" t="s">
        <v>6036</v>
      </c>
      <c r="AD138" s="0" t="s">
        <v>558</v>
      </c>
      <c r="AF138" s="83" t="s">
        <v>1108</v>
      </c>
      <c r="AG138" s="118"/>
      <c r="AH138" s="74"/>
      <c r="AI138" s="83"/>
      <c r="AJ138" s="83"/>
      <c r="AK138" s="83"/>
    </row>
    <row r="139" customFormat="false" ht="13.8" hidden="false" customHeight="false" outlineLevel="0" collapsed="false">
      <c r="A139" s="37" t="s">
        <v>6120</v>
      </c>
      <c r="B139" s="113" t="e">
        <f aca="false">INDEX(#REF!,MATCH($A139, #REF!,0),1)</f>
        <v>#VALUE!</v>
      </c>
      <c r="C139" s="113" t="e">
        <f aca="false">INDEX(#REF!,MATCH($A139, #REF!,0),1)</f>
        <v>#VALUE!</v>
      </c>
      <c r="D139" s="113" t="e">
        <f aca="false">INDEX(#REF!,MATCH($A139, #REF!,0),1)</f>
        <v>#VALUE!</v>
      </c>
      <c r="E139" s="113" t="e">
        <f aca="false">INDEX(#REF!,MATCH($A139, #REF!,0),1)</f>
        <v>#VALUE!</v>
      </c>
      <c r="F139" s="113" t="e">
        <f aca="false">INDEX(participants!$K$1:$K$718,MATCH($B139,participants!$A$1:$A$718,0),1)</f>
        <v>#VALUE!</v>
      </c>
      <c r="G139" s="113" t="e">
        <f aca="false">INDEX(participants #REF!:participants #REF!,MATCH($B139,participants!$A$1:$A$718,0),1)</f>
        <v>#VALUE!</v>
      </c>
      <c r="H139" s="113" t="e">
        <f aca="false">INDEX(samples!$I$2:$I$887,MATCH($D139,#REF!,0),1)</f>
        <v>#VALUE!</v>
      </c>
      <c r="I139" s="114" t="e">
        <f aca="false">INDEX(samples!$C$2:$C$887,MATCH($D139,#REF!,0),1)</f>
        <v>#VALUE!</v>
      </c>
      <c r="J139" s="0" t="s">
        <v>511</v>
      </c>
      <c r="K139" s="83" t="s">
        <v>511</v>
      </c>
      <c r="L139" s="83"/>
      <c r="M139" s="0" t="s">
        <v>487</v>
      </c>
      <c r="N139" s="0" t="s">
        <v>487</v>
      </c>
      <c r="O139" s="0" t="s">
        <v>487</v>
      </c>
      <c r="P139" s="0" t="s">
        <v>487</v>
      </c>
      <c r="Q139" s="0" t="s">
        <v>487</v>
      </c>
      <c r="R139" s="0" t="s">
        <v>558</v>
      </c>
      <c r="S139" s="120" t="s">
        <v>487</v>
      </c>
      <c r="T139" s="120" t="s">
        <v>487</v>
      </c>
      <c r="U139" s="120" t="s">
        <v>487</v>
      </c>
      <c r="V139" s="120" t="s">
        <v>487</v>
      </c>
      <c r="W139" s="120" t="s">
        <v>487</v>
      </c>
      <c r="X139" s="120" t="s">
        <v>487</v>
      </c>
      <c r="Y139" s="120" t="s">
        <v>487</v>
      </c>
      <c r="Z139" s="120" t="s">
        <v>487</v>
      </c>
      <c r="AA139" s="0" t="s">
        <v>3147</v>
      </c>
      <c r="AB139" s="0" t="s">
        <v>6030</v>
      </c>
      <c r="AC139" s="31" t="s">
        <v>6121</v>
      </c>
      <c r="AD139" s="0" t="s">
        <v>558</v>
      </c>
      <c r="AF139" s="83" t="s">
        <v>1112</v>
      </c>
      <c r="AG139" s="118"/>
      <c r="AH139" s="74"/>
      <c r="AI139" s="83"/>
      <c r="AJ139" s="83"/>
      <c r="AK139" s="83"/>
    </row>
    <row r="140" customFormat="false" ht="13.8" hidden="false" customHeight="false" outlineLevel="0" collapsed="false">
      <c r="A140" s="37" t="s">
        <v>6122</v>
      </c>
      <c r="B140" s="113" t="e">
        <f aca="false">INDEX(#REF!,MATCH($A140, #REF!,0),1)</f>
        <v>#VALUE!</v>
      </c>
      <c r="C140" s="113" t="e">
        <f aca="false">INDEX(#REF!,MATCH($A140, #REF!,0),1)</f>
        <v>#VALUE!</v>
      </c>
      <c r="D140" s="113" t="e">
        <f aca="false">INDEX(#REF!,MATCH($A140, #REF!,0),1)</f>
        <v>#VALUE!</v>
      </c>
      <c r="E140" s="113" t="e">
        <f aca="false">INDEX(#REF!,MATCH($A140, #REF!,0),1)</f>
        <v>#VALUE!</v>
      </c>
      <c r="F140" s="113" t="e">
        <f aca="false">INDEX(participants!$K$1:$K$718,MATCH($B140,participants!$A$1:$A$718,0),1)</f>
        <v>#VALUE!</v>
      </c>
      <c r="G140" s="113" t="e">
        <f aca="false">INDEX(participants #REF!:participants #REF!,MATCH($B140,participants!$A$1:$A$718,0),1)</f>
        <v>#VALUE!</v>
      </c>
      <c r="H140" s="113" t="e">
        <f aca="false">INDEX(samples!$I$2:$I$887,MATCH($D140,#REF!,0),1)</f>
        <v>#VALUE!</v>
      </c>
      <c r="I140" s="114" t="e">
        <f aca="false">INDEX(samples!$C$2:$C$887,MATCH($D140,#REF!,0),1)</f>
        <v>#VALUE!</v>
      </c>
      <c r="J140" s="0" t="s">
        <v>511</v>
      </c>
      <c r="K140" s="0" t="s">
        <v>558</v>
      </c>
      <c r="L140" s="83"/>
      <c r="M140" s="0" t="s">
        <v>5841</v>
      </c>
      <c r="N140" s="83" t="s">
        <v>511</v>
      </c>
      <c r="O140" s="0" t="s">
        <v>511</v>
      </c>
      <c r="P140" s="0" t="s">
        <v>6123</v>
      </c>
      <c r="Q140" s="0" t="s">
        <v>6124</v>
      </c>
      <c r="R140" s="0" t="s">
        <v>558</v>
      </c>
      <c r="S140" s="120" t="s">
        <v>487</v>
      </c>
      <c r="T140" s="120" t="s">
        <v>487</v>
      </c>
      <c r="U140" s="120" t="s">
        <v>487</v>
      </c>
      <c r="V140" s="120" t="s">
        <v>487</v>
      </c>
      <c r="W140" s="120" t="s">
        <v>487</v>
      </c>
      <c r="X140" s="0" t="s">
        <v>6125</v>
      </c>
      <c r="Y140" s="120" t="s">
        <v>487</v>
      </c>
      <c r="Z140" s="120" t="s">
        <v>487</v>
      </c>
      <c r="AA140" s="0" t="s">
        <v>3147</v>
      </c>
      <c r="AB140" s="0" t="s">
        <v>6030</v>
      </c>
      <c r="AC140" s="0" t="s">
        <v>6126</v>
      </c>
      <c r="AD140" s="0" t="s">
        <v>558</v>
      </c>
      <c r="AF140" s="83" t="s">
        <v>1117</v>
      </c>
      <c r="AG140" s="118"/>
      <c r="AH140" s="74"/>
      <c r="AI140" s="83"/>
      <c r="AJ140" s="83"/>
      <c r="AK140" s="83"/>
    </row>
    <row r="141" customFormat="false" ht="13.8" hidden="false" customHeight="false" outlineLevel="0" collapsed="false">
      <c r="A141" s="37" t="s">
        <v>6127</v>
      </c>
      <c r="B141" s="113" t="e">
        <f aca="false">INDEX(#REF!,MATCH($A141, #REF!,0),1)</f>
        <v>#VALUE!</v>
      </c>
      <c r="C141" s="113" t="e">
        <f aca="false">INDEX(#REF!,MATCH($A141, #REF!,0),1)</f>
        <v>#VALUE!</v>
      </c>
      <c r="D141" s="113" t="e">
        <f aca="false">INDEX(#REF!,MATCH($A141, #REF!,0),1)</f>
        <v>#VALUE!</v>
      </c>
      <c r="E141" s="113" t="e">
        <f aca="false">INDEX(#REF!,MATCH($A141, #REF!,0),1)</f>
        <v>#VALUE!</v>
      </c>
      <c r="F141" s="113" t="e">
        <f aca="false">INDEX(participants!$K$1:$K$718,MATCH($B141,participants!$A$1:$A$718,0),1)</f>
        <v>#VALUE!</v>
      </c>
      <c r="G141" s="113" t="e">
        <f aca="false">INDEX(participants #REF!:participants #REF!,MATCH($B141,participants!$A$1:$A$718,0),1)</f>
        <v>#VALUE!</v>
      </c>
      <c r="H141" s="113" t="e">
        <f aca="false">INDEX(samples!$I$2:$I$887,MATCH($D141,#REF!,0),1)</f>
        <v>#VALUE!</v>
      </c>
      <c r="I141" s="114" t="e">
        <f aca="false">INDEX(samples!$C$2:$C$887,MATCH($D141,#REF!,0),1)</f>
        <v>#VALUE!</v>
      </c>
      <c r="J141" s="0" t="s">
        <v>558</v>
      </c>
      <c r="K141" s="83" t="s">
        <v>511</v>
      </c>
      <c r="L141" s="83"/>
      <c r="M141" s="0" t="s">
        <v>487</v>
      </c>
      <c r="N141" s="0" t="s">
        <v>487</v>
      </c>
      <c r="O141" s="0" t="s">
        <v>487</v>
      </c>
      <c r="P141" s="0" t="s">
        <v>487</v>
      </c>
      <c r="Q141" s="0" t="s">
        <v>487</v>
      </c>
      <c r="R141" s="0" t="s">
        <v>511</v>
      </c>
      <c r="S141" s="0" t="n">
        <v>2</v>
      </c>
      <c r="T141" s="83" t="s">
        <v>558</v>
      </c>
      <c r="U141" s="120" t="s">
        <v>487</v>
      </c>
      <c r="V141" s="120" t="s">
        <v>487</v>
      </c>
      <c r="W141" s="120" t="s">
        <v>487</v>
      </c>
      <c r="X141" s="120" t="s">
        <v>487</v>
      </c>
      <c r="Y141" s="120" t="s">
        <v>487</v>
      </c>
      <c r="Z141" s="120" t="s">
        <v>487</v>
      </c>
      <c r="AA141" s="0" t="s">
        <v>3147</v>
      </c>
      <c r="AB141" s="0" t="s">
        <v>6030</v>
      </c>
      <c r="AC141" s="0" t="s">
        <v>6128</v>
      </c>
      <c r="AD141" s="0" t="s">
        <v>558</v>
      </c>
      <c r="AF141" s="83" t="s">
        <v>1290</v>
      </c>
      <c r="AG141" s="118"/>
      <c r="AH141" s="74"/>
      <c r="AI141" s="83"/>
      <c r="AJ141" s="83"/>
      <c r="AK141" s="83"/>
    </row>
    <row r="142" customFormat="false" ht="13.8" hidden="false" customHeight="false" outlineLevel="0" collapsed="false">
      <c r="A142" s="37" t="s">
        <v>6129</v>
      </c>
      <c r="B142" s="113" t="e">
        <f aca="false">INDEX(#REF!,MATCH($A142, #REF!,0),1)</f>
        <v>#VALUE!</v>
      </c>
      <c r="C142" s="113" t="e">
        <f aca="false">INDEX(#REF!,MATCH($A142, #REF!,0),1)</f>
        <v>#VALUE!</v>
      </c>
      <c r="D142" s="113" t="e">
        <f aca="false">INDEX(#REF!,MATCH($A142, #REF!,0),1)</f>
        <v>#VALUE!</v>
      </c>
      <c r="E142" s="113" t="e">
        <f aca="false">INDEX(#REF!,MATCH($A142, #REF!,0),1)</f>
        <v>#VALUE!</v>
      </c>
      <c r="F142" s="113" t="e">
        <f aca="false">INDEX(participants!$K$1:$K$718,MATCH($B142,participants!$A$1:$A$718,0),1)</f>
        <v>#VALUE!</v>
      </c>
      <c r="G142" s="113" t="e">
        <f aca="false">INDEX(participants #REF!:participants #REF!,MATCH($B142,participants!$A$1:$A$718,0),1)</f>
        <v>#VALUE!</v>
      </c>
      <c r="H142" s="113" t="e">
        <f aca="false">INDEX(samples!$I$2:$I$887,MATCH($D142,#REF!,0),1)</f>
        <v>#VALUE!</v>
      </c>
      <c r="I142" s="114" t="e">
        <f aca="false">INDEX(samples!$C$2:$C$887,MATCH($D142,#REF!,0),1)</f>
        <v>#VALUE!</v>
      </c>
      <c r="J142" s="0" t="s">
        <v>511</v>
      </c>
      <c r="K142" s="83" t="s">
        <v>511</v>
      </c>
      <c r="L142" s="83"/>
      <c r="M142" s="0" t="s">
        <v>487</v>
      </c>
      <c r="N142" s="0" t="s">
        <v>487</v>
      </c>
      <c r="O142" s="0" t="s">
        <v>487</v>
      </c>
      <c r="P142" s="0" t="s">
        <v>487</v>
      </c>
      <c r="Q142" s="0" t="s">
        <v>487</v>
      </c>
      <c r="R142" s="0" t="s">
        <v>511</v>
      </c>
      <c r="S142" s="0" t="n">
        <v>1</v>
      </c>
      <c r="T142" s="83" t="s">
        <v>487</v>
      </c>
      <c r="U142" s="83" t="s">
        <v>487</v>
      </c>
      <c r="V142" s="83" t="s">
        <v>487</v>
      </c>
      <c r="W142" s="83" t="s">
        <v>487</v>
      </c>
      <c r="X142" s="120" t="s">
        <v>487</v>
      </c>
      <c r="Y142" s="120" t="s">
        <v>487</v>
      </c>
      <c r="Z142" s="120" t="s">
        <v>487</v>
      </c>
      <c r="AA142" s="0" t="s">
        <v>3147</v>
      </c>
      <c r="AB142" s="0" t="s">
        <v>6030</v>
      </c>
      <c r="AC142" s="0" t="s">
        <v>6128</v>
      </c>
      <c r="AD142" s="0" t="s">
        <v>558</v>
      </c>
      <c r="AE142" s="83"/>
      <c r="AF142" s="83" t="s">
        <v>1290</v>
      </c>
      <c r="AG142" s="118"/>
      <c r="AH142" s="74"/>
      <c r="AI142" s="83"/>
      <c r="AJ142" s="83"/>
      <c r="AK142" s="83"/>
    </row>
    <row r="143" customFormat="false" ht="13.8" hidden="false" customHeight="false" outlineLevel="0" collapsed="false">
      <c r="A143" s="37" t="s">
        <v>6130</v>
      </c>
      <c r="B143" s="113" t="e">
        <f aca="false">INDEX(#REF!,MATCH($A143, #REF!,0),1)</f>
        <v>#VALUE!</v>
      </c>
      <c r="C143" s="113" t="e">
        <f aca="false">INDEX(#REF!,MATCH($A143, #REF!,0),1)</f>
        <v>#VALUE!</v>
      </c>
      <c r="D143" s="113" t="e">
        <f aca="false">INDEX(#REF!,MATCH($A143, #REF!,0),1)</f>
        <v>#VALUE!</v>
      </c>
      <c r="E143" s="113" t="e">
        <f aca="false">INDEX(#REF!,MATCH($A143, #REF!,0),1)</f>
        <v>#VALUE!</v>
      </c>
      <c r="F143" s="113" t="e">
        <f aca="false">INDEX(participants!$K$1:$K$718,MATCH($B143,participants!$A$1:$A$718,0),1)</f>
        <v>#VALUE!</v>
      </c>
      <c r="G143" s="113" t="e">
        <f aca="false">INDEX(participants #REF!:participants #REF!,MATCH($B143,participants!$A$1:$A$718,0),1)</f>
        <v>#VALUE!</v>
      </c>
      <c r="H143" s="113" t="e">
        <f aca="false">INDEX(samples!$I$2:$I$887,MATCH($D143,#REF!,0),1)</f>
        <v>#VALUE!</v>
      </c>
      <c r="I143" s="114" t="e">
        <f aca="false">INDEX(samples!$C$2:$C$887,MATCH($D143,#REF!,0),1)</f>
        <v>#VALUE!</v>
      </c>
      <c r="J143" s="0" t="s">
        <v>511</v>
      </c>
      <c r="K143" s="83" t="s">
        <v>558</v>
      </c>
      <c r="L143" s="83"/>
      <c r="M143" s="0" t="s">
        <v>5841</v>
      </c>
      <c r="N143" s="83" t="s">
        <v>511</v>
      </c>
      <c r="O143" s="83" t="s">
        <v>511</v>
      </c>
      <c r="P143" s="0" t="s">
        <v>6027</v>
      </c>
      <c r="Q143" s="0" t="s">
        <v>6078</v>
      </c>
      <c r="R143" s="0" t="s">
        <v>558</v>
      </c>
      <c r="S143" s="120" t="s">
        <v>487</v>
      </c>
      <c r="T143" s="120" t="s">
        <v>487</v>
      </c>
      <c r="U143" s="120" t="s">
        <v>487</v>
      </c>
      <c r="V143" s="120" t="s">
        <v>487</v>
      </c>
      <c r="W143" s="120" t="s">
        <v>487</v>
      </c>
      <c r="X143" s="0" t="s">
        <v>6125</v>
      </c>
      <c r="Y143" s="120" t="s">
        <v>487</v>
      </c>
      <c r="Z143" s="120" t="s">
        <v>487</v>
      </c>
      <c r="AA143" s="0" t="s">
        <v>3147</v>
      </c>
      <c r="AB143" s="0" t="s">
        <v>6030</v>
      </c>
      <c r="AC143" s="0" t="s">
        <v>6036</v>
      </c>
      <c r="AD143" s="0" t="s">
        <v>558</v>
      </c>
      <c r="AE143" s="83"/>
      <c r="AF143" s="83" t="s">
        <v>1295</v>
      </c>
      <c r="AG143" s="118"/>
      <c r="AH143" s="74"/>
      <c r="AI143" s="83"/>
      <c r="AJ143" s="83"/>
      <c r="AK143" s="83"/>
    </row>
    <row r="144" customFormat="false" ht="13.8" hidden="false" customHeight="false" outlineLevel="0" collapsed="false">
      <c r="A144" s="37" t="s">
        <v>6131</v>
      </c>
      <c r="B144" s="113" t="e">
        <f aca="false">INDEX(#REF!,MATCH($A144, #REF!,0),1)</f>
        <v>#VALUE!</v>
      </c>
      <c r="C144" s="113" t="e">
        <f aca="false">INDEX(#REF!,MATCH($A144, #REF!,0),1)</f>
        <v>#VALUE!</v>
      </c>
      <c r="D144" s="113" t="e">
        <f aca="false">INDEX(#REF!,MATCH($A144, #REF!,0),1)</f>
        <v>#VALUE!</v>
      </c>
      <c r="E144" s="113" t="e">
        <f aca="false">INDEX(#REF!,MATCH($A144, #REF!,0),1)</f>
        <v>#VALUE!</v>
      </c>
      <c r="F144" s="113" t="e">
        <f aca="false">INDEX(participants!$K$1:$K$718,MATCH($B144,participants!$A$1:$A$718,0),1)</f>
        <v>#VALUE!</v>
      </c>
      <c r="G144" s="113" t="e">
        <f aca="false">INDEX(participants #REF!:participants #REF!,MATCH($B144,participants!$A$1:$A$718,0),1)</f>
        <v>#VALUE!</v>
      </c>
      <c r="H144" s="113" t="e">
        <f aca="false">INDEX(samples!$I$2:$I$887,MATCH($D144,#REF!,0),1)</f>
        <v>#VALUE!</v>
      </c>
      <c r="I144" s="114" t="e">
        <f aca="false">INDEX(samples!$C$2:$C$887,MATCH($D144,#REF!,0),1)</f>
        <v>#VALUE!</v>
      </c>
      <c r="J144" s="0" t="s">
        <v>511</v>
      </c>
      <c r="K144" s="0" t="s">
        <v>511</v>
      </c>
      <c r="L144" s="83"/>
      <c r="M144" s="0" t="s">
        <v>487</v>
      </c>
      <c r="N144" s="0" t="s">
        <v>487</v>
      </c>
      <c r="O144" s="0" t="s">
        <v>487</v>
      </c>
      <c r="P144" s="0" t="s">
        <v>487</v>
      </c>
      <c r="Q144" s="0" t="s">
        <v>487</v>
      </c>
      <c r="R144" s="0" t="s">
        <v>558</v>
      </c>
      <c r="S144" s="120" t="s">
        <v>487</v>
      </c>
      <c r="T144" s="120" t="s">
        <v>487</v>
      </c>
      <c r="U144" s="120" t="s">
        <v>487</v>
      </c>
      <c r="V144" s="120" t="s">
        <v>487</v>
      </c>
      <c r="W144" s="120" t="s">
        <v>487</v>
      </c>
      <c r="X144" s="0" t="s">
        <v>6132</v>
      </c>
      <c r="Y144" s="120" t="s">
        <v>487</v>
      </c>
      <c r="Z144" s="120" t="s">
        <v>487</v>
      </c>
      <c r="AA144" s="0" t="s">
        <v>3147</v>
      </c>
      <c r="AB144" s="0" t="s">
        <v>6030</v>
      </c>
      <c r="AC144" s="31" t="s">
        <v>6133</v>
      </c>
      <c r="AD144" s="0" t="s">
        <v>558</v>
      </c>
      <c r="AE144" s="122"/>
      <c r="AF144" s="83" t="s">
        <v>1147</v>
      </c>
      <c r="AG144" s="118"/>
      <c r="AH144" s="74"/>
      <c r="AI144" s="83"/>
      <c r="AJ144" s="83"/>
      <c r="AK144" s="83"/>
    </row>
    <row r="145" customFormat="false" ht="13.8" hidden="false" customHeight="false" outlineLevel="0" collapsed="false">
      <c r="A145" s="37" t="s">
        <v>6134</v>
      </c>
      <c r="B145" s="113" t="e">
        <f aca="false">INDEX(#REF!,MATCH($A145, #REF!,0),1)</f>
        <v>#VALUE!</v>
      </c>
      <c r="C145" s="113" t="e">
        <f aca="false">INDEX(#REF!,MATCH($A145, #REF!,0),1)</f>
        <v>#VALUE!</v>
      </c>
      <c r="D145" s="113" t="e">
        <f aca="false">INDEX(#REF!,MATCH($A145, #REF!,0),1)</f>
        <v>#VALUE!</v>
      </c>
      <c r="E145" s="113" t="e">
        <f aca="false">INDEX(#REF!,MATCH($A145, #REF!,0),1)</f>
        <v>#VALUE!</v>
      </c>
      <c r="F145" s="113" t="e">
        <f aca="false">INDEX(participants!$K$1:$K$718,MATCH($B145,participants!$A$1:$A$718,0),1)</f>
        <v>#VALUE!</v>
      </c>
      <c r="G145" s="113" t="e">
        <f aca="false">INDEX(participants #REF!:participants #REF!,MATCH($B145,participants!$A$1:$A$718,0),1)</f>
        <v>#VALUE!</v>
      </c>
      <c r="H145" s="113" t="e">
        <f aca="false">INDEX(samples!$I$2:$I$887,MATCH($D145,#REF!,0),1)</f>
        <v>#VALUE!</v>
      </c>
      <c r="I145" s="114" t="e">
        <f aca="false">INDEX(samples!$C$2:$C$887,MATCH($D145,#REF!,0),1)</f>
        <v>#VALUE!</v>
      </c>
      <c r="J145" s="0" t="s">
        <v>511</v>
      </c>
      <c r="K145" s="0" t="s">
        <v>511</v>
      </c>
      <c r="L145" s="83"/>
      <c r="M145" s="0" t="s">
        <v>487</v>
      </c>
      <c r="N145" s="0" t="s">
        <v>487</v>
      </c>
      <c r="O145" s="0" t="s">
        <v>487</v>
      </c>
      <c r="P145" s="0" t="s">
        <v>487</v>
      </c>
      <c r="Q145" s="0" t="s">
        <v>487</v>
      </c>
      <c r="R145" s="0" t="s">
        <v>558</v>
      </c>
      <c r="S145" s="120" t="s">
        <v>487</v>
      </c>
      <c r="T145" s="120" t="s">
        <v>487</v>
      </c>
      <c r="U145" s="120" t="s">
        <v>487</v>
      </c>
      <c r="V145" s="120" t="s">
        <v>487</v>
      </c>
      <c r="W145" s="120" t="s">
        <v>487</v>
      </c>
      <c r="X145" s="120" t="s">
        <v>487</v>
      </c>
      <c r="Y145" s="120" t="s">
        <v>487</v>
      </c>
      <c r="Z145" s="120" t="s">
        <v>487</v>
      </c>
      <c r="AA145" s="0" t="s">
        <v>3147</v>
      </c>
      <c r="AB145" s="0" t="s">
        <v>6030</v>
      </c>
      <c r="AC145" s="0" t="s">
        <v>6036</v>
      </c>
      <c r="AD145" s="0" t="s">
        <v>558</v>
      </c>
      <c r="AF145" s="83" t="s">
        <v>1135</v>
      </c>
      <c r="AG145" s="118"/>
      <c r="AH145" s="74"/>
      <c r="AI145" s="83"/>
      <c r="AJ145" s="83"/>
      <c r="AK145" s="83"/>
    </row>
    <row r="146" customFormat="false" ht="13.8" hidden="false" customHeight="false" outlineLevel="0" collapsed="false">
      <c r="A146" s="37" t="s">
        <v>6135</v>
      </c>
      <c r="B146" s="113" t="e">
        <f aca="false">INDEX(#REF!,MATCH($A146, #REF!,0),1)</f>
        <v>#VALUE!</v>
      </c>
      <c r="C146" s="113" t="e">
        <f aca="false">INDEX(#REF!,MATCH($A146, #REF!,0),1)</f>
        <v>#VALUE!</v>
      </c>
      <c r="D146" s="113" t="e">
        <f aca="false">INDEX(#REF!,MATCH($A146, #REF!,0),1)</f>
        <v>#VALUE!</v>
      </c>
      <c r="E146" s="113" t="e">
        <f aca="false">INDEX(#REF!,MATCH($A146, #REF!,0),1)</f>
        <v>#VALUE!</v>
      </c>
      <c r="F146" s="113" t="e">
        <f aca="false">INDEX(participants!$K$1:$K$718,MATCH($B146,participants!$A$1:$A$718,0),1)</f>
        <v>#VALUE!</v>
      </c>
      <c r="G146" s="113" t="e">
        <f aca="false">INDEX(participants #REF!:participants #REF!,MATCH($B146,participants!$A$1:$A$718,0),1)</f>
        <v>#VALUE!</v>
      </c>
      <c r="H146" s="113" t="e">
        <f aca="false">INDEX(samples!$I$2:$I$887,MATCH($D146,#REF!,0),1)</f>
        <v>#VALUE!</v>
      </c>
      <c r="I146" s="114" t="e">
        <f aca="false">INDEX(samples!$C$2:$C$887,MATCH($D146,#REF!,0),1)</f>
        <v>#VALUE!</v>
      </c>
      <c r="J146" s="0" t="s">
        <v>511</v>
      </c>
      <c r="K146" s="0" t="s">
        <v>511</v>
      </c>
      <c r="L146" s="83"/>
      <c r="M146" s="0" t="s">
        <v>487</v>
      </c>
      <c r="N146" s="0" t="s">
        <v>487</v>
      </c>
      <c r="O146" s="0" t="s">
        <v>487</v>
      </c>
      <c r="P146" s="0" t="s">
        <v>487</v>
      </c>
      <c r="Q146" s="0" t="s">
        <v>487</v>
      </c>
      <c r="R146" s="0" t="s">
        <v>558</v>
      </c>
      <c r="S146" s="120" t="s">
        <v>487</v>
      </c>
      <c r="T146" s="120" t="s">
        <v>487</v>
      </c>
      <c r="U146" s="120" t="s">
        <v>487</v>
      </c>
      <c r="V146" s="120" t="s">
        <v>487</v>
      </c>
      <c r="W146" s="120" t="s">
        <v>487</v>
      </c>
      <c r="X146" s="120" t="s">
        <v>487</v>
      </c>
      <c r="Y146" s="120" t="s">
        <v>487</v>
      </c>
      <c r="Z146" s="120" t="s">
        <v>487</v>
      </c>
      <c r="AA146" s="0" t="s">
        <v>3147</v>
      </c>
      <c r="AB146" s="0" t="s">
        <v>6030</v>
      </c>
      <c r="AC146" s="0" t="s">
        <v>6136</v>
      </c>
      <c r="AD146" s="0" t="s">
        <v>558</v>
      </c>
      <c r="AF146" s="83" t="s">
        <v>1139</v>
      </c>
      <c r="AG146" s="118"/>
      <c r="AH146" s="74"/>
      <c r="AI146" s="83"/>
      <c r="AJ146" s="83"/>
      <c r="AK146" s="83"/>
    </row>
    <row r="147" customFormat="false" ht="13.8" hidden="false" customHeight="false" outlineLevel="0" collapsed="false">
      <c r="A147" s="37" t="s">
        <v>6137</v>
      </c>
      <c r="B147" s="113" t="e">
        <f aca="false">INDEX(#REF!,MATCH($A147, #REF!,0),1)</f>
        <v>#VALUE!</v>
      </c>
      <c r="C147" s="113" t="e">
        <f aca="false">INDEX(#REF!,MATCH($A147, #REF!,0),1)</f>
        <v>#VALUE!</v>
      </c>
      <c r="D147" s="113" t="e">
        <f aca="false">INDEX(#REF!,MATCH($A147, #REF!,0),1)</f>
        <v>#VALUE!</v>
      </c>
      <c r="E147" s="113" t="e">
        <f aca="false">INDEX(#REF!,MATCH($A147, #REF!,0),1)</f>
        <v>#VALUE!</v>
      </c>
      <c r="F147" s="113" t="e">
        <f aca="false">INDEX(participants!$K$1:$K$718,MATCH($B147,participants!$A$1:$A$718,0),1)</f>
        <v>#VALUE!</v>
      </c>
      <c r="G147" s="113" t="e">
        <f aca="false">INDEX(participants #REF!:participants #REF!,MATCH($B147,participants!$A$1:$A$718,0),1)</f>
        <v>#VALUE!</v>
      </c>
      <c r="H147" s="113" t="e">
        <f aca="false">INDEX(samples!$I$2:$I$887,MATCH($D147,#REF!,0),1)</f>
        <v>#VALUE!</v>
      </c>
      <c r="I147" s="114" t="e">
        <f aca="false">INDEX(samples!$C$2:$C$887,MATCH($D147,#REF!,0),1)</f>
        <v>#VALUE!</v>
      </c>
      <c r="J147" s="0" t="s">
        <v>511</v>
      </c>
      <c r="K147" s="0" t="s">
        <v>511</v>
      </c>
      <c r="L147" s="83"/>
      <c r="M147" s="0" t="s">
        <v>487</v>
      </c>
      <c r="N147" s="0" t="s">
        <v>487</v>
      </c>
      <c r="O147" s="0" t="s">
        <v>487</v>
      </c>
      <c r="P147" s="0" t="s">
        <v>487</v>
      </c>
      <c r="Q147" s="0" t="s">
        <v>487</v>
      </c>
      <c r="R147" s="0" t="s">
        <v>558</v>
      </c>
      <c r="S147" s="120" t="s">
        <v>487</v>
      </c>
      <c r="T147" s="120" t="s">
        <v>487</v>
      </c>
      <c r="U147" s="120" t="s">
        <v>487</v>
      </c>
      <c r="V147" s="120" t="s">
        <v>487</v>
      </c>
      <c r="W147" s="120" t="s">
        <v>487</v>
      </c>
      <c r="X147" s="120" t="s">
        <v>487</v>
      </c>
      <c r="Y147" s="120" t="s">
        <v>487</v>
      </c>
      <c r="Z147" s="120" t="s">
        <v>487</v>
      </c>
      <c r="AA147" s="0" t="s">
        <v>3147</v>
      </c>
      <c r="AB147" s="0" t="s">
        <v>6030</v>
      </c>
      <c r="AC147" s="0" t="s">
        <v>6138</v>
      </c>
      <c r="AD147" s="0" t="s">
        <v>558</v>
      </c>
      <c r="AF147" s="83" t="s">
        <v>1143</v>
      </c>
      <c r="AG147" s="118"/>
      <c r="AH147" s="74"/>
      <c r="AI147" s="83"/>
      <c r="AJ147" s="83"/>
      <c r="AK147" s="83"/>
    </row>
    <row r="148" customFormat="false" ht="13.8" hidden="false" customHeight="false" outlineLevel="0" collapsed="false">
      <c r="A148" s="37" t="s">
        <v>6139</v>
      </c>
      <c r="B148" s="113" t="e">
        <f aca="false">INDEX(#REF!,MATCH($A148, #REF!,0),1)</f>
        <v>#VALUE!</v>
      </c>
      <c r="C148" s="113" t="e">
        <f aca="false">INDEX(#REF!,MATCH($A148, #REF!,0),1)</f>
        <v>#VALUE!</v>
      </c>
      <c r="D148" s="113" t="e">
        <f aca="false">INDEX(#REF!,MATCH($A148, #REF!,0),1)</f>
        <v>#VALUE!</v>
      </c>
      <c r="E148" s="113" t="e">
        <f aca="false">INDEX(#REF!,MATCH($A148, #REF!,0),1)</f>
        <v>#VALUE!</v>
      </c>
      <c r="F148" s="113" t="e">
        <f aca="false">INDEX(participants!$K$1:$K$718,MATCH($B148,participants!$A$1:$A$718,0),1)</f>
        <v>#VALUE!</v>
      </c>
      <c r="G148" s="113" t="e">
        <f aca="false">INDEX(participants #REF!:participants #REF!,MATCH($B148,participants!$A$1:$A$718,0),1)</f>
        <v>#VALUE!</v>
      </c>
      <c r="H148" s="113" t="e">
        <f aca="false">INDEX(samples!$I$2:$I$887,MATCH($D148,#REF!,0),1)</f>
        <v>#VALUE!</v>
      </c>
      <c r="I148" s="114" t="e">
        <f aca="false">INDEX(samples!$C$2:$C$887,MATCH($D148,#REF!,0),1)</f>
        <v>#VALUE!</v>
      </c>
      <c r="J148" s="0" t="s">
        <v>511</v>
      </c>
      <c r="K148" s="0" t="s">
        <v>511</v>
      </c>
      <c r="L148" s="83"/>
      <c r="M148" s="0" t="s">
        <v>487</v>
      </c>
      <c r="N148" s="0" t="s">
        <v>487</v>
      </c>
      <c r="O148" s="0" t="s">
        <v>487</v>
      </c>
      <c r="P148" s="0" t="s">
        <v>487</v>
      </c>
      <c r="Q148" s="0" t="s">
        <v>487</v>
      </c>
      <c r="R148" s="0" t="s">
        <v>558</v>
      </c>
      <c r="S148" s="120" t="s">
        <v>487</v>
      </c>
      <c r="T148" s="120" t="s">
        <v>487</v>
      </c>
      <c r="U148" s="120" t="s">
        <v>487</v>
      </c>
      <c r="V148" s="120" t="s">
        <v>487</v>
      </c>
      <c r="W148" s="120" t="s">
        <v>487</v>
      </c>
      <c r="X148" s="120" t="s">
        <v>487</v>
      </c>
      <c r="Y148" s="120" t="s">
        <v>487</v>
      </c>
      <c r="Z148" s="120" t="s">
        <v>487</v>
      </c>
      <c r="AA148" s="0" t="s">
        <v>3147</v>
      </c>
      <c r="AB148" s="0" t="s">
        <v>6030</v>
      </c>
      <c r="AC148" s="0" t="s">
        <v>6036</v>
      </c>
      <c r="AD148" s="0" t="s">
        <v>558</v>
      </c>
      <c r="AE148" s="83"/>
      <c r="AF148" s="83" t="s">
        <v>1299</v>
      </c>
      <c r="AG148" s="118"/>
      <c r="AH148" s="74"/>
      <c r="AI148" s="83"/>
      <c r="AJ148" s="83"/>
      <c r="AK148" s="83"/>
    </row>
    <row r="149" customFormat="false" ht="15" hidden="false" customHeight="false" outlineLevel="0" collapsed="false">
      <c r="A149" s="37" t="s">
        <v>6140</v>
      </c>
      <c r="B149" s="113" t="e">
        <f aca="false">INDEX(#REF!,MATCH($A149, #REF!,0),1)</f>
        <v>#VALUE!</v>
      </c>
      <c r="C149" s="113" t="e">
        <f aca="false">INDEX(#REF!,MATCH($A149, #REF!,0),1)</f>
        <v>#VALUE!</v>
      </c>
      <c r="D149" s="113" t="e">
        <f aca="false">INDEX(#REF!,MATCH($A149, #REF!,0),1)</f>
        <v>#VALUE!</v>
      </c>
      <c r="E149" s="113" t="e">
        <f aca="false">INDEX(#REF!,MATCH($A149, #REF!,0),1)</f>
        <v>#VALUE!</v>
      </c>
      <c r="F149" s="113" t="e">
        <f aca="false">INDEX(participants!$K$1:$K$718,MATCH($B149,participants!$A$1:$A$718,0),1)</f>
        <v>#VALUE!</v>
      </c>
      <c r="G149" s="113" t="e">
        <f aca="false">INDEX(participants #REF!:participants #REF!,MATCH($B149,participants!$A$1:$A$718,0),1)</f>
        <v>#VALUE!</v>
      </c>
      <c r="H149" s="113" t="e">
        <f aca="false">INDEX(samples!$I$2:$I$887,MATCH($D149,#REF!,0),1)</f>
        <v>#VALUE!</v>
      </c>
      <c r="I149" s="114" t="e">
        <f aca="false">INDEX(samples!$C$2:$C$887,MATCH($D149,#REF!,0),1)</f>
        <v>#VALUE!</v>
      </c>
      <c r="J149" s="0" t="s">
        <v>511</v>
      </c>
      <c r="K149" s="0" t="s">
        <v>511</v>
      </c>
      <c r="L149" s="83"/>
      <c r="M149" s="0" t="s">
        <v>487</v>
      </c>
      <c r="N149" s="0" t="s">
        <v>487</v>
      </c>
      <c r="O149" s="0" t="s">
        <v>487</v>
      </c>
      <c r="P149" s="0" t="s">
        <v>487</v>
      </c>
      <c r="Q149" s="0" t="s">
        <v>487</v>
      </c>
      <c r="R149" s="0" t="s">
        <v>558</v>
      </c>
      <c r="S149" s="120" t="s">
        <v>487</v>
      </c>
      <c r="T149" s="120" t="s">
        <v>487</v>
      </c>
      <c r="U149" s="120" t="s">
        <v>487</v>
      </c>
      <c r="V149" s="120" t="s">
        <v>487</v>
      </c>
      <c r="W149" s="120" t="s">
        <v>487</v>
      </c>
      <c r="X149" s="120" t="s">
        <v>487</v>
      </c>
      <c r="Y149" s="120" t="s">
        <v>487</v>
      </c>
      <c r="Z149" s="120" t="s">
        <v>487</v>
      </c>
      <c r="AA149" s="0" t="s">
        <v>3147</v>
      </c>
      <c r="AB149" s="0" t="s">
        <v>6030</v>
      </c>
      <c r="AC149" s="0" t="s">
        <v>6036</v>
      </c>
      <c r="AD149" s="0" t="s">
        <v>558</v>
      </c>
      <c r="AE149" s="83"/>
      <c r="AF149" s="83" t="s">
        <v>1165</v>
      </c>
      <c r="AG149" s="118"/>
      <c r="AH149" s="125"/>
      <c r="AI149" s="83"/>
      <c r="AJ149" s="83"/>
      <c r="AK149" s="83"/>
    </row>
    <row r="150" customFormat="false" ht="13.8" hidden="false" customHeight="false" outlineLevel="0" collapsed="false">
      <c r="A150" s="37" t="s">
        <v>6141</v>
      </c>
      <c r="B150" s="113" t="e">
        <f aca="false">INDEX(#REF!,MATCH($A150, #REF!,0),1)</f>
        <v>#VALUE!</v>
      </c>
      <c r="C150" s="113" t="e">
        <f aca="false">INDEX(#REF!,MATCH($A150, #REF!,0),1)</f>
        <v>#VALUE!</v>
      </c>
      <c r="D150" s="113" t="e">
        <f aca="false">INDEX(#REF!,MATCH($A150, #REF!,0),1)</f>
        <v>#VALUE!</v>
      </c>
      <c r="E150" s="113" t="e">
        <f aca="false">INDEX(#REF!,MATCH($A150, #REF!,0),1)</f>
        <v>#VALUE!</v>
      </c>
      <c r="F150" s="113" t="e">
        <f aca="false">INDEX(participants!$K$1:$K$718,MATCH($B150,participants!$A$1:$A$718,0),1)</f>
        <v>#VALUE!</v>
      </c>
      <c r="G150" s="113" t="e">
        <f aca="false">INDEX(participants #REF!:participants #REF!,MATCH($B150,participants!$A$1:$A$718,0),1)</f>
        <v>#VALUE!</v>
      </c>
      <c r="H150" s="113" t="e">
        <f aca="false">INDEX(samples!$I$2:$I$887,MATCH($D150,#REF!,0),1)</f>
        <v>#VALUE!</v>
      </c>
      <c r="I150" s="114" t="e">
        <f aca="false">INDEX(samples!$C$2:$C$887,MATCH($D150,#REF!,0),1)</f>
        <v>#VALUE!</v>
      </c>
      <c r="J150" s="0" t="s">
        <v>511</v>
      </c>
      <c r="K150" s="0" t="s">
        <v>511</v>
      </c>
      <c r="L150" s="83"/>
      <c r="M150" s="0" t="s">
        <v>487</v>
      </c>
      <c r="N150" s="0" t="s">
        <v>487</v>
      </c>
      <c r="O150" s="0" t="s">
        <v>487</v>
      </c>
      <c r="P150" s="0" t="s">
        <v>487</v>
      </c>
      <c r="Q150" s="0" t="s">
        <v>487</v>
      </c>
      <c r="R150" s="0" t="s">
        <v>558</v>
      </c>
      <c r="S150" s="120" t="s">
        <v>487</v>
      </c>
      <c r="T150" s="120" t="s">
        <v>487</v>
      </c>
      <c r="U150" s="120" t="s">
        <v>487</v>
      </c>
      <c r="V150" s="120" t="s">
        <v>487</v>
      </c>
      <c r="W150" s="120" t="s">
        <v>487</v>
      </c>
      <c r="X150" s="120" t="s">
        <v>487</v>
      </c>
      <c r="Y150" s="120" t="s">
        <v>487</v>
      </c>
      <c r="Z150" s="120" t="s">
        <v>487</v>
      </c>
      <c r="AA150" s="0" t="s">
        <v>3147</v>
      </c>
      <c r="AB150" s="0" t="s">
        <v>6030</v>
      </c>
      <c r="AC150" s="0" t="s">
        <v>6142</v>
      </c>
      <c r="AD150" s="0" t="s">
        <v>558</v>
      </c>
      <c r="AF150" s="83" t="s">
        <v>1206</v>
      </c>
      <c r="AG150" s="118"/>
      <c r="AH150" s="126"/>
      <c r="AI150" s="83"/>
      <c r="AJ150" s="83"/>
      <c r="AK150" s="83"/>
    </row>
    <row r="151" customFormat="false" ht="13.8" hidden="false" customHeight="false" outlineLevel="0" collapsed="false">
      <c r="A151" s="37" t="s">
        <v>6143</v>
      </c>
      <c r="B151" s="113" t="e">
        <f aca="false">INDEX(#REF!,MATCH($A151, #REF!,0),1)</f>
        <v>#VALUE!</v>
      </c>
      <c r="C151" s="113" t="e">
        <f aca="false">INDEX(#REF!,MATCH($A151, #REF!,0),1)</f>
        <v>#VALUE!</v>
      </c>
      <c r="D151" s="113" t="e">
        <f aca="false">INDEX(#REF!,MATCH($A151, #REF!,0),1)</f>
        <v>#VALUE!</v>
      </c>
      <c r="E151" s="113" t="e">
        <f aca="false">INDEX(#REF!,MATCH($A151, #REF!,0),1)</f>
        <v>#VALUE!</v>
      </c>
      <c r="F151" s="113" t="e">
        <f aca="false">INDEX(participants!$K$1:$K$718,MATCH($B151,participants!$A$1:$A$718,0),1)</f>
        <v>#VALUE!</v>
      </c>
      <c r="G151" s="113" t="e">
        <f aca="false">INDEX(participants #REF!:participants #REF!,MATCH($B151,participants!$A$1:$A$718,0),1)</f>
        <v>#VALUE!</v>
      </c>
      <c r="H151" s="113" t="e">
        <f aca="false">INDEX(samples!$I$2:$I$887,MATCH($D151,#REF!,0),1)</f>
        <v>#VALUE!</v>
      </c>
      <c r="I151" s="114" t="e">
        <f aca="false">INDEX(samples!$C$2:$C$887,MATCH($D151,#REF!,0),1)</f>
        <v>#VALUE!</v>
      </c>
      <c r="J151" s="0" t="s">
        <v>511</v>
      </c>
      <c r="K151" s="0" t="s">
        <v>511</v>
      </c>
      <c r="L151" s="83"/>
      <c r="M151" s="0" t="s">
        <v>487</v>
      </c>
      <c r="N151" s="0" t="s">
        <v>487</v>
      </c>
      <c r="O151" s="0" t="s">
        <v>487</v>
      </c>
      <c r="P151" s="0" t="s">
        <v>487</v>
      </c>
      <c r="Q151" s="0" t="s">
        <v>487</v>
      </c>
      <c r="R151" s="0" t="s">
        <v>558</v>
      </c>
      <c r="S151" s="120" t="s">
        <v>487</v>
      </c>
      <c r="T151" s="120" t="s">
        <v>487</v>
      </c>
      <c r="U151" s="120" t="s">
        <v>487</v>
      </c>
      <c r="V151" s="120" t="s">
        <v>487</v>
      </c>
      <c r="W151" s="120" t="s">
        <v>487</v>
      </c>
      <c r="X151" s="0" t="s">
        <v>6144</v>
      </c>
      <c r="Y151" s="120" t="s">
        <v>487</v>
      </c>
      <c r="Z151" s="120" t="s">
        <v>487</v>
      </c>
      <c r="AA151" s="0" t="s">
        <v>3147</v>
      </c>
      <c r="AB151" s="0" t="s">
        <v>6030</v>
      </c>
      <c r="AC151" s="0" t="s">
        <v>6036</v>
      </c>
      <c r="AD151" s="0" t="s">
        <v>558</v>
      </c>
      <c r="AE151" s="83"/>
      <c r="AF151" s="83" t="s">
        <v>1312</v>
      </c>
      <c r="AG151" s="118"/>
      <c r="AH151" s="126"/>
      <c r="AI151" s="83"/>
      <c r="AJ151" s="83"/>
      <c r="AK151" s="83"/>
    </row>
    <row r="152" customFormat="false" ht="13.8" hidden="false" customHeight="false" outlineLevel="0" collapsed="false">
      <c r="A152" s="37" t="s">
        <v>6145</v>
      </c>
      <c r="B152" s="113" t="e">
        <f aca="false">INDEX(#REF!,MATCH($A152, #REF!,0),1)</f>
        <v>#VALUE!</v>
      </c>
      <c r="C152" s="113" t="e">
        <f aca="false">INDEX(#REF!,MATCH($A152, #REF!,0),1)</f>
        <v>#VALUE!</v>
      </c>
      <c r="D152" s="113" t="e">
        <f aca="false">INDEX(#REF!,MATCH($A152, #REF!,0),1)</f>
        <v>#VALUE!</v>
      </c>
      <c r="E152" s="113" t="e">
        <f aca="false">INDEX(#REF!,MATCH($A152, #REF!,0),1)</f>
        <v>#VALUE!</v>
      </c>
      <c r="F152" s="113" t="e">
        <f aca="false">INDEX(participants!$K$1:$K$718,MATCH($B152,participants!$A$1:$A$718,0),1)</f>
        <v>#VALUE!</v>
      </c>
      <c r="G152" s="113" t="e">
        <f aca="false">INDEX(participants #REF!:participants #REF!,MATCH($B152,participants!$A$1:$A$718,0),1)</f>
        <v>#VALUE!</v>
      </c>
      <c r="H152" s="113" t="e">
        <f aca="false">INDEX(samples!$I$2:$I$887,MATCH($D152,#REF!,0),1)</f>
        <v>#VALUE!</v>
      </c>
      <c r="I152" s="114" t="e">
        <f aca="false">INDEX(samples!$C$2:$C$887,MATCH($D152,#REF!,0),1)</f>
        <v>#VALUE!</v>
      </c>
      <c r="J152" s="0" t="s">
        <v>511</v>
      </c>
      <c r="K152" s="0" t="s">
        <v>511</v>
      </c>
      <c r="L152" s="83"/>
      <c r="M152" s="0" t="s">
        <v>487</v>
      </c>
      <c r="N152" s="0" t="s">
        <v>487</v>
      </c>
      <c r="O152" s="0" t="s">
        <v>487</v>
      </c>
      <c r="P152" s="0" t="s">
        <v>487</v>
      </c>
      <c r="Q152" s="0" t="s">
        <v>487</v>
      </c>
      <c r="R152" s="0" t="s">
        <v>558</v>
      </c>
      <c r="S152" s="120" t="s">
        <v>487</v>
      </c>
      <c r="T152" s="120" t="s">
        <v>487</v>
      </c>
      <c r="U152" s="120" t="s">
        <v>487</v>
      </c>
      <c r="V152" s="120" t="s">
        <v>487</v>
      </c>
      <c r="W152" s="120" t="s">
        <v>487</v>
      </c>
      <c r="X152" s="120" t="s">
        <v>487</v>
      </c>
      <c r="Y152" s="120" t="s">
        <v>487</v>
      </c>
      <c r="Z152" s="120" t="s">
        <v>487</v>
      </c>
      <c r="AA152" s="0" t="s">
        <v>3147</v>
      </c>
      <c r="AB152" s="0" t="s">
        <v>6030</v>
      </c>
      <c r="AC152" s="0" t="s">
        <v>6146</v>
      </c>
      <c r="AD152" s="0" t="s">
        <v>558</v>
      </c>
      <c r="AE152" s="15"/>
      <c r="AF152" s="83" t="s">
        <v>1169</v>
      </c>
      <c r="AG152" s="118"/>
      <c r="AH152" s="126"/>
      <c r="AI152" s="83"/>
      <c r="AJ152" s="83"/>
      <c r="AK152" s="83"/>
    </row>
    <row r="153" customFormat="false" ht="13.8" hidden="false" customHeight="false" outlineLevel="0" collapsed="false">
      <c r="A153" s="37" t="s">
        <v>6147</v>
      </c>
      <c r="B153" s="113" t="e">
        <f aca="false">INDEX(#REF!,MATCH($A153, #REF!,0),1)</f>
        <v>#VALUE!</v>
      </c>
      <c r="C153" s="113" t="e">
        <f aca="false">INDEX(#REF!,MATCH($A153, #REF!,0),1)</f>
        <v>#VALUE!</v>
      </c>
      <c r="D153" s="113" t="e">
        <f aca="false">INDEX(#REF!,MATCH($A153, #REF!,0),1)</f>
        <v>#VALUE!</v>
      </c>
      <c r="E153" s="113" t="e">
        <f aca="false">INDEX(#REF!,MATCH($A153, #REF!,0),1)</f>
        <v>#VALUE!</v>
      </c>
      <c r="F153" s="113" t="e">
        <f aca="false">INDEX(participants!$K$1:$K$718,MATCH($B153,participants!$A$1:$A$718,0),1)</f>
        <v>#VALUE!</v>
      </c>
      <c r="G153" s="113" t="e">
        <f aca="false">INDEX(participants #REF!:participants #REF!,MATCH($B153,participants!$A$1:$A$718,0),1)</f>
        <v>#VALUE!</v>
      </c>
      <c r="H153" s="113" t="e">
        <f aca="false">INDEX(samples!$I$2:$I$887,MATCH($D153,#REF!,0),1)</f>
        <v>#VALUE!</v>
      </c>
      <c r="I153" s="114" t="e">
        <f aca="false">INDEX(samples!$C$2:$C$887,MATCH($D153,#REF!,0),1)</f>
        <v>#VALUE!</v>
      </c>
      <c r="J153" s="0" t="s">
        <v>511</v>
      </c>
      <c r="K153" s="0" t="s">
        <v>511</v>
      </c>
      <c r="L153" s="118"/>
      <c r="M153" s="0" t="s">
        <v>487</v>
      </c>
      <c r="N153" s="0" t="s">
        <v>487</v>
      </c>
      <c r="O153" s="0" t="s">
        <v>487</v>
      </c>
      <c r="P153" s="0" t="s">
        <v>487</v>
      </c>
      <c r="Q153" s="0" t="s">
        <v>487</v>
      </c>
      <c r="R153" s="0" t="s">
        <v>558</v>
      </c>
      <c r="S153" s="120" t="s">
        <v>487</v>
      </c>
      <c r="T153" s="120" t="s">
        <v>487</v>
      </c>
      <c r="U153" s="120" t="s">
        <v>487</v>
      </c>
      <c r="V153" s="120" t="s">
        <v>487</v>
      </c>
      <c r="W153" s="120" t="s">
        <v>487</v>
      </c>
      <c r="X153" s="120" t="s">
        <v>487</v>
      </c>
      <c r="Y153" s="120" t="s">
        <v>487</v>
      </c>
      <c r="Z153" s="120" t="s">
        <v>487</v>
      </c>
      <c r="AA153" s="0" t="s">
        <v>3147</v>
      </c>
      <c r="AB153" s="0" t="s">
        <v>6030</v>
      </c>
      <c r="AC153" s="0" t="s">
        <v>6148</v>
      </c>
      <c r="AD153" s="0" t="s">
        <v>558</v>
      </c>
      <c r="AF153" s="83" t="s">
        <v>1173</v>
      </c>
      <c r="AG153" s="118"/>
      <c r="AH153" s="126"/>
      <c r="AI153" s="83"/>
      <c r="AJ153" s="83"/>
      <c r="AK153" s="83"/>
    </row>
    <row r="154" customFormat="false" ht="13.8" hidden="false" customHeight="false" outlineLevel="0" collapsed="false">
      <c r="A154" s="37" t="s">
        <v>6149</v>
      </c>
      <c r="B154" s="113" t="e">
        <f aca="false">INDEX(#REF!,MATCH($A154, #REF!,0),1)</f>
        <v>#VALUE!</v>
      </c>
      <c r="C154" s="113" t="e">
        <f aca="false">INDEX(#REF!,MATCH($A154, #REF!,0),1)</f>
        <v>#VALUE!</v>
      </c>
      <c r="D154" s="113" t="e">
        <f aca="false">INDEX(#REF!,MATCH($A154, #REF!,0),1)</f>
        <v>#VALUE!</v>
      </c>
      <c r="E154" s="113" t="e">
        <f aca="false">INDEX(#REF!,MATCH($A154, #REF!,0),1)</f>
        <v>#VALUE!</v>
      </c>
      <c r="F154" s="113" t="e">
        <f aca="false">INDEX(participants!$K$1:$K$718,MATCH($B154,participants!$A$1:$A$718,0),1)</f>
        <v>#VALUE!</v>
      </c>
      <c r="G154" s="113" t="e">
        <f aca="false">INDEX(participants #REF!:participants #REF!,MATCH($B154,participants!$A$1:$A$718,0),1)</f>
        <v>#VALUE!</v>
      </c>
      <c r="H154" s="113" t="e">
        <f aca="false">INDEX(samples!$I$2:$I$887,MATCH($D154,#REF!,0),1)</f>
        <v>#VALUE!</v>
      </c>
      <c r="I154" s="114" t="e">
        <f aca="false">INDEX(samples!$C$2:$C$887,MATCH($D154,#REF!,0),1)</f>
        <v>#VALUE!</v>
      </c>
      <c r="J154" s="0" t="s">
        <v>511</v>
      </c>
      <c r="K154" s="0" t="s">
        <v>511</v>
      </c>
      <c r="L154" s="118"/>
      <c r="M154" s="0" t="s">
        <v>487</v>
      </c>
      <c r="N154" s="0" t="s">
        <v>487</v>
      </c>
      <c r="O154" s="0" t="s">
        <v>487</v>
      </c>
      <c r="P154" s="0" t="s">
        <v>487</v>
      </c>
      <c r="Q154" s="0" t="s">
        <v>487</v>
      </c>
      <c r="R154" s="0" t="s">
        <v>558</v>
      </c>
      <c r="S154" s="120" t="s">
        <v>487</v>
      </c>
      <c r="T154" s="120" t="s">
        <v>487</v>
      </c>
      <c r="U154" s="120" t="s">
        <v>487</v>
      </c>
      <c r="V154" s="120" t="s">
        <v>487</v>
      </c>
      <c r="W154" s="120" t="s">
        <v>487</v>
      </c>
      <c r="X154" s="120" t="s">
        <v>487</v>
      </c>
      <c r="Y154" s="120" t="s">
        <v>487</v>
      </c>
      <c r="Z154" s="120" t="s">
        <v>487</v>
      </c>
      <c r="AA154" s="0" t="s">
        <v>3147</v>
      </c>
      <c r="AB154" s="0" t="s">
        <v>6030</v>
      </c>
      <c r="AC154" s="0" t="s">
        <v>6150</v>
      </c>
      <c r="AD154" s="0" t="s">
        <v>558</v>
      </c>
      <c r="AF154" s="83" t="s">
        <v>1178</v>
      </c>
      <c r="AG154" s="118"/>
      <c r="AH154" s="126"/>
      <c r="AI154" s="83"/>
      <c r="AJ154" s="83"/>
      <c r="AK154" s="83"/>
    </row>
    <row r="155" customFormat="false" ht="13.8" hidden="false" customHeight="false" outlineLevel="0" collapsed="false">
      <c r="A155" s="37" t="s">
        <v>6151</v>
      </c>
      <c r="B155" s="113" t="e">
        <f aca="false">INDEX(#REF!,MATCH($A155, #REF!,0),1)</f>
        <v>#VALUE!</v>
      </c>
      <c r="C155" s="113" t="e">
        <f aca="false">INDEX(#REF!,MATCH($A155, #REF!,0),1)</f>
        <v>#VALUE!</v>
      </c>
      <c r="D155" s="113" t="e">
        <f aca="false">INDEX(#REF!,MATCH($A155, #REF!,0),1)</f>
        <v>#VALUE!</v>
      </c>
      <c r="E155" s="113" t="e">
        <f aca="false">INDEX(#REF!,MATCH($A155, #REF!,0),1)</f>
        <v>#VALUE!</v>
      </c>
      <c r="F155" s="113" t="e">
        <f aca="false">INDEX(participants!$K$1:$K$718,MATCH($B155,participants!$A$1:$A$718,0),1)</f>
        <v>#VALUE!</v>
      </c>
      <c r="G155" s="113" t="e">
        <f aca="false">INDEX(participants #REF!:participants #REF!,MATCH($B155,participants!$A$1:$A$718,0),1)</f>
        <v>#VALUE!</v>
      </c>
      <c r="H155" s="113" t="e">
        <f aca="false">INDEX(samples!$I$2:$I$887,MATCH($D155,#REF!,0),1)</f>
        <v>#VALUE!</v>
      </c>
      <c r="I155" s="114" t="e">
        <f aca="false">INDEX(samples!$C$2:$C$887,MATCH($D155,#REF!,0),1)</f>
        <v>#VALUE!</v>
      </c>
      <c r="J155" s="0" t="s">
        <v>511</v>
      </c>
      <c r="K155" s="83" t="s">
        <v>487</v>
      </c>
      <c r="L155" s="118"/>
      <c r="M155" s="0" t="s">
        <v>5841</v>
      </c>
      <c r="N155" s="83" t="s">
        <v>511</v>
      </c>
      <c r="O155" s="0" t="s">
        <v>511</v>
      </c>
      <c r="P155" s="0" t="s">
        <v>6152</v>
      </c>
      <c r="Q155" s="0" t="s">
        <v>6124</v>
      </c>
      <c r="R155" s="0" t="s">
        <v>558</v>
      </c>
      <c r="S155" s="120" t="s">
        <v>487</v>
      </c>
      <c r="T155" s="120" t="s">
        <v>487</v>
      </c>
      <c r="U155" s="120" t="s">
        <v>487</v>
      </c>
      <c r="V155" s="120" t="s">
        <v>487</v>
      </c>
      <c r="W155" s="120" t="s">
        <v>487</v>
      </c>
      <c r="X155" s="0" t="s">
        <v>6052</v>
      </c>
      <c r="Y155" s="120" t="s">
        <v>487</v>
      </c>
      <c r="Z155" s="120" t="s">
        <v>487</v>
      </c>
      <c r="AA155" s="0" t="s">
        <v>3147</v>
      </c>
      <c r="AB155" s="0" t="s">
        <v>6030</v>
      </c>
      <c r="AC155" s="0" t="s">
        <v>6153</v>
      </c>
      <c r="AD155" s="0" t="s">
        <v>558</v>
      </c>
      <c r="AF155" s="83" t="s">
        <v>1183</v>
      </c>
      <c r="AG155" s="118"/>
      <c r="AH155" s="126"/>
      <c r="AI155" s="83"/>
      <c r="AJ155" s="83"/>
      <c r="AK155" s="83"/>
    </row>
    <row r="156" customFormat="false" ht="13.8" hidden="false" customHeight="false" outlineLevel="0" collapsed="false">
      <c r="A156" s="37" t="s">
        <v>6154</v>
      </c>
      <c r="B156" s="113" t="e">
        <f aca="false">INDEX(#REF!,MATCH($A156, #REF!,0),1)</f>
        <v>#VALUE!</v>
      </c>
      <c r="C156" s="113" t="e">
        <f aca="false">INDEX(#REF!,MATCH($A156, #REF!,0),1)</f>
        <v>#VALUE!</v>
      </c>
      <c r="D156" s="113" t="e">
        <f aca="false">INDEX(#REF!,MATCH($A156, #REF!,0),1)</f>
        <v>#VALUE!</v>
      </c>
      <c r="E156" s="113" t="e">
        <f aca="false">INDEX(#REF!,MATCH($A156, #REF!,0),1)</f>
        <v>#VALUE!</v>
      </c>
      <c r="F156" s="113" t="e">
        <f aca="false">INDEX(participants!$K$1:$K$718,MATCH($B156,participants!$A$1:$A$718,0),1)</f>
        <v>#VALUE!</v>
      </c>
      <c r="G156" s="113" t="e">
        <f aca="false">INDEX(participants #REF!:participants #REF!,MATCH($B156,participants!$A$1:$A$718,0),1)</f>
        <v>#VALUE!</v>
      </c>
      <c r="H156" s="113" t="e">
        <f aca="false">INDEX(samples!$I$2:$I$887,MATCH($D156,#REF!,0),1)</f>
        <v>#VALUE!</v>
      </c>
      <c r="I156" s="114" t="e">
        <f aca="false">INDEX(samples!$C$2:$C$887,MATCH($D156,#REF!,0),1)</f>
        <v>#VALUE!</v>
      </c>
      <c r="J156" s="0" t="s">
        <v>511</v>
      </c>
      <c r="K156" s="0" t="s">
        <v>511</v>
      </c>
      <c r="L156" s="118"/>
      <c r="M156" s="0" t="s">
        <v>487</v>
      </c>
      <c r="N156" s="0" t="s">
        <v>487</v>
      </c>
      <c r="O156" s="0" t="s">
        <v>487</v>
      </c>
      <c r="P156" s="0" t="s">
        <v>487</v>
      </c>
      <c r="Q156" s="0" t="s">
        <v>487</v>
      </c>
      <c r="R156" s="0" t="s">
        <v>558</v>
      </c>
      <c r="S156" s="120" t="s">
        <v>487</v>
      </c>
      <c r="T156" s="120" t="s">
        <v>487</v>
      </c>
      <c r="U156" s="120" t="s">
        <v>487</v>
      </c>
      <c r="V156" s="120" t="s">
        <v>487</v>
      </c>
      <c r="W156" s="120" t="s">
        <v>487</v>
      </c>
      <c r="X156" s="120" t="s">
        <v>487</v>
      </c>
      <c r="Y156" s="120" t="s">
        <v>487</v>
      </c>
      <c r="Z156" s="120" t="s">
        <v>487</v>
      </c>
      <c r="AA156" s="0" t="s">
        <v>3147</v>
      </c>
      <c r="AB156" s="0" t="s">
        <v>6030</v>
      </c>
      <c r="AC156" s="0" t="s">
        <v>6155</v>
      </c>
      <c r="AD156" s="0" t="s">
        <v>558</v>
      </c>
      <c r="AF156" s="83" t="s">
        <v>1192</v>
      </c>
      <c r="AG156" s="118"/>
      <c r="AH156" s="126"/>
      <c r="AI156" s="83"/>
      <c r="AJ156" s="83"/>
      <c r="AK156" s="83"/>
    </row>
    <row r="157" customFormat="false" ht="13.8" hidden="false" customHeight="false" outlineLevel="0" collapsed="false">
      <c r="A157" s="37" t="s">
        <v>6156</v>
      </c>
      <c r="B157" s="113" t="e">
        <f aca="false">INDEX(#REF!,MATCH($A157, #REF!,0),1)</f>
        <v>#VALUE!</v>
      </c>
      <c r="C157" s="113" t="e">
        <f aca="false">INDEX(#REF!,MATCH($A157, #REF!,0),1)</f>
        <v>#VALUE!</v>
      </c>
      <c r="D157" s="113" t="e">
        <f aca="false">INDEX(#REF!,MATCH($A157, #REF!,0),1)</f>
        <v>#VALUE!</v>
      </c>
      <c r="E157" s="113" t="e">
        <f aca="false">INDEX(#REF!,MATCH($A157, #REF!,0),1)</f>
        <v>#VALUE!</v>
      </c>
      <c r="F157" s="113" t="e">
        <f aca="false">INDEX(participants!$K$1:$K$718,MATCH($B157,participants!$A$1:$A$718,0),1)</f>
        <v>#VALUE!</v>
      </c>
      <c r="G157" s="113" t="e">
        <f aca="false">INDEX(participants #REF!:participants #REF!,MATCH($B157,participants!$A$1:$A$718,0),1)</f>
        <v>#VALUE!</v>
      </c>
      <c r="H157" s="113" t="e">
        <f aca="false">INDEX(samples!$I$2:$I$887,MATCH($D157,#REF!,0),1)</f>
        <v>#VALUE!</v>
      </c>
      <c r="I157" s="114" t="e">
        <f aca="false">INDEX(samples!$C$2:$C$887,MATCH($D157,#REF!,0),1)</f>
        <v>#VALUE!</v>
      </c>
      <c r="J157" s="0" t="s">
        <v>511</v>
      </c>
      <c r="K157" s="0" t="s">
        <v>511</v>
      </c>
      <c r="L157" s="118"/>
      <c r="M157" s="0" t="s">
        <v>487</v>
      </c>
      <c r="N157" s="0" t="s">
        <v>487</v>
      </c>
      <c r="O157" s="0" t="s">
        <v>487</v>
      </c>
      <c r="P157" s="0" t="s">
        <v>487</v>
      </c>
      <c r="Q157" s="0" t="s">
        <v>487</v>
      </c>
      <c r="R157" s="0" t="s">
        <v>558</v>
      </c>
      <c r="S157" s="120" t="s">
        <v>487</v>
      </c>
      <c r="T157" s="120" t="s">
        <v>487</v>
      </c>
      <c r="U157" s="120" t="s">
        <v>487</v>
      </c>
      <c r="V157" s="120" t="s">
        <v>487</v>
      </c>
      <c r="W157" s="120" t="s">
        <v>487</v>
      </c>
      <c r="X157" s="120" t="s">
        <v>487</v>
      </c>
      <c r="Y157" s="120" t="s">
        <v>487</v>
      </c>
      <c r="Z157" s="120" t="s">
        <v>487</v>
      </c>
      <c r="AA157" s="0" t="s">
        <v>3147</v>
      </c>
      <c r="AB157" s="0" t="s">
        <v>6030</v>
      </c>
      <c r="AC157" s="0" t="s">
        <v>6036</v>
      </c>
      <c r="AD157" s="0" t="s">
        <v>558</v>
      </c>
      <c r="AE157" s="83"/>
      <c r="AF157" s="83" t="s">
        <v>1342</v>
      </c>
      <c r="AG157" s="118"/>
      <c r="AH157" s="126"/>
      <c r="AI157" s="83"/>
      <c r="AJ157" s="83"/>
      <c r="AK157" s="83"/>
    </row>
    <row r="158" customFormat="false" ht="13.8" hidden="false" customHeight="false" outlineLevel="0" collapsed="false">
      <c r="A158" s="37" t="s">
        <v>6157</v>
      </c>
      <c r="B158" s="113" t="e">
        <f aca="false">INDEX(#REF!,MATCH($A158, #REF!,0),1)</f>
        <v>#VALUE!</v>
      </c>
      <c r="C158" s="113" t="e">
        <f aca="false">INDEX(#REF!,MATCH($A158, #REF!,0),1)</f>
        <v>#VALUE!</v>
      </c>
      <c r="D158" s="113" t="e">
        <f aca="false">INDEX(#REF!,MATCH($A158, #REF!,0),1)</f>
        <v>#VALUE!</v>
      </c>
      <c r="E158" s="113" t="e">
        <f aca="false">INDEX(#REF!,MATCH($A158, #REF!,0),1)</f>
        <v>#VALUE!</v>
      </c>
      <c r="F158" s="113" t="e">
        <f aca="false">INDEX(participants!$K$1:$K$718,MATCH($B158,participants!$A$1:$A$718,0),1)</f>
        <v>#VALUE!</v>
      </c>
      <c r="G158" s="113" t="e">
        <f aca="false">INDEX(participants #REF!:participants #REF!,MATCH($B158,participants!$A$1:$A$718,0),1)</f>
        <v>#VALUE!</v>
      </c>
      <c r="H158" s="113" t="e">
        <f aca="false">INDEX(samples!$I$2:$I$887,MATCH($D158,#REF!,0),1)</f>
        <v>#VALUE!</v>
      </c>
      <c r="I158" s="114" t="e">
        <f aca="false">INDEX(samples!$C$2:$C$887,MATCH($D158,#REF!,0),1)</f>
        <v>#VALUE!</v>
      </c>
    </row>
    <row r="159" customFormat="false" ht="13.8" hidden="false" customHeight="false" outlineLevel="0" collapsed="false">
      <c r="A159" s="127" t="s">
        <v>5855</v>
      </c>
      <c r="B159" s="113" t="e">
        <f aca="false">INDEX(#REF!,MATCH($A159, #REF!,0),1)</f>
        <v>#VALUE!</v>
      </c>
      <c r="C159" s="113" t="e">
        <f aca="false">INDEX(#REF!,MATCH($A159, #REF!,0),1)</f>
        <v>#VALUE!</v>
      </c>
      <c r="D159" s="113" t="e">
        <f aca="false">INDEX(#REF!,MATCH($A159, #REF!,0),1)</f>
        <v>#VALUE!</v>
      </c>
      <c r="E159" s="113" t="e">
        <f aca="false">INDEX(#REF!,MATCH($A159, #REF!,0),1)</f>
        <v>#VALUE!</v>
      </c>
      <c r="F159" s="113" t="e">
        <f aca="false">INDEX(participants!$K$1:$K$718,MATCH($B159,participants!$A$1:$A$718,0),1)</f>
        <v>#VALUE!</v>
      </c>
      <c r="G159" s="113" t="e">
        <f aca="false">INDEX(participants #REF!:participants #REF!,MATCH($B159,participants!$A$1:$A$718,0),1)</f>
        <v>#VALUE!</v>
      </c>
      <c r="H159" s="113" t="e">
        <f aca="false">INDEX(samples!$I$2:$I$887,MATCH($D159,#REF!,0),1)</f>
        <v>#VALUE!</v>
      </c>
      <c r="I159" s="114" t="e">
        <f aca="false">INDEX(samples!$C$2:$C$887,MATCH($D159,#REF!,0),1)</f>
        <v>#VALUE!</v>
      </c>
    </row>
    <row r="160" customFormat="false" ht="13.8" hidden="false" customHeight="false" outlineLevel="0" collapsed="false">
      <c r="A160" s="127" t="s">
        <v>6009</v>
      </c>
      <c r="B160" s="30" t="e">
        <f aca="false">INDEX(#REF!,MATCH($A160, #REF!,0),1)</f>
        <v>#VALUE!</v>
      </c>
      <c r="C160" s="30" t="e">
        <f aca="false">INDEX(#REF!,MATCH($A160, #REF!,0),1)</f>
        <v>#VALUE!</v>
      </c>
      <c r="D160" s="30" t="e">
        <f aca="false">INDEX(#REF!,MATCH($A160, #REF!,0),1)</f>
        <v>#VALUE!</v>
      </c>
      <c r="E160" s="30" t="e">
        <f aca="false">INDEX(#REF!,MATCH($A160, #REF!,0),1)</f>
        <v>#VALUE!</v>
      </c>
      <c r="F160" s="30" t="e">
        <f aca="false">INDEX(participants!$K$1:$K$718,MATCH($B160,participants!$A$1:$A$718,0),1)</f>
        <v>#VALUE!</v>
      </c>
      <c r="G160" s="30" t="e">
        <f aca="false">INDEX(participants #REF!:participants #REF!,MATCH($B160,participants!$A$1:$A$718,0),1)</f>
        <v>#VALUE!</v>
      </c>
      <c r="H160" s="30" t="e">
        <f aca="false">INDEX(samples!$I$2:$I$887,MATCH($D160,#REF!,0),1)</f>
        <v>#VALUE!</v>
      </c>
      <c r="I160" s="105" t="e">
        <f aca="false">INDEX(samples!$C$2:$C$887,MATCH($D160,#REF!,0),1)</f>
        <v>#VALUE!</v>
      </c>
    </row>
  </sheetData>
  <autoFilter ref="A1:AU1"/>
  <conditionalFormatting sqref="A1:A144 A146:A158 A161:A1048576">
    <cfRule type="duplicateValues" priority="2" aboveAverage="0" equalAverage="0" bottom="0" percent="0" rank="0" text="" dxfId="26"/>
  </conditionalFormatting>
  <conditionalFormatting sqref="A159:A160">
    <cfRule type="containsText" priority="3" operator="containsText" aboveAverage="0" equalAverage="0" bottom="0" percent="0" rank="0" text="GET" dxfId="27">
      <formula>NOT(ISERROR(SEARCH("GET",A159)))</formula>
    </cfRule>
  </conditionalFormatting>
  <conditionalFormatting sqref="A159:A160">
    <cfRule type="expression" priority="4" aboveAverage="0" equalAverage="0" bottom="0" percent="0" rank="0" text="" dxfId="28">
      <formula>LEN(TRIM(A159))=0</formula>
    </cfRule>
  </conditionalFormatting>
  <conditionalFormatting sqref="A159:A160">
    <cfRule type="duplicateValues" priority="5" aboveAverage="0" equalAverage="0" bottom="0" percent="0" rank="0" text="" dxfId="29"/>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23828125" defaultRowHeight="13.8" zeroHeight="false" outlineLevelRow="0" outlineLevelCol="0"/>
  <cols>
    <col collapsed="false" customWidth="true" hidden="false" outlineLevel="0" max="1" min="1" style="0" width="9.42"/>
    <col collapsed="false" customWidth="true" hidden="false" outlineLevel="0" max="2" min="2" style="8" width="9.42"/>
    <col collapsed="false" customWidth="true" hidden="false" outlineLevel="0" max="3" min="3" style="0" width="16.29"/>
    <col collapsed="false" customWidth="true" hidden="false" outlineLevel="0" max="4" min="4" style="0" width="67.14"/>
    <col collapsed="false" customWidth="true" hidden="false" outlineLevel="0" max="5" min="5" style="0" width="7.71"/>
    <col collapsed="false" customWidth="true" hidden="false" outlineLevel="0" max="6" min="6" style="0" width="10.71"/>
    <col collapsed="false" customWidth="true" hidden="false" outlineLevel="0" max="7" min="7" style="0" width="6.57"/>
    <col collapsed="false" customWidth="true" hidden="false" outlineLevel="0" max="8" min="8" style="0" width="14.69"/>
  </cols>
  <sheetData>
    <row r="1" customFormat="false" ht="13.8" hidden="false" customHeight="false" outlineLevel="0" collapsed="false">
      <c r="A1" s="8" t="s">
        <v>274</v>
      </c>
      <c r="B1" s="8" t="s">
        <v>5781</v>
      </c>
      <c r="C1" s="0" t="s">
        <v>209</v>
      </c>
      <c r="D1" s="0" t="s">
        <v>329</v>
      </c>
      <c r="E1" s="0" t="s">
        <v>82</v>
      </c>
      <c r="F1" s="0" t="s">
        <v>89</v>
      </c>
      <c r="G1" s="0" t="s">
        <v>205</v>
      </c>
      <c r="H1" s="0" t="s">
        <v>85</v>
      </c>
      <c r="I1" s="10" t="s">
        <v>293</v>
      </c>
    </row>
    <row r="2" customFormat="false" ht="13.8" hidden="false" customHeight="false" outlineLevel="0" collapsed="false">
      <c r="A2" s="8" t="e">
        <f aca="false" t="array" ref="A2:A2">INDEX(#REF!,MATCH(1, (#REF!=B2)*(#REF!=H2),0),1)</f>
        <v>#REF!</v>
      </c>
      <c r="B2" s="75" t="e">
        <f aca="false">INDEX(#REF!,MATCH(C2, #REF!,0),1)</f>
        <v>#VALUE!</v>
      </c>
      <c r="C2" s="83" t="n">
        <v>85</v>
      </c>
      <c r="D2" s="0" t="s">
        <v>4826</v>
      </c>
      <c r="E2" s="10" t="s">
        <v>676</v>
      </c>
      <c r="F2" s="10" t="s">
        <v>676</v>
      </c>
      <c r="G2" s="83" t="n">
        <v>85</v>
      </c>
      <c r="H2" s="120" t="n">
        <v>43647</v>
      </c>
      <c r="I2" s="83" t="s">
        <v>511</v>
      </c>
    </row>
    <row r="3" customFormat="false" ht="13.8" hidden="false" customHeight="false" outlineLevel="0" collapsed="false">
      <c r="A3" s="8" t="e">
        <f aca="false" t="array" ref="A3:A3">INDEX(#REF!,MATCH(1, (#REF!=B3)*(#REF!=H3),0),1)</f>
        <v>#REF!</v>
      </c>
      <c r="B3" s="75" t="e">
        <f aca="false">INDEX(#REF!,MATCH(C3, #REF!,0),1)</f>
        <v>#VALUE!</v>
      </c>
      <c r="C3" s="83" t="n">
        <v>69</v>
      </c>
      <c r="D3" s="0" t="s">
        <v>4790</v>
      </c>
      <c r="E3" s="10" t="s">
        <v>676</v>
      </c>
      <c r="F3" s="10" t="s">
        <v>676</v>
      </c>
      <c r="G3" s="83" t="n">
        <v>69</v>
      </c>
      <c r="H3" s="120" t="n">
        <v>43425</v>
      </c>
      <c r="I3" s="83" t="s">
        <v>511</v>
      </c>
    </row>
    <row r="4" customFormat="false" ht="13.8" hidden="false" customHeight="false" outlineLevel="0" collapsed="false">
      <c r="A4" s="8" t="s">
        <v>6158</v>
      </c>
      <c r="B4" s="75" t="e">
        <f aca="false">INDEX(#REF!,MATCH(C4, #REF!,0),1)</f>
        <v>#VALUE!</v>
      </c>
      <c r="C4" s="83" t="n">
        <v>66</v>
      </c>
      <c r="D4" s="0" t="s">
        <v>4822</v>
      </c>
      <c r="E4" s="10" t="s">
        <v>676</v>
      </c>
      <c r="F4" s="10" t="s">
        <v>676</v>
      </c>
      <c r="G4" s="83" t="n">
        <v>66</v>
      </c>
      <c r="H4" s="107" t="n">
        <v>43409</v>
      </c>
      <c r="I4" s="83" t="s">
        <v>511</v>
      </c>
    </row>
    <row r="5" customFormat="false" ht="13.8" hidden="false" customHeight="false" outlineLevel="0" collapsed="false">
      <c r="A5" s="8" t="e">
        <f aca="false" t="array" ref="A5:A5">INDEX(#REF!,MATCH(1, (#REF!=B5)*(#REF!=H5),0),1)</f>
        <v>#REF!</v>
      </c>
      <c r="B5" s="75" t="e">
        <f aca="false">INDEX(#REF!,MATCH(C5, #REF!,0),1)</f>
        <v>#VALUE!</v>
      </c>
      <c r="C5" s="83" t="n">
        <v>83</v>
      </c>
      <c r="D5" s="0" t="s">
        <v>4823</v>
      </c>
      <c r="E5" s="10" t="s">
        <v>676</v>
      </c>
      <c r="F5" s="10" t="s">
        <v>676</v>
      </c>
      <c r="G5" s="83" t="n">
        <v>83</v>
      </c>
      <c r="H5" s="120" t="n">
        <v>43648</v>
      </c>
      <c r="I5" s="83" t="s">
        <v>511</v>
      </c>
    </row>
    <row r="6" customFormat="false" ht="13.8" hidden="false" customHeight="false" outlineLevel="0" collapsed="false">
      <c r="A6" s="8" t="e">
        <f aca="false" t="array" ref="A6:A6">INDEX(#REF!,MATCH(1, (#REF!=B6)*(#REF!=H6),0),1)</f>
        <v>#REF!</v>
      </c>
      <c r="B6" s="75" t="e">
        <f aca="false">INDEX(#REF!,MATCH(C6, #REF!,0),1)</f>
        <v>#VALUE!</v>
      </c>
      <c r="C6" s="83" t="n">
        <v>70</v>
      </c>
      <c r="D6" s="0" t="s">
        <v>4825</v>
      </c>
      <c r="E6" s="10" t="s">
        <v>676</v>
      </c>
      <c r="F6" s="10" t="s">
        <v>676</v>
      </c>
      <c r="G6" s="83" t="n">
        <v>70</v>
      </c>
      <c r="H6" s="120" t="n">
        <v>43648</v>
      </c>
      <c r="I6" s="83" t="s">
        <v>511</v>
      </c>
    </row>
    <row r="7" customFormat="false" ht="13.8" hidden="false" customHeight="false" outlineLevel="0" collapsed="false">
      <c r="A7" s="8" t="e">
        <f aca="false" t="array" ref="A7:A7">INDEX(#REF!,MATCH(1, (#REF!=B7)*(#REF!=H7),0),1)</f>
        <v>#REF!</v>
      </c>
      <c r="B7" s="75" t="e">
        <f aca="false">INDEX(#REF!,MATCH(C7, #REF!,0),1)</f>
        <v>#VALUE!</v>
      </c>
      <c r="C7" s="83" t="n">
        <v>86</v>
      </c>
      <c r="D7" s="0" t="s">
        <v>4824</v>
      </c>
      <c r="E7" s="10" t="s">
        <v>676</v>
      </c>
      <c r="F7" s="10" t="s">
        <v>676</v>
      </c>
      <c r="G7" s="83" t="n">
        <v>86</v>
      </c>
      <c r="H7" s="120" t="n">
        <v>43644</v>
      </c>
      <c r="I7" s="83" t="s">
        <v>511</v>
      </c>
    </row>
    <row r="8" customFormat="false" ht="13.8" hidden="false" customHeight="false" outlineLevel="0" collapsed="false">
      <c r="A8" s="8" t="e">
        <f aca="false" t="array" ref="A8:A8">INDEX(#REF!,MATCH(1, (#REF!=B8)*(#REF!=H8),0),1)</f>
        <v>#REF!</v>
      </c>
      <c r="B8" s="75" t="e">
        <f aca="false">INDEX(#REF!,MATCH(C8, #REF!,0),1)</f>
        <v>#VALUE!</v>
      </c>
      <c r="C8" s="83" t="s">
        <v>1354</v>
      </c>
      <c r="E8" s="10" t="s">
        <v>676</v>
      </c>
      <c r="F8" s="10" t="s">
        <v>676</v>
      </c>
      <c r="G8" s="83" t="s">
        <v>1354</v>
      </c>
      <c r="H8" s="120" t="n">
        <v>44608</v>
      </c>
      <c r="I8" s="0" t="s">
        <v>3234</v>
      </c>
    </row>
    <row r="9" customFormat="false" ht="13.8" hidden="false" customHeight="false" outlineLevel="0" collapsed="false">
      <c r="A9" s="8" t="e">
        <f aca="false" t="array" ref="A9:A9">INDEX(#REF!,MATCH(1, (#REF!=B9)*(#REF!=H9),0),1)</f>
        <v>#REF!</v>
      </c>
      <c r="B9" s="75" t="e">
        <f aca="false">INDEX(#REF!,MATCH(C9, #REF!,0),1)</f>
        <v>#VALUE!</v>
      </c>
      <c r="C9" s="83" t="s">
        <v>1357</v>
      </c>
      <c r="E9" s="10" t="s">
        <v>676</v>
      </c>
      <c r="F9" s="10" t="s">
        <v>676</v>
      </c>
      <c r="G9" s="83" t="s">
        <v>1357</v>
      </c>
      <c r="H9" s="120" t="n">
        <v>44608</v>
      </c>
      <c r="I9" s="0" t="s">
        <v>3234</v>
      </c>
    </row>
    <row r="10" customFormat="false" ht="13.8" hidden="false" customHeight="false" outlineLevel="0" collapsed="false">
      <c r="A10" s="8" t="e">
        <f aca="false" t="array" ref="A10:A10">INDEX(#REF!,MATCH(1, (#REF!=B10)*(#REF!=H10),0),1)</f>
        <v>#REF!</v>
      </c>
      <c r="B10" s="75" t="e">
        <f aca="false">INDEX(#REF!,MATCH(C10, #REF!,0),1)</f>
        <v>#VALUE!</v>
      </c>
      <c r="C10" s="83" t="s">
        <v>1360</v>
      </c>
      <c r="E10" s="10" t="s">
        <v>676</v>
      </c>
      <c r="F10" s="10" t="s">
        <v>676</v>
      </c>
      <c r="G10" s="83" t="s">
        <v>1360</v>
      </c>
      <c r="H10" s="120" t="n">
        <v>44831</v>
      </c>
      <c r="I10" s="0" t="s">
        <v>3234</v>
      </c>
    </row>
    <row r="11" customFormat="false" ht="13.8" hidden="false" customHeight="false" outlineLevel="0" collapsed="false">
      <c r="A11" s="8" t="e">
        <f aca="false" t="array" ref="A11:A11">INDEX(#REF!,MATCH(1, (#REF!=B11)*(#REF!=H11),0),1)</f>
        <v>#REF!</v>
      </c>
      <c r="B11" s="75" t="e">
        <f aca="false">INDEX(#REF!,MATCH(C11, #REF!,0),1)</f>
        <v>#VALUE!</v>
      </c>
      <c r="C11" s="83" t="s">
        <v>1363</v>
      </c>
      <c r="E11" s="10" t="s">
        <v>676</v>
      </c>
      <c r="F11" s="10" t="s">
        <v>676</v>
      </c>
      <c r="G11" s="83" t="s">
        <v>1363</v>
      </c>
      <c r="H11" s="120" t="n">
        <v>44832</v>
      </c>
      <c r="I11" s="0" t="s">
        <v>3234</v>
      </c>
    </row>
    <row r="12" customFormat="false" ht="13.8" hidden="false" customHeight="false" outlineLevel="0" collapsed="false">
      <c r="A12" s="8" t="e">
        <f aca="false" t="array" ref="A12:A12">INDEX(#REF!,MATCH(1, (#REF!=B12)*(#REF!=H12),0),1)</f>
        <v>#REF!</v>
      </c>
      <c r="B12" s="75" t="e">
        <f aca="false">INDEX(#REF!,MATCH(C12, #REF!,0),1)</f>
        <v>#VALUE!</v>
      </c>
      <c r="C12" s="83" t="s">
        <v>1366</v>
      </c>
      <c r="E12" s="10" t="s">
        <v>676</v>
      </c>
      <c r="F12" s="10" t="s">
        <v>676</v>
      </c>
      <c r="G12" s="83" t="s">
        <v>1366</v>
      </c>
      <c r="H12" s="120" t="n">
        <v>44832</v>
      </c>
      <c r="I12" s="0" t="s">
        <v>3234</v>
      </c>
    </row>
    <row r="13" customFormat="false" ht="13.8" hidden="false" customHeight="false" outlineLevel="0" collapsed="false">
      <c r="A13" s="8" t="e">
        <f aca="false" t="array" ref="A13:A13">INDEX(#REF!,MATCH(1, (#REF!=B13)*(#REF!=H13),0),1)</f>
        <v>#REF!</v>
      </c>
      <c r="B13" s="75" t="e">
        <f aca="false">INDEX(#REF!,MATCH(C13, #REF!,0),1)</f>
        <v>#VALUE!</v>
      </c>
      <c r="C13" s="83" t="s">
        <v>1369</v>
      </c>
      <c r="E13" s="10" t="s">
        <v>676</v>
      </c>
      <c r="F13" s="10" t="s">
        <v>676</v>
      </c>
      <c r="G13" s="83" t="s">
        <v>1369</v>
      </c>
      <c r="H13" s="120" t="n">
        <v>44832</v>
      </c>
      <c r="I13" s="0" t="s">
        <v>3234</v>
      </c>
    </row>
    <row r="14" customFormat="false" ht="13.8" hidden="false" customHeight="false" outlineLevel="0" collapsed="false">
      <c r="A14" s="8" t="e">
        <f aca="false" t="array" ref="A14:A14">INDEX(#REF!,MATCH(1, (#REF!=B14)*(#REF!=H14),0),1)</f>
        <v>#REF!</v>
      </c>
      <c r="B14" s="75" t="e">
        <f aca="false">INDEX(#REF!,MATCH(C14, #REF!,0),1)</f>
        <v>#VALUE!</v>
      </c>
      <c r="C14" s="83" t="s">
        <v>1372</v>
      </c>
      <c r="E14" s="10" t="s">
        <v>676</v>
      </c>
      <c r="F14" s="10" t="s">
        <v>676</v>
      </c>
      <c r="G14" s="83" t="s">
        <v>1372</v>
      </c>
      <c r="H14" s="120" t="n">
        <v>44834</v>
      </c>
      <c r="I14" s="0" t="s">
        <v>3234</v>
      </c>
    </row>
    <row r="15" customFormat="false" ht="13.8" hidden="false" customHeight="false" outlineLevel="0" collapsed="false">
      <c r="A15" s="8" t="e">
        <f aca="false" t="array" ref="A15:A15">INDEX(#REF!,MATCH(1, (#REF!=B15)*(#REF!=H15),0),1)</f>
        <v>#REF!</v>
      </c>
      <c r="B15" s="75" t="e">
        <f aca="false">INDEX(#REF!,MATCH(C15, #REF!,0),1)</f>
        <v>#VALUE!</v>
      </c>
      <c r="C15" s="83" t="s">
        <v>1375</v>
      </c>
      <c r="E15" s="10" t="s">
        <v>676</v>
      </c>
      <c r="F15" s="10" t="s">
        <v>676</v>
      </c>
      <c r="G15" s="83" t="s">
        <v>1375</v>
      </c>
      <c r="H15" s="120" t="n">
        <v>44837</v>
      </c>
      <c r="I15" s="0" t="s">
        <v>3234</v>
      </c>
    </row>
    <row r="16" customFormat="false" ht="13.8" hidden="false" customHeight="false" outlineLevel="0" collapsed="false">
      <c r="A16" s="8" t="e">
        <f aca="false" t="array" ref="A16:A16">INDEX(#REF!,MATCH(1, (#REF!=B16)*(#REF!=H16),0),1)</f>
        <v>#REF!</v>
      </c>
      <c r="B16" s="75" t="e">
        <f aca="false">INDEX(#REF!,MATCH(C16, #REF!,0),1)</f>
        <v>#VALUE!</v>
      </c>
      <c r="C16" s="83" t="s">
        <v>1378</v>
      </c>
      <c r="E16" s="10" t="s">
        <v>676</v>
      </c>
      <c r="F16" s="10" t="s">
        <v>676</v>
      </c>
      <c r="G16" s="83" t="s">
        <v>1378</v>
      </c>
      <c r="H16" s="120" t="n">
        <v>44838</v>
      </c>
      <c r="I16" s="0" t="s">
        <v>3234</v>
      </c>
    </row>
    <row r="17" customFormat="false" ht="15" hidden="false" customHeight="false" outlineLevel="0" collapsed="false">
      <c r="A17" s="8" t="e">
        <f aca="false" t="array" ref="A17:A17">INDEX(#REF!,MATCH(1, (#REF!=B17)*(#REF!=H17),0),1)</f>
        <v>#REF!</v>
      </c>
      <c r="B17" s="75" t="e">
        <f aca="false">INDEX(#REF!,MATCH(C17, #REF!,0),1)</f>
        <v>#VALUE!</v>
      </c>
      <c r="C17" s="57" t="s">
        <v>862</v>
      </c>
      <c r="D17" s="10" t="s">
        <v>6159</v>
      </c>
      <c r="E17" s="10" t="s">
        <v>676</v>
      </c>
      <c r="F17" s="10" t="s">
        <v>676</v>
      </c>
      <c r="G17" s="57" t="s">
        <v>862</v>
      </c>
      <c r="H17" s="31" t="n">
        <v>44830</v>
      </c>
      <c r="I17" s="0" t="s">
        <v>3234</v>
      </c>
    </row>
    <row r="18" customFormat="false" ht="15" hidden="false" customHeight="false" outlineLevel="0" collapsed="false">
      <c r="A18" s="8" t="e">
        <f aca="false" t="array" ref="A18:A18">INDEX(#REF!,MATCH(1, (#REF!=B18)*(#REF!=H18),0),1)</f>
        <v>#REF!</v>
      </c>
      <c r="B18" s="75" t="e">
        <f aca="false">INDEX(#REF!,MATCH(C18, #REF!,0),1)</f>
        <v>#VALUE!</v>
      </c>
      <c r="C18" s="57" t="s">
        <v>1381</v>
      </c>
      <c r="D18" s="10" t="s">
        <v>6160</v>
      </c>
      <c r="E18" s="10" t="s">
        <v>676</v>
      </c>
      <c r="F18" s="10" t="s">
        <v>676</v>
      </c>
      <c r="G18" s="0" t="s">
        <v>487</v>
      </c>
      <c r="H18" s="31" t="n">
        <v>44830</v>
      </c>
      <c r="I18" s="0" t="s">
        <v>3234</v>
      </c>
    </row>
    <row r="19" customFormat="false" ht="15" hidden="false" customHeight="false" outlineLevel="0" collapsed="false">
      <c r="A19" s="8" t="e">
        <f aca="false" t="array" ref="A19:A19">INDEX(#REF!,MATCH(1, (#REF!=B19)*(#REF!=H19),0),1)</f>
        <v>#REF!</v>
      </c>
      <c r="B19" s="75" t="e">
        <f aca="false">INDEX(#REF!,MATCH(C19, #REF!,0),1)</f>
        <v>#VALUE!</v>
      </c>
      <c r="C19" s="57" t="s">
        <v>1385</v>
      </c>
      <c r="D19" s="10" t="s">
        <v>6161</v>
      </c>
      <c r="E19" s="10" t="s">
        <v>676</v>
      </c>
      <c r="F19" s="10" t="s">
        <v>676</v>
      </c>
      <c r="G19" s="0" t="s">
        <v>487</v>
      </c>
      <c r="H19" s="31" t="n">
        <v>44830</v>
      </c>
      <c r="I19" s="0" t="s">
        <v>3234</v>
      </c>
    </row>
    <row r="20" customFormat="false" ht="15" hidden="false" customHeight="false" outlineLevel="0" collapsed="false">
      <c r="A20" s="8" t="e">
        <f aca="false" t="array" ref="A20:A20">INDEX(#REF!,MATCH(1, (#REF!=B20)*(#REF!=H20),0),1)</f>
        <v>#REF!</v>
      </c>
      <c r="B20" s="75" t="e">
        <f aca="false">INDEX(#REF!,MATCH(C20, #REF!,0),1)</f>
        <v>#VALUE!</v>
      </c>
      <c r="C20" s="57" t="s">
        <v>1388</v>
      </c>
      <c r="D20" s="10" t="s">
        <v>6162</v>
      </c>
      <c r="E20" s="10" t="s">
        <v>676</v>
      </c>
      <c r="F20" s="10" t="s">
        <v>676</v>
      </c>
      <c r="G20" s="0" t="s">
        <v>487</v>
      </c>
      <c r="H20" s="31" t="n">
        <v>44830</v>
      </c>
      <c r="I20" s="0" t="s">
        <v>3234</v>
      </c>
    </row>
    <row r="21" customFormat="false" ht="15" hidden="false" customHeight="false" outlineLevel="0" collapsed="false">
      <c r="A21" s="8" t="e">
        <f aca="false" t="array" ref="A21:A21">INDEX(#REF!,MATCH(1, (#REF!=B21)*(#REF!=H21),0),1)</f>
        <v>#REF!</v>
      </c>
      <c r="B21" s="75" t="e">
        <f aca="false">INDEX(#REF!,MATCH(C21, #REF!,0),1)</f>
        <v>#VALUE!</v>
      </c>
      <c r="C21" s="57" t="s">
        <v>1391</v>
      </c>
      <c r="D21" s="10" t="s">
        <v>6163</v>
      </c>
      <c r="E21" s="10" t="s">
        <v>676</v>
      </c>
      <c r="F21" s="10" t="s">
        <v>676</v>
      </c>
      <c r="G21" s="0" t="s">
        <v>487</v>
      </c>
      <c r="H21" s="31" t="n">
        <v>44830</v>
      </c>
      <c r="I21" s="0" t="s">
        <v>3234</v>
      </c>
    </row>
    <row r="22" customFormat="false" ht="15" hidden="false" customHeight="false" outlineLevel="0" collapsed="false">
      <c r="A22" s="8" t="e">
        <f aca="false" t="array" ref="A22:A22">INDEX(#REF!,MATCH(1, (#REF!=B22)*(#REF!=H22),0),1)</f>
        <v>#REF!</v>
      </c>
      <c r="B22" s="75" t="e">
        <f aca="false">INDEX(#REF!,MATCH(C22, #REF!,0),1)</f>
        <v>#VALUE!</v>
      </c>
      <c r="C22" s="57" t="s">
        <v>1394</v>
      </c>
      <c r="D22" s="10" t="s">
        <v>6164</v>
      </c>
      <c r="E22" s="10" t="s">
        <v>676</v>
      </c>
      <c r="F22" s="10" t="s">
        <v>676</v>
      </c>
      <c r="G22" s="0" t="s">
        <v>487</v>
      </c>
      <c r="H22" s="31" t="n">
        <v>44830</v>
      </c>
      <c r="I22" s="0" t="s">
        <v>3234</v>
      </c>
    </row>
    <row r="23" customFormat="false" ht="15" hidden="false" customHeight="false" outlineLevel="0" collapsed="false">
      <c r="A23" s="8" t="e">
        <f aca="false" t="array" ref="A23:A23">INDEX(#REF!,MATCH(1, (#REF!=B23)*(#REF!=H23),0),1)</f>
        <v>#REF!</v>
      </c>
      <c r="B23" s="75" t="e">
        <f aca="false">INDEX(#REF!,MATCH(C23, #REF!,0),1)</f>
        <v>#VALUE!</v>
      </c>
      <c r="C23" s="57" t="s">
        <v>1397</v>
      </c>
      <c r="D23" s="10" t="s">
        <v>6165</v>
      </c>
      <c r="E23" s="10" t="s">
        <v>676</v>
      </c>
      <c r="F23" s="10" t="s">
        <v>676</v>
      </c>
      <c r="G23" s="0" t="s">
        <v>487</v>
      </c>
      <c r="H23" s="31" t="n">
        <v>44830</v>
      </c>
      <c r="I23" s="0" t="s">
        <v>3234</v>
      </c>
    </row>
    <row r="24" customFormat="false" ht="15" hidden="false" customHeight="false" outlineLevel="0" collapsed="false">
      <c r="A24" s="8" t="e">
        <f aca="false" t="array" ref="A24:A24">INDEX(#REF!,MATCH(1, (#REF!=B24)*(#REF!=H24),0),1)</f>
        <v>#REF!</v>
      </c>
      <c r="B24" s="75" t="e">
        <f aca="false">INDEX(#REF!,MATCH(C24, #REF!,0),1)</f>
        <v>#VALUE!</v>
      </c>
      <c r="C24" s="57" t="s">
        <v>1400</v>
      </c>
      <c r="D24" s="10" t="s">
        <v>6166</v>
      </c>
      <c r="E24" s="10" t="s">
        <v>676</v>
      </c>
      <c r="F24" s="10" t="s">
        <v>676</v>
      </c>
      <c r="G24" s="0" t="s">
        <v>487</v>
      </c>
      <c r="H24" s="31" t="n">
        <v>44830</v>
      </c>
      <c r="I24" s="0" t="s">
        <v>3234</v>
      </c>
    </row>
    <row r="25" customFormat="false" ht="15" hidden="false" customHeight="false" outlineLevel="0" collapsed="false">
      <c r="A25" s="8" t="e">
        <f aca="false" t="array" ref="A25:A25">INDEX(#REF!,MATCH(1, (#REF!=B25)*(#REF!=H25),0),1)</f>
        <v>#REF!</v>
      </c>
      <c r="B25" s="75" t="e">
        <f aca="false">INDEX(#REF!,MATCH(C25, #REF!,0),1)</f>
        <v>#VALUE!</v>
      </c>
      <c r="C25" s="57" t="s">
        <v>1403</v>
      </c>
      <c r="D25" s="10" t="s">
        <v>6167</v>
      </c>
      <c r="E25" s="10" t="s">
        <v>676</v>
      </c>
      <c r="F25" s="10" t="s">
        <v>676</v>
      </c>
      <c r="G25" s="0" t="s">
        <v>487</v>
      </c>
      <c r="H25" s="31" t="n">
        <v>44830</v>
      </c>
      <c r="I25" s="0" t="s">
        <v>3234</v>
      </c>
    </row>
    <row r="26" customFormat="false" ht="15" hidden="false" customHeight="false" outlineLevel="0" collapsed="false">
      <c r="A26" s="8" t="e">
        <f aca="false" t="array" ref="A26:A26">INDEX(#REF!,MATCH(1, (#REF!=B26)*(#REF!=H26),0),1)</f>
        <v>#REF!</v>
      </c>
      <c r="B26" s="75" t="e">
        <f aca="false">INDEX(#REF!,MATCH(C26, #REF!,0),1)</f>
        <v>#VALUE!</v>
      </c>
      <c r="C26" s="57" t="s">
        <v>1406</v>
      </c>
      <c r="D26" s="10" t="s">
        <v>6168</v>
      </c>
      <c r="E26" s="10" t="s">
        <v>676</v>
      </c>
      <c r="F26" s="10" t="s">
        <v>676</v>
      </c>
      <c r="G26" s="0" t="s">
        <v>487</v>
      </c>
      <c r="H26" s="31" t="n">
        <v>44830</v>
      </c>
      <c r="I26" s="0" t="s">
        <v>3234</v>
      </c>
    </row>
    <row r="27" customFormat="false" ht="15" hidden="false" customHeight="false" outlineLevel="0" collapsed="false">
      <c r="A27" s="8" t="e">
        <f aca="false" t="array" ref="A27:A27">INDEX(#REF!,MATCH(1, (#REF!=B27)*(#REF!=H27),0),1)</f>
        <v>#REF!</v>
      </c>
      <c r="B27" s="75" t="e">
        <f aca="false">INDEX(#REF!,MATCH(C27, #REF!,0),1)</f>
        <v>#VALUE!</v>
      </c>
      <c r="C27" s="57" t="s">
        <v>1409</v>
      </c>
      <c r="D27" s="10" t="s">
        <v>6169</v>
      </c>
      <c r="E27" s="10" t="s">
        <v>676</v>
      </c>
      <c r="F27" s="10" t="s">
        <v>676</v>
      </c>
      <c r="G27" s="0" t="s">
        <v>487</v>
      </c>
      <c r="H27" s="31" t="n">
        <v>44830</v>
      </c>
      <c r="I27" s="0" t="s">
        <v>3234</v>
      </c>
    </row>
    <row r="28" customFormat="false" ht="15" hidden="false" customHeight="false" outlineLevel="0" collapsed="false">
      <c r="A28" s="8" t="e">
        <f aca="false" t="array" ref="A28:A28">INDEX(#REF!,MATCH(1, (#REF!=B28)*(#REF!=H28),0),1)</f>
        <v>#REF!</v>
      </c>
      <c r="B28" s="75" t="e">
        <f aca="false">INDEX(#REF!,MATCH(C28, #REF!,0),1)</f>
        <v>#VALUE!</v>
      </c>
      <c r="C28" s="57" t="s">
        <v>1412</v>
      </c>
      <c r="D28" s="10" t="s">
        <v>6170</v>
      </c>
      <c r="E28" s="10" t="s">
        <v>676</v>
      </c>
      <c r="F28" s="10" t="s">
        <v>676</v>
      </c>
      <c r="G28" s="0" t="s">
        <v>487</v>
      </c>
      <c r="H28" s="31" t="n">
        <v>44830</v>
      </c>
      <c r="I28" s="0" t="s">
        <v>3234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9.23828125" defaultRowHeight="13.8" zeroHeight="false" outlineLevelRow="0" outlineLevelCol="0"/>
  <cols>
    <col collapsed="false" customWidth="true" hidden="false" outlineLevel="0" max="1" min="1" style="0" width="9.42"/>
    <col collapsed="false" customWidth="true" hidden="false" outlineLevel="0" max="2" min="2" style="0" width="16.29"/>
    <col collapsed="false" customWidth="true" hidden="false" outlineLevel="0" max="3" min="3" style="0" width="29.71"/>
    <col collapsed="false" customWidth="true" hidden="false" outlineLevel="0" max="4" min="4" style="0" width="12.29"/>
    <col collapsed="false" customWidth="true" hidden="false" outlineLevel="0" max="5" min="5" style="0" width="18.42"/>
    <col collapsed="false" customWidth="true" hidden="false" outlineLevel="0" max="6" min="6" style="0" width="25.86"/>
    <col collapsed="false" customWidth="true" hidden="false" outlineLevel="0" max="7" min="7" style="0" width="16.29"/>
    <col collapsed="false" customWidth="true" hidden="false" outlineLevel="0" max="8" min="8" style="0" width="9.42"/>
    <col collapsed="false" customWidth="true" hidden="false" outlineLevel="0" max="9" min="9" style="0" width="14.69"/>
    <col collapsed="false" customWidth="true" hidden="false" outlineLevel="0" max="10" min="10" style="0" width="25.4"/>
    <col collapsed="false" customWidth="true" hidden="false" outlineLevel="0" max="11" min="11" style="0" width="6.57"/>
    <col collapsed="false" customWidth="true" hidden="false" outlineLevel="0" max="12" min="12" style="0" width="22.14"/>
    <col collapsed="false" customWidth="true" hidden="false" outlineLevel="0" max="13" min="13" style="0" width="16.71"/>
    <col collapsed="false" customWidth="true" hidden="false" outlineLevel="0" max="16" min="14" style="0" width="20.71"/>
    <col collapsed="false" customWidth="true" hidden="false" outlineLevel="0" max="17" min="17" style="0" width="17.4"/>
    <col collapsed="false" customWidth="true" hidden="false" outlineLevel="0" max="20" min="18" style="0" width="20.71"/>
    <col collapsed="false" customWidth="true" hidden="false" outlineLevel="0" max="21" min="21" style="0" width="17.4"/>
    <col collapsed="false" customWidth="true" hidden="false" outlineLevel="0" max="27" min="22" style="0" width="20.71"/>
  </cols>
  <sheetData>
    <row r="1" customFormat="false" ht="13.8" hidden="false" customHeight="false" outlineLevel="0" collapsed="false">
      <c r="A1" s="73" t="s">
        <v>274</v>
      </c>
      <c r="B1" s="73" t="s">
        <v>209</v>
      </c>
      <c r="C1" s="73" t="s">
        <v>329</v>
      </c>
      <c r="D1" s="0" t="s">
        <v>321</v>
      </c>
      <c r="E1" s="73" t="s">
        <v>82</v>
      </c>
      <c r="F1" s="73" t="s">
        <v>89</v>
      </c>
      <c r="G1" s="73" t="s">
        <v>360</v>
      </c>
      <c r="H1" s="128" t="s">
        <v>205</v>
      </c>
      <c r="I1" s="73" t="s">
        <v>85</v>
      </c>
      <c r="J1" s="10" t="s">
        <v>293</v>
      </c>
    </row>
    <row r="2" customFormat="false" ht="13.8" hidden="false" customHeight="false" outlineLevel="0" collapsed="false">
      <c r="A2" s="95"/>
      <c r="B2" s="83" t="s">
        <v>1210</v>
      </c>
      <c r="D2" s="0" t="s">
        <v>3147</v>
      </c>
      <c r="E2" s="129" t="n">
        <v>102843232</v>
      </c>
      <c r="F2" s="0" t="s">
        <v>6171</v>
      </c>
      <c r="H2" s="0" t="s">
        <v>1209</v>
      </c>
      <c r="I2" s="130" t="n">
        <v>44040</v>
      </c>
      <c r="J2" s="0" t="s">
        <v>558</v>
      </c>
    </row>
    <row r="3" customFormat="false" ht="13.8" hidden="false" customHeight="false" outlineLevel="0" collapsed="false">
      <c r="A3" s="95"/>
      <c r="B3" s="83" t="s">
        <v>1281</v>
      </c>
      <c r="D3" s="0" t="s">
        <v>3147</v>
      </c>
      <c r="E3" s="129" t="n">
        <v>106427533</v>
      </c>
      <c r="F3" s="0" t="s">
        <v>6171</v>
      </c>
      <c r="H3" s="0" t="s">
        <v>1280</v>
      </c>
      <c r="I3" s="130" t="n">
        <v>44054</v>
      </c>
      <c r="J3" s="0" t="s">
        <v>558</v>
      </c>
    </row>
    <row r="4" customFormat="false" ht="15" hidden="false" customHeight="false" outlineLevel="0" collapsed="false">
      <c r="A4" s="95"/>
      <c r="B4" s="83" t="s">
        <v>6172</v>
      </c>
      <c r="D4" s="0" t="s">
        <v>3147</v>
      </c>
      <c r="E4" s="77" t="n">
        <v>200481820</v>
      </c>
      <c r="F4" s="0" t="s">
        <v>6171</v>
      </c>
      <c r="H4" s="0" t="s">
        <v>6173</v>
      </c>
      <c r="I4" s="131" t="n">
        <v>44425</v>
      </c>
      <c r="J4" s="0" t="s">
        <v>558</v>
      </c>
    </row>
    <row r="5" customFormat="false" ht="15" hidden="false" customHeight="false" outlineLevel="0" collapsed="false">
      <c r="A5" s="95"/>
      <c r="B5" s="83" t="s">
        <v>1317</v>
      </c>
      <c r="D5" s="0" t="s">
        <v>3147</v>
      </c>
      <c r="E5" s="77" t="n">
        <v>200379946</v>
      </c>
      <c r="F5" s="0" t="s">
        <v>6171</v>
      </c>
      <c r="H5" s="0" t="s">
        <v>6174</v>
      </c>
      <c r="I5" s="31" t="n">
        <v>44656</v>
      </c>
      <c r="J5" s="0" t="s">
        <v>558</v>
      </c>
    </row>
    <row r="6" customFormat="false" ht="15" hidden="false" customHeight="false" outlineLevel="0" collapsed="false">
      <c r="A6" s="95"/>
      <c r="B6" s="83" t="s">
        <v>1321</v>
      </c>
      <c r="D6" s="0" t="s">
        <v>3147</v>
      </c>
      <c r="E6" s="77" t="n">
        <v>106186017</v>
      </c>
      <c r="F6" s="0" t="s">
        <v>6171</v>
      </c>
      <c r="H6" s="0" t="s">
        <v>1320</v>
      </c>
      <c r="I6" s="31" t="n">
        <v>44663</v>
      </c>
      <c r="J6" s="0" t="s">
        <v>558</v>
      </c>
    </row>
    <row r="7" customFormat="false" ht="15" hidden="false" customHeight="false" outlineLevel="0" collapsed="false">
      <c r="A7" s="95"/>
      <c r="B7" s="83" t="s">
        <v>1325</v>
      </c>
      <c r="D7" s="0" t="s">
        <v>3147</v>
      </c>
      <c r="E7" s="77" t="n">
        <v>106041107</v>
      </c>
      <c r="F7" s="0" t="s">
        <v>6175</v>
      </c>
      <c r="H7" s="0" t="s">
        <v>6176</v>
      </c>
      <c r="I7" s="120" t="n">
        <v>44691</v>
      </c>
      <c r="J7" s="0" t="s">
        <v>558</v>
      </c>
    </row>
    <row r="8" customFormat="false" ht="15" hidden="false" customHeight="false" outlineLevel="0" collapsed="false">
      <c r="A8" s="95"/>
      <c r="B8" s="83" t="s">
        <v>1338</v>
      </c>
      <c r="D8" s="0" t="s">
        <v>3147</v>
      </c>
      <c r="E8" s="77" t="n">
        <v>201618791</v>
      </c>
      <c r="F8" s="0" t="s">
        <v>6171</v>
      </c>
      <c r="H8" s="0" t="s">
        <v>1345</v>
      </c>
      <c r="I8" s="120" t="n">
        <v>44789</v>
      </c>
      <c r="J8" s="0" t="s">
        <v>558</v>
      </c>
    </row>
    <row r="9" customFormat="false" ht="13.8" hidden="false" customHeight="false" outlineLevel="0" collapsed="false">
      <c r="B9" s="83" t="s">
        <v>1346</v>
      </c>
      <c r="D9" s="0" t="s">
        <v>3147</v>
      </c>
      <c r="E9" s="129" t="n">
        <v>106808280</v>
      </c>
      <c r="F9" s="0" t="s">
        <v>6171</v>
      </c>
      <c r="H9" s="0" t="s">
        <v>6177</v>
      </c>
      <c r="I9" s="120" t="n">
        <v>44810</v>
      </c>
      <c r="J9" s="0" t="s">
        <v>558</v>
      </c>
    </row>
    <row r="10" customFormat="false" ht="13.8" hidden="false" customHeight="false" outlineLevel="0" collapsed="false">
      <c r="A10" s="8" t="s">
        <v>6178</v>
      </c>
      <c r="B10" s="0" t="s">
        <v>6179</v>
      </c>
      <c r="C10" s="113" t="e">
        <f aca="false">INDEX(#REF!,MATCH($A10, #REF!,0),1)</f>
        <v>#VALUE!</v>
      </c>
      <c r="D10" s="113" t="s">
        <v>3147</v>
      </c>
      <c r="E10" s="113" t="e">
        <f aca="false">INDEX(participants!$K$1:$K$718,MATCH($G10,participants!$A$1:$A$718,0),1)</f>
        <v>#VALUE!</v>
      </c>
      <c r="F10" s="0" t="s">
        <v>1012</v>
      </c>
      <c r="G10" s="113" t="e">
        <f aca="false">INDEX(#REF!,MATCH($A10, #REF!,0),1)</f>
        <v>#VALUE!</v>
      </c>
      <c r="H10" s="113" t="e">
        <f aca="false">INDEX(#REF!,MATCH($A10, #REF!,0),1)</f>
        <v>#VALUE!</v>
      </c>
      <c r="I10" s="114" t="n">
        <v>40357</v>
      </c>
      <c r="J10" s="0" t="s">
        <v>558</v>
      </c>
      <c r="AE10" s="10"/>
      <c r="AF10" s="10"/>
      <c r="AG10" s="118"/>
    </row>
    <row r="13" customFormat="false" ht="13.8" hidden="false" customHeight="false" outlineLevel="0" collapsed="false">
      <c r="I13" s="31"/>
    </row>
    <row r="14" customFormat="false" ht="13.8" hidden="false" customHeight="false" outlineLevel="0" collapsed="false">
      <c r="I14" s="31"/>
    </row>
    <row r="15" customFormat="false" ht="13.8" hidden="false" customHeight="false" outlineLevel="0" collapsed="false">
      <c r="I15" s="31"/>
    </row>
    <row r="16" customFormat="false" ht="13.8" hidden="false" customHeight="false" outlineLevel="0" collapsed="false">
      <c r="I16" s="31"/>
    </row>
    <row r="21" customFormat="false" ht="13.8" hidden="false" customHeight="false" outlineLevel="0" collapsed="false">
      <c r="E21" s="83"/>
      <c r="G21" s="83"/>
      <c r="H21" s="83"/>
      <c r="I21" s="83"/>
      <c r="J21" s="74"/>
      <c r="K21" s="83"/>
      <c r="L21" s="83"/>
      <c r="M21" s="81"/>
      <c r="N21" s="83"/>
      <c r="O21" s="118"/>
      <c r="P21" s="118"/>
      <c r="Q21" s="83"/>
      <c r="R21" s="83"/>
      <c r="S21" s="118"/>
      <c r="T21" s="83"/>
      <c r="U21" s="83"/>
    </row>
    <row r="22" customFormat="false" ht="13.8" hidden="false" customHeight="false" outlineLevel="0" collapsed="false">
      <c r="E22" s="83"/>
      <c r="G22" s="83"/>
      <c r="H22" s="83"/>
      <c r="I22" s="83"/>
      <c r="J22" s="74"/>
      <c r="K22" s="83"/>
      <c r="L22" s="83"/>
      <c r="M22" s="81"/>
      <c r="N22" s="83"/>
      <c r="O22" s="118"/>
      <c r="P22" s="118"/>
      <c r="Q22" s="83"/>
      <c r="R22" s="83"/>
      <c r="S22" s="120"/>
      <c r="T22" s="83"/>
      <c r="U22" s="83"/>
    </row>
    <row r="23" customFormat="false" ht="13.8" hidden="false" customHeight="false" outlineLevel="0" collapsed="false">
      <c r="E23" s="83"/>
      <c r="G23" s="83"/>
      <c r="H23" s="83"/>
      <c r="I23" s="83"/>
      <c r="J23" s="74"/>
      <c r="K23" s="83"/>
      <c r="L23" s="83"/>
      <c r="M23" s="81"/>
      <c r="N23" s="83"/>
      <c r="O23" s="118"/>
      <c r="P23" s="118"/>
      <c r="Q23" s="83"/>
      <c r="R23" s="83"/>
      <c r="S23" s="120"/>
      <c r="T23" s="83"/>
      <c r="U23" s="83"/>
    </row>
    <row r="24" customFormat="false" ht="13.8" hidden="false" customHeight="false" outlineLevel="0" collapsed="false">
      <c r="E24" s="83"/>
      <c r="G24" s="83"/>
      <c r="H24" s="83"/>
      <c r="I24" s="83"/>
      <c r="J24" s="126"/>
      <c r="K24" s="83"/>
      <c r="L24" s="83"/>
      <c r="M24" s="81"/>
      <c r="N24" s="83"/>
      <c r="O24" s="118"/>
      <c r="P24" s="118"/>
      <c r="Q24" s="83"/>
      <c r="R24" s="83"/>
      <c r="S24" s="120"/>
      <c r="T24" s="83"/>
      <c r="U24" s="83"/>
    </row>
    <row r="25" customFormat="false" ht="13.8" hidden="false" customHeight="false" outlineLevel="0" collapsed="false">
      <c r="E25" s="83"/>
      <c r="G25" s="83"/>
      <c r="H25" s="83"/>
      <c r="I25" s="83"/>
      <c r="J25" s="126"/>
      <c r="K25" s="83"/>
      <c r="L25" s="83"/>
      <c r="M25" s="81"/>
      <c r="N25" s="83"/>
      <c r="O25" s="118"/>
      <c r="P25" s="118"/>
      <c r="Q25" s="83"/>
      <c r="R25" s="83"/>
      <c r="S25" s="120"/>
      <c r="T25" s="83"/>
      <c r="U25" s="83"/>
    </row>
    <row r="26" customFormat="false" ht="13.8" hidden="false" customHeight="false" outlineLevel="0" collapsed="false">
      <c r="E26" s="83"/>
      <c r="G26" s="83"/>
      <c r="H26" s="83"/>
      <c r="I26" s="83"/>
      <c r="J26" s="126"/>
      <c r="K26" s="83"/>
      <c r="L26" s="83"/>
      <c r="M26" s="81"/>
      <c r="N26" s="83"/>
      <c r="O26" s="118"/>
      <c r="P26" s="118"/>
      <c r="Q26" s="83"/>
      <c r="R26" s="83"/>
      <c r="T26" s="83"/>
      <c r="U26" s="83"/>
    </row>
    <row r="27" customFormat="false" ht="13.8" hidden="false" customHeight="false" outlineLevel="0" collapsed="false">
      <c r="E27" s="83"/>
      <c r="G27" s="83"/>
      <c r="H27" s="83"/>
      <c r="I27" s="83"/>
      <c r="J27" s="126"/>
      <c r="K27" s="83"/>
      <c r="L27" s="83"/>
      <c r="M27" s="81"/>
      <c r="N27" s="83"/>
      <c r="O27" s="118"/>
      <c r="P27" s="118"/>
      <c r="Q27" s="83"/>
      <c r="R27" s="83"/>
      <c r="T27" s="83"/>
      <c r="U27" s="83"/>
    </row>
    <row r="28" customFormat="false" ht="13.8" hidden="false" customHeight="false" outlineLevel="0" collapsed="false">
      <c r="E28" s="83"/>
      <c r="G28" s="83"/>
      <c r="H28" s="83"/>
      <c r="I28" s="83"/>
      <c r="J28" s="126"/>
      <c r="K28" s="83"/>
      <c r="L28" s="83"/>
      <c r="M28" s="81"/>
      <c r="N28" s="83"/>
      <c r="O28" s="118"/>
      <c r="P28" s="118"/>
      <c r="Q28" s="83"/>
      <c r="R28" s="83"/>
      <c r="T28" s="83"/>
      <c r="U28" s="83"/>
    </row>
  </sheetData>
  <conditionalFormatting sqref="A10">
    <cfRule type="duplicateValues" priority="2" aboveAverage="0" equalAverage="0" bottom="0" percent="0" rank="0" text="" dxfId="30"/>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4" activeCellId="0" sqref="A14"/>
    </sheetView>
  </sheetViews>
  <sheetFormatPr defaultColWidth="9.23828125" defaultRowHeight="13.8" zeroHeight="false" outlineLevelRow="0" outlineLevelCol="0"/>
  <cols>
    <col collapsed="false" customWidth="true" hidden="false" outlineLevel="0" max="1" min="1" style="37" width="9.13"/>
    <col collapsed="false" customWidth="true" hidden="false" outlineLevel="0" max="2" min="2" style="30" width="10.12"/>
    <col collapsed="false" customWidth="true" hidden="false" outlineLevel="0" max="3" min="3" style="0" width="20.42"/>
    <col collapsed="false" customWidth="true" hidden="false" outlineLevel="0" max="4" min="4" style="0" width="11.57"/>
    <col collapsed="false" customWidth="true" hidden="false" outlineLevel="0" max="5" min="5" style="0" width="13.02"/>
    <col collapsed="false" customWidth="true" hidden="false" outlineLevel="0" max="6" min="6" style="0" width="11.86"/>
    <col collapsed="false" customWidth="true" hidden="false" outlineLevel="0" max="7" min="7" style="0" width="11.42"/>
    <col collapsed="false" customWidth="true" hidden="false" outlineLevel="0" max="8" min="8" style="0" width="10.42"/>
    <col collapsed="false" customWidth="true" hidden="false" outlineLevel="0" max="9" min="9" style="0" width="11.42"/>
    <col collapsed="false" customWidth="true" hidden="false" outlineLevel="0" max="10" min="10" style="0" width="11.71"/>
    <col collapsed="false" customWidth="true" hidden="false" outlineLevel="0" max="11" min="11" style="0" width="13.86"/>
    <col collapsed="false" customWidth="true" hidden="false" outlineLevel="0" max="12" min="12" style="0" width="11.14"/>
    <col collapsed="false" customWidth="true" hidden="false" outlineLevel="0" max="13" min="13" style="0" width="16.14"/>
    <col collapsed="false" customWidth="true" hidden="false" outlineLevel="0" max="14" min="14" style="0" width="10.85"/>
    <col collapsed="false" customWidth="true" hidden="false" outlineLevel="0" max="15" min="15" style="0" width="37.86"/>
    <col collapsed="false" customWidth="true" hidden="false" outlineLevel="0" max="16" min="16" style="0" width="15.71"/>
    <col collapsed="false" customWidth="true" hidden="false" outlineLevel="0" max="17" min="17" style="0" width="31.57"/>
    <col collapsed="false" customWidth="true" hidden="false" outlineLevel="0" max="18" min="18" style="132" width="11.71"/>
    <col collapsed="false" customWidth="true" hidden="false" outlineLevel="0" max="20" min="20" style="0" width="16.57"/>
    <col collapsed="false" customWidth="true" hidden="false" outlineLevel="0" max="21" min="21" style="0" width="13.02"/>
  </cols>
  <sheetData>
    <row r="1" customFormat="false" ht="13.8" hidden="false" customHeight="false" outlineLevel="0" collapsed="false">
      <c r="A1" s="127" t="s">
        <v>215</v>
      </c>
      <c r="B1" s="30" t="s">
        <v>44</v>
      </c>
      <c r="C1" s="8" t="s">
        <v>205</v>
      </c>
      <c r="D1" s="8" t="s">
        <v>312</v>
      </c>
      <c r="E1" s="8" t="s">
        <v>147</v>
      </c>
      <c r="F1" s="95" t="s">
        <v>49</v>
      </c>
      <c r="G1" s="8" t="s">
        <v>198</v>
      </c>
      <c r="H1" s="8" t="s">
        <v>231</v>
      </c>
      <c r="I1" s="8" t="s">
        <v>262</v>
      </c>
      <c r="J1" s="8" t="s">
        <v>37</v>
      </c>
      <c r="K1" s="8" t="s">
        <v>6180</v>
      </c>
      <c r="L1" s="8" t="s">
        <v>314</v>
      </c>
      <c r="M1" s="8" t="s">
        <v>112</v>
      </c>
      <c r="N1" s="8" t="s">
        <v>305</v>
      </c>
      <c r="O1" s="8" t="s">
        <v>308</v>
      </c>
      <c r="P1" s="8" t="s">
        <v>143</v>
      </c>
      <c r="Q1" s="8" t="s">
        <v>269</v>
      </c>
      <c r="R1" s="133" t="s">
        <v>6181</v>
      </c>
      <c r="S1" s="8"/>
      <c r="T1" s="8"/>
      <c r="U1" s="8"/>
      <c r="V1" s="8"/>
      <c r="W1" s="8"/>
      <c r="X1" s="8"/>
    </row>
    <row r="2" customFormat="false" ht="13.8" hidden="false" customHeight="false" outlineLevel="0" collapsed="false">
      <c r="A2" s="134" t="e">
        <f aca="false">INDEX(#REF!,MATCH(B2, #REF!,0),1)</f>
        <v>#VALUE!</v>
      </c>
      <c r="B2" s="30" t="s">
        <v>482</v>
      </c>
      <c r="D2" s="0" t="s">
        <v>6182</v>
      </c>
      <c r="E2" s="8" t="s">
        <v>542</v>
      </c>
      <c r="F2" s="0" t="s">
        <v>486</v>
      </c>
    </row>
    <row r="3" customFormat="false" ht="13.8" hidden="false" customHeight="false" outlineLevel="0" collapsed="false">
      <c r="A3" s="134" t="e">
        <f aca="false">INDEX(#REF!,MATCH(B3, #REF!,0),1)</f>
        <v>#VALUE!</v>
      </c>
      <c r="B3" s="30" t="s">
        <v>490</v>
      </c>
      <c r="C3" s="0" t="s">
        <v>6183</v>
      </c>
      <c r="D3" s="0" t="s">
        <v>6182</v>
      </c>
      <c r="E3" s="8" t="s">
        <v>542</v>
      </c>
      <c r="F3" s="0" t="s">
        <v>486</v>
      </c>
    </row>
    <row r="4" customFormat="false" ht="13.8" hidden="false" customHeight="false" outlineLevel="0" collapsed="false">
      <c r="A4" s="134" t="e">
        <f aca="false">INDEX(#REF!,MATCH(B4, #REF!,0),1)</f>
        <v>#VALUE!</v>
      </c>
      <c r="B4" s="30" t="s">
        <v>493</v>
      </c>
      <c r="D4" s="0" t="s">
        <v>6182</v>
      </c>
      <c r="E4" s="8" t="s">
        <v>542</v>
      </c>
      <c r="F4" s="0" t="s">
        <v>486</v>
      </c>
    </row>
    <row r="5" customFormat="false" ht="13.8" hidden="false" customHeight="false" outlineLevel="0" collapsed="false">
      <c r="A5" s="134" t="e">
        <f aca="false">INDEX(#REF!,MATCH(B5, #REF!,0),1)</f>
        <v>#VALUE!</v>
      </c>
      <c r="B5" s="30" t="s">
        <v>496</v>
      </c>
      <c r="D5" s="0" t="s">
        <v>6182</v>
      </c>
      <c r="E5" s="8" t="s">
        <v>542</v>
      </c>
      <c r="F5" s="0" t="s">
        <v>486</v>
      </c>
    </row>
    <row r="6" customFormat="false" ht="13.8" hidden="false" customHeight="false" outlineLevel="0" collapsed="false">
      <c r="A6" s="134" t="e">
        <f aca="false">INDEX(#REF!,MATCH(B6, #REF!,0),1)</f>
        <v>#VALUE!</v>
      </c>
      <c r="B6" s="30" t="s">
        <v>499</v>
      </c>
      <c r="D6" s="0" t="s">
        <v>6182</v>
      </c>
      <c r="E6" s="8" t="s">
        <v>542</v>
      </c>
      <c r="F6" s="0" t="s">
        <v>486</v>
      </c>
    </row>
    <row r="7" customFormat="false" ht="13.8" hidden="false" customHeight="false" outlineLevel="0" collapsed="false">
      <c r="A7" s="134" t="e">
        <f aca="false">INDEX(#REF!,MATCH(B7, #REF!,0),1)</f>
        <v>#VALUE!</v>
      </c>
      <c r="B7" s="30" t="s">
        <v>502</v>
      </c>
      <c r="D7" s="0" t="s">
        <v>6182</v>
      </c>
      <c r="E7" s="8" t="s">
        <v>542</v>
      </c>
      <c r="F7" s="0" t="s">
        <v>486</v>
      </c>
    </row>
    <row r="8" customFormat="false" ht="13.8" hidden="false" customHeight="false" outlineLevel="0" collapsed="false">
      <c r="A8" s="134" t="e">
        <f aca="false">INDEX(#REF!,MATCH(B8, #REF!,0),1)</f>
        <v>#VALUE!</v>
      </c>
      <c r="B8" s="30" t="s">
        <v>505</v>
      </c>
      <c r="D8" s="0" t="s">
        <v>6182</v>
      </c>
      <c r="E8" s="8" t="s">
        <v>542</v>
      </c>
      <c r="F8" s="0" t="s">
        <v>486</v>
      </c>
    </row>
    <row r="9" customFormat="false" ht="13.8" hidden="false" customHeight="false" outlineLevel="0" collapsed="false">
      <c r="A9" s="134" t="e">
        <f aca="false">INDEX(#REF!,MATCH(B9, #REF!,0),1)</f>
        <v>#VALUE!</v>
      </c>
      <c r="B9" s="30" t="s">
        <v>515</v>
      </c>
      <c r="D9" s="0" t="s">
        <v>6184</v>
      </c>
      <c r="E9" s="0" t="s">
        <v>509</v>
      </c>
      <c r="F9" s="0" t="s">
        <v>5515</v>
      </c>
    </row>
    <row r="10" customFormat="false" ht="13.8" hidden="false" customHeight="false" outlineLevel="0" collapsed="false">
      <c r="A10" s="134" t="e">
        <f aca="false">INDEX(#REF!,MATCH(B10, #REF!,0),1)</f>
        <v>#VALUE!</v>
      </c>
      <c r="B10" s="113" t="s">
        <v>520</v>
      </c>
      <c r="C10" s="0" t="s">
        <v>6185</v>
      </c>
      <c r="D10" s="0" t="s">
        <v>6184</v>
      </c>
      <c r="E10" s="0" t="s">
        <v>509</v>
      </c>
      <c r="F10" s="0" t="s">
        <v>486</v>
      </c>
      <c r="G10" s="0" t="s">
        <v>6171</v>
      </c>
      <c r="H10" s="0" t="s">
        <v>510</v>
      </c>
      <c r="J10" s="0" t="n">
        <v>35</v>
      </c>
      <c r="L10" s="0" t="s">
        <v>3234</v>
      </c>
      <c r="N10" s="0" t="s">
        <v>5183</v>
      </c>
      <c r="O10" s="0" t="s">
        <v>6186</v>
      </c>
      <c r="X10" s="83"/>
    </row>
    <row r="11" customFormat="false" ht="13.8" hidden="false" customHeight="false" outlineLevel="0" collapsed="false">
      <c r="A11" s="134" t="e">
        <f aca="false">INDEX(#REF!,MATCH(B11, #REF!,0),1)</f>
        <v>#VALUE!</v>
      </c>
      <c r="B11" s="113" t="s">
        <v>591</v>
      </c>
      <c r="C11" s="0" t="s">
        <v>6187</v>
      </c>
      <c r="D11" s="0" t="s">
        <v>6184</v>
      </c>
      <c r="E11" s="0" t="s">
        <v>509</v>
      </c>
      <c r="F11" s="0" t="s">
        <v>486</v>
      </c>
      <c r="G11" s="0" t="s">
        <v>6171</v>
      </c>
      <c r="H11" s="0" t="s">
        <v>510</v>
      </c>
      <c r="J11" s="0" t="n">
        <v>14</v>
      </c>
      <c r="X11" s="83"/>
    </row>
    <row r="12" customFormat="false" ht="15" hidden="false" customHeight="false" outlineLevel="0" collapsed="false">
      <c r="A12" s="134" t="e">
        <f aca="false">INDEX(#REF!,MATCH(B12, #REF!,0),1)</f>
        <v>#VALUE!</v>
      </c>
      <c r="B12" s="113" t="s">
        <v>667</v>
      </c>
      <c r="C12" s="83" t="s">
        <v>668</v>
      </c>
      <c r="D12" s="83" t="n">
        <v>201203042</v>
      </c>
      <c r="E12" s="0" t="s">
        <v>426</v>
      </c>
      <c r="F12" s="0" t="s">
        <v>486</v>
      </c>
      <c r="G12" s="0" t="s">
        <v>6188</v>
      </c>
      <c r="H12" s="83" t="s">
        <v>516</v>
      </c>
      <c r="I12" s="74" t="n">
        <v>23047</v>
      </c>
      <c r="J12" s="0" t="n">
        <f aca="false">DATEDIF(I12,T12,"y")</f>
        <v>57</v>
      </c>
      <c r="K12" s="31" t="n">
        <v>43795</v>
      </c>
      <c r="L12" s="118" t="s">
        <v>3234</v>
      </c>
      <c r="M12" s="83"/>
      <c r="N12" s="118" t="s">
        <v>5170</v>
      </c>
      <c r="O12" s="0" t="s">
        <v>6189</v>
      </c>
      <c r="P12" s="0" t="s">
        <v>6190</v>
      </c>
      <c r="Q12" s="0" t="s">
        <v>6191</v>
      </c>
      <c r="R12" s="135"/>
      <c r="S12" s="83" t="n">
        <f aca="false">INT((X56-I12))/365</f>
        <v>-63.1424657534247</v>
      </c>
      <c r="T12" s="31" t="n">
        <v>43872</v>
      </c>
      <c r="U12" s="80" t="n">
        <v>201307220</v>
      </c>
    </row>
    <row r="13" customFormat="false" ht="15" hidden="false" customHeight="false" outlineLevel="0" collapsed="false">
      <c r="A13" s="134" t="e">
        <f aca="false">INDEX(#REF!,MATCH(B13, #REF!,0),1)</f>
        <v>#VALUE!</v>
      </c>
      <c r="B13" s="113" t="s">
        <v>692</v>
      </c>
      <c r="C13" s="83" t="s">
        <v>693</v>
      </c>
      <c r="D13" s="83" t="n">
        <v>201203042</v>
      </c>
      <c r="E13" s="0" t="s">
        <v>426</v>
      </c>
      <c r="F13" s="0" t="s">
        <v>486</v>
      </c>
      <c r="G13" s="0" t="s">
        <v>6171</v>
      </c>
      <c r="H13" s="83" t="s">
        <v>516</v>
      </c>
      <c r="I13" s="74" t="n">
        <v>27980</v>
      </c>
      <c r="J13" s="0" t="n">
        <f aca="false">DATEDIF(I13,T13,"y")</f>
        <v>42</v>
      </c>
      <c r="K13" s="31" t="n">
        <v>43430</v>
      </c>
      <c r="L13" s="118" t="s">
        <v>3409</v>
      </c>
      <c r="M13" s="124"/>
      <c r="N13" s="0" t="s">
        <v>5172</v>
      </c>
      <c r="O13" s="0" t="s">
        <v>6192</v>
      </c>
      <c r="P13" s="0" t="s">
        <v>6190</v>
      </c>
      <c r="Q13" s="0" t="s">
        <v>6193</v>
      </c>
      <c r="R13" s="135"/>
      <c r="S13" s="83" t="n">
        <f aca="false">INT((X57-I13))/365</f>
        <v>-76.6575342465753</v>
      </c>
      <c r="T13" s="31" t="n">
        <v>43593</v>
      </c>
      <c r="U13" s="80" t="n">
        <v>102158934</v>
      </c>
      <c r="X13" s="83"/>
    </row>
    <row r="14" customFormat="false" ht="13.8" hidden="false" customHeight="false" outlineLevel="0" collapsed="false">
      <c r="A14" s="134" t="e">
        <f aca="false">INDEX(#REF!,MATCH(B14, #REF!,0),1)</f>
        <v>#VALUE!</v>
      </c>
      <c r="B14" s="113" t="s">
        <v>696</v>
      </c>
      <c r="C14" s="0" t="s">
        <v>5351</v>
      </c>
      <c r="D14" s="0" t="s">
        <v>6194</v>
      </c>
      <c r="E14" s="0" t="s">
        <v>509</v>
      </c>
      <c r="F14" s="0" t="s">
        <v>486</v>
      </c>
      <c r="G14" s="0" t="s">
        <v>6171</v>
      </c>
      <c r="H14" s="8" t="s">
        <v>510</v>
      </c>
      <c r="J14" s="0" t="n">
        <v>36</v>
      </c>
      <c r="K14" s="31" t="n">
        <v>43419</v>
      </c>
      <c r="L14" s="0" t="s">
        <v>3234</v>
      </c>
      <c r="M14" s="31"/>
      <c r="N14" s="0" t="s">
        <v>5174</v>
      </c>
      <c r="P14" s="0" t="s">
        <v>6190</v>
      </c>
      <c r="Q14" s="0" t="s">
        <v>6195</v>
      </c>
      <c r="X14" s="83"/>
    </row>
    <row r="15" customFormat="false" ht="15" hidden="false" customHeight="false" outlineLevel="0" collapsed="false">
      <c r="A15" s="134" t="e">
        <f aca="false">INDEX(#REF!,MATCH(B15, #REF!,0),1)</f>
        <v>#VALUE!</v>
      </c>
      <c r="B15" s="113" t="s">
        <v>696</v>
      </c>
      <c r="C15" s="83" t="s">
        <v>697</v>
      </c>
      <c r="D15" s="83" t="n">
        <v>201203042</v>
      </c>
      <c r="E15" s="0" t="s">
        <v>426</v>
      </c>
      <c r="F15" s="0" t="s">
        <v>486</v>
      </c>
      <c r="G15" s="0" t="s">
        <v>6171</v>
      </c>
      <c r="H15" s="83" t="s">
        <v>510</v>
      </c>
      <c r="I15" s="74" t="n">
        <v>30923</v>
      </c>
      <c r="J15" s="0" t="n">
        <f aca="false">DATEDIF(I15,T15,"y")</f>
        <v>34</v>
      </c>
      <c r="K15" s="31" t="n">
        <v>43553</v>
      </c>
      <c r="L15" s="118" t="s">
        <v>3409</v>
      </c>
      <c r="M15" s="124" t="n">
        <v>43983</v>
      </c>
      <c r="N15" s="118" t="s">
        <v>5174</v>
      </c>
      <c r="O15" s="0" t="s">
        <v>6196</v>
      </c>
      <c r="P15" s="0" t="s">
        <v>6190</v>
      </c>
      <c r="Q15" s="0" t="s">
        <v>6195</v>
      </c>
      <c r="R15" s="135"/>
      <c r="S15" s="83" t="n">
        <f aca="false">INT((X59-I15))/365</f>
        <v>-84.7205479452055</v>
      </c>
      <c r="T15" s="31" t="n">
        <v>43557</v>
      </c>
      <c r="U15" s="77" t="n">
        <v>107602491</v>
      </c>
      <c r="X15" s="83"/>
    </row>
    <row r="16" customFormat="false" ht="15" hidden="false" customHeight="false" outlineLevel="0" collapsed="false">
      <c r="A16" s="134" t="e">
        <f aca="false">INDEX(#REF!,MATCH(B16, #REF!,0),1)</f>
        <v>#VALUE!</v>
      </c>
      <c r="B16" s="113" t="s">
        <v>702</v>
      </c>
      <c r="C16" s="83" t="s">
        <v>703</v>
      </c>
      <c r="D16" s="83" t="n">
        <v>201203042</v>
      </c>
      <c r="E16" s="0" t="s">
        <v>426</v>
      </c>
      <c r="F16" s="0" t="s">
        <v>486</v>
      </c>
      <c r="G16" s="0" t="s">
        <v>6171</v>
      </c>
      <c r="H16" s="83" t="s">
        <v>510</v>
      </c>
      <c r="I16" s="74" t="n">
        <v>31323</v>
      </c>
      <c r="J16" s="0" t="n">
        <f aca="false">DATEDIF(I16,T16,"y")</f>
        <v>33</v>
      </c>
      <c r="K16" s="31" t="n">
        <v>43570</v>
      </c>
      <c r="L16" s="118" t="s">
        <v>3234</v>
      </c>
      <c r="M16" s="83"/>
      <c r="N16" s="0" t="s">
        <v>5176</v>
      </c>
      <c r="O16" s="0" t="s">
        <v>6197</v>
      </c>
      <c r="P16" s="0" t="s">
        <v>6198</v>
      </c>
      <c r="Q16" s="0" t="s">
        <v>487</v>
      </c>
      <c r="R16" s="135"/>
      <c r="S16" s="83" t="n">
        <f aca="false">INT((X60-I16))/365</f>
        <v>-85.8164383561644</v>
      </c>
      <c r="T16" s="31" t="n">
        <v>43572</v>
      </c>
      <c r="U16" s="80" t="n">
        <v>201111010</v>
      </c>
      <c r="X16" s="83"/>
    </row>
    <row r="17" customFormat="false" ht="15" hidden="false" customHeight="false" outlineLevel="0" collapsed="false">
      <c r="A17" s="134" t="e">
        <f aca="false">INDEX(#REF!,MATCH(B17, #REF!,0),1)</f>
        <v>#VALUE!</v>
      </c>
      <c r="B17" s="113" t="s">
        <v>707</v>
      </c>
      <c r="C17" s="83" t="s">
        <v>708</v>
      </c>
      <c r="D17" s="83" t="n">
        <v>201203042</v>
      </c>
      <c r="E17" s="0" t="s">
        <v>426</v>
      </c>
      <c r="F17" s="0" t="s">
        <v>486</v>
      </c>
      <c r="G17" s="0" t="s">
        <v>6188</v>
      </c>
      <c r="H17" s="83" t="s">
        <v>510</v>
      </c>
      <c r="I17" s="74" t="n">
        <v>29096</v>
      </c>
      <c r="J17" s="0" t="n">
        <f aca="false">DATEDIF(I17,T17,"y")</f>
        <v>39</v>
      </c>
      <c r="K17" s="0" t="s">
        <v>6199</v>
      </c>
      <c r="L17" s="118" t="s">
        <v>3234</v>
      </c>
      <c r="M17" s="83"/>
      <c r="N17" s="118" t="s">
        <v>5178</v>
      </c>
      <c r="O17" s="0" t="s">
        <v>6200</v>
      </c>
      <c r="P17" s="0" t="s">
        <v>6190</v>
      </c>
      <c r="Q17" s="0" t="s">
        <v>6191</v>
      </c>
      <c r="R17" s="135"/>
      <c r="S17" s="83" t="n">
        <f aca="false">INT((X61-I17))/365</f>
        <v>-79.7150684931507</v>
      </c>
      <c r="T17" s="31" t="n">
        <v>43627</v>
      </c>
      <c r="U17" s="80" t="n">
        <v>201187942</v>
      </c>
      <c r="X17" s="83"/>
    </row>
    <row r="18" customFormat="false" ht="13.8" hidden="false" customHeight="false" outlineLevel="0" collapsed="false">
      <c r="A18" s="134" t="e">
        <f aca="false">INDEX(#REF!,MATCH(B18, #REF!,0),1)</f>
        <v>#VALUE!</v>
      </c>
      <c r="B18" s="113" t="s">
        <v>713</v>
      </c>
      <c r="C18" s="83" t="s">
        <v>714</v>
      </c>
      <c r="D18" s="83" t="n">
        <v>201203042</v>
      </c>
      <c r="E18" s="0" t="s">
        <v>426</v>
      </c>
      <c r="F18" s="0" t="s">
        <v>486</v>
      </c>
      <c r="G18" s="0" t="s">
        <v>6188</v>
      </c>
      <c r="H18" s="83" t="s">
        <v>516</v>
      </c>
      <c r="I18" s="74" t="n">
        <v>27498</v>
      </c>
      <c r="J18" s="0" t="n">
        <f aca="false">DATEDIF(I18,T18,"y")</f>
        <v>44</v>
      </c>
      <c r="K18" s="31" t="n">
        <v>43630</v>
      </c>
      <c r="L18" s="118" t="s">
        <v>3234</v>
      </c>
      <c r="M18" s="83"/>
      <c r="N18" s="0" t="s">
        <v>5180</v>
      </c>
      <c r="O18" s="0" t="s">
        <v>6201</v>
      </c>
      <c r="P18" s="0" t="s">
        <v>6190</v>
      </c>
      <c r="Q18" s="0" t="s">
        <v>6195</v>
      </c>
      <c r="R18" s="135"/>
      <c r="S18" s="83" t="n">
        <f aca="false">INT((X62-I18))/365</f>
        <v>-75.3369863013699</v>
      </c>
      <c r="T18" s="31" t="n">
        <v>43747</v>
      </c>
      <c r="U18" s="129" t="n">
        <v>201266669</v>
      </c>
      <c r="X18" s="83"/>
    </row>
    <row r="19" customFormat="false" ht="15" hidden="false" customHeight="false" outlineLevel="0" collapsed="false">
      <c r="A19" s="134" t="e">
        <f aca="false">INDEX(#REF!,MATCH(B19, #REF!,0),1)</f>
        <v>#VALUE!</v>
      </c>
      <c r="B19" s="113" t="s">
        <v>719</v>
      </c>
      <c r="C19" s="83" t="s">
        <v>720</v>
      </c>
      <c r="D19" s="83" t="n">
        <v>201203042</v>
      </c>
      <c r="E19" s="0" t="s">
        <v>426</v>
      </c>
      <c r="F19" s="0" t="s">
        <v>486</v>
      </c>
      <c r="G19" s="0" t="s">
        <v>6188</v>
      </c>
      <c r="H19" s="83" t="s">
        <v>510</v>
      </c>
      <c r="I19" s="74" t="n">
        <v>22075</v>
      </c>
      <c r="J19" s="0" t="n">
        <f aca="false">DATEDIF(I19,T19,"y")</f>
        <v>59</v>
      </c>
      <c r="K19" s="0" t="s">
        <v>6202</v>
      </c>
      <c r="L19" s="118" t="s">
        <v>3234</v>
      </c>
      <c r="M19" s="83"/>
      <c r="N19" s="118" t="s">
        <v>5176</v>
      </c>
      <c r="O19" s="0" t="s">
        <v>6203</v>
      </c>
      <c r="P19" s="0" t="s">
        <v>6190</v>
      </c>
      <c r="Q19" s="0" t="s">
        <v>6204</v>
      </c>
      <c r="R19" s="135"/>
      <c r="S19" s="83" t="n">
        <f aca="false">INT((X63-I19))/365</f>
        <v>-60.4794520547945</v>
      </c>
      <c r="T19" s="31" t="n">
        <v>43746</v>
      </c>
      <c r="U19" s="136" t="n">
        <v>201280053</v>
      </c>
      <c r="X19" s="83"/>
    </row>
    <row r="20" customFormat="false" ht="13.8" hidden="false" customHeight="false" outlineLevel="0" collapsed="false">
      <c r="A20" s="134" t="e">
        <f aca="false">INDEX(#REF!,MATCH(B20, #REF!,0),1)</f>
        <v>#VALUE!</v>
      </c>
      <c r="B20" s="113" t="s">
        <v>724</v>
      </c>
      <c r="C20" s="83" t="s">
        <v>725</v>
      </c>
      <c r="D20" s="83" t="n">
        <v>201203042</v>
      </c>
      <c r="E20" s="0" t="s">
        <v>426</v>
      </c>
      <c r="F20" s="0" t="s">
        <v>486</v>
      </c>
      <c r="G20" s="0" t="s">
        <v>6171</v>
      </c>
      <c r="H20" s="83" t="s">
        <v>516</v>
      </c>
      <c r="I20" s="74" t="n">
        <v>37764</v>
      </c>
      <c r="J20" s="0" t="n">
        <f aca="false">DATEDIF(I20,T20,"y")</f>
        <v>16</v>
      </c>
      <c r="K20" s="0" t="s">
        <v>6205</v>
      </c>
      <c r="L20" s="118" t="s">
        <v>3409</v>
      </c>
      <c r="M20" s="83" t="s">
        <v>6206</v>
      </c>
      <c r="N20" s="0" t="s">
        <v>5183</v>
      </c>
      <c r="O20" s="0" t="s">
        <v>6207</v>
      </c>
      <c r="P20" s="0" t="s">
        <v>6190</v>
      </c>
      <c r="Q20" s="0" t="s">
        <v>6193</v>
      </c>
      <c r="R20" s="135"/>
      <c r="S20" s="83" t="n">
        <f aca="false">INT((X64-I20))/365</f>
        <v>-103.46301369863</v>
      </c>
      <c r="T20" s="120" t="n">
        <v>43763</v>
      </c>
      <c r="U20" s="129" t="n">
        <v>106144077</v>
      </c>
    </row>
    <row r="21" customFormat="false" ht="15" hidden="false" customHeight="false" outlineLevel="0" collapsed="false">
      <c r="A21" s="134" t="e">
        <f aca="false">INDEX(#REF!,MATCH(B21, #REF!,0),1)</f>
        <v>#VALUE!</v>
      </c>
      <c r="B21" s="113" t="s">
        <v>793</v>
      </c>
      <c r="C21" s="83" t="s">
        <v>794</v>
      </c>
      <c r="D21" s="83" t="n">
        <v>201203042</v>
      </c>
      <c r="E21" s="0" t="s">
        <v>426</v>
      </c>
      <c r="F21" s="0" t="s">
        <v>486</v>
      </c>
      <c r="G21" s="0" t="s">
        <v>6171</v>
      </c>
      <c r="H21" s="83" t="s">
        <v>516</v>
      </c>
      <c r="I21" s="74" t="n">
        <v>34963</v>
      </c>
      <c r="J21" s="0" t="n">
        <f aca="false">DATEDIF(I21,T21,"y")</f>
        <v>23</v>
      </c>
      <c r="K21" s="31" t="n">
        <v>43663</v>
      </c>
      <c r="L21" s="118" t="s">
        <v>3234</v>
      </c>
      <c r="M21" s="83"/>
      <c r="N21" s="0" t="s">
        <v>5180</v>
      </c>
      <c r="O21" s="0" t="s">
        <v>6208</v>
      </c>
      <c r="P21" s="0" t="s">
        <v>6190</v>
      </c>
      <c r="Q21" s="0" t="s">
        <v>6195</v>
      </c>
      <c r="R21" s="135"/>
      <c r="S21" s="83" t="n">
        <f aca="false">INT((X65-I21))/365</f>
        <v>-95.7890410958904</v>
      </c>
      <c r="T21" s="31" t="n">
        <v>43720</v>
      </c>
      <c r="U21" s="137" t="n">
        <v>106881934</v>
      </c>
      <c r="X21" s="83"/>
    </row>
    <row r="22" customFormat="false" ht="15" hidden="false" customHeight="false" outlineLevel="0" collapsed="false">
      <c r="A22" s="134" t="e">
        <f aca="false">INDEX(#REF!,MATCH(B22, #REF!,0),1)</f>
        <v>#VALUE!</v>
      </c>
      <c r="B22" s="113" t="s">
        <v>815</v>
      </c>
      <c r="C22" s="83" t="s">
        <v>816</v>
      </c>
      <c r="D22" s="83" t="n">
        <v>201203042</v>
      </c>
      <c r="E22" s="0" t="s">
        <v>426</v>
      </c>
      <c r="F22" s="0" t="s">
        <v>486</v>
      </c>
      <c r="G22" s="0" t="s">
        <v>6188</v>
      </c>
      <c r="H22" s="83" t="s">
        <v>510</v>
      </c>
      <c r="I22" s="74" t="n">
        <v>29785</v>
      </c>
      <c r="J22" s="0" t="n">
        <f aca="false">DATEDIF(I22,T22,"y")</f>
        <v>38</v>
      </c>
      <c r="K22" s="124" t="n">
        <v>43456</v>
      </c>
      <c r="L22" s="118" t="s">
        <v>3409</v>
      </c>
      <c r="M22" s="31" t="n">
        <v>43794</v>
      </c>
      <c r="N22" s="0" t="s">
        <v>5183</v>
      </c>
      <c r="O22" s="0" t="s">
        <v>6209</v>
      </c>
      <c r="P22" s="0" t="s">
        <v>6190</v>
      </c>
      <c r="Q22" s="0" t="s">
        <v>6204</v>
      </c>
      <c r="R22" s="135"/>
      <c r="S22" s="83" t="n">
        <f aca="false">INT((X66-I22))/365</f>
        <v>-81.6027397260274</v>
      </c>
      <c r="T22" s="31" t="n">
        <v>43794</v>
      </c>
      <c r="U22" s="80" t="n">
        <v>201306279</v>
      </c>
    </row>
    <row r="23" customFormat="false" ht="15" hidden="false" customHeight="false" outlineLevel="0" collapsed="false">
      <c r="A23" s="134" t="e">
        <f aca="false">INDEX(#REF!,MATCH(B23, #REF!,0),1)</f>
        <v>#VALUE!</v>
      </c>
      <c r="B23" s="113" t="s">
        <v>865</v>
      </c>
      <c r="C23" s="83" t="s">
        <v>900</v>
      </c>
      <c r="D23" s="83" t="n">
        <v>201203042</v>
      </c>
      <c r="E23" s="0" t="s">
        <v>426</v>
      </c>
      <c r="F23" s="0" t="s">
        <v>486</v>
      </c>
      <c r="G23" s="0" t="s">
        <v>6188</v>
      </c>
      <c r="H23" s="83" t="s">
        <v>510</v>
      </c>
      <c r="I23" s="74" t="n">
        <v>22490</v>
      </c>
      <c r="J23" s="0" t="n">
        <f aca="false">DATEDIF(I23,T23,"y")</f>
        <v>58</v>
      </c>
      <c r="K23" s="0" t="s">
        <v>6210</v>
      </c>
      <c r="L23" s="118" t="s">
        <v>3409</v>
      </c>
      <c r="M23" s="124" t="n">
        <v>43686</v>
      </c>
      <c r="N23" s="0" t="s">
        <v>5180</v>
      </c>
      <c r="O23" s="0" t="s">
        <v>6211</v>
      </c>
      <c r="P23" s="0" t="s">
        <v>6190</v>
      </c>
      <c r="Q23" s="0" t="s">
        <v>6193</v>
      </c>
      <c r="R23" s="135"/>
      <c r="S23" s="83" t="n">
        <f aca="false">INT((X67-I23))/365</f>
        <v>-61.6164383561644</v>
      </c>
      <c r="T23" s="31" t="n">
        <v>43881</v>
      </c>
      <c r="U23" s="80" t="n">
        <v>201341408</v>
      </c>
    </row>
    <row r="24" customFormat="false" ht="15" hidden="false" customHeight="false" outlineLevel="0" collapsed="false">
      <c r="A24" s="134" t="e">
        <f aca="false">INDEX(#REF!,MATCH(B24, #REF!,0),1)</f>
        <v>#VALUE!</v>
      </c>
      <c r="B24" s="113" t="s">
        <v>884</v>
      </c>
      <c r="C24" s="83" t="s">
        <v>6212</v>
      </c>
      <c r="D24" s="83" t="s">
        <v>6184</v>
      </c>
      <c r="E24" s="0" t="s">
        <v>509</v>
      </c>
      <c r="F24" s="0" t="s">
        <v>486</v>
      </c>
      <c r="G24" s="0" t="s">
        <v>6171</v>
      </c>
      <c r="H24" s="83"/>
      <c r="I24" s="74"/>
      <c r="L24" s="118"/>
      <c r="M24" s="124"/>
      <c r="R24" s="135"/>
      <c r="S24" s="83"/>
      <c r="T24" s="31"/>
      <c r="U24" s="80"/>
    </row>
    <row r="25" customFormat="false" ht="15" hidden="false" customHeight="false" outlineLevel="0" collapsed="false">
      <c r="A25" s="134" t="e">
        <f aca="false">INDEX(#REF!,MATCH(B25, #REF!,0),1)</f>
        <v>#VALUE!</v>
      </c>
      <c r="B25" s="113" t="s">
        <v>6213</v>
      </c>
      <c r="C25" s="83"/>
      <c r="D25" s="83" t="s">
        <v>6184</v>
      </c>
      <c r="E25" s="0" t="s">
        <v>509</v>
      </c>
      <c r="F25" s="0" t="s">
        <v>486</v>
      </c>
      <c r="G25" s="0" t="s">
        <v>6171</v>
      </c>
      <c r="H25" s="83"/>
      <c r="I25" s="74"/>
      <c r="L25" s="118"/>
      <c r="M25" s="124"/>
      <c r="R25" s="135"/>
      <c r="S25" s="83"/>
      <c r="T25" s="31"/>
      <c r="U25" s="80"/>
    </row>
    <row r="26" customFormat="false" ht="15" hidden="false" customHeight="false" outlineLevel="0" collapsed="false">
      <c r="A26" s="134" t="e">
        <f aca="false">INDEX(#REF!,MATCH(B26, #REF!,0),1)</f>
        <v>#VALUE!</v>
      </c>
      <c r="B26" s="113" t="s">
        <v>891</v>
      </c>
      <c r="C26" s="83" t="s">
        <v>892</v>
      </c>
      <c r="D26" s="83" t="n">
        <v>201203042</v>
      </c>
      <c r="E26" s="0" t="s">
        <v>426</v>
      </c>
      <c r="F26" s="0" t="s">
        <v>486</v>
      </c>
      <c r="G26" s="0" t="s">
        <v>6171</v>
      </c>
      <c r="H26" s="83" t="s">
        <v>516</v>
      </c>
      <c r="I26" s="74" t="n">
        <v>28182</v>
      </c>
      <c r="J26" s="0" t="n">
        <f aca="false">DATEDIF(I26,T26,"y")</f>
        <v>42</v>
      </c>
      <c r="K26" s="31" t="n">
        <v>43346</v>
      </c>
      <c r="L26" s="118" t="s">
        <v>3409</v>
      </c>
      <c r="M26" s="83" t="s">
        <v>6214</v>
      </c>
      <c r="N26" s="0" t="s">
        <v>5178</v>
      </c>
      <c r="O26" s="0" t="s">
        <v>6215</v>
      </c>
      <c r="P26" s="0" t="s">
        <v>6190</v>
      </c>
      <c r="Q26" s="0" t="s">
        <v>6195</v>
      </c>
      <c r="R26" s="135"/>
      <c r="S26" s="83" t="n">
        <f aca="false">INT((X68-I26))/365</f>
        <v>-77.2109589041096</v>
      </c>
      <c r="T26" s="31" t="n">
        <v>43860</v>
      </c>
      <c r="U26" s="80" t="n">
        <v>106655214</v>
      </c>
    </row>
    <row r="27" customFormat="false" ht="13.8" hidden="false" customHeight="false" outlineLevel="0" collapsed="false">
      <c r="A27" s="134" t="e">
        <f aca="false">INDEX(#REF!,MATCH(B27, #REF!,0),1)</f>
        <v>#VALUE!</v>
      </c>
      <c r="B27" s="113" t="s">
        <v>959</v>
      </c>
      <c r="C27" s="0" t="s">
        <v>5198</v>
      </c>
      <c r="D27" s="0" t="s">
        <v>6194</v>
      </c>
      <c r="E27" s="0" t="s">
        <v>509</v>
      </c>
      <c r="F27" s="0" t="s">
        <v>486</v>
      </c>
      <c r="G27" s="0" t="s">
        <v>6188</v>
      </c>
      <c r="H27" s="8" t="s">
        <v>510</v>
      </c>
      <c r="J27" s="0" t="n">
        <v>40</v>
      </c>
      <c r="K27" s="31" t="s">
        <v>6216</v>
      </c>
      <c r="L27" s="0" t="s">
        <v>3409</v>
      </c>
      <c r="M27" s="31" t="s">
        <v>6217</v>
      </c>
      <c r="N27" s="0" t="s">
        <v>5183</v>
      </c>
      <c r="O27" s="0" t="s">
        <v>6218</v>
      </c>
      <c r="P27" s="0" t="s">
        <v>6190</v>
      </c>
      <c r="Q27" s="0" t="s">
        <v>6191</v>
      </c>
      <c r="X27" s="83"/>
    </row>
    <row r="28" customFormat="false" ht="13.8" hidden="false" customHeight="false" outlineLevel="0" collapsed="false">
      <c r="A28" s="134" t="e">
        <f aca="false">INDEX(#REF!,MATCH(B28, #REF!,0),1)</f>
        <v>#VALUE!</v>
      </c>
      <c r="B28" s="113" t="s">
        <v>964</v>
      </c>
      <c r="C28" s="0" t="s">
        <v>5201</v>
      </c>
      <c r="D28" s="0" t="s">
        <v>6194</v>
      </c>
      <c r="E28" s="0" t="s">
        <v>509</v>
      </c>
      <c r="F28" s="0" t="s">
        <v>486</v>
      </c>
      <c r="G28" s="0" t="s">
        <v>6171</v>
      </c>
      <c r="H28" s="8" t="s">
        <v>516</v>
      </c>
      <c r="J28" s="0" t="n">
        <v>16</v>
      </c>
      <c r="K28" s="31" t="n">
        <v>43594</v>
      </c>
      <c r="L28" s="0" t="s">
        <v>3409</v>
      </c>
      <c r="M28" s="31" t="n">
        <v>43657</v>
      </c>
      <c r="N28" s="0" t="s">
        <v>5183</v>
      </c>
      <c r="P28" s="0" t="s">
        <v>6190</v>
      </c>
      <c r="Q28" s="0" t="s">
        <v>6195</v>
      </c>
      <c r="X28" s="83"/>
    </row>
    <row r="29" customFormat="false" ht="13.8" hidden="false" customHeight="false" outlineLevel="0" collapsed="false">
      <c r="A29" s="134" t="e">
        <f aca="false">INDEX(#REF!,MATCH(B29, #REF!,0),1)</f>
        <v>#VALUE!</v>
      </c>
      <c r="B29" s="113" t="s">
        <v>968</v>
      </c>
      <c r="C29" s="0" t="s">
        <v>5203</v>
      </c>
      <c r="D29" s="0" t="s">
        <v>6194</v>
      </c>
      <c r="E29" s="0" t="s">
        <v>509</v>
      </c>
      <c r="F29" s="0" t="s">
        <v>486</v>
      </c>
      <c r="G29" s="0" t="s">
        <v>6171</v>
      </c>
      <c r="H29" s="8" t="s">
        <v>516</v>
      </c>
      <c r="J29" s="0" t="n">
        <v>48</v>
      </c>
      <c r="K29" s="31" t="n">
        <v>43563</v>
      </c>
      <c r="L29" s="0" t="s">
        <v>3409</v>
      </c>
      <c r="M29" s="31" t="n">
        <v>43717</v>
      </c>
      <c r="N29" s="0" t="s">
        <v>5176</v>
      </c>
      <c r="O29" s="0" t="s">
        <v>6219</v>
      </c>
      <c r="P29" s="0" t="s">
        <v>6190</v>
      </c>
      <c r="Q29" s="0" t="s">
        <v>6193</v>
      </c>
      <c r="X29" s="83"/>
    </row>
    <row r="30" customFormat="false" ht="13.8" hidden="false" customHeight="false" outlineLevel="0" collapsed="false">
      <c r="A30" s="134" t="e">
        <f aca="false">INDEX(#REF!,MATCH(B30, #REF!,0),1)</f>
        <v>#VALUE!</v>
      </c>
      <c r="B30" s="113" t="s">
        <v>972</v>
      </c>
      <c r="C30" s="0" t="s">
        <v>5206</v>
      </c>
      <c r="D30" s="0" t="s">
        <v>6194</v>
      </c>
      <c r="E30" s="0" t="s">
        <v>509</v>
      </c>
      <c r="F30" s="0" t="s">
        <v>486</v>
      </c>
      <c r="G30" s="0" t="s">
        <v>6171</v>
      </c>
      <c r="H30" s="8" t="s">
        <v>516</v>
      </c>
      <c r="J30" s="0" t="n">
        <v>17</v>
      </c>
      <c r="K30" s="31" t="n">
        <v>43949</v>
      </c>
      <c r="L30" s="0" t="s">
        <v>3234</v>
      </c>
      <c r="M30" s="31"/>
      <c r="N30" s="0" t="s">
        <v>5204</v>
      </c>
      <c r="O30" s="0" t="s">
        <v>6220</v>
      </c>
      <c r="P30" s="0" t="s">
        <v>6190</v>
      </c>
      <c r="Q30" s="0" t="s">
        <v>6191</v>
      </c>
    </row>
    <row r="31" customFormat="false" ht="13.8" hidden="false" customHeight="false" outlineLevel="0" collapsed="false">
      <c r="A31" s="134" t="e">
        <f aca="false">INDEX(#REF!,MATCH(B31, #REF!,0),1)</f>
        <v>#VALUE!</v>
      </c>
      <c r="B31" s="113" t="s">
        <v>976</v>
      </c>
      <c r="C31" s="0" t="s">
        <v>5208</v>
      </c>
      <c r="D31" s="0" t="s">
        <v>6194</v>
      </c>
      <c r="E31" s="0" t="s">
        <v>509</v>
      </c>
      <c r="F31" s="0" t="s">
        <v>486</v>
      </c>
      <c r="G31" s="0" t="s">
        <v>6188</v>
      </c>
      <c r="H31" s="8" t="s">
        <v>516</v>
      </c>
      <c r="J31" s="0" t="n">
        <v>26</v>
      </c>
      <c r="K31" s="31" t="n">
        <v>43970</v>
      </c>
      <c r="M31" s="31"/>
      <c r="N31" s="0" t="s">
        <v>5183</v>
      </c>
      <c r="P31" s="0" t="s">
        <v>6198</v>
      </c>
      <c r="Q31" s="0" t="s">
        <v>487</v>
      </c>
    </row>
    <row r="32" customFormat="false" ht="13.8" hidden="false" customHeight="false" outlineLevel="0" collapsed="false">
      <c r="A32" s="134" t="e">
        <f aca="false">INDEX(#REF!,MATCH(B32, #REF!,0),1)</f>
        <v>#VALUE!</v>
      </c>
      <c r="B32" s="113" t="s">
        <v>980</v>
      </c>
      <c r="C32" s="0" t="s">
        <v>5211</v>
      </c>
      <c r="D32" s="0" t="s">
        <v>6194</v>
      </c>
      <c r="E32" s="0" t="s">
        <v>509</v>
      </c>
      <c r="F32" s="0" t="s">
        <v>486</v>
      </c>
      <c r="G32" s="0" t="s">
        <v>6171</v>
      </c>
      <c r="H32" s="8" t="s">
        <v>516</v>
      </c>
      <c r="J32" s="0" t="n">
        <v>17</v>
      </c>
      <c r="K32" s="31" t="n">
        <v>43896</v>
      </c>
      <c r="L32" s="0" t="s">
        <v>3234</v>
      </c>
      <c r="M32" s="31"/>
      <c r="N32" s="0" t="s">
        <v>5180</v>
      </c>
      <c r="P32" s="0" t="s">
        <v>6190</v>
      </c>
      <c r="Q32" s="95" t="s">
        <v>6204</v>
      </c>
      <c r="R32" s="138"/>
      <c r="X32" s="83"/>
    </row>
    <row r="33" customFormat="false" ht="13.8" hidden="false" customHeight="false" outlineLevel="0" collapsed="false">
      <c r="A33" s="134" t="e">
        <f aca="false">INDEX(#REF!,MATCH(B33, #REF!,0),1)</f>
        <v>#VALUE!</v>
      </c>
      <c r="B33" s="113" t="s">
        <v>984</v>
      </c>
      <c r="C33" s="0" t="s">
        <v>5213</v>
      </c>
      <c r="D33" s="0" t="s">
        <v>6194</v>
      </c>
      <c r="E33" s="0" t="s">
        <v>509</v>
      </c>
      <c r="F33" s="0" t="s">
        <v>486</v>
      </c>
      <c r="G33" s="0" t="s">
        <v>6188</v>
      </c>
      <c r="H33" s="8" t="s">
        <v>510</v>
      </c>
      <c r="J33" s="0" t="n">
        <v>65</v>
      </c>
      <c r="K33" s="31" t="n">
        <v>43768</v>
      </c>
      <c r="M33" s="31"/>
      <c r="N33" s="0" t="s">
        <v>5172</v>
      </c>
      <c r="P33" s="0" t="s">
        <v>6198</v>
      </c>
      <c r="Q33" s="0" t="s">
        <v>487</v>
      </c>
    </row>
    <row r="34" customFormat="false" ht="13.8" hidden="false" customHeight="false" outlineLevel="0" collapsed="false">
      <c r="A34" s="134" t="e">
        <f aca="false">INDEX(#REF!,MATCH(B34, #REF!,0),1)</f>
        <v>#VALUE!</v>
      </c>
      <c r="B34" s="113" t="s">
        <v>988</v>
      </c>
      <c r="C34" s="0" t="s">
        <v>6221</v>
      </c>
      <c r="D34" s="0" t="s">
        <v>6184</v>
      </c>
      <c r="E34" s="0" t="s">
        <v>509</v>
      </c>
      <c r="F34" s="0" t="s">
        <v>486</v>
      </c>
      <c r="G34" s="0" t="s">
        <v>6171</v>
      </c>
      <c r="H34" s="0" t="s">
        <v>516</v>
      </c>
      <c r="I34" s="31" t="n">
        <v>39665</v>
      </c>
      <c r="J34" s="0" t="n">
        <v>14</v>
      </c>
      <c r="K34" s="31" t="n">
        <v>43556</v>
      </c>
      <c r="L34" s="0" t="s">
        <v>3409</v>
      </c>
      <c r="M34" s="31" t="n">
        <v>43983</v>
      </c>
      <c r="N34" s="0" t="s">
        <v>5180</v>
      </c>
      <c r="O34" s="0" t="s">
        <v>6222</v>
      </c>
      <c r="P34" s="0" t="s">
        <v>6190</v>
      </c>
      <c r="Q34" s="0" t="s">
        <v>6195</v>
      </c>
      <c r="X34" s="83"/>
    </row>
    <row r="35" customFormat="false" ht="13.8" hidden="false" customHeight="false" outlineLevel="0" collapsed="false">
      <c r="A35" s="134" t="e">
        <f aca="false">INDEX(#REF!,MATCH(B35, #REF!,0),1)</f>
        <v>#VALUE!</v>
      </c>
      <c r="B35" s="113" t="s">
        <v>991</v>
      </c>
      <c r="C35" s="0" t="s">
        <v>5216</v>
      </c>
      <c r="D35" s="0" t="s">
        <v>6194</v>
      </c>
      <c r="E35" s="0" t="s">
        <v>509</v>
      </c>
      <c r="F35" s="0" t="s">
        <v>486</v>
      </c>
      <c r="G35" s="0" t="s">
        <v>6171</v>
      </c>
      <c r="H35" s="8" t="s">
        <v>516</v>
      </c>
      <c r="J35" s="0" t="n">
        <v>49</v>
      </c>
      <c r="K35" s="31" t="n">
        <v>36312</v>
      </c>
      <c r="L35" s="0" t="s">
        <v>3409</v>
      </c>
      <c r="M35" s="31" t="n">
        <v>39787</v>
      </c>
      <c r="N35" s="0" t="s">
        <v>5180</v>
      </c>
      <c r="O35" s="0" t="s">
        <v>6223</v>
      </c>
      <c r="P35" s="0" t="s">
        <v>6190</v>
      </c>
      <c r="Q35" s="0" t="s">
        <v>6191</v>
      </c>
    </row>
    <row r="36" customFormat="false" ht="13.8" hidden="false" customHeight="false" outlineLevel="0" collapsed="false">
      <c r="A36" s="134" t="e">
        <f aca="false">INDEX(#REF!,MATCH(B36, #REF!,0),1)</f>
        <v>#VALUE!</v>
      </c>
      <c r="B36" s="113" t="s">
        <v>995</v>
      </c>
      <c r="C36" s="0" t="s">
        <v>5218</v>
      </c>
      <c r="D36" s="0" t="s">
        <v>6194</v>
      </c>
      <c r="E36" s="0" t="s">
        <v>509</v>
      </c>
      <c r="F36" s="0" t="s">
        <v>486</v>
      </c>
      <c r="G36" s="0" t="s">
        <v>6224</v>
      </c>
      <c r="H36" s="8" t="s">
        <v>510</v>
      </c>
      <c r="I36" s="31" t="n">
        <v>38358</v>
      </c>
      <c r="J36" s="0" t="n">
        <v>17</v>
      </c>
      <c r="K36" s="31"/>
      <c r="L36" s="0" t="s">
        <v>3409</v>
      </c>
      <c r="M36" s="31"/>
      <c r="N36" s="0" t="s">
        <v>5170</v>
      </c>
      <c r="O36" s="0" t="s">
        <v>6225</v>
      </c>
      <c r="P36" s="0" t="s">
        <v>6190</v>
      </c>
    </row>
    <row r="37" customFormat="false" ht="13.8" hidden="false" customHeight="false" outlineLevel="0" collapsed="false">
      <c r="A37" s="134" t="e">
        <f aca="false">INDEX(#REF!,MATCH(B37, #REF!,0),1)</f>
        <v>#VALUE!</v>
      </c>
      <c r="B37" s="113" t="s">
        <v>999</v>
      </c>
      <c r="C37" s="0" t="s">
        <v>6226</v>
      </c>
      <c r="D37" s="0" t="s">
        <v>6184</v>
      </c>
      <c r="E37" s="0" t="s">
        <v>509</v>
      </c>
      <c r="F37" s="0" t="s">
        <v>486</v>
      </c>
      <c r="G37" s="0" t="s">
        <v>6171</v>
      </c>
      <c r="H37" s="0" t="s">
        <v>510</v>
      </c>
      <c r="I37" s="74" t="n">
        <v>40412</v>
      </c>
      <c r="J37" s="0" t="n">
        <v>10</v>
      </c>
      <c r="K37" s="31" t="n">
        <v>44136</v>
      </c>
      <c r="L37" s="0" t="s">
        <v>3409</v>
      </c>
      <c r="M37" s="31" t="n">
        <v>44237</v>
      </c>
      <c r="N37" s="0" t="s">
        <v>5170</v>
      </c>
      <c r="O37" s="0" t="s">
        <v>6227</v>
      </c>
      <c r="P37" s="0" t="s">
        <v>6190</v>
      </c>
      <c r="Q37" s="0" t="s">
        <v>6191</v>
      </c>
      <c r="X37" s="83"/>
    </row>
    <row r="38" customFormat="false" ht="13.8" hidden="false" customHeight="false" outlineLevel="0" collapsed="false">
      <c r="A38" s="134" t="e">
        <f aca="false">INDEX(#REF!,MATCH(B38, #REF!,0),1)</f>
        <v>#VALUE!</v>
      </c>
      <c r="B38" s="113" t="s">
        <v>1042</v>
      </c>
      <c r="C38" s="0" t="s">
        <v>5218</v>
      </c>
      <c r="D38" s="0" t="s">
        <v>6194</v>
      </c>
      <c r="E38" s="0" t="s">
        <v>509</v>
      </c>
      <c r="F38" s="0" t="s">
        <v>486</v>
      </c>
      <c r="G38" s="0" t="s">
        <v>6171</v>
      </c>
      <c r="H38" s="8" t="s">
        <v>510</v>
      </c>
      <c r="J38" s="0" t="n">
        <v>17</v>
      </c>
      <c r="K38" s="31" t="n">
        <v>43861</v>
      </c>
      <c r="L38" s="0" t="s">
        <v>3409</v>
      </c>
      <c r="M38" s="31" t="n">
        <v>44330</v>
      </c>
      <c r="N38" s="0" t="s">
        <v>5170</v>
      </c>
      <c r="O38" s="0" t="s">
        <v>6228</v>
      </c>
      <c r="P38" s="0" t="s">
        <v>6190</v>
      </c>
      <c r="Q38" s="0" t="s">
        <v>6193</v>
      </c>
      <c r="X38" s="83"/>
    </row>
    <row r="39" customFormat="false" ht="13.8" hidden="false" customHeight="false" outlineLevel="0" collapsed="false">
      <c r="A39" s="134" t="e">
        <f aca="false">INDEX(#REF!,MATCH(B39, #REF!,0),1)</f>
        <v>#VALUE!</v>
      </c>
      <c r="B39" s="113" t="s">
        <v>1052</v>
      </c>
      <c r="C39" s="0" t="s">
        <v>5229</v>
      </c>
      <c r="D39" s="0" t="s">
        <v>6194</v>
      </c>
      <c r="E39" s="0" t="s">
        <v>509</v>
      </c>
      <c r="F39" s="0" t="s">
        <v>486</v>
      </c>
      <c r="G39" s="0" t="s">
        <v>6171</v>
      </c>
      <c r="H39" s="8" t="s">
        <v>516</v>
      </c>
      <c r="J39" s="0" t="n">
        <v>48</v>
      </c>
      <c r="K39" s="31" t="n">
        <v>43696</v>
      </c>
      <c r="L39" s="0" t="s">
        <v>3234</v>
      </c>
      <c r="M39" s="31"/>
      <c r="N39" s="0" t="s">
        <v>5178</v>
      </c>
      <c r="P39" s="0" t="s">
        <v>6190</v>
      </c>
      <c r="Q39" s="95" t="s">
        <v>6204</v>
      </c>
      <c r="R39" s="138"/>
    </row>
    <row r="40" customFormat="false" ht="13.8" hidden="false" customHeight="false" outlineLevel="0" collapsed="false">
      <c r="A40" s="134" t="e">
        <f aca="false">INDEX(#REF!,MATCH(B40, #REF!,0),1)</f>
        <v>#VALUE!</v>
      </c>
      <c r="B40" s="113" t="s">
        <v>1056</v>
      </c>
      <c r="C40" s="0" t="s">
        <v>5231</v>
      </c>
      <c r="D40" s="0" t="s">
        <v>6194</v>
      </c>
      <c r="E40" s="0" t="s">
        <v>509</v>
      </c>
      <c r="F40" s="0" t="s">
        <v>486</v>
      </c>
      <c r="G40" s="0" t="s">
        <v>6171</v>
      </c>
      <c r="H40" s="8" t="s">
        <v>510</v>
      </c>
      <c r="J40" s="0" t="n">
        <v>49</v>
      </c>
      <c r="K40" s="31" t="n">
        <v>43350</v>
      </c>
      <c r="L40" s="0" t="s">
        <v>3409</v>
      </c>
      <c r="M40" s="31" t="n">
        <v>44260</v>
      </c>
      <c r="N40" s="0" t="s">
        <v>5204</v>
      </c>
      <c r="O40" s="0" t="s">
        <v>6229</v>
      </c>
      <c r="P40" s="0" t="s">
        <v>6190</v>
      </c>
      <c r="Q40" s="0" t="s">
        <v>6193</v>
      </c>
    </row>
    <row r="41" customFormat="false" ht="15" hidden="false" customHeight="false" outlineLevel="0" collapsed="false">
      <c r="A41" s="134" t="e">
        <f aca="false">INDEX(#REF!,MATCH(B41, #REF!,0),1)</f>
        <v>#VALUE!</v>
      </c>
      <c r="B41" s="113" t="s">
        <v>1081</v>
      </c>
      <c r="C41" s="83" t="s">
        <v>1082</v>
      </c>
      <c r="D41" s="83" t="n">
        <v>201203042</v>
      </c>
      <c r="E41" s="0" t="s">
        <v>426</v>
      </c>
      <c r="F41" s="0" t="s">
        <v>486</v>
      </c>
      <c r="G41" s="0" t="s">
        <v>6171</v>
      </c>
      <c r="H41" s="83" t="s">
        <v>516</v>
      </c>
      <c r="I41" s="74" t="n">
        <v>20272</v>
      </c>
      <c r="J41" s="0" t="n">
        <f aca="false">DATEDIF(I41,T41,"y")</f>
        <v>66</v>
      </c>
      <c r="K41" s="31" t="n">
        <v>41674</v>
      </c>
      <c r="L41" s="118" t="s">
        <v>3234</v>
      </c>
      <c r="M41" s="83"/>
      <c r="N41" s="118" t="s">
        <v>5235</v>
      </c>
      <c r="O41" s="0" t="s">
        <v>6230</v>
      </c>
      <c r="P41" s="0" t="s">
        <v>6190</v>
      </c>
      <c r="Q41" s="0" t="s">
        <v>6193</v>
      </c>
      <c r="R41" s="135"/>
      <c r="S41" s="83" t="n">
        <f aca="false">INT((X83-I41))/365</f>
        <v>-55.5397260273973</v>
      </c>
      <c r="T41" s="139" t="n">
        <v>44468</v>
      </c>
      <c r="U41" s="77" t="n">
        <v>104241418</v>
      </c>
      <c r="X41" s="83"/>
    </row>
    <row r="42" customFormat="false" ht="15" hidden="false" customHeight="false" outlineLevel="0" collapsed="false">
      <c r="A42" s="134" t="e">
        <f aca="false">INDEX(#REF!,MATCH(B42, #REF!,0),1)</f>
        <v>#VALUE!</v>
      </c>
      <c r="B42" s="113" t="s">
        <v>1086</v>
      </c>
      <c r="C42" s="83" t="s">
        <v>1087</v>
      </c>
      <c r="D42" s="83" t="n">
        <v>201203042</v>
      </c>
      <c r="E42" s="0" t="s">
        <v>426</v>
      </c>
      <c r="F42" s="0" t="s">
        <v>486</v>
      </c>
      <c r="G42" s="0" t="s">
        <v>6188</v>
      </c>
      <c r="H42" s="83" t="s">
        <v>516</v>
      </c>
      <c r="I42" s="74" t="n">
        <v>31071</v>
      </c>
      <c r="J42" s="0" t="n">
        <f aca="false">DATEDIF(I42,T42,"y")</f>
        <v>35</v>
      </c>
      <c r="K42" s="31" t="n">
        <v>44244</v>
      </c>
      <c r="L42" s="118" t="s">
        <v>3409</v>
      </c>
      <c r="M42" s="124" t="n">
        <v>44266</v>
      </c>
      <c r="N42" s="0" t="s">
        <v>5183</v>
      </c>
      <c r="O42" s="0" t="s">
        <v>6231</v>
      </c>
      <c r="P42" s="0" t="s">
        <v>6190</v>
      </c>
      <c r="Q42" s="0" t="s">
        <v>6195</v>
      </c>
      <c r="R42" s="135"/>
      <c r="S42" s="83" t="n">
        <f aca="false">INT((X84-I42))/365</f>
        <v>-85.1260273972603</v>
      </c>
      <c r="T42" s="140" t="n">
        <v>44124</v>
      </c>
      <c r="U42" s="77" t="n">
        <v>101497359</v>
      </c>
      <c r="X42" s="83"/>
    </row>
    <row r="43" customFormat="false" ht="13.8" hidden="false" customHeight="false" outlineLevel="0" collapsed="false">
      <c r="A43" s="134" t="e">
        <f aca="false">INDEX(#REF!,MATCH(B43, #REF!,0),1)</f>
        <v>#VALUE!</v>
      </c>
      <c r="B43" s="113" t="s">
        <v>1091</v>
      </c>
      <c r="C43" s="83" t="s">
        <v>1092</v>
      </c>
      <c r="D43" s="83" t="n">
        <v>201203042</v>
      </c>
      <c r="E43" s="0" t="s">
        <v>426</v>
      </c>
      <c r="F43" s="0" t="s">
        <v>486</v>
      </c>
      <c r="G43" s="0" t="s">
        <v>6171</v>
      </c>
      <c r="H43" s="83" t="s">
        <v>516</v>
      </c>
      <c r="I43" s="74" t="n">
        <v>32345</v>
      </c>
      <c r="J43" s="0" t="n">
        <f aca="false">DATEDIF(I43,T43,"y")</f>
        <v>31</v>
      </c>
      <c r="K43" s="0" t="s">
        <v>6232</v>
      </c>
      <c r="L43" s="118" t="s">
        <v>3409</v>
      </c>
      <c r="M43" s="31" t="n">
        <v>44316</v>
      </c>
      <c r="N43" s="0" t="s">
        <v>5176</v>
      </c>
      <c r="O43" s="0" t="s">
        <v>6233</v>
      </c>
      <c r="P43" s="0" t="s">
        <v>6190</v>
      </c>
      <c r="Q43" s="0" t="s">
        <v>6195</v>
      </c>
      <c r="R43" s="135"/>
      <c r="S43" s="83" t="n">
        <f aca="false">INT((X85-I43))/365</f>
        <v>-88.6164383561644</v>
      </c>
      <c r="T43" s="31" t="n">
        <v>44026</v>
      </c>
      <c r="U43" s="141" t="n">
        <v>201426492</v>
      </c>
    </row>
    <row r="44" customFormat="false" ht="13.8" hidden="false" customHeight="false" outlineLevel="0" collapsed="false">
      <c r="A44" s="134" t="e">
        <f aca="false">INDEX(#REF!,MATCH(B44, #REF!,0),1)</f>
        <v>#VALUE!</v>
      </c>
      <c r="B44" s="113" t="s">
        <v>1121</v>
      </c>
      <c r="C44" s="0" t="s">
        <v>5266</v>
      </c>
      <c r="D44" s="0" t="s">
        <v>6194</v>
      </c>
      <c r="E44" s="0" t="s">
        <v>509</v>
      </c>
      <c r="F44" s="0" t="s">
        <v>486</v>
      </c>
      <c r="G44" s="0" t="s">
        <v>6188</v>
      </c>
      <c r="H44" s="8" t="s">
        <v>516</v>
      </c>
      <c r="J44" s="0" t="n">
        <v>72</v>
      </c>
      <c r="K44" s="31" t="n">
        <v>42377</v>
      </c>
      <c r="L44" s="0" t="s">
        <v>3234</v>
      </c>
      <c r="M44" s="31"/>
      <c r="N44" s="0" t="s">
        <v>5174</v>
      </c>
      <c r="P44" s="0" t="s">
        <v>6190</v>
      </c>
      <c r="Q44" s="0" t="s">
        <v>6195</v>
      </c>
      <c r="X44" s="83"/>
    </row>
    <row r="45" customFormat="false" ht="13.8" hidden="false" customHeight="false" outlineLevel="0" collapsed="false">
      <c r="A45" s="134" t="e">
        <f aca="false">INDEX(#REF!,MATCH(B45, #REF!,0),1)</f>
        <v>#VALUE!</v>
      </c>
      <c r="B45" s="113" t="s">
        <v>1121</v>
      </c>
      <c r="C45" s="83" t="s">
        <v>1122</v>
      </c>
      <c r="D45" s="83" t="n">
        <v>201203042</v>
      </c>
      <c r="E45" s="0" t="s">
        <v>426</v>
      </c>
      <c r="F45" s="0" t="s">
        <v>486</v>
      </c>
      <c r="G45" s="0" t="s">
        <v>6188</v>
      </c>
      <c r="H45" s="83" t="s">
        <v>516</v>
      </c>
      <c r="I45" s="142" t="n">
        <v>17658</v>
      </c>
      <c r="J45" s="0" t="n">
        <f aca="false">DATEDIF(I45,T45,"y")</f>
        <v>72</v>
      </c>
      <c r="K45" s="31" t="n">
        <v>42377</v>
      </c>
      <c r="L45" s="118" t="s">
        <v>3409</v>
      </c>
      <c r="M45" s="124" t="n">
        <v>43454</v>
      </c>
      <c r="N45" s="118" t="s">
        <v>5174</v>
      </c>
      <c r="O45" s="0" t="s">
        <v>6234</v>
      </c>
      <c r="P45" s="0" t="s">
        <v>6190</v>
      </c>
      <c r="Q45" s="0" t="s">
        <v>6195</v>
      </c>
      <c r="R45" s="143"/>
      <c r="S45" s="83" t="n">
        <f aca="false">INT((R45-I45))/365</f>
        <v>-48.3780821917808</v>
      </c>
      <c r="T45" s="144" t="n">
        <v>44187</v>
      </c>
      <c r="U45" s="129" t="n">
        <v>201547007</v>
      </c>
    </row>
    <row r="46" customFormat="false" ht="13.8" hidden="false" customHeight="false" outlineLevel="0" collapsed="false">
      <c r="A46" s="134" t="e">
        <f aca="false">INDEX(#REF!,MATCH(B46, #REF!,0),1)</f>
        <v>#VALUE!</v>
      </c>
      <c r="B46" s="113" t="s">
        <v>1126</v>
      </c>
      <c r="C46" s="83" t="s">
        <v>1127</v>
      </c>
      <c r="D46" s="83" t="n">
        <v>201203042</v>
      </c>
      <c r="E46" s="0" t="s">
        <v>426</v>
      </c>
      <c r="F46" s="0" t="s">
        <v>486</v>
      </c>
      <c r="G46" s="0" t="s">
        <v>6188</v>
      </c>
      <c r="H46" s="83" t="s">
        <v>516</v>
      </c>
      <c r="I46" s="74" t="n">
        <v>25727</v>
      </c>
      <c r="J46" s="0" t="n">
        <f aca="false">DATEDIF(I46,T46,"y")</f>
        <v>50</v>
      </c>
      <c r="K46" s="31" t="n">
        <v>44174</v>
      </c>
      <c r="L46" s="118" t="s">
        <v>3409</v>
      </c>
      <c r="M46" s="31" t="n">
        <v>44263</v>
      </c>
      <c r="N46" s="0" t="s">
        <v>5176</v>
      </c>
      <c r="O46" s="0" t="s">
        <v>6235</v>
      </c>
      <c r="P46" s="0" t="s">
        <v>6190</v>
      </c>
      <c r="Q46" s="0" t="s">
        <v>6193</v>
      </c>
      <c r="R46" s="143"/>
      <c r="S46" s="83" t="n">
        <f aca="false">INT((R46-I46))/365</f>
        <v>-70.4849315068493</v>
      </c>
      <c r="T46" s="144" t="n">
        <v>44266</v>
      </c>
      <c r="U46" s="129" t="n">
        <v>104160884</v>
      </c>
    </row>
    <row r="47" customFormat="false" ht="13.8" hidden="false" customHeight="false" outlineLevel="0" collapsed="false">
      <c r="A47" s="134" t="e">
        <f aca="false">INDEX(#REF!,MATCH(B47, #REF!,0),1)</f>
        <v>#VALUE!</v>
      </c>
      <c r="B47" s="113" t="s">
        <v>1130</v>
      </c>
      <c r="C47" s="0" t="s">
        <v>6236</v>
      </c>
      <c r="D47" s="0" t="s">
        <v>6194</v>
      </c>
      <c r="E47" s="0" t="s">
        <v>509</v>
      </c>
      <c r="F47" s="0" t="s">
        <v>486</v>
      </c>
      <c r="G47" s="0" t="s">
        <v>6188</v>
      </c>
      <c r="H47" s="8" t="s">
        <v>510</v>
      </c>
      <c r="J47" s="0" t="n">
        <v>42</v>
      </c>
      <c r="K47" s="31" t="n">
        <v>42585</v>
      </c>
      <c r="M47" s="31"/>
      <c r="N47" s="0" t="s">
        <v>5174</v>
      </c>
      <c r="O47" s="0" t="s">
        <v>6237</v>
      </c>
      <c r="P47" s="0" t="s">
        <v>6198</v>
      </c>
      <c r="Q47" s="0" t="s">
        <v>487</v>
      </c>
      <c r="X47" s="83"/>
    </row>
    <row r="48" customFormat="false" ht="15" hidden="false" customHeight="false" outlineLevel="0" collapsed="false">
      <c r="A48" s="134" t="e">
        <f aca="false">INDEX(#REF!,MATCH(B48, #REF!,0),1)</f>
        <v>#VALUE!</v>
      </c>
      <c r="B48" s="113" t="s">
        <v>1130</v>
      </c>
      <c r="C48" s="83" t="s">
        <v>1131</v>
      </c>
      <c r="D48" s="83" t="n">
        <v>201203042</v>
      </c>
      <c r="E48" s="0" t="s">
        <v>426</v>
      </c>
      <c r="F48" s="0" t="s">
        <v>486</v>
      </c>
      <c r="G48" s="0" t="s">
        <v>6188</v>
      </c>
      <c r="H48" s="83" t="s">
        <v>510</v>
      </c>
      <c r="I48" s="74" t="n">
        <v>28895</v>
      </c>
      <c r="J48" s="0" t="n">
        <f aca="false">DATEDIF(I48,T48,"y")</f>
        <v>42</v>
      </c>
      <c r="K48" s="0" t="s">
        <v>6238</v>
      </c>
      <c r="L48" s="118" t="s">
        <v>3409</v>
      </c>
      <c r="M48" s="0" t="s">
        <v>6239</v>
      </c>
      <c r="N48" s="118" t="s">
        <v>5174</v>
      </c>
      <c r="O48" s="0" t="s">
        <v>6240</v>
      </c>
      <c r="P48" s="0" t="s">
        <v>6190</v>
      </c>
      <c r="Q48" s="0" t="s">
        <v>6195</v>
      </c>
      <c r="R48" s="143"/>
      <c r="S48" s="83" t="n">
        <f aca="false">INT((R48-I48))/365</f>
        <v>-79.1643835616438</v>
      </c>
      <c r="T48" s="144" t="n">
        <v>44271</v>
      </c>
      <c r="U48" s="80" t="n">
        <v>201598442</v>
      </c>
    </row>
    <row r="49" customFormat="false" ht="13.8" hidden="false" customHeight="false" outlineLevel="0" collapsed="false">
      <c r="A49" s="134" t="e">
        <f aca="false">INDEX(#REF!,MATCH(B49, #REF!,0),1)</f>
        <v>#VALUE!</v>
      </c>
      <c r="B49" s="113" t="s">
        <v>1151</v>
      </c>
      <c r="C49" s="0" t="s">
        <v>5283</v>
      </c>
      <c r="D49" s="0" t="s">
        <v>6194</v>
      </c>
      <c r="E49" s="0" t="s">
        <v>509</v>
      </c>
      <c r="F49" s="0" t="s">
        <v>486</v>
      </c>
      <c r="G49" s="0" t="s">
        <v>6171</v>
      </c>
      <c r="H49" s="8" t="s">
        <v>516</v>
      </c>
      <c r="J49" s="0" t="n">
        <v>31</v>
      </c>
      <c r="K49" s="31" t="n">
        <v>44414</v>
      </c>
      <c r="M49" s="31"/>
      <c r="N49" s="0" t="s">
        <v>5176</v>
      </c>
      <c r="P49" s="0" t="s">
        <v>6198</v>
      </c>
      <c r="Q49" s="0" t="s">
        <v>487</v>
      </c>
      <c r="X49" s="83"/>
    </row>
    <row r="50" customFormat="false" ht="15" hidden="false" customHeight="false" outlineLevel="0" collapsed="false">
      <c r="A50" s="134" t="e">
        <f aca="false">INDEX(#REF!,MATCH(B50, #REF!,0),1)</f>
        <v>#VALUE!</v>
      </c>
      <c r="B50" s="113" t="s">
        <v>1151</v>
      </c>
      <c r="C50" s="83" t="s">
        <v>1152</v>
      </c>
      <c r="D50" s="83" t="n">
        <v>201203042</v>
      </c>
      <c r="E50" s="0" t="s">
        <v>426</v>
      </c>
      <c r="F50" s="0" t="s">
        <v>486</v>
      </c>
      <c r="G50" s="0" t="s">
        <v>6171</v>
      </c>
      <c r="H50" s="83" t="s">
        <v>516</v>
      </c>
      <c r="I50" s="125" t="n">
        <v>33124</v>
      </c>
      <c r="J50" s="0" t="n">
        <f aca="false">DATEDIF(I50,T50,"y")</f>
        <v>31</v>
      </c>
      <c r="K50" s="31" t="n">
        <v>44414</v>
      </c>
      <c r="L50" s="118" t="s">
        <v>3234</v>
      </c>
      <c r="M50" s="83"/>
      <c r="N50" s="0" t="s">
        <v>5176</v>
      </c>
      <c r="O50" s="0" t="s">
        <v>6241</v>
      </c>
      <c r="P50" s="0" t="s">
        <v>6198</v>
      </c>
      <c r="Q50" s="0" t="s">
        <v>487</v>
      </c>
      <c r="R50" s="143"/>
      <c r="S50" s="83" t="n">
        <f aca="false">INT((R50-I50))/365</f>
        <v>-90.7506849315068</v>
      </c>
      <c r="T50" s="145" t="n">
        <v>44481</v>
      </c>
      <c r="U50" s="77" t="n">
        <v>201496726</v>
      </c>
    </row>
    <row r="51" customFormat="false" ht="15" hidden="false" customHeight="false" outlineLevel="0" collapsed="false">
      <c r="A51" s="134" t="e">
        <f aca="false">INDEX(#REF!,MATCH(B51, #REF!,0),1)</f>
        <v>#VALUE!</v>
      </c>
      <c r="B51" s="113" t="s">
        <v>1195</v>
      </c>
      <c r="C51" s="83" t="s">
        <v>1196</v>
      </c>
      <c r="D51" s="83" t="n">
        <v>201203042</v>
      </c>
      <c r="E51" s="0" t="s">
        <v>426</v>
      </c>
      <c r="F51" s="0" t="s">
        <v>486</v>
      </c>
      <c r="G51" s="0" t="s">
        <v>6188</v>
      </c>
      <c r="H51" s="83" t="s">
        <v>516</v>
      </c>
      <c r="I51" s="126" t="n">
        <v>37582</v>
      </c>
      <c r="J51" s="0" t="n">
        <f aca="false">DATEDIF(I51,T51,"y")</f>
        <v>19</v>
      </c>
      <c r="K51" s="31" t="n">
        <v>44601</v>
      </c>
      <c r="L51" s="118" t="s">
        <v>3234</v>
      </c>
      <c r="M51" s="83"/>
      <c r="N51" s="0" t="s">
        <v>5176</v>
      </c>
      <c r="O51" s="0" t="s">
        <v>6242</v>
      </c>
      <c r="P51" s="0" t="s">
        <v>6198</v>
      </c>
      <c r="Q51" s="0" t="s">
        <v>487</v>
      </c>
      <c r="R51" s="143"/>
      <c r="S51" s="83" t="n">
        <f aca="false">INT((R51-I51))/365</f>
        <v>-102.964383561644</v>
      </c>
      <c r="T51" s="31" t="n">
        <v>44698</v>
      </c>
      <c r="U51" s="77" t="n">
        <v>103851322</v>
      </c>
    </row>
    <row r="52" customFormat="false" ht="15" hidden="false" customHeight="false" outlineLevel="0" collapsed="false">
      <c r="A52" s="134" t="e">
        <f aca="false">INDEX(#REF!,MATCH(B52, #REF!,0),1)</f>
        <v>#VALUE!</v>
      </c>
      <c r="B52" s="113" t="s">
        <v>1199</v>
      </c>
      <c r="C52" s="83" t="s">
        <v>1200</v>
      </c>
      <c r="D52" s="83" t="n">
        <v>201203042</v>
      </c>
      <c r="E52" s="0" t="s">
        <v>426</v>
      </c>
      <c r="F52" s="0" t="s">
        <v>486</v>
      </c>
      <c r="G52" s="0" t="s">
        <v>6171</v>
      </c>
      <c r="H52" s="83" t="s">
        <v>516</v>
      </c>
      <c r="I52" s="126" t="n">
        <v>24371</v>
      </c>
      <c r="J52" s="0" t="n">
        <f aca="false">DATEDIF(I52,T52,"y")</f>
        <v>55</v>
      </c>
      <c r="K52" s="31" t="n">
        <v>44524</v>
      </c>
      <c r="L52" s="118" t="s">
        <v>3234</v>
      </c>
      <c r="M52" s="83"/>
      <c r="N52" s="118" t="s">
        <v>5235</v>
      </c>
      <c r="O52" s="0" t="s">
        <v>6243</v>
      </c>
      <c r="P52" s="0" t="s">
        <v>6198</v>
      </c>
      <c r="Q52" s="0" t="s">
        <v>487</v>
      </c>
      <c r="R52" s="143"/>
      <c r="S52" s="83" t="n">
        <f aca="false">INT((R52-I52))/365</f>
        <v>-66.7698630136986</v>
      </c>
      <c r="T52" s="146" t="n">
        <v>44740</v>
      </c>
      <c r="U52" s="77" t="n">
        <v>109043364</v>
      </c>
    </row>
    <row r="53" customFormat="false" ht="15" hidden="false" customHeight="false" outlineLevel="0" collapsed="false">
      <c r="A53" s="134" t="e">
        <f aca="false">INDEX(#REF!,MATCH(B53, #REF!,0),1)</f>
        <v>#VALUE!</v>
      </c>
      <c r="B53" s="113" t="s">
        <v>1214</v>
      </c>
      <c r="C53" s="83" t="s">
        <v>1215</v>
      </c>
      <c r="D53" s="83" t="n">
        <v>201203042</v>
      </c>
      <c r="E53" s="0" t="s">
        <v>426</v>
      </c>
      <c r="F53" s="0" t="s">
        <v>486</v>
      </c>
      <c r="G53" s="0" t="s">
        <v>6171</v>
      </c>
      <c r="H53" s="83" t="s">
        <v>516</v>
      </c>
      <c r="I53" s="74" t="n">
        <v>29338</v>
      </c>
      <c r="J53" s="0" t="n">
        <f aca="false">DATEDIF(I53,T53,"y")</f>
        <v>40</v>
      </c>
      <c r="K53" s="31" t="n">
        <v>44061</v>
      </c>
      <c r="L53" s="118" t="s">
        <v>3234</v>
      </c>
      <c r="M53" s="118"/>
      <c r="N53" s="0" t="s">
        <v>5183</v>
      </c>
      <c r="O53" s="0" t="s">
        <v>6244</v>
      </c>
      <c r="P53" s="0" t="s">
        <v>6190</v>
      </c>
      <c r="Q53" s="0" t="s">
        <v>6193</v>
      </c>
      <c r="R53" s="143"/>
      <c r="S53" s="83" t="n">
        <f aca="false">INT((R53-I53))/365</f>
        <v>-80.3780821917808</v>
      </c>
      <c r="T53" s="147" t="n">
        <v>44054</v>
      </c>
      <c r="U53" s="77" t="n">
        <v>105386171</v>
      </c>
    </row>
    <row r="54" customFormat="false" ht="15" hidden="false" customHeight="false" outlineLevel="0" collapsed="false">
      <c r="A54" s="134" t="e">
        <f aca="false">INDEX(#REF!,MATCH(B54, #REF!,0),1)</f>
        <v>#VALUE!</v>
      </c>
      <c r="B54" s="113" t="s">
        <v>1219</v>
      </c>
      <c r="C54" s="83" t="s">
        <v>1220</v>
      </c>
      <c r="D54" s="83" t="n">
        <v>201203042</v>
      </c>
      <c r="E54" s="0" t="s">
        <v>426</v>
      </c>
      <c r="F54" s="0" t="s">
        <v>486</v>
      </c>
      <c r="G54" s="0" t="s">
        <v>6188</v>
      </c>
      <c r="H54" s="83" t="s">
        <v>516</v>
      </c>
      <c r="I54" s="74" t="n">
        <v>19556</v>
      </c>
      <c r="J54" s="0" t="n">
        <f aca="false">DATEDIF(I54,T54,"y")</f>
        <v>67</v>
      </c>
      <c r="K54" s="31" t="n">
        <v>44109</v>
      </c>
      <c r="L54" s="118" t="s">
        <v>3234</v>
      </c>
      <c r="M54" s="83"/>
      <c r="N54" s="0" t="s">
        <v>5183</v>
      </c>
      <c r="O54" s="0" t="s">
        <v>6245</v>
      </c>
      <c r="P54" s="0" t="s">
        <v>6198</v>
      </c>
      <c r="Q54" s="0" t="s">
        <v>487</v>
      </c>
      <c r="R54" s="135"/>
      <c r="S54" s="83" t="n">
        <f aca="false">INT((R54-I54))/365</f>
        <v>-53.5780821917808</v>
      </c>
      <c r="T54" s="148" t="n">
        <v>44138</v>
      </c>
      <c r="U54" s="77" t="n">
        <v>201512062</v>
      </c>
    </row>
    <row r="55" customFormat="false" ht="15" hidden="false" customHeight="false" outlineLevel="0" collapsed="false">
      <c r="A55" s="134" t="e">
        <f aca="false">INDEX(#REF!,MATCH(B55, #REF!,0),1)</f>
        <v>#VALUE!</v>
      </c>
      <c r="B55" s="113" t="s">
        <v>1224</v>
      </c>
      <c r="C55" s="83" t="s">
        <v>1225</v>
      </c>
      <c r="D55" s="83" t="n">
        <v>201203042</v>
      </c>
      <c r="E55" s="0" t="s">
        <v>426</v>
      </c>
      <c r="F55" s="0" t="s">
        <v>486</v>
      </c>
      <c r="G55" s="0" t="s">
        <v>6188</v>
      </c>
      <c r="H55" s="83" t="s">
        <v>516</v>
      </c>
      <c r="I55" s="74" t="n">
        <v>28931</v>
      </c>
      <c r="J55" s="0" t="n">
        <f aca="false">DATEDIF(I55,T55,"y")</f>
        <v>41</v>
      </c>
      <c r="K55" s="31" t="n">
        <v>44054</v>
      </c>
      <c r="L55" s="118" t="s">
        <v>3409</v>
      </c>
      <c r="M55" s="31" t="n">
        <v>44221</v>
      </c>
      <c r="N55" s="0" t="s">
        <v>5176</v>
      </c>
      <c r="O55" s="0" t="s">
        <v>6246</v>
      </c>
      <c r="P55" s="0" t="s">
        <v>6190</v>
      </c>
      <c r="Q55" s="0" t="s">
        <v>6195</v>
      </c>
      <c r="R55" s="135"/>
      <c r="S55" s="83" t="n">
        <f aca="false">INT((R55-I55))/365</f>
        <v>-79.2630136986301</v>
      </c>
      <c r="T55" s="149" t="n">
        <v>44229</v>
      </c>
      <c r="U55" s="129" t="n">
        <v>201573565</v>
      </c>
    </row>
    <row r="56" customFormat="false" ht="15" hidden="false" customHeight="false" outlineLevel="0" collapsed="false">
      <c r="A56" s="134" t="e">
        <f aca="false">INDEX(#REF!,MATCH(B56, #REF!,0),1)</f>
        <v>#VALUE!</v>
      </c>
      <c r="B56" s="113" t="s">
        <v>1228</v>
      </c>
      <c r="C56" s="83" t="s">
        <v>1229</v>
      </c>
      <c r="D56" s="83" t="n">
        <v>201203042</v>
      </c>
      <c r="E56" s="0" t="s">
        <v>426</v>
      </c>
      <c r="F56" s="0" t="s">
        <v>486</v>
      </c>
      <c r="G56" s="0" t="s">
        <v>6171</v>
      </c>
      <c r="H56" s="83" t="s">
        <v>516</v>
      </c>
      <c r="I56" s="74" t="n">
        <v>30469</v>
      </c>
      <c r="J56" s="0" t="n">
        <f aca="false">DATEDIF(I56,T56,"y")</f>
        <v>37</v>
      </c>
      <c r="K56" s="31" t="n">
        <v>44106</v>
      </c>
      <c r="L56" s="118" t="s">
        <v>3409</v>
      </c>
      <c r="M56" s="120" t="n">
        <v>44159</v>
      </c>
      <c r="N56" s="0" t="s">
        <v>5170</v>
      </c>
      <c r="O56" s="0" t="s">
        <v>6247</v>
      </c>
      <c r="P56" s="0" t="s">
        <v>6190</v>
      </c>
      <c r="Q56" s="0" t="s">
        <v>6191</v>
      </c>
      <c r="R56" s="143"/>
      <c r="S56" s="83" t="n">
        <f aca="false">INT((R56-I56))/365</f>
        <v>-83.4767123287671</v>
      </c>
      <c r="T56" s="147" t="n">
        <v>44152</v>
      </c>
      <c r="U56" s="129" t="n">
        <v>201527647</v>
      </c>
    </row>
    <row r="57" customFormat="false" ht="15" hidden="false" customHeight="false" outlineLevel="0" collapsed="false">
      <c r="A57" s="134" t="e">
        <f aca="false">INDEX(#REF!,MATCH(B57, #REF!,0),1)</f>
        <v>#VALUE!</v>
      </c>
      <c r="B57" s="113" t="s">
        <v>1232</v>
      </c>
      <c r="C57" s="83" t="s">
        <v>1233</v>
      </c>
      <c r="D57" s="83" t="n">
        <v>201203042</v>
      </c>
      <c r="E57" s="0" t="s">
        <v>426</v>
      </c>
      <c r="F57" s="0" t="s">
        <v>486</v>
      </c>
      <c r="G57" s="0" t="s">
        <v>6188</v>
      </c>
      <c r="H57" s="83" t="s">
        <v>510</v>
      </c>
      <c r="I57" s="74" t="n">
        <v>28962</v>
      </c>
      <c r="J57" s="0" t="n">
        <f aca="false">DATEDIF(I57,T57,"y")</f>
        <v>42</v>
      </c>
      <c r="K57" s="31" t="n">
        <v>44354</v>
      </c>
      <c r="L57" s="118" t="s">
        <v>3234</v>
      </c>
      <c r="N57" s="0" t="s">
        <v>5180</v>
      </c>
      <c r="O57" s="0" t="s">
        <v>6248</v>
      </c>
      <c r="P57" s="0" t="s">
        <v>6190</v>
      </c>
      <c r="Q57" s="0" t="s">
        <v>6193</v>
      </c>
      <c r="R57" s="135"/>
      <c r="S57" s="83" t="n">
        <f aca="false">INT((R57-I57))/365</f>
        <v>-79.3479452054794</v>
      </c>
      <c r="T57" s="150" t="n">
        <v>44357</v>
      </c>
      <c r="U57" s="77" t="n">
        <v>201689152</v>
      </c>
    </row>
    <row r="58" customFormat="false" ht="13.8" hidden="false" customHeight="false" outlineLevel="0" collapsed="false">
      <c r="A58" s="134" t="e">
        <f aca="false">INDEX(#REF!,MATCH(B58, #REF!,0),1)</f>
        <v>#VALUE!</v>
      </c>
      <c r="B58" s="113" t="s">
        <v>1236</v>
      </c>
      <c r="C58" s="0" t="s">
        <v>5329</v>
      </c>
      <c r="D58" s="0" t="s">
        <v>6194</v>
      </c>
      <c r="E58" s="0" t="s">
        <v>509</v>
      </c>
      <c r="F58" s="0" t="s">
        <v>486</v>
      </c>
      <c r="G58" s="0" t="s">
        <v>6188</v>
      </c>
      <c r="H58" s="8" t="s">
        <v>516</v>
      </c>
      <c r="J58" s="0" t="n">
        <v>45</v>
      </c>
      <c r="K58" s="31" t="n">
        <v>44328</v>
      </c>
      <c r="L58" s="0" t="s">
        <v>3409</v>
      </c>
      <c r="M58" s="31" t="n">
        <v>44425</v>
      </c>
      <c r="N58" s="0" t="s">
        <v>5174</v>
      </c>
      <c r="P58" s="0" t="s">
        <v>6190</v>
      </c>
      <c r="Q58" s="0" t="s">
        <v>6193</v>
      </c>
      <c r="X58" s="83"/>
    </row>
    <row r="59" customFormat="false" ht="15" hidden="false" customHeight="false" outlineLevel="0" collapsed="false">
      <c r="A59" s="134" t="e">
        <f aca="false">INDEX(#REF!,MATCH(B59, #REF!,0),1)</f>
        <v>#VALUE!</v>
      </c>
      <c r="B59" s="113" t="s">
        <v>1236</v>
      </c>
      <c r="C59" s="83" t="s">
        <v>1237</v>
      </c>
      <c r="D59" s="83" t="n">
        <v>201203042</v>
      </c>
      <c r="E59" s="0" t="s">
        <v>426</v>
      </c>
      <c r="F59" s="0" t="s">
        <v>486</v>
      </c>
      <c r="G59" s="0" t="s">
        <v>6188</v>
      </c>
      <c r="H59" s="83" t="s">
        <v>516</v>
      </c>
      <c r="I59" s="74" t="n">
        <v>28060</v>
      </c>
      <c r="J59" s="0" t="n">
        <f aca="false">DATEDIF(I59,T59,"y")</f>
        <v>44</v>
      </c>
      <c r="K59" s="31" t="n">
        <v>44342</v>
      </c>
      <c r="L59" s="118" t="s">
        <v>3234</v>
      </c>
      <c r="M59" s="83"/>
      <c r="N59" s="118" t="s">
        <v>5174</v>
      </c>
      <c r="O59" s="0" t="s">
        <v>6234</v>
      </c>
      <c r="P59" s="0" t="s">
        <v>6190</v>
      </c>
      <c r="Q59" s="0" t="s">
        <v>6193</v>
      </c>
      <c r="R59" s="143"/>
      <c r="S59" s="83" t="n">
        <f aca="false">INT((R59-I59))/365</f>
        <v>-76.8767123287671</v>
      </c>
      <c r="T59" s="131" t="n">
        <v>44369</v>
      </c>
      <c r="U59" s="77" t="n">
        <v>201669257</v>
      </c>
    </row>
    <row r="60" customFormat="false" ht="15" hidden="false" customHeight="false" outlineLevel="0" collapsed="false">
      <c r="A60" s="134" t="e">
        <f aca="false">INDEX(#REF!,MATCH(B60, #REF!,0),1)</f>
        <v>#VALUE!</v>
      </c>
      <c r="B60" s="113" t="s">
        <v>1276</v>
      </c>
      <c r="C60" s="83" t="s">
        <v>1277</v>
      </c>
      <c r="D60" s="83" t="n">
        <v>201203042</v>
      </c>
      <c r="E60" s="0" t="s">
        <v>426</v>
      </c>
      <c r="F60" s="0" t="s">
        <v>486</v>
      </c>
      <c r="G60" s="0" t="s">
        <v>6171</v>
      </c>
      <c r="H60" s="83" t="s">
        <v>510</v>
      </c>
      <c r="I60" s="74" t="n">
        <v>29138</v>
      </c>
      <c r="J60" s="0" t="n">
        <f aca="false">DATEDIF(I60,T60,"y")</f>
        <v>42</v>
      </c>
      <c r="K60" s="31" t="n">
        <v>44726</v>
      </c>
      <c r="L60" s="118" t="s">
        <v>3234</v>
      </c>
      <c r="M60" s="83"/>
      <c r="N60" s="0" t="s">
        <v>5176</v>
      </c>
      <c r="O60" s="0" t="s">
        <v>6249</v>
      </c>
      <c r="P60" s="0" t="s">
        <v>6198</v>
      </c>
      <c r="Q60" s="0" t="s">
        <v>487</v>
      </c>
      <c r="R60" s="135"/>
      <c r="S60" s="83" t="n">
        <f aca="false">INT((X102-I60))/365</f>
        <v>-79.8301369863014</v>
      </c>
      <c r="T60" s="131" t="n">
        <v>44705</v>
      </c>
      <c r="U60" s="77" t="n">
        <v>104623496</v>
      </c>
    </row>
    <row r="61" customFormat="false" ht="15" hidden="false" customHeight="false" outlineLevel="0" collapsed="false">
      <c r="A61" s="134" t="e">
        <f aca="false">INDEX(#REF!,MATCH(B61, #REF!,0),1)</f>
        <v>#VALUE!</v>
      </c>
      <c r="B61" s="113" t="s">
        <v>1307</v>
      </c>
      <c r="C61" s="83" t="s">
        <v>1308</v>
      </c>
      <c r="D61" s="83" t="n">
        <v>201203042</v>
      </c>
      <c r="E61" s="0" t="s">
        <v>426</v>
      </c>
      <c r="F61" s="0" t="s">
        <v>486</v>
      </c>
      <c r="G61" s="0" t="s">
        <v>6171</v>
      </c>
      <c r="H61" s="83" t="s">
        <v>510</v>
      </c>
      <c r="I61" s="126" t="n">
        <v>36774</v>
      </c>
      <c r="J61" s="0" t="n">
        <f aca="false">DATEDIF(I61,T61,"y")</f>
        <v>21</v>
      </c>
      <c r="K61" s="31" t="n">
        <v>44522</v>
      </c>
      <c r="L61" s="118" t="s">
        <v>3234</v>
      </c>
      <c r="M61" s="118"/>
      <c r="N61" s="118" t="s">
        <v>5235</v>
      </c>
      <c r="O61" s="0" t="s">
        <v>6250</v>
      </c>
      <c r="P61" s="0" t="s">
        <v>6190</v>
      </c>
      <c r="Q61" s="0" t="s">
        <v>6204</v>
      </c>
      <c r="R61" s="143"/>
      <c r="S61" s="83" t="n">
        <f aca="false">INT((R61-I61))/365</f>
        <v>-100.750684931507</v>
      </c>
      <c r="T61" s="144" t="n">
        <v>44516</v>
      </c>
      <c r="U61" s="77" t="n">
        <v>103379081</v>
      </c>
    </row>
    <row r="62" customFormat="false" ht="13.8" hidden="false" customHeight="false" outlineLevel="0" collapsed="false">
      <c r="A62" s="134" t="e">
        <f aca="false">INDEX(#REF!,MATCH(B62, #REF!,0),1)</f>
        <v>#VALUE!</v>
      </c>
      <c r="B62" s="113" t="s">
        <v>1328</v>
      </c>
      <c r="C62" s="83" t="s">
        <v>1329</v>
      </c>
      <c r="D62" s="83" t="n">
        <v>201203042</v>
      </c>
      <c r="E62" s="0" t="s">
        <v>426</v>
      </c>
      <c r="F62" s="0" t="s">
        <v>486</v>
      </c>
      <c r="G62" s="0" t="s">
        <v>6188</v>
      </c>
      <c r="H62" s="83" t="s">
        <v>516</v>
      </c>
      <c r="I62" s="126" t="n">
        <v>22356</v>
      </c>
      <c r="J62" s="0" t="n">
        <f aca="false">DATEDIF(I62,T62,"y")</f>
        <v>61</v>
      </c>
      <c r="K62" s="31" t="n">
        <v>44699</v>
      </c>
      <c r="L62" s="81" t="s">
        <v>3234</v>
      </c>
      <c r="M62" s="83"/>
      <c r="N62" s="0" t="s">
        <v>5176</v>
      </c>
      <c r="O62" s="0" t="s">
        <v>6251</v>
      </c>
      <c r="P62" s="0" t="s">
        <v>6190</v>
      </c>
      <c r="Q62" s="0" t="s">
        <v>6195</v>
      </c>
      <c r="R62" s="143"/>
      <c r="S62" s="83" t="n">
        <f aca="false">INT((R62-I62))/365</f>
        <v>-61.2493150684932</v>
      </c>
      <c r="T62" s="31" t="n">
        <v>44817</v>
      </c>
      <c r="U62" s="129" t="n">
        <v>201230394</v>
      </c>
    </row>
    <row r="63" customFormat="false" ht="13.8" hidden="false" customHeight="false" outlineLevel="0" collapsed="false">
      <c r="A63" s="134" t="e">
        <f aca="false">INDEX(#REF!,MATCH(B63, #REF!,0),1)</f>
        <v>#VALUE!</v>
      </c>
      <c r="B63" s="30" t="s">
        <v>1240</v>
      </c>
      <c r="E63" s="0" t="s">
        <v>426</v>
      </c>
    </row>
    <row r="64" customFormat="false" ht="13.8" hidden="false" customHeight="false" outlineLevel="0" collapsed="false">
      <c r="A64" s="134" t="e">
        <f aca="false">INDEX(#REF!,MATCH(B64, #REF!,0),1)</f>
        <v>#VALUE!</v>
      </c>
      <c r="B64" s="30" t="s">
        <v>1244</v>
      </c>
      <c r="E64" s="0" t="s">
        <v>426</v>
      </c>
    </row>
    <row r="65" customFormat="false" ht="13.8" hidden="false" customHeight="false" outlineLevel="0" collapsed="false">
      <c r="F65" s="73"/>
      <c r="G65" s="73"/>
      <c r="H65" s="73"/>
      <c r="I65" s="73"/>
      <c r="J65" s="73"/>
      <c r="K65" s="73"/>
      <c r="L65" s="73"/>
      <c r="M65" s="73"/>
    </row>
    <row r="66" customFormat="false" ht="13.8" hidden="false" customHeight="false" outlineLevel="0" collapsed="false">
      <c r="E66" s="139"/>
      <c r="F66" s="73"/>
      <c r="G66" s="73"/>
      <c r="H66" s="73"/>
      <c r="I66" s="73"/>
      <c r="J66" s="73"/>
      <c r="K66" s="73"/>
      <c r="L66" s="73"/>
      <c r="M66" s="73"/>
    </row>
    <row r="67" customFormat="false" ht="13.8" hidden="false" customHeight="false" outlineLevel="0" collapsed="false">
      <c r="B67" s="113"/>
      <c r="C67" s="83"/>
      <c r="D67" s="31"/>
      <c r="E67" s="73"/>
      <c r="F67" s="73"/>
      <c r="G67" s="73"/>
      <c r="H67" s="73"/>
      <c r="I67" s="73"/>
      <c r="J67" s="73"/>
      <c r="K67" s="73"/>
      <c r="L67" s="73"/>
      <c r="M67" s="73"/>
    </row>
    <row r="68" customFormat="false" ht="13.8" hidden="false" customHeight="false" outlineLevel="0" collapsed="false">
      <c r="B68" s="113"/>
      <c r="C68" s="83"/>
      <c r="D68" s="139"/>
      <c r="H68" s="73"/>
      <c r="I68" s="73"/>
      <c r="J68" s="73"/>
      <c r="K68" s="73"/>
      <c r="L68" s="73"/>
      <c r="M68" s="73"/>
    </row>
    <row r="69" customFormat="false" ht="13.8" hidden="false" customHeight="false" outlineLevel="0" collapsed="false">
      <c r="B69" s="113"/>
      <c r="C69" s="83"/>
      <c r="D69" s="139"/>
      <c r="E69" s="31"/>
      <c r="F69" s="31"/>
      <c r="G69" s="31"/>
      <c r="H69" s="73"/>
      <c r="I69" s="73"/>
      <c r="J69" s="73"/>
      <c r="K69" s="73"/>
      <c r="L69" s="73"/>
      <c r="M69" s="73"/>
    </row>
    <row r="70" customFormat="false" ht="13.8" hidden="false" customHeight="false" outlineLevel="0" collapsed="false">
      <c r="B70" s="113"/>
      <c r="C70" s="83"/>
      <c r="D70" s="31"/>
      <c r="E70" s="31"/>
      <c r="F70" s="31"/>
      <c r="G70" s="31"/>
      <c r="H70" s="73"/>
      <c r="I70" s="73"/>
      <c r="J70" s="73"/>
      <c r="K70" s="73"/>
      <c r="L70" s="73"/>
      <c r="M70" s="73"/>
    </row>
    <row r="71" customFormat="false" ht="13.8" hidden="false" customHeight="false" outlineLevel="0" collapsed="false">
      <c r="B71" s="113"/>
      <c r="C71" s="83"/>
      <c r="D71" s="31"/>
      <c r="E71" s="31"/>
      <c r="F71" s="31"/>
      <c r="G71" s="31"/>
      <c r="H71" s="73"/>
      <c r="I71" s="73"/>
      <c r="J71" s="73"/>
      <c r="K71" s="73"/>
      <c r="L71" s="73"/>
      <c r="M71" s="73"/>
    </row>
    <row r="72" customFormat="false" ht="13.8" hidden="false" customHeight="false" outlineLevel="0" collapsed="false">
      <c r="B72" s="113"/>
      <c r="C72" s="83"/>
      <c r="D72" s="31"/>
      <c r="E72" s="31"/>
      <c r="F72" s="31"/>
      <c r="G72" s="31"/>
      <c r="H72" s="73"/>
      <c r="I72" s="73"/>
      <c r="J72" s="73"/>
      <c r="K72" s="73"/>
      <c r="L72" s="73"/>
      <c r="M72" s="73"/>
    </row>
    <row r="73" customFormat="false" ht="13.8" hidden="false" customHeight="false" outlineLevel="0" collapsed="false">
      <c r="B73" s="113"/>
      <c r="C73" s="83"/>
      <c r="D73" s="31"/>
      <c r="H73" s="31"/>
      <c r="L73" s="73"/>
      <c r="M73" s="73"/>
    </row>
    <row r="74" customFormat="false" ht="13.8" hidden="false" customHeight="false" outlineLevel="0" collapsed="false">
      <c r="B74" s="113"/>
      <c r="C74" s="83"/>
      <c r="D74" s="31"/>
      <c r="H74" s="73"/>
      <c r="I74" s="73"/>
      <c r="J74" s="73"/>
      <c r="K74" s="73"/>
      <c r="L74" s="73"/>
      <c r="M74" s="73"/>
    </row>
    <row r="75" customFormat="false" ht="13.8" hidden="false" customHeight="false" outlineLevel="0" collapsed="false">
      <c r="B75" s="113"/>
      <c r="C75" s="83"/>
      <c r="D75" s="31"/>
      <c r="E75" s="31"/>
      <c r="F75" s="31"/>
      <c r="G75" s="73"/>
      <c r="H75" s="73"/>
      <c r="I75" s="73"/>
      <c r="J75" s="73"/>
      <c r="K75" s="73"/>
      <c r="L75" s="73"/>
      <c r="M75" s="73"/>
    </row>
    <row r="76" customFormat="false" ht="13.8" hidden="false" customHeight="false" outlineLevel="0" collapsed="false">
      <c r="B76" s="113"/>
      <c r="C76" s="83"/>
      <c r="D76" s="31"/>
      <c r="E76" s="31"/>
      <c r="F76" s="31"/>
      <c r="G76" s="31"/>
      <c r="H76" s="31"/>
      <c r="I76" s="73"/>
      <c r="J76" s="73"/>
      <c r="K76" s="73"/>
      <c r="L76" s="73"/>
      <c r="M76" s="73"/>
    </row>
    <row r="77" customFormat="false" ht="13.8" hidden="false" customHeight="false" outlineLevel="0" collapsed="false">
      <c r="B77" s="113"/>
      <c r="C77" s="83"/>
      <c r="D77" s="31"/>
      <c r="E77" s="73"/>
      <c r="F77" s="73"/>
      <c r="G77" s="73"/>
      <c r="H77" s="73"/>
      <c r="I77" s="73"/>
      <c r="J77" s="73"/>
      <c r="K77" s="73"/>
      <c r="L77" s="73"/>
      <c r="M77" s="73"/>
    </row>
    <row r="78" customFormat="false" ht="13.8" hidden="false" customHeight="false" outlineLevel="0" collapsed="false">
      <c r="B78" s="113"/>
      <c r="C78" s="83"/>
      <c r="D78" s="31"/>
      <c r="E78" s="31"/>
      <c r="F78" s="31"/>
      <c r="G78" s="31"/>
      <c r="H78" s="73"/>
      <c r="I78" s="73"/>
      <c r="J78" s="73"/>
      <c r="K78" s="83"/>
      <c r="L78" s="118"/>
      <c r="M78" s="83"/>
      <c r="N78" s="83"/>
      <c r="O78" s="74"/>
    </row>
    <row r="79" customFormat="false" ht="13.8" hidden="false" customHeight="false" outlineLevel="0" collapsed="false">
      <c r="B79" s="113"/>
      <c r="C79" s="83"/>
      <c r="D79" s="31"/>
      <c r="E79" s="31"/>
      <c r="F79" s="31"/>
      <c r="G79" s="31"/>
      <c r="H79" s="31"/>
      <c r="I79" s="73"/>
      <c r="J79" s="73"/>
      <c r="K79" s="83"/>
      <c r="L79" s="118"/>
      <c r="M79" s="83"/>
      <c r="N79" s="83"/>
      <c r="O79" s="74"/>
    </row>
    <row r="80" customFormat="false" ht="13.8" hidden="false" customHeight="false" outlineLevel="0" collapsed="false">
      <c r="B80" s="113"/>
      <c r="C80" s="83"/>
      <c r="D80" s="31"/>
      <c r="G80" s="73"/>
      <c r="H80" s="73"/>
      <c r="I80" s="73"/>
      <c r="J80" s="73"/>
      <c r="K80" s="83"/>
      <c r="L80" s="118"/>
      <c r="M80" s="83"/>
      <c r="N80" s="83"/>
      <c r="O80" s="74"/>
    </row>
    <row r="81" customFormat="false" ht="13.8" hidden="false" customHeight="false" outlineLevel="0" collapsed="false">
      <c r="B81" s="113"/>
      <c r="C81" s="83"/>
      <c r="D81" s="31"/>
      <c r="E81" s="73"/>
      <c r="F81" s="73"/>
      <c r="G81" s="73"/>
      <c r="H81" s="73"/>
      <c r="I81" s="73"/>
      <c r="J81" s="73"/>
      <c r="K81" s="83"/>
      <c r="L81" s="118"/>
      <c r="M81" s="83"/>
      <c r="N81" s="83"/>
      <c r="O81" s="74"/>
    </row>
    <row r="82" customFormat="false" ht="13.8" hidden="false" customHeight="false" outlineLevel="0" collapsed="false">
      <c r="B82" s="113"/>
      <c r="C82" s="83"/>
      <c r="D82" s="31"/>
      <c r="E82" s="73"/>
      <c r="F82" s="73"/>
      <c r="G82" s="73"/>
      <c r="H82" s="73"/>
      <c r="I82" s="73"/>
      <c r="J82" s="151"/>
      <c r="K82" s="83"/>
      <c r="L82" s="118"/>
      <c r="M82" s="83"/>
      <c r="N82" s="83"/>
      <c r="O82" s="74"/>
    </row>
    <row r="83" customFormat="false" ht="13.8" hidden="false" customHeight="false" outlineLevel="0" collapsed="false">
      <c r="B83" s="113"/>
      <c r="C83" s="83"/>
      <c r="D83" s="31"/>
      <c r="E83" s="73"/>
      <c r="F83" s="73"/>
      <c r="G83" s="73"/>
      <c r="H83" s="73"/>
      <c r="I83" s="73"/>
      <c r="J83" s="151"/>
      <c r="K83" s="83"/>
      <c r="L83" s="118"/>
      <c r="M83" s="83"/>
      <c r="N83" s="83"/>
      <c r="O83" s="74"/>
    </row>
    <row r="84" customFormat="false" ht="13.8" hidden="false" customHeight="false" outlineLevel="0" collapsed="false">
      <c r="B84" s="113"/>
      <c r="C84" s="83"/>
      <c r="D84" s="31"/>
      <c r="J84" s="152"/>
      <c r="K84" s="83"/>
      <c r="L84" s="118"/>
      <c r="M84" s="83"/>
      <c r="N84" s="83"/>
      <c r="O84" s="74"/>
    </row>
    <row r="85" customFormat="false" ht="15" hidden="false" customHeight="false" outlineLevel="0" collapsed="false">
      <c r="B85" s="113"/>
      <c r="C85" s="83"/>
      <c r="D85" s="131"/>
      <c r="E85" s="73"/>
      <c r="G85" s="73"/>
      <c r="H85" s="73"/>
      <c r="I85" s="73"/>
      <c r="J85" s="152"/>
      <c r="K85" s="83"/>
      <c r="L85" s="118"/>
      <c r="M85" s="83"/>
      <c r="N85" s="83"/>
      <c r="O85" s="74"/>
    </row>
    <row r="86" customFormat="false" ht="13.8" hidden="false" customHeight="false" outlineLevel="0" collapsed="false">
      <c r="B86" s="113"/>
      <c r="C86" s="83"/>
      <c r="D86" s="144"/>
      <c r="E86" s="73"/>
      <c r="F86" s="73"/>
      <c r="G86" s="73"/>
      <c r="H86" s="73"/>
      <c r="I86" s="73"/>
      <c r="J86" s="152"/>
      <c r="K86" s="83"/>
      <c r="L86" s="118"/>
      <c r="M86" s="83"/>
      <c r="N86" s="83"/>
      <c r="O86" s="74"/>
    </row>
    <row r="87" customFormat="false" ht="13.8" hidden="false" customHeight="false" outlineLevel="0" collapsed="false">
      <c r="B87" s="113"/>
      <c r="C87" s="83"/>
      <c r="D87" s="144"/>
      <c r="E87" s="73"/>
      <c r="F87" s="73"/>
      <c r="G87" s="73"/>
      <c r="H87" s="73"/>
      <c r="I87" s="73"/>
      <c r="J87" s="152"/>
      <c r="K87" s="83"/>
      <c r="L87" s="118"/>
      <c r="M87" s="83"/>
      <c r="N87" s="83"/>
      <c r="O87" s="74"/>
    </row>
    <row r="88" customFormat="false" ht="13.8" hidden="false" customHeight="false" outlineLevel="0" collapsed="false">
      <c r="B88" s="113"/>
      <c r="C88" s="83"/>
      <c r="D88" s="107"/>
      <c r="E88" s="73"/>
      <c r="F88" s="73"/>
      <c r="G88" s="73"/>
      <c r="H88" s="73"/>
      <c r="I88" s="73"/>
      <c r="J88" s="152"/>
      <c r="K88" s="83"/>
      <c r="L88" s="118"/>
      <c r="M88" s="83"/>
      <c r="N88" s="83"/>
      <c r="O88" s="74"/>
    </row>
    <row r="89" customFormat="false" ht="13.8" hidden="false" customHeight="false" outlineLevel="0" collapsed="false">
      <c r="B89" s="113"/>
      <c r="C89" s="83"/>
      <c r="D89" s="144"/>
      <c r="E89" s="73"/>
      <c r="G89" s="73"/>
      <c r="H89" s="73"/>
      <c r="I89" s="73"/>
      <c r="J89" s="152"/>
      <c r="K89" s="83"/>
      <c r="L89" s="118"/>
      <c r="M89" s="83"/>
      <c r="N89" s="83"/>
      <c r="O89" s="74"/>
    </row>
    <row r="90" customFormat="false" ht="15" hidden="false" customHeight="false" outlineLevel="0" collapsed="false">
      <c r="B90" s="113"/>
      <c r="C90" s="83"/>
      <c r="D90" s="153"/>
      <c r="E90" s="73"/>
      <c r="G90" s="73"/>
      <c r="H90" s="73"/>
      <c r="I90" s="73"/>
      <c r="J90" s="152"/>
      <c r="K90" s="83"/>
      <c r="L90" s="118"/>
      <c r="M90" s="83"/>
      <c r="N90" s="83"/>
      <c r="O90" s="74"/>
    </row>
    <row r="91" customFormat="false" ht="15" hidden="false" customHeight="false" outlineLevel="0" collapsed="false">
      <c r="B91" s="113"/>
      <c r="C91" s="83"/>
      <c r="D91" s="153"/>
      <c r="H91" s="73"/>
      <c r="I91" s="73"/>
      <c r="J91" s="152"/>
      <c r="K91" s="83"/>
      <c r="L91" s="118"/>
      <c r="M91" s="83"/>
      <c r="N91" s="83"/>
      <c r="O91" s="74"/>
    </row>
    <row r="92" customFormat="false" ht="13.8" hidden="false" customHeight="false" outlineLevel="0" collapsed="false">
      <c r="B92" s="113"/>
      <c r="C92" s="83"/>
      <c r="D92" s="144"/>
      <c r="E92" s="73"/>
      <c r="G92" s="73"/>
      <c r="H92" s="73"/>
      <c r="I92" s="73"/>
      <c r="J92" s="152"/>
      <c r="K92" s="83"/>
      <c r="L92" s="118"/>
      <c r="M92" s="83"/>
      <c r="N92" s="83"/>
      <c r="O92" s="74"/>
    </row>
    <row r="93" customFormat="false" ht="13.8" hidden="false" customHeight="false" outlineLevel="0" collapsed="false">
      <c r="B93" s="113"/>
      <c r="C93" s="83"/>
      <c r="D93" s="144"/>
      <c r="E93" s="144"/>
      <c r="F93" s="144"/>
      <c r="G93" s="154"/>
      <c r="H93" s="73"/>
      <c r="I93" s="73"/>
      <c r="J93" s="152"/>
      <c r="K93" s="83"/>
      <c r="L93" s="118"/>
      <c r="M93" s="83"/>
      <c r="N93" s="83"/>
      <c r="O93" s="74"/>
    </row>
    <row r="94" customFormat="false" ht="13.8" hidden="false" customHeight="false" outlineLevel="0" collapsed="false">
      <c r="B94" s="113"/>
      <c r="C94" s="83"/>
      <c r="D94" s="31"/>
      <c r="E94" s="73"/>
      <c r="G94" s="73"/>
      <c r="H94" s="73"/>
      <c r="I94" s="73"/>
      <c r="J94" s="152"/>
      <c r="K94" s="83"/>
      <c r="L94" s="118"/>
      <c r="M94" s="83"/>
      <c r="N94" s="83"/>
      <c r="O94" s="74"/>
    </row>
    <row r="95" customFormat="false" ht="13.8" hidden="false" customHeight="false" outlineLevel="0" collapsed="false">
      <c r="B95" s="113"/>
      <c r="C95" s="83"/>
      <c r="D95" s="144"/>
      <c r="E95" s="73"/>
      <c r="G95" s="73"/>
      <c r="H95" s="73"/>
      <c r="I95" s="73"/>
      <c r="J95" s="152"/>
      <c r="K95" s="83"/>
      <c r="L95" s="118"/>
      <c r="M95" s="83"/>
      <c r="N95" s="83"/>
      <c r="O95" s="74"/>
    </row>
    <row r="96" customFormat="false" ht="13.8" hidden="false" customHeight="false" outlineLevel="0" collapsed="false">
      <c r="B96" s="113"/>
      <c r="C96" s="83"/>
      <c r="D96" s="146"/>
      <c r="E96" s="73"/>
      <c r="F96" s="73"/>
      <c r="G96" s="73"/>
      <c r="H96" s="73"/>
      <c r="I96" s="73"/>
      <c r="J96" s="152"/>
      <c r="K96" s="83"/>
      <c r="L96" s="118"/>
      <c r="M96" s="83"/>
      <c r="N96" s="83"/>
      <c r="O96" s="74"/>
    </row>
    <row r="97" customFormat="false" ht="15" hidden="false" customHeight="false" outlineLevel="0" collapsed="false">
      <c r="B97" s="113"/>
      <c r="C97" s="83"/>
      <c r="D97" s="148"/>
      <c r="G97" s="73"/>
      <c r="H97" s="73"/>
      <c r="I97" s="73"/>
      <c r="J97" s="152"/>
      <c r="K97" s="83"/>
      <c r="L97" s="118"/>
      <c r="M97" s="83"/>
      <c r="N97" s="83"/>
      <c r="O97" s="142"/>
    </row>
    <row r="98" customFormat="false" ht="15" hidden="false" customHeight="false" outlineLevel="0" collapsed="false">
      <c r="B98" s="113"/>
      <c r="C98" s="83"/>
      <c r="D98" s="148"/>
      <c r="F98" s="31"/>
      <c r="G98" s="73"/>
      <c r="H98" s="73"/>
      <c r="I98" s="73"/>
      <c r="J98" s="152"/>
      <c r="K98" s="83"/>
      <c r="L98" s="118"/>
      <c r="M98" s="83"/>
      <c r="N98" s="83"/>
      <c r="O98" s="74"/>
    </row>
    <row r="99" customFormat="false" ht="13.8" hidden="false" customHeight="false" outlineLevel="0" collapsed="false">
      <c r="B99" s="113"/>
      <c r="C99" s="83"/>
      <c r="D99" s="31"/>
      <c r="J99" s="152"/>
      <c r="K99" s="83"/>
      <c r="L99" s="118"/>
      <c r="M99" s="83"/>
      <c r="N99" s="83"/>
      <c r="O99" s="74"/>
    </row>
    <row r="100" customFormat="false" ht="13.8" hidden="false" customHeight="false" outlineLevel="0" collapsed="false">
      <c r="B100" s="113"/>
      <c r="C100" s="83"/>
      <c r="D100" s="31"/>
      <c r="J100" s="152"/>
      <c r="K100" s="83"/>
      <c r="L100" s="118"/>
      <c r="M100" s="83"/>
      <c r="N100" s="83"/>
      <c r="O100" s="74"/>
    </row>
    <row r="101" customFormat="false" ht="13.8" hidden="false" customHeight="false" outlineLevel="0" collapsed="false">
      <c r="B101" s="113"/>
      <c r="C101" s="83"/>
      <c r="D101" s="31"/>
      <c r="J101" s="152"/>
      <c r="K101" s="83"/>
      <c r="L101" s="118"/>
      <c r="M101" s="83"/>
      <c r="N101" s="83"/>
      <c r="O101" s="74"/>
    </row>
    <row r="102" customFormat="false" ht="13.8" hidden="false" customHeight="false" outlineLevel="0" collapsed="false">
      <c r="B102" s="113"/>
      <c r="C102" s="83"/>
      <c r="D102" s="31"/>
      <c r="J102" s="152"/>
      <c r="K102" s="83"/>
      <c r="L102" s="118"/>
      <c r="M102" s="83"/>
      <c r="N102" s="83"/>
      <c r="O102" s="74"/>
    </row>
    <row r="103" customFormat="false" ht="15" hidden="false" customHeight="false" outlineLevel="0" collapsed="false">
      <c r="B103" s="113"/>
      <c r="C103" s="83"/>
      <c r="D103" s="31"/>
      <c r="J103" s="152"/>
      <c r="K103" s="83"/>
      <c r="L103" s="118"/>
      <c r="M103" s="83"/>
      <c r="N103" s="83"/>
      <c r="O103" s="125"/>
    </row>
    <row r="104" customFormat="false" ht="13.8" hidden="false" customHeight="false" outlineLevel="0" collapsed="false">
      <c r="B104" s="113"/>
      <c r="C104" s="83"/>
      <c r="D104" s="31"/>
      <c r="J104" s="152"/>
      <c r="K104" s="83"/>
      <c r="L104" s="118"/>
      <c r="M104" s="83"/>
      <c r="N104" s="83"/>
      <c r="O104" s="126"/>
    </row>
    <row r="105" customFormat="false" ht="13.8" hidden="false" customHeight="false" outlineLevel="0" collapsed="false">
      <c r="B105" s="113"/>
      <c r="C105" s="83"/>
      <c r="D105" s="31"/>
      <c r="J105" s="152"/>
      <c r="K105" s="83"/>
      <c r="L105" s="81"/>
      <c r="M105" s="83"/>
      <c r="N105" s="83"/>
      <c r="O105" s="126"/>
    </row>
    <row r="106" customFormat="false" ht="13.8" hidden="false" customHeight="false" outlineLevel="0" collapsed="false">
      <c r="B106" s="113"/>
      <c r="C106" s="83"/>
      <c r="D106" s="31"/>
      <c r="J106" s="152"/>
      <c r="K106" s="83"/>
      <c r="L106" s="118"/>
      <c r="M106" s="83"/>
      <c r="N106" s="83"/>
      <c r="O106" s="126"/>
    </row>
    <row r="107" customFormat="false" ht="13.8" hidden="false" customHeight="false" outlineLevel="0" collapsed="false">
      <c r="B107" s="113"/>
      <c r="C107" s="83"/>
      <c r="D107" s="31"/>
      <c r="J107" s="152"/>
      <c r="K107" s="83"/>
      <c r="L107" s="118"/>
      <c r="M107" s="83"/>
      <c r="N107" s="83"/>
      <c r="O107" s="126"/>
    </row>
    <row r="108" customFormat="false" ht="15" hidden="false" customHeight="false" outlineLevel="0" collapsed="false">
      <c r="B108" s="113"/>
      <c r="C108" s="83"/>
      <c r="D108" s="31"/>
      <c r="J108" s="152"/>
      <c r="K108" s="137"/>
    </row>
    <row r="109" customFormat="false" ht="13.8" hidden="false" customHeight="false" outlineLevel="0" collapsed="false">
      <c r="B109" s="113"/>
      <c r="C109" s="83"/>
      <c r="D109" s="31"/>
      <c r="J109" s="152"/>
      <c r="K109" s="155"/>
    </row>
    <row r="110" customFormat="false" ht="15" hidden="false" customHeight="false" outlineLevel="0" collapsed="false">
      <c r="B110" s="113"/>
      <c r="C110" s="83"/>
      <c r="D110" s="31"/>
      <c r="J110" s="152"/>
      <c r="K110" s="136"/>
    </row>
    <row r="111" customFormat="false" ht="15" hidden="false" customHeight="false" outlineLevel="0" collapsed="false">
      <c r="B111" s="113"/>
      <c r="C111" s="83"/>
      <c r="D111" s="31"/>
      <c r="J111" s="152"/>
      <c r="K111" s="136"/>
    </row>
    <row r="112" customFormat="false" ht="15" hidden="false" customHeight="false" outlineLevel="0" collapsed="false">
      <c r="B112" s="113"/>
      <c r="C112" s="83"/>
      <c r="D112" s="31"/>
      <c r="J112" s="152"/>
      <c r="K112" s="136"/>
    </row>
    <row r="113" customFormat="false" ht="15" hidden="false" customHeight="false" outlineLevel="0" collapsed="false">
      <c r="B113" s="113"/>
      <c r="C113" s="83"/>
      <c r="D113" s="31"/>
      <c r="J113" s="152"/>
      <c r="K113" s="136"/>
    </row>
    <row r="114" customFormat="false" ht="13.8" hidden="false" customHeight="false" outlineLevel="0" collapsed="false">
      <c r="B114" s="113"/>
      <c r="C114" s="83"/>
      <c r="D114" s="31"/>
      <c r="J114" s="152"/>
      <c r="K114" s="155"/>
    </row>
    <row r="115" customFormat="false" ht="13.8" hidden="false" customHeight="false" outlineLevel="0" collapsed="false">
      <c r="B115" s="113"/>
      <c r="C115" s="83"/>
      <c r="D115" s="31"/>
      <c r="J115" s="152"/>
      <c r="K115" s="155"/>
    </row>
    <row r="116" customFormat="false" ht="13.8" hidden="false" customHeight="false" outlineLevel="0" collapsed="false">
      <c r="B116" s="113"/>
      <c r="C116" s="83"/>
      <c r="D116" s="31"/>
      <c r="J116" s="152"/>
      <c r="K116" s="155"/>
    </row>
    <row r="117" customFormat="false" ht="13.8" hidden="false" customHeight="false" outlineLevel="0" collapsed="false">
      <c r="B117" s="113"/>
      <c r="C117" s="83"/>
      <c r="D117" s="31"/>
      <c r="J117" s="152"/>
      <c r="K117" s="155"/>
    </row>
    <row r="118" customFormat="false" ht="13.8" hidden="false" customHeight="false" outlineLevel="0" collapsed="false">
      <c r="B118" s="113"/>
      <c r="C118" s="83"/>
      <c r="D118" s="31"/>
      <c r="J118" s="152"/>
      <c r="K118" s="155"/>
    </row>
    <row r="119" customFormat="false" ht="15" hidden="false" customHeight="false" outlineLevel="0" collapsed="false">
      <c r="B119" s="113"/>
      <c r="C119" s="83"/>
      <c r="D119" s="31"/>
      <c r="J119" s="152"/>
      <c r="K119" s="136"/>
    </row>
    <row r="120" customFormat="false" ht="15" hidden="false" customHeight="false" outlineLevel="0" collapsed="false">
      <c r="B120" s="113"/>
      <c r="C120" s="83"/>
      <c r="D120" s="31"/>
      <c r="J120" s="152"/>
      <c r="K120" s="136"/>
    </row>
    <row r="121" customFormat="false" ht="15" hidden="false" customHeight="false" outlineLevel="0" collapsed="false">
      <c r="B121" s="113"/>
      <c r="C121" s="83"/>
      <c r="D121" s="31"/>
      <c r="J121" s="152"/>
      <c r="K121" s="136"/>
    </row>
    <row r="122" customFormat="false" ht="15" hidden="false" customHeight="false" outlineLevel="0" collapsed="false">
      <c r="B122" s="113"/>
      <c r="C122" s="83"/>
      <c r="D122" s="31"/>
      <c r="J122" s="152"/>
      <c r="K122" s="136"/>
    </row>
    <row r="123" customFormat="false" ht="15" hidden="false" customHeight="false" outlineLevel="0" collapsed="false">
      <c r="B123" s="113"/>
      <c r="C123" s="83"/>
      <c r="D123" s="31"/>
      <c r="J123" s="151"/>
      <c r="K123" s="156"/>
    </row>
    <row r="124" customFormat="false" ht="15" hidden="false" customHeight="false" outlineLevel="0" collapsed="false">
      <c r="B124" s="113"/>
      <c r="C124" s="83"/>
      <c r="D124" s="31"/>
      <c r="J124" s="152"/>
      <c r="K124" s="136"/>
    </row>
    <row r="125" customFormat="false" ht="15" hidden="false" customHeight="false" outlineLevel="0" collapsed="false">
      <c r="B125" s="113"/>
      <c r="C125" s="83"/>
      <c r="D125" s="144"/>
      <c r="J125" s="152"/>
      <c r="K125" s="136"/>
    </row>
    <row r="126" customFormat="false" ht="13.8" hidden="false" customHeight="false" outlineLevel="0" collapsed="false">
      <c r="B126" s="113"/>
      <c r="C126" s="83"/>
      <c r="D126" s="154"/>
      <c r="J126" s="151"/>
      <c r="K126" s="157"/>
    </row>
    <row r="127" customFormat="false" ht="13.8" hidden="false" customHeight="false" outlineLevel="0" collapsed="false">
      <c r="B127" s="113"/>
      <c r="C127" s="83"/>
      <c r="D127" s="154"/>
      <c r="J127" s="151"/>
      <c r="K127" s="157"/>
    </row>
    <row r="128" customFormat="false" ht="13.8" hidden="false" customHeight="false" outlineLevel="0" collapsed="false">
      <c r="B128" s="113"/>
      <c r="C128" s="83"/>
      <c r="D128" s="154"/>
      <c r="J128" s="151"/>
      <c r="K128" s="157"/>
    </row>
    <row r="129" customFormat="false" ht="13.8" hidden="false" customHeight="false" outlineLevel="0" collapsed="false">
      <c r="B129" s="113"/>
      <c r="C129" s="83"/>
      <c r="D129" s="154"/>
      <c r="J129" s="151"/>
      <c r="K129" s="157"/>
    </row>
    <row r="130" customFormat="false" ht="13.8" hidden="false" customHeight="false" outlineLevel="0" collapsed="false">
      <c r="B130" s="113"/>
      <c r="C130" s="83"/>
      <c r="D130" s="154"/>
      <c r="J130" s="151"/>
      <c r="K130" s="157"/>
    </row>
    <row r="131" customFormat="false" ht="13.8" hidden="false" customHeight="false" outlineLevel="0" collapsed="false">
      <c r="B131" s="113"/>
      <c r="C131" s="83"/>
      <c r="D131" s="31"/>
      <c r="J131" s="151"/>
      <c r="K131" s="157"/>
    </row>
    <row r="132" customFormat="false" ht="15" hidden="false" customHeight="false" outlineLevel="0" collapsed="false">
      <c r="B132" s="113"/>
      <c r="C132" s="83"/>
      <c r="D132" s="144"/>
      <c r="J132" s="152"/>
      <c r="K132" s="156"/>
    </row>
    <row r="133" customFormat="false" ht="15" hidden="false" customHeight="false" outlineLevel="0" collapsed="false">
      <c r="B133" s="113"/>
      <c r="C133" s="83"/>
      <c r="D133" s="144"/>
      <c r="J133" s="152"/>
      <c r="K133" s="156"/>
    </row>
    <row r="134" customFormat="false" ht="15" hidden="false" customHeight="false" outlineLevel="0" collapsed="false">
      <c r="B134" s="113"/>
      <c r="C134" s="83"/>
      <c r="D134" s="154"/>
      <c r="J134" s="152"/>
      <c r="K134" s="156"/>
    </row>
    <row r="135" customFormat="false" ht="15" hidden="false" customHeight="false" outlineLevel="0" collapsed="false">
      <c r="B135" s="113"/>
      <c r="C135" s="83"/>
      <c r="D135" s="31"/>
      <c r="J135" s="152"/>
      <c r="K135" s="156"/>
    </row>
    <row r="136" customFormat="false" ht="13.8" hidden="false" customHeight="false" outlineLevel="0" collapsed="false">
      <c r="B136" s="113"/>
      <c r="C136" s="83"/>
      <c r="D136" s="31"/>
      <c r="J136" s="152"/>
      <c r="K136" s="155"/>
    </row>
    <row r="137" customFormat="false" ht="13.8" hidden="false" customHeight="false" outlineLevel="0" collapsed="false">
      <c r="B137" s="113"/>
      <c r="C137" s="83"/>
      <c r="D137" s="31"/>
      <c r="J137" s="152"/>
      <c r="K137" s="155"/>
    </row>
    <row r="138" customFormat="false" ht="13.8" hidden="false" customHeight="false" outlineLevel="0" collapsed="false">
      <c r="B138" s="98"/>
      <c r="C138" s="73"/>
      <c r="D138" s="31"/>
      <c r="J138" s="152"/>
      <c r="K138" s="158"/>
    </row>
    <row r="139" customFormat="false" ht="13.8" hidden="false" customHeight="false" outlineLevel="0" collapsed="false">
      <c r="J139" s="152"/>
      <c r="K139" s="155"/>
    </row>
    <row r="140" customFormat="false" ht="13.8" hidden="false" customHeight="false" outlineLevel="0" collapsed="false">
      <c r="J140" s="152"/>
      <c r="K140" s="155"/>
    </row>
    <row r="141" customFormat="false" ht="15" hidden="false" customHeight="false" outlineLevel="0" collapsed="false">
      <c r="J141" s="152"/>
      <c r="K141" s="136"/>
    </row>
    <row r="142" customFormat="false" ht="15" hidden="false" customHeight="false" outlineLevel="0" collapsed="false">
      <c r="J142" s="152"/>
      <c r="K142" s="156"/>
    </row>
    <row r="143" customFormat="false" ht="15" hidden="false" customHeight="false" outlineLevel="0" collapsed="false">
      <c r="J143" s="152"/>
      <c r="K143" s="156"/>
    </row>
    <row r="144" customFormat="false" ht="15" hidden="false" customHeight="false" outlineLevel="0" collapsed="false">
      <c r="J144" s="152"/>
      <c r="K144" s="156"/>
    </row>
    <row r="145" customFormat="false" ht="15" hidden="false" customHeight="false" outlineLevel="0" collapsed="false">
      <c r="J145" s="152"/>
      <c r="K145" s="156"/>
    </row>
    <row r="146" customFormat="false" ht="15" hidden="false" customHeight="false" outlineLevel="0" collapsed="false">
      <c r="J146" s="152"/>
      <c r="K146" s="156"/>
    </row>
    <row r="147" customFormat="false" ht="15" hidden="false" customHeight="false" outlineLevel="0" collapsed="false">
      <c r="J147" s="152"/>
      <c r="K147" s="156"/>
    </row>
    <row r="148" customFormat="false" ht="15" hidden="false" customHeight="false" outlineLevel="0" collapsed="false">
      <c r="J148" s="152"/>
      <c r="K148" s="156"/>
    </row>
    <row r="149" customFormat="false" ht="15" hidden="false" customHeight="false" outlineLevel="0" collapsed="false">
      <c r="J149" s="152"/>
      <c r="K149" s="156"/>
    </row>
    <row r="150" customFormat="false" ht="13.8" hidden="false" customHeight="false" outlineLevel="0" collapsed="false">
      <c r="J150" s="152"/>
      <c r="K150" s="159"/>
    </row>
    <row r="151" customFormat="false" ht="15" hidden="false" customHeight="false" outlineLevel="0" collapsed="false">
      <c r="J151" s="152"/>
      <c r="K151" s="156"/>
    </row>
    <row r="152" customFormat="false" ht="15" hidden="false" customHeight="false" outlineLevel="0" collapsed="false">
      <c r="J152" s="152"/>
      <c r="K152" s="156"/>
    </row>
  </sheetData>
  <autoFilter ref="A1:X15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16777</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2022-10-20T16:53:59Z</dcterms:created>
  <dc:creator/>
  <dc:description/>
  <dc:language>en-US</dc:language>
  <cp:lastModifiedBy>Jeffrey Szymanski</cp:lastModifiedBy>
  <dcterms:modified xsi:type="dcterms:W3CDTF">2026-01-16T10:18:01Z</dcterms:modified>
  <cp:revision>66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