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66925"/>
  <xr:revisionPtr revIDLastSave="2330" documentId="11_E60897F41BE170836B02CE998F75CCDC64E183C8" xr6:coauthVersionLast="47" xr6:coauthVersionMax="47" xr10:uidLastSave="{62F97CCC-C30A-43D7-AFD7-58AFB88BB63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Bioanalyzer cfDNA Concentr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1" i="2"/>
  <c r="AB12" i="2"/>
  <c r="AB13" i="2"/>
  <c r="AB14" i="2"/>
  <c r="AB15" i="2"/>
  <c r="AB16" i="2"/>
  <c r="AB17" i="2"/>
  <c r="AB18" i="2"/>
  <c r="AB20" i="2"/>
  <c r="AB21" i="2"/>
  <c r="AB22" i="2"/>
  <c r="AB23" i="2"/>
  <c r="AB24" i="2"/>
  <c r="AB25" i="2"/>
  <c r="AB26" i="2"/>
  <c r="AB27" i="2"/>
  <c r="AB29" i="2"/>
  <c r="AB30" i="2"/>
  <c r="AB31" i="2"/>
  <c r="AB32" i="2"/>
  <c r="AB33" i="2"/>
  <c r="AB34" i="2"/>
  <c r="AB35" i="2"/>
  <c r="AB36" i="2"/>
  <c r="CH229" i="2"/>
  <c r="CH230" i="2"/>
  <c r="CH231" i="2"/>
  <c r="CH232" i="2"/>
  <c r="CH233" i="2"/>
  <c r="CH234" i="2"/>
  <c r="CH235" i="2"/>
  <c r="CH236" i="2"/>
  <c r="CG230" i="2"/>
  <c r="CG231" i="2"/>
  <c r="CG232" i="2"/>
  <c r="CG233" i="2"/>
  <c r="CG234" i="2"/>
  <c r="CG235" i="2"/>
  <c r="CG236" i="2"/>
  <c r="CG229" i="2"/>
  <c r="CH221" i="2"/>
  <c r="CH222" i="2"/>
  <c r="CH223" i="2"/>
  <c r="CH224" i="2"/>
  <c r="CH225" i="2"/>
  <c r="CH226" i="2"/>
  <c r="CH227" i="2"/>
  <c r="CH228" i="2"/>
  <c r="CG222" i="2"/>
  <c r="CG223" i="2"/>
  <c r="CG224" i="2"/>
  <c r="CG225" i="2"/>
  <c r="CG226" i="2"/>
  <c r="CG227" i="2"/>
  <c r="CG228" i="2"/>
  <c r="CG221" i="2"/>
  <c r="CH213" i="2"/>
  <c r="CH214" i="2"/>
  <c r="CH215" i="2"/>
  <c r="CH216" i="2"/>
  <c r="CH217" i="2"/>
  <c r="CH218" i="2"/>
  <c r="CH219" i="2"/>
  <c r="CH220" i="2"/>
  <c r="CG214" i="2"/>
  <c r="CG215" i="2"/>
  <c r="CG216" i="2"/>
  <c r="CG217" i="2"/>
  <c r="CG218" i="2"/>
  <c r="CG219" i="2"/>
  <c r="CG220" i="2"/>
  <c r="CG213" i="2"/>
  <c r="CH212" i="2"/>
  <c r="CG212" i="2"/>
  <c r="CH204" i="2"/>
  <c r="CH207" i="2"/>
  <c r="CH208" i="2"/>
  <c r="CH209" i="2"/>
  <c r="CH211" i="2"/>
  <c r="CG207" i="2"/>
  <c r="CG208" i="2"/>
  <c r="CG209" i="2"/>
  <c r="CG211" i="2"/>
  <c r="CG204" i="2"/>
  <c r="CH198" i="2"/>
  <c r="CH200" i="2"/>
  <c r="CH201" i="2"/>
  <c r="CH202" i="2"/>
  <c r="CH203" i="2"/>
  <c r="CG198" i="2"/>
  <c r="CG200" i="2"/>
  <c r="CG201" i="2"/>
  <c r="CG202" i="2"/>
  <c r="CG203" i="2"/>
  <c r="CH188" i="2"/>
  <c r="CH189" i="2"/>
  <c r="CH190" i="2"/>
  <c r="CH191" i="2"/>
  <c r="CH192" i="2"/>
  <c r="CH193" i="2"/>
  <c r="CH194" i="2"/>
  <c r="CH195" i="2"/>
  <c r="CG189" i="2"/>
  <c r="CG190" i="2"/>
  <c r="CG191" i="2"/>
  <c r="CG192" i="2"/>
  <c r="CG193" i="2"/>
  <c r="CG194" i="2"/>
  <c r="CG195" i="2"/>
  <c r="CG188" i="2"/>
  <c r="CH180" i="2"/>
  <c r="CH181" i="2"/>
  <c r="CH182" i="2"/>
  <c r="CH183" i="2"/>
  <c r="CH184" i="2"/>
  <c r="CH185" i="2"/>
  <c r="CH186" i="2"/>
  <c r="CH187" i="2"/>
  <c r="CG181" i="2"/>
  <c r="CG182" i="2"/>
  <c r="CG183" i="2"/>
  <c r="CG184" i="2"/>
  <c r="CG185" i="2"/>
  <c r="CG186" i="2"/>
  <c r="CG187" i="2"/>
  <c r="CG180" i="2"/>
  <c r="CH172" i="2"/>
  <c r="CH173" i="2"/>
  <c r="CH174" i="2"/>
  <c r="CH175" i="2"/>
  <c r="CH176" i="2"/>
  <c r="CH177" i="2"/>
  <c r="CH178" i="2"/>
  <c r="CH179" i="2"/>
  <c r="CG173" i="2"/>
  <c r="CG174" i="2"/>
  <c r="CG175" i="2"/>
  <c r="CG176" i="2"/>
  <c r="CG177" i="2"/>
  <c r="CG178" i="2"/>
  <c r="CG179" i="2"/>
  <c r="CG172" i="2"/>
  <c r="CG166" i="2"/>
  <c r="CH166" i="2"/>
  <c r="CG168" i="2"/>
  <c r="CH168" i="2"/>
  <c r="CG169" i="2"/>
  <c r="CH169" i="2"/>
  <c r="CG170" i="2"/>
  <c r="CH170" i="2"/>
  <c r="CH171" i="2"/>
  <c r="CG171" i="2"/>
  <c r="CH156" i="2"/>
  <c r="CH157" i="2"/>
  <c r="CH158" i="2"/>
  <c r="CH159" i="2"/>
  <c r="CH160" i="2"/>
  <c r="CH161" i="2"/>
  <c r="CH162" i="2"/>
  <c r="CH163" i="2"/>
  <c r="CG157" i="2"/>
  <c r="CG158" i="2"/>
  <c r="CG159" i="2"/>
  <c r="CG160" i="2"/>
  <c r="CG161" i="2"/>
  <c r="CG162" i="2"/>
  <c r="CG163" i="2"/>
  <c r="CG156" i="2"/>
  <c r="CH148" i="2"/>
  <c r="CH149" i="2"/>
  <c r="CH150" i="2"/>
  <c r="CH151" i="2"/>
  <c r="CH152" i="2"/>
  <c r="CH153" i="2"/>
  <c r="CH154" i="2"/>
  <c r="CH155" i="2"/>
  <c r="CG149" i="2"/>
  <c r="CG150" i="2"/>
  <c r="CG151" i="2"/>
  <c r="CG152" i="2"/>
  <c r="CG153" i="2"/>
  <c r="CG154" i="2"/>
  <c r="CG155" i="2"/>
  <c r="CG148" i="2"/>
  <c r="CH140" i="2"/>
  <c r="CH141" i="2"/>
  <c r="CH142" i="2"/>
  <c r="CH143" i="2"/>
  <c r="CH144" i="2"/>
  <c r="CH145" i="2"/>
  <c r="CH146" i="2"/>
  <c r="CH147" i="2"/>
  <c r="CG141" i="2"/>
  <c r="CG142" i="2"/>
  <c r="CG143" i="2"/>
  <c r="CG144" i="2"/>
  <c r="CG145" i="2"/>
  <c r="CG146" i="2"/>
  <c r="CG147" i="2"/>
  <c r="CG140" i="2"/>
  <c r="CG133" i="2"/>
  <c r="CH133" i="2"/>
  <c r="CG134" i="2"/>
  <c r="CH134" i="2"/>
  <c r="CG135" i="2"/>
  <c r="CH135" i="2"/>
  <c r="CG136" i="2"/>
  <c r="CH136" i="2"/>
  <c r="CG137" i="2"/>
  <c r="CH137" i="2"/>
  <c r="CG138" i="2"/>
  <c r="CH138" i="2"/>
  <c r="CH139" i="2"/>
  <c r="CG139" i="2"/>
  <c r="CH123" i="2"/>
  <c r="CH124" i="2"/>
  <c r="CH125" i="2"/>
  <c r="CH126" i="2"/>
  <c r="CH127" i="2"/>
  <c r="CH128" i="2"/>
  <c r="CH129" i="2"/>
  <c r="CH130" i="2"/>
  <c r="CG124" i="2"/>
  <c r="CG125" i="2"/>
  <c r="CG126" i="2"/>
  <c r="CG127" i="2"/>
  <c r="CG128" i="2"/>
  <c r="CG129" i="2"/>
  <c r="CG130" i="2"/>
  <c r="CG123" i="2"/>
  <c r="CG116" i="2"/>
  <c r="CH116" i="2"/>
  <c r="CG117" i="2"/>
  <c r="CH117" i="2"/>
  <c r="CG118" i="2"/>
  <c r="CH118" i="2"/>
  <c r="CG119" i="2"/>
  <c r="CH119" i="2"/>
  <c r="CG120" i="2"/>
  <c r="CH120" i="2"/>
  <c r="CG121" i="2"/>
  <c r="CH121" i="2"/>
  <c r="CG122" i="2"/>
  <c r="CH122" i="2"/>
  <c r="CH115" i="2"/>
  <c r="CG115" i="2"/>
  <c r="CH107" i="2"/>
  <c r="CH108" i="2"/>
  <c r="CH109" i="2"/>
  <c r="CH110" i="2"/>
  <c r="CH111" i="2"/>
  <c r="CH112" i="2"/>
  <c r="CH113" i="2"/>
  <c r="CH114" i="2"/>
  <c r="CG108" i="2"/>
  <c r="CG109" i="2"/>
  <c r="CG110" i="2"/>
  <c r="CG111" i="2"/>
  <c r="CG112" i="2"/>
  <c r="CG113" i="2"/>
  <c r="CG114" i="2"/>
  <c r="CG107" i="2"/>
  <c r="CG99" i="2"/>
  <c r="CH99" i="2"/>
  <c r="CG100" i="2"/>
  <c r="CH100" i="2"/>
  <c r="CG101" i="2"/>
  <c r="CH101" i="2"/>
  <c r="CG102" i="2"/>
  <c r="CH102" i="2"/>
  <c r="CG103" i="2"/>
  <c r="CH103" i="2"/>
  <c r="CG104" i="2"/>
  <c r="CH104" i="2"/>
  <c r="CG105" i="2"/>
  <c r="CH105" i="2"/>
  <c r="CH106" i="2"/>
  <c r="CG106" i="2"/>
  <c r="CH98" i="2"/>
  <c r="CH97" i="2"/>
  <c r="CG98" i="2"/>
  <c r="CH91" i="2"/>
  <c r="CH92" i="2"/>
  <c r="CH93" i="2"/>
  <c r="CH94" i="2"/>
  <c r="CH95" i="2"/>
  <c r="CH96" i="2"/>
  <c r="CG92" i="2"/>
  <c r="CG93" i="2"/>
  <c r="CG94" i="2"/>
  <c r="CG95" i="2"/>
  <c r="CG96" i="2"/>
  <c r="CG97" i="2"/>
  <c r="CG91" i="2"/>
  <c r="CH84" i="2"/>
  <c r="CH86" i="2"/>
  <c r="CH88" i="2"/>
  <c r="CH89" i="2"/>
  <c r="CH90" i="2"/>
  <c r="CH83" i="2"/>
  <c r="CG84" i="2"/>
  <c r="CG86" i="2"/>
  <c r="CG88" i="2"/>
  <c r="CG89" i="2"/>
  <c r="CG90" i="2"/>
  <c r="CG83" i="2"/>
  <c r="CH78" i="2"/>
  <c r="CH79" i="2"/>
  <c r="CH80" i="2"/>
  <c r="CH82" i="2"/>
  <c r="CH75" i="2"/>
  <c r="CG78" i="2"/>
  <c r="CG79" i="2"/>
  <c r="CG80" i="2"/>
  <c r="CG82" i="2"/>
  <c r="CG75" i="2"/>
  <c r="CH71" i="2"/>
  <c r="CH69" i="2"/>
  <c r="CH73" i="2"/>
  <c r="CH74" i="2"/>
  <c r="CG69" i="2"/>
  <c r="CG71" i="2"/>
  <c r="CG73" i="2"/>
  <c r="CG74" i="2"/>
  <c r="CH60" i="2"/>
  <c r="CH61" i="2"/>
  <c r="CH62" i="2"/>
  <c r="CH63" i="2"/>
  <c r="CH64" i="2"/>
  <c r="CH65" i="2"/>
  <c r="CH66" i="2"/>
  <c r="CH59" i="2"/>
  <c r="CG60" i="2"/>
  <c r="CG61" i="2"/>
  <c r="CG62" i="2"/>
  <c r="CG63" i="2"/>
  <c r="CG64" i="2"/>
  <c r="CG65" i="2"/>
  <c r="CG66" i="2"/>
  <c r="CG59" i="2"/>
  <c r="CH52" i="2"/>
  <c r="CH53" i="2"/>
  <c r="CH54" i="2"/>
  <c r="CH55" i="2"/>
  <c r="CH56" i="2"/>
  <c r="CH57" i="2"/>
  <c r="CH58" i="2"/>
  <c r="CH51" i="2"/>
  <c r="CG52" i="2"/>
  <c r="CG53" i="2"/>
  <c r="CG54" i="2"/>
  <c r="CG55" i="2"/>
  <c r="CG56" i="2"/>
  <c r="CG57" i="2"/>
  <c r="CG58" i="2"/>
  <c r="CG51" i="2"/>
  <c r="CH44" i="2"/>
  <c r="CH45" i="2"/>
  <c r="CH46" i="2"/>
  <c r="CH47" i="2"/>
  <c r="CH48" i="2"/>
  <c r="CH49" i="2"/>
  <c r="CH50" i="2"/>
  <c r="CH43" i="2"/>
  <c r="CG44" i="2"/>
  <c r="CG45" i="2"/>
  <c r="CG46" i="2"/>
  <c r="CG47" i="2"/>
  <c r="CG48" i="2"/>
  <c r="CG49" i="2"/>
  <c r="CG50" i="2"/>
  <c r="CG43" i="2"/>
  <c r="CH39" i="2"/>
  <c r="CH40" i="2"/>
  <c r="CH41" i="2"/>
  <c r="CH42" i="2"/>
  <c r="CH37" i="2"/>
  <c r="CG42" i="2"/>
  <c r="CG39" i="2"/>
  <c r="CG40" i="2"/>
  <c r="CG41" i="2"/>
  <c r="CG37" i="2"/>
  <c r="CH30" i="2"/>
  <c r="CH31" i="2"/>
  <c r="CH32" i="2"/>
  <c r="CH33" i="2"/>
  <c r="CH34" i="2"/>
  <c r="CH35" i="2"/>
  <c r="CH36" i="2"/>
  <c r="CH29" i="2"/>
  <c r="CH22" i="2"/>
  <c r="CH23" i="2"/>
  <c r="CH24" i="2"/>
  <c r="CH25" i="2"/>
  <c r="CH26" i="2"/>
  <c r="CH27" i="2"/>
  <c r="CH28" i="2"/>
  <c r="CH21" i="2"/>
  <c r="CH20" i="2"/>
  <c r="CH14" i="2"/>
  <c r="CH15" i="2"/>
  <c r="CH16" i="2"/>
  <c r="CH17" i="2"/>
  <c r="CH18" i="2"/>
  <c r="CH19" i="2"/>
  <c r="CH13" i="2"/>
  <c r="CH6" i="2"/>
  <c r="CH7" i="2"/>
  <c r="CH8" i="2"/>
  <c r="CH9" i="2"/>
  <c r="CH10" i="2"/>
  <c r="CH11" i="2"/>
  <c r="CH12" i="2"/>
  <c r="CH5" i="2"/>
  <c r="BN14" i="2"/>
  <c r="CG13" i="2" s="1"/>
  <c r="AB41" i="2"/>
  <c r="AD41" i="2"/>
  <c r="AE41" i="2"/>
  <c r="AH41" i="2"/>
  <c r="AB42" i="2"/>
  <c r="AD42" i="2"/>
  <c r="AE42" i="2"/>
  <c r="AH42" i="2"/>
  <c r="AC40" i="2"/>
  <c r="AD40" i="2"/>
  <c r="AE40" i="2"/>
  <c r="AH40" i="2"/>
  <c r="AB40" i="2"/>
  <c r="AC29" i="2"/>
  <c r="AD29" i="2"/>
  <c r="AE29" i="2"/>
  <c r="AF29" i="2"/>
  <c r="AG29" i="2"/>
  <c r="AH29" i="2"/>
  <c r="AI29" i="2"/>
  <c r="AC30" i="2"/>
  <c r="AD30" i="2"/>
  <c r="AE30" i="2"/>
  <c r="AF30" i="2"/>
  <c r="AG30" i="2"/>
  <c r="AH30" i="2"/>
  <c r="AI30" i="2"/>
  <c r="AC31" i="2"/>
  <c r="AD31" i="2"/>
  <c r="AE31" i="2"/>
  <c r="AF31" i="2"/>
  <c r="AG31" i="2"/>
  <c r="AH31" i="2"/>
  <c r="AI31" i="2"/>
  <c r="AC32" i="2"/>
  <c r="AD32" i="2"/>
  <c r="AE32" i="2"/>
  <c r="AF32" i="2"/>
  <c r="AG32" i="2"/>
  <c r="AH32" i="2"/>
  <c r="AI32" i="2"/>
  <c r="AC33" i="2"/>
  <c r="AD33" i="2"/>
  <c r="AE33" i="2"/>
  <c r="AF33" i="2"/>
  <c r="AG33" i="2"/>
  <c r="AH33" i="2"/>
  <c r="AI33" i="2"/>
  <c r="AC34" i="2"/>
  <c r="AD34" i="2"/>
  <c r="AE34" i="2"/>
  <c r="AF34" i="2"/>
  <c r="AG34" i="2"/>
  <c r="AH34" i="2"/>
  <c r="AI34" i="2"/>
  <c r="AC35" i="2"/>
  <c r="AD35" i="2"/>
  <c r="AE35" i="2"/>
  <c r="AF35" i="2"/>
  <c r="AG35" i="2"/>
  <c r="AH35" i="2"/>
  <c r="AI35" i="2"/>
  <c r="AC36" i="2"/>
  <c r="AD36" i="2"/>
  <c r="AE36" i="2"/>
  <c r="AF36" i="2"/>
  <c r="AG36" i="2"/>
  <c r="AH36" i="2"/>
  <c r="AI36" i="2"/>
  <c r="AC20" i="2"/>
  <c r="AD20" i="2"/>
  <c r="AE20" i="2"/>
  <c r="AF20" i="2"/>
  <c r="AG20" i="2"/>
  <c r="AH20" i="2"/>
  <c r="AC21" i="2"/>
  <c r="AD21" i="2"/>
  <c r="AE21" i="2"/>
  <c r="AF21" i="2"/>
  <c r="AG21" i="2"/>
  <c r="AH21" i="2"/>
  <c r="AC22" i="2"/>
  <c r="AE22" i="2"/>
  <c r="AF22" i="2"/>
  <c r="AG22" i="2"/>
  <c r="AH22" i="2"/>
  <c r="AC23" i="2"/>
  <c r="AD23" i="2"/>
  <c r="AE23" i="2"/>
  <c r="AF23" i="2"/>
  <c r="AG23" i="2"/>
  <c r="AH23" i="2"/>
  <c r="AC24" i="2"/>
  <c r="AE24" i="2"/>
  <c r="AF24" i="2"/>
  <c r="AG24" i="2"/>
  <c r="AH24" i="2"/>
  <c r="AC25" i="2"/>
  <c r="AD25" i="2"/>
  <c r="AE25" i="2"/>
  <c r="AF25" i="2"/>
  <c r="AG25" i="2"/>
  <c r="AH25" i="2"/>
  <c r="AC26" i="2"/>
  <c r="AD26" i="2"/>
  <c r="AE26" i="2"/>
  <c r="AF26" i="2"/>
  <c r="AG26" i="2"/>
  <c r="AH26" i="2"/>
  <c r="AC27" i="2"/>
  <c r="AD27" i="2"/>
  <c r="AE27" i="2"/>
  <c r="AF27" i="2"/>
  <c r="AG27" i="2"/>
  <c r="AH27" i="2"/>
  <c r="AC11" i="2"/>
  <c r="AD11" i="2"/>
  <c r="AE11" i="2"/>
  <c r="AF11" i="2"/>
  <c r="AG11" i="2"/>
  <c r="AH11" i="2"/>
  <c r="AC12" i="2"/>
  <c r="AE12" i="2"/>
  <c r="AF12" i="2"/>
  <c r="AG12" i="2"/>
  <c r="AC13" i="2"/>
  <c r="AE13" i="2"/>
  <c r="AF13" i="2"/>
  <c r="AG13" i="2"/>
  <c r="AC14" i="2"/>
  <c r="AD14" i="2"/>
  <c r="AE14" i="2"/>
  <c r="AF14" i="2"/>
  <c r="AG14" i="2"/>
  <c r="AH14" i="2"/>
  <c r="AC15" i="2"/>
  <c r="AD15" i="2"/>
  <c r="AE15" i="2"/>
  <c r="AF15" i="2"/>
  <c r="AG15" i="2"/>
  <c r="AH15" i="2"/>
  <c r="AC16" i="2"/>
  <c r="AD16" i="2"/>
  <c r="AE16" i="2"/>
  <c r="AF16" i="2"/>
  <c r="AG16" i="2"/>
  <c r="AH16" i="2"/>
  <c r="AC17" i="2"/>
  <c r="AE17" i="2"/>
  <c r="AF17" i="2"/>
  <c r="AG17" i="2"/>
  <c r="AC18" i="2"/>
  <c r="AD18" i="2"/>
  <c r="AE18" i="2"/>
  <c r="AF18" i="2"/>
  <c r="AG18" i="2"/>
  <c r="AH18" i="2"/>
  <c r="AE2" i="2"/>
  <c r="AE3" i="2"/>
  <c r="AC4" i="2"/>
  <c r="AD4" i="2"/>
  <c r="AE4" i="2"/>
  <c r="AF4" i="2"/>
  <c r="AG4" i="2"/>
  <c r="AH4" i="2"/>
  <c r="AE5" i="2"/>
  <c r="AF5" i="2"/>
  <c r="AC6" i="2"/>
  <c r="AD6" i="2"/>
  <c r="AE6" i="2"/>
  <c r="AF6" i="2"/>
  <c r="AG6" i="2"/>
  <c r="AH6" i="2"/>
  <c r="AC7" i="2"/>
  <c r="AE7" i="2"/>
  <c r="AF7" i="2"/>
  <c r="AG7" i="2"/>
  <c r="AH7" i="2"/>
  <c r="AC8" i="2"/>
  <c r="AD8" i="2"/>
  <c r="AE8" i="2"/>
  <c r="AF8" i="2"/>
  <c r="AG8" i="2"/>
  <c r="AH8" i="2"/>
  <c r="AC9" i="2"/>
  <c r="AD9" i="2"/>
  <c r="AE9" i="2"/>
  <c r="AF9" i="2"/>
  <c r="AG9" i="2"/>
  <c r="AH9" i="2"/>
  <c r="AB38" i="2"/>
  <c r="BO56" i="2"/>
  <c r="CC33" i="2"/>
  <c r="CC34" i="2"/>
  <c r="CC35" i="2"/>
  <c r="CC36" i="2"/>
  <c r="CC37" i="2"/>
  <c r="CC38" i="2"/>
  <c r="CC39" i="2"/>
  <c r="CC32" i="2"/>
  <c r="CC40" i="2"/>
  <c r="BO51" i="2" s="1"/>
  <c r="CA7" i="2"/>
  <c r="CA9" i="2"/>
  <c r="CA10" i="2"/>
  <c r="CA11" i="2"/>
  <c r="CA12" i="2"/>
  <c r="CA14" i="2"/>
  <c r="CA17" i="2"/>
  <c r="CA18" i="2"/>
  <c r="CA19" i="2"/>
  <c r="CA21" i="2"/>
  <c r="CA23" i="2"/>
  <c r="CA24" i="2"/>
  <c r="CA25" i="2"/>
  <c r="CA26" i="2"/>
  <c r="CA27" i="2"/>
  <c r="CA28" i="2"/>
  <c r="CA29" i="2"/>
  <c r="CA30" i="2"/>
  <c r="CA32" i="2"/>
  <c r="CA33" i="2"/>
  <c r="CA34" i="2"/>
  <c r="CA35" i="2"/>
  <c r="CA36" i="2"/>
  <c r="CA37" i="2"/>
  <c r="CA38" i="2"/>
  <c r="CA39" i="2"/>
  <c r="BY7" i="2"/>
  <c r="BY9" i="2"/>
  <c r="BY10" i="2"/>
  <c r="BY11" i="2"/>
  <c r="BY12" i="2"/>
  <c r="BY14" i="2"/>
  <c r="BY15" i="2"/>
  <c r="BY16" i="2"/>
  <c r="BY17" i="2"/>
  <c r="BY18" i="2"/>
  <c r="BY19" i="2"/>
  <c r="BY20" i="2"/>
  <c r="BY21" i="2"/>
  <c r="BY23" i="2"/>
  <c r="BY24" i="2"/>
  <c r="BY25" i="2"/>
  <c r="BY26" i="2"/>
  <c r="BY27" i="2"/>
  <c r="BY28" i="2"/>
  <c r="BY29" i="2"/>
  <c r="BY30" i="2"/>
  <c r="BY32" i="2"/>
  <c r="BY33" i="2"/>
  <c r="BY34" i="2"/>
  <c r="BY35" i="2"/>
  <c r="BY36" i="2"/>
  <c r="BY37" i="2"/>
  <c r="BY38" i="2"/>
  <c r="BY39" i="2"/>
  <c r="BW7" i="2"/>
  <c r="BW8" i="2"/>
  <c r="BW9" i="2"/>
  <c r="BW10" i="2"/>
  <c r="BW11" i="2"/>
  <c r="BW12" i="2"/>
  <c r="BW14" i="2"/>
  <c r="BW15" i="2"/>
  <c r="BW16" i="2"/>
  <c r="BW17" i="2"/>
  <c r="BW18" i="2"/>
  <c r="BW19" i="2"/>
  <c r="BW20" i="2"/>
  <c r="BW21" i="2"/>
  <c r="BW23" i="2"/>
  <c r="BW24" i="2"/>
  <c r="BW25" i="2"/>
  <c r="BW26" i="2"/>
  <c r="BW27" i="2"/>
  <c r="BW28" i="2"/>
  <c r="BW29" i="2"/>
  <c r="BW30" i="2"/>
  <c r="BW32" i="2"/>
  <c r="BW33" i="2"/>
  <c r="BW34" i="2"/>
  <c r="BW35" i="2"/>
  <c r="BW36" i="2"/>
  <c r="BW37" i="2"/>
  <c r="BW38" i="2"/>
  <c r="BW39" i="2"/>
  <c r="BW13" i="2"/>
  <c r="CA48" i="2" s="1"/>
  <c r="BU6" i="2"/>
  <c r="BU7" i="2"/>
  <c r="BU8" i="2"/>
  <c r="BU9" i="2"/>
  <c r="BU10" i="2"/>
  <c r="BU11" i="2"/>
  <c r="BU12" i="2"/>
  <c r="BU14" i="2"/>
  <c r="BU15" i="2"/>
  <c r="BU16" i="2"/>
  <c r="BU17" i="2"/>
  <c r="BU18" i="2"/>
  <c r="BU19" i="2"/>
  <c r="BU20" i="2"/>
  <c r="BU21" i="2"/>
  <c r="BU23" i="2"/>
  <c r="BU24" i="2"/>
  <c r="BU25" i="2"/>
  <c r="BU26" i="2"/>
  <c r="BU27" i="2"/>
  <c r="BU28" i="2"/>
  <c r="BU29" i="2"/>
  <c r="BU30" i="2"/>
  <c r="BU32" i="2"/>
  <c r="BU33" i="2"/>
  <c r="BU34" i="2"/>
  <c r="BU35" i="2"/>
  <c r="BU36" i="2"/>
  <c r="BU37" i="2"/>
  <c r="BU38" i="2"/>
  <c r="BU39" i="2"/>
  <c r="BU5" i="2"/>
  <c r="BU13" i="2" s="1"/>
  <c r="CA47" i="2" s="1"/>
  <c r="BS7" i="2"/>
  <c r="BS9" i="2"/>
  <c r="BS11" i="2"/>
  <c r="BS12" i="2"/>
  <c r="BS14" i="2"/>
  <c r="BS17" i="2"/>
  <c r="BS18" i="2"/>
  <c r="BS19" i="2"/>
  <c r="BS21" i="2"/>
  <c r="BS23" i="2"/>
  <c r="BS24" i="2"/>
  <c r="BS26" i="2"/>
  <c r="BS28" i="2"/>
  <c r="BS29" i="2"/>
  <c r="BS30" i="2"/>
  <c r="BS32" i="2"/>
  <c r="BS33" i="2"/>
  <c r="BS34" i="2"/>
  <c r="BS35" i="2"/>
  <c r="BS36" i="2"/>
  <c r="BS37" i="2"/>
  <c r="BS38" i="2"/>
  <c r="BS39" i="2"/>
  <c r="BQ7" i="2"/>
  <c r="BQ9" i="2"/>
  <c r="BQ10" i="2"/>
  <c r="BQ11" i="2"/>
  <c r="BQ12" i="2"/>
  <c r="BQ14" i="2"/>
  <c r="BQ15" i="2"/>
  <c r="BQ16" i="2"/>
  <c r="BQ17" i="2"/>
  <c r="BQ18" i="2"/>
  <c r="BQ19" i="2"/>
  <c r="BQ20" i="2"/>
  <c r="BQ21" i="2"/>
  <c r="BQ23" i="2"/>
  <c r="BQ24" i="2"/>
  <c r="BQ25" i="2"/>
  <c r="BQ26" i="2"/>
  <c r="BQ27" i="2"/>
  <c r="BQ28" i="2"/>
  <c r="BQ29" i="2"/>
  <c r="BQ30" i="2"/>
  <c r="BQ32" i="2"/>
  <c r="BQ33" i="2"/>
  <c r="BQ34" i="2"/>
  <c r="BQ35" i="2"/>
  <c r="BQ36" i="2"/>
  <c r="BQ37" i="2"/>
  <c r="BQ38" i="2"/>
  <c r="BQ39" i="2"/>
  <c r="BO6" i="2"/>
  <c r="BO7" i="2"/>
  <c r="BO8" i="2"/>
  <c r="BO9" i="2"/>
  <c r="BO10" i="2"/>
  <c r="BO11" i="2"/>
  <c r="BO12" i="2"/>
  <c r="BO14" i="2"/>
  <c r="BO15" i="2"/>
  <c r="BO16" i="2"/>
  <c r="BO17" i="2"/>
  <c r="BO18" i="2"/>
  <c r="BO19" i="2"/>
  <c r="BO20" i="2"/>
  <c r="BO21" i="2"/>
  <c r="BO23" i="2"/>
  <c r="BO24" i="2"/>
  <c r="BO25" i="2"/>
  <c r="BO26" i="2"/>
  <c r="BO27" i="2"/>
  <c r="BO28" i="2"/>
  <c r="BO29" i="2"/>
  <c r="BO30" i="2"/>
  <c r="BO32" i="2"/>
  <c r="BO33" i="2"/>
  <c r="BO34" i="2"/>
  <c r="BO35" i="2"/>
  <c r="BO36" i="2"/>
  <c r="BO37" i="2"/>
  <c r="BO38" i="2"/>
  <c r="BO39" i="2"/>
  <c r="BO5" i="2"/>
  <c r="BO13" i="2" s="1"/>
  <c r="CA44" i="2" s="1"/>
  <c r="BN6" i="2"/>
  <c r="CG6" i="2" s="1"/>
  <c r="BT6" i="2"/>
  <c r="BN7" i="2"/>
  <c r="CG7" i="2" s="1"/>
  <c r="BP7" i="2"/>
  <c r="BR7" i="2"/>
  <c r="BT7" i="2"/>
  <c r="BV7" i="2"/>
  <c r="BX7" i="2"/>
  <c r="BZ7" i="2"/>
  <c r="BN8" i="2"/>
  <c r="CG8" i="2" s="1"/>
  <c r="BT8" i="2"/>
  <c r="BV8" i="2"/>
  <c r="BN9" i="2"/>
  <c r="CG9" i="2" s="1"/>
  <c r="BP9" i="2"/>
  <c r="BR9" i="2"/>
  <c r="BT9" i="2"/>
  <c r="BV9" i="2"/>
  <c r="BX9" i="2"/>
  <c r="BZ9" i="2"/>
  <c r="BN10" i="2"/>
  <c r="CG10" i="2" s="1"/>
  <c r="BP10" i="2"/>
  <c r="BT10" i="2"/>
  <c r="BV10" i="2"/>
  <c r="BX10" i="2"/>
  <c r="BZ10" i="2"/>
  <c r="BN11" i="2"/>
  <c r="CG11" i="2" s="1"/>
  <c r="BP11" i="2"/>
  <c r="BR11" i="2"/>
  <c r="BT11" i="2"/>
  <c r="BV11" i="2"/>
  <c r="BX11" i="2"/>
  <c r="BZ11" i="2"/>
  <c r="BN12" i="2"/>
  <c r="CG12" i="2" s="1"/>
  <c r="BP12" i="2"/>
  <c r="BR12" i="2"/>
  <c r="BT12" i="2"/>
  <c r="BV12" i="2"/>
  <c r="BX12" i="2"/>
  <c r="BZ12" i="2"/>
  <c r="BP14" i="2"/>
  <c r="BR14" i="2"/>
  <c r="BT14" i="2"/>
  <c r="BV14" i="2"/>
  <c r="BX14" i="2"/>
  <c r="BZ14" i="2"/>
  <c r="BN15" i="2"/>
  <c r="CG14" i="2" s="1"/>
  <c r="BP15" i="2"/>
  <c r="BT15" i="2"/>
  <c r="BV15" i="2"/>
  <c r="BX15" i="2"/>
  <c r="BN16" i="2"/>
  <c r="CG15" i="2" s="1"/>
  <c r="BP16" i="2"/>
  <c r="BT16" i="2"/>
  <c r="BV16" i="2"/>
  <c r="BX16" i="2"/>
  <c r="BN17" i="2"/>
  <c r="CG16" i="2" s="1"/>
  <c r="BP17" i="2"/>
  <c r="BR17" i="2"/>
  <c r="BT17" i="2"/>
  <c r="BV17" i="2"/>
  <c r="BX17" i="2"/>
  <c r="BZ17" i="2"/>
  <c r="BN18" i="2"/>
  <c r="CG17" i="2" s="1"/>
  <c r="BP18" i="2"/>
  <c r="BR18" i="2"/>
  <c r="BT18" i="2"/>
  <c r="BV18" i="2"/>
  <c r="BX18" i="2"/>
  <c r="BZ18" i="2"/>
  <c r="BN19" i="2"/>
  <c r="CG18" i="2" s="1"/>
  <c r="BP19" i="2"/>
  <c r="BR19" i="2"/>
  <c r="BT19" i="2"/>
  <c r="BV19" i="2"/>
  <c r="BX19" i="2"/>
  <c r="BZ19" i="2"/>
  <c r="BN20" i="2"/>
  <c r="CG19" i="2" s="1"/>
  <c r="BP20" i="2"/>
  <c r="BT20" i="2"/>
  <c r="BV20" i="2"/>
  <c r="BX20" i="2"/>
  <c r="BN21" i="2"/>
  <c r="CG20" i="2" s="1"/>
  <c r="BP21" i="2"/>
  <c r="BR21" i="2"/>
  <c r="BT21" i="2"/>
  <c r="BV21" i="2"/>
  <c r="BX21" i="2"/>
  <c r="BZ21" i="2"/>
  <c r="BN23" i="2"/>
  <c r="CG21" i="2" s="1"/>
  <c r="BP23" i="2"/>
  <c r="BR23" i="2"/>
  <c r="BT23" i="2"/>
  <c r="BV23" i="2"/>
  <c r="BX23" i="2"/>
  <c r="BZ23" i="2"/>
  <c r="BN24" i="2"/>
  <c r="CG22" i="2" s="1"/>
  <c r="BP24" i="2"/>
  <c r="BR24" i="2"/>
  <c r="BT24" i="2"/>
  <c r="BV24" i="2"/>
  <c r="BX24" i="2"/>
  <c r="BZ24" i="2"/>
  <c r="BN25" i="2"/>
  <c r="CG23" i="2" s="1"/>
  <c r="BP25" i="2"/>
  <c r="BT25" i="2"/>
  <c r="BV25" i="2"/>
  <c r="BX25" i="2"/>
  <c r="BZ25" i="2"/>
  <c r="BN26" i="2"/>
  <c r="CG24" i="2" s="1"/>
  <c r="BP26" i="2"/>
  <c r="BR26" i="2"/>
  <c r="BT26" i="2"/>
  <c r="BV26" i="2"/>
  <c r="BX26" i="2"/>
  <c r="BZ26" i="2"/>
  <c r="BN27" i="2"/>
  <c r="CG25" i="2" s="1"/>
  <c r="BP27" i="2"/>
  <c r="BT27" i="2"/>
  <c r="BV27" i="2"/>
  <c r="BX27" i="2"/>
  <c r="BZ27" i="2"/>
  <c r="BN28" i="2"/>
  <c r="CG26" i="2" s="1"/>
  <c r="BP28" i="2"/>
  <c r="BR28" i="2"/>
  <c r="BT28" i="2"/>
  <c r="BV28" i="2"/>
  <c r="BX28" i="2"/>
  <c r="BZ28" i="2"/>
  <c r="BN29" i="2"/>
  <c r="CG27" i="2" s="1"/>
  <c r="BP29" i="2"/>
  <c r="BR29" i="2"/>
  <c r="BT29" i="2"/>
  <c r="BV29" i="2"/>
  <c r="BX29" i="2"/>
  <c r="BZ29" i="2"/>
  <c r="BN30" i="2"/>
  <c r="CG28" i="2" s="1"/>
  <c r="BP30" i="2"/>
  <c r="BR30" i="2"/>
  <c r="BT30" i="2"/>
  <c r="BV30" i="2"/>
  <c r="BX30" i="2"/>
  <c r="BZ30" i="2"/>
  <c r="BN32" i="2"/>
  <c r="CG29" i="2" s="1"/>
  <c r="BP32" i="2"/>
  <c r="BR32" i="2"/>
  <c r="BT32" i="2"/>
  <c r="BV32" i="2"/>
  <c r="BX32" i="2"/>
  <c r="BZ32" i="2"/>
  <c r="CB32" i="2"/>
  <c r="BN33" i="2"/>
  <c r="CG30" i="2" s="1"/>
  <c r="BP33" i="2"/>
  <c r="BR33" i="2"/>
  <c r="BT33" i="2"/>
  <c r="BV33" i="2"/>
  <c r="BX33" i="2"/>
  <c r="BZ33" i="2"/>
  <c r="CB33" i="2"/>
  <c r="BN34" i="2"/>
  <c r="CG31" i="2" s="1"/>
  <c r="BP34" i="2"/>
  <c r="BR34" i="2"/>
  <c r="BT34" i="2"/>
  <c r="BV34" i="2"/>
  <c r="BX34" i="2"/>
  <c r="BZ34" i="2"/>
  <c r="CB34" i="2"/>
  <c r="BN35" i="2"/>
  <c r="CG32" i="2" s="1"/>
  <c r="BP35" i="2"/>
  <c r="BR35" i="2"/>
  <c r="BT35" i="2"/>
  <c r="BV35" i="2"/>
  <c r="BX35" i="2"/>
  <c r="BZ35" i="2"/>
  <c r="CB35" i="2"/>
  <c r="BN36" i="2"/>
  <c r="CG33" i="2" s="1"/>
  <c r="BP36" i="2"/>
  <c r="BR36" i="2"/>
  <c r="BT36" i="2"/>
  <c r="BV36" i="2"/>
  <c r="BX36" i="2"/>
  <c r="BZ36" i="2"/>
  <c r="CB36" i="2"/>
  <c r="BN37" i="2"/>
  <c r="CG34" i="2" s="1"/>
  <c r="BP37" i="2"/>
  <c r="BR37" i="2"/>
  <c r="BT37" i="2"/>
  <c r="BV37" i="2"/>
  <c r="BX37" i="2"/>
  <c r="BZ37" i="2"/>
  <c r="CB37" i="2"/>
  <c r="BN38" i="2"/>
  <c r="CG35" i="2" s="1"/>
  <c r="BP38" i="2"/>
  <c r="BR38" i="2"/>
  <c r="BT38" i="2"/>
  <c r="BV38" i="2"/>
  <c r="BX38" i="2"/>
  <c r="BZ38" i="2"/>
  <c r="CB38" i="2"/>
  <c r="BN39" i="2"/>
  <c r="CG36" i="2" s="1"/>
  <c r="BP39" i="2"/>
  <c r="BR39" i="2"/>
  <c r="BT39" i="2"/>
  <c r="BV39" i="2"/>
  <c r="BX39" i="2"/>
  <c r="BZ39" i="2"/>
  <c r="CB39" i="2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43" i="1"/>
  <c r="I43" i="1" s="1"/>
  <c r="G44" i="1"/>
  <c r="I44" i="1" s="1"/>
  <c r="G45" i="1"/>
  <c r="I45" i="1" s="1"/>
  <c r="G46" i="1"/>
  <c r="I46" i="1" s="1"/>
  <c r="G42" i="1"/>
  <c r="I42" i="1" s="1"/>
  <c r="BN5" i="2" l="1"/>
  <c r="AF38" i="2"/>
  <c r="BV13" i="2"/>
  <c r="BZ48" i="2" s="1"/>
  <c r="AE38" i="2"/>
  <c r="BT5" i="2"/>
  <c r="BT13" i="2" s="1"/>
  <c r="BZ47" i="2" s="1"/>
  <c r="CB40" i="2"/>
  <c r="BN51" i="2" s="1"/>
  <c r="BZ40" i="2"/>
  <c r="BN50" i="2" s="1"/>
  <c r="BX40" i="2"/>
  <c r="BN49" i="2" s="1"/>
  <c r="BV40" i="2"/>
  <c r="BN48" i="2" s="1"/>
  <c r="BT40" i="2"/>
  <c r="BN47" i="2" s="1"/>
  <c r="BR40" i="2"/>
  <c r="BN46" i="2" s="1"/>
  <c r="BP40" i="2"/>
  <c r="BN45" i="2" s="1"/>
  <c r="BN40" i="2"/>
  <c r="BN44" i="2" s="1"/>
  <c r="BZ31" i="2"/>
  <c r="BR50" i="2" s="1"/>
  <c r="BX31" i="2"/>
  <c r="BR49" i="2" s="1"/>
  <c r="BV31" i="2"/>
  <c r="BR48" i="2" s="1"/>
  <c r="BT31" i="2"/>
  <c r="BR47" i="2" s="1"/>
  <c r="BR31" i="2"/>
  <c r="BR46" i="2" s="1"/>
  <c r="BP31" i="2"/>
  <c r="BR45" i="2" s="1"/>
  <c r="BN31" i="2"/>
  <c r="BR44" i="2" s="1"/>
  <c r="BZ22" i="2"/>
  <c r="BV50" i="2" s="1"/>
  <c r="BR22" i="2"/>
  <c r="BV46" i="2" s="1"/>
  <c r="BX22" i="2"/>
  <c r="BV49" i="2" s="1"/>
  <c r="BV22" i="2"/>
  <c r="BV48" i="2" s="1"/>
  <c r="BT22" i="2"/>
  <c r="BV47" i="2" s="1"/>
  <c r="BP22" i="2"/>
  <c r="BV45" i="2" s="1"/>
  <c r="BN22" i="2"/>
  <c r="BV44" i="2" s="1"/>
  <c r="BZ13" i="2"/>
  <c r="BZ50" i="2" s="1"/>
  <c r="BN59" i="2" s="1"/>
  <c r="BX13" i="2"/>
  <c r="BZ49" i="2" s="1"/>
  <c r="BR13" i="2"/>
  <c r="BZ46" i="2" s="1"/>
  <c r="BN55" i="2" s="1"/>
  <c r="BP13" i="2"/>
  <c r="BZ45" i="2" s="1"/>
  <c r="BO40" i="2"/>
  <c r="BO44" i="2" s="1"/>
  <c r="BO31" i="2"/>
  <c r="BS44" i="2" s="1"/>
  <c r="BO22" i="2"/>
  <c r="BW44" i="2" s="1"/>
  <c r="BQ40" i="2"/>
  <c r="BO45" i="2" s="1"/>
  <c r="BQ31" i="2"/>
  <c r="BS45" i="2" s="1"/>
  <c r="BQ22" i="2"/>
  <c r="BW45" i="2" s="1"/>
  <c r="BQ13" i="2"/>
  <c r="CA45" i="2" s="1"/>
  <c r="BS40" i="2"/>
  <c r="BO46" i="2" s="1"/>
  <c r="BS31" i="2"/>
  <c r="BS46" i="2" s="1"/>
  <c r="BS22" i="2"/>
  <c r="BW46" i="2" s="1"/>
  <c r="BS13" i="2"/>
  <c r="CA46" i="2" s="1"/>
  <c r="BU40" i="2"/>
  <c r="BO47" i="2" s="1"/>
  <c r="BU31" i="2"/>
  <c r="BS47" i="2" s="1"/>
  <c r="BU22" i="2"/>
  <c r="BW47" i="2" s="1"/>
  <c r="BW40" i="2"/>
  <c r="BO48" i="2" s="1"/>
  <c r="BW31" i="2"/>
  <c r="BS48" i="2" s="1"/>
  <c r="BW22" i="2"/>
  <c r="BW48" i="2" s="1"/>
  <c r="BY40" i="2"/>
  <c r="BO49" i="2" s="1"/>
  <c r="BY31" i="2"/>
  <c r="BS49" i="2" s="1"/>
  <c r="BY22" i="2"/>
  <c r="BW49" i="2" s="1"/>
  <c r="BY13" i="2"/>
  <c r="CA49" i="2" s="1"/>
  <c r="CA40" i="2"/>
  <c r="BO50" i="2" s="1"/>
  <c r="CA31" i="2"/>
  <c r="BS50" i="2" s="1"/>
  <c r="CA22" i="2"/>
  <c r="BW50" i="2" s="1"/>
  <c r="CA13" i="2"/>
  <c r="CA50" i="2" s="1"/>
  <c r="AI38" i="2"/>
  <c r="AH38" i="2"/>
  <c r="AG38" i="2"/>
  <c r="AD38" i="2"/>
  <c r="AC38" i="2"/>
  <c r="BN13" i="2" l="1"/>
  <c r="BZ44" i="2" s="1"/>
  <c r="CG5" i="2"/>
  <c r="BN56" i="2"/>
  <c r="BO57" i="2"/>
  <c r="BN57" i="2"/>
  <c r="BO58" i="2"/>
  <c r="BN58" i="2"/>
  <c r="BO55" i="2"/>
  <c r="BO59" i="2"/>
  <c r="BO54" i="2"/>
  <c r="BN54" i="2"/>
</calcChain>
</file>

<file path=xl/sharedStrings.xml><?xml version="1.0" encoding="utf-8"?>
<sst xmlns="http://schemas.openxmlformats.org/spreadsheetml/2006/main" count="609" uniqueCount="92">
  <si>
    <t>JH 2-055 Sample</t>
  </si>
  <si>
    <t>Treatment Group</t>
  </si>
  <si>
    <t>Collection Date</t>
  </si>
  <si>
    <t>Day Post Treatment Start</t>
  </si>
  <si>
    <t xml:space="preserve">Tumor Volume (on closest date) </t>
  </si>
  <si>
    <t xml:space="preserve">Qubit Concentration (ng/uL) </t>
  </si>
  <si>
    <t xml:space="preserve">Total cfDNA (ng) </t>
  </si>
  <si>
    <t>Plasma Volume (uL)</t>
  </si>
  <si>
    <t>cfDNA per uL Plasma (ng/uL)</t>
  </si>
  <si>
    <t xml:space="preserve">#5-2 </t>
  </si>
  <si>
    <t>Vehicle</t>
  </si>
  <si>
    <t xml:space="preserve">#4-2 </t>
  </si>
  <si>
    <t xml:space="preserve">#2-1 </t>
  </si>
  <si>
    <t>Avutometinib</t>
  </si>
  <si>
    <t xml:space="preserve">#5-4 </t>
  </si>
  <si>
    <t xml:space="preserve">#2-5 </t>
  </si>
  <si>
    <t>VS-4718</t>
  </si>
  <si>
    <t xml:space="preserve">#3-1 </t>
  </si>
  <si>
    <t xml:space="preserve">#4-4 </t>
  </si>
  <si>
    <t>Avutometinib + VS-4718</t>
  </si>
  <si>
    <t xml:space="preserve">#2-2 </t>
  </si>
  <si>
    <t xml:space="preserve">#4-5 </t>
  </si>
  <si>
    <t xml:space="preserve">#5-5 </t>
  </si>
  <si>
    <t>#3-1</t>
  </si>
  <si>
    <t>OUT OF RANGE</t>
  </si>
  <si>
    <t xml:space="preserve">#3-4 </t>
  </si>
  <si>
    <t>Untreated</t>
  </si>
  <si>
    <t>Unknown</t>
  </si>
  <si>
    <t xml:space="preserve">#6-2 </t>
  </si>
  <si>
    <t xml:space="preserve">#1-2 </t>
  </si>
  <si>
    <t>#5-2</t>
  </si>
  <si>
    <t>#4-2</t>
  </si>
  <si>
    <t>#2-1</t>
  </si>
  <si>
    <t>#2-5</t>
  </si>
  <si>
    <t>#4-4</t>
  </si>
  <si>
    <t>#6-3</t>
  </si>
  <si>
    <t>#4-3</t>
  </si>
  <si>
    <t>#2-3</t>
  </si>
  <si>
    <t>#3-2</t>
  </si>
  <si>
    <t>#3-3</t>
  </si>
  <si>
    <t>#7-3</t>
  </si>
  <si>
    <t>#2-2</t>
  </si>
  <si>
    <t>#3-5</t>
  </si>
  <si>
    <t>#1-1</t>
  </si>
  <si>
    <t>#2-4</t>
  </si>
  <si>
    <t>#7-1</t>
  </si>
  <si>
    <t>#6-5</t>
  </si>
  <si>
    <t>#5-3</t>
  </si>
  <si>
    <t>#6-1</t>
  </si>
  <si>
    <t>#1-3</t>
  </si>
  <si>
    <t>#4-1-2</t>
  </si>
  <si>
    <t>#7-4</t>
  </si>
  <si>
    <t>#1-5</t>
  </si>
  <si>
    <t>#7-2</t>
  </si>
  <si>
    <t>#7-5</t>
  </si>
  <si>
    <t>#5-1</t>
  </si>
  <si>
    <t>#6-4</t>
  </si>
  <si>
    <t>#3-4</t>
  </si>
  <si>
    <t>#6-2</t>
  </si>
  <si>
    <t>#1-2</t>
  </si>
  <si>
    <t>#5-4</t>
  </si>
  <si>
    <t>#1-4</t>
  </si>
  <si>
    <t>#4-5</t>
  </si>
  <si>
    <t>#5-5</t>
  </si>
  <si>
    <t>#</t>
  </si>
  <si>
    <t>pg/uL</t>
  </si>
  <si>
    <t>Sample Collection Date</t>
  </si>
  <si>
    <t>Sample Volume</t>
  </si>
  <si>
    <t>ng cfDNA/uL Plasma</t>
  </si>
  <si>
    <t>Tumor size(mm3)</t>
  </si>
  <si>
    <t> </t>
  </si>
  <si>
    <t>Endpoint (days reach 1800-2000)</t>
  </si>
  <si>
    <t>Date</t>
  </si>
  <si>
    <t>Vehicle, n=8</t>
  </si>
  <si>
    <t>Animal#</t>
  </si>
  <si>
    <t>Days post implantation</t>
  </si>
  <si>
    <t>Days post treatment</t>
  </si>
  <si>
    <t xml:space="preserve">              Days post  treatment                                                                        Note                                 start</t>
  </si>
  <si>
    <t>Tumor Volume</t>
  </si>
  <si>
    <t>cfDNA/uL Plasma</t>
  </si>
  <si>
    <t>&lt;1800</t>
  </si>
  <si>
    <t>A 0.3mg/kg, qdx5days, n=8</t>
  </si>
  <si>
    <t>Avg.</t>
  </si>
  <si>
    <t>VS 50mg/kg, bidx5days, n=8</t>
  </si>
  <si>
    <t>A+VS, n=8</t>
  </si>
  <si>
    <t>Untreated, n=3</t>
  </si>
  <si>
    <t>Average:</t>
  </si>
  <si>
    <t>A+VS Average</t>
  </si>
  <si>
    <t>VS Average</t>
  </si>
  <si>
    <t>A Average</t>
  </si>
  <si>
    <t>Vehicle Average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</si>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</sst>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rgb="FF000000"/>
      <name val="Aptos Narrow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2" fillId="2" borderId="0" xfId="0" applyFont="1" applyFill="1" applyBorder="1" applyAlignment="1"/>
    <xf numFmtId="0" fontId="1" fillId="2" borderId="0" xfId="0" applyFont="1" applyFill="1" applyBorder="1" applyAlignment="1"/>
    <xf numFmtId="14" fontId="1" fillId="2" borderId="0" xfId="0" applyNumberFormat="1" applyFont="1" applyFill="1" applyBorder="1" applyAlignment="1"/>
    <xf numFmtId="0" fontId="2" fillId="2" borderId="0" xfId="0" applyFont="1" applyFill="1" applyBorder="1"/>
    <xf numFmtId="14" fontId="2" fillId="2" borderId="0" xfId="0" applyNumberFormat="1" applyFont="1" applyFill="1" applyBorder="1"/>
    <xf numFmtId="0" fontId="3" fillId="3" borderId="1" xfId="0" applyFont="1" applyFill="1" applyBorder="1" applyAlignment="1"/>
    <xf numFmtId="0" fontId="3" fillId="3" borderId="0" xfId="0" applyFont="1" applyFill="1" applyBorder="1" applyAlignme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4" fillId="0" borderId="0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 applyFill="1" applyBorder="1" applyAlignment="1">
      <alignment wrapText="1"/>
    </xf>
    <xf numFmtId="14" fontId="5" fillId="3" borderId="4" xfId="0" applyNumberFormat="1" applyFont="1" applyFill="1" applyBorder="1" applyAlignment="1"/>
    <xf numFmtId="14" fontId="5" fillId="3" borderId="0" xfId="0" applyNumberFormat="1" applyFont="1" applyFill="1" applyBorder="1" applyAlignment="1"/>
    <xf numFmtId="14" fontId="5" fillId="0" borderId="0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3" xfId="0" applyFont="1" applyFill="1" applyBorder="1" applyAlignment="1"/>
    <xf numFmtId="0" fontId="6" fillId="0" borderId="2" xfId="0" applyFont="1" applyFill="1" applyBorder="1" applyAlignment="1">
      <alignment wrapText="1"/>
    </xf>
    <xf numFmtId="0" fontId="3" fillId="0" borderId="0" xfId="0" applyFont="1" applyFill="1" applyBorder="1" applyAlignment="1"/>
    <xf numFmtId="0" fontId="4" fillId="0" borderId="3" xfId="0" applyFont="1" applyFill="1" applyBorder="1" applyAlignment="1"/>
    <xf numFmtId="0" fontId="6" fillId="0" borderId="3" xfId="0" applyFont="1" applyFill="1" applyBorder="1" applyAlignment="1">
      <alignment wrapText="1"/>
    </xf>
    <xf numFmtId="0" fontId="7" fillId="0" borderId="8" xfId="0" applyFont="1" applyFill="1" applyBorder="1" applyAlignment="1">
      <alignment wrapText="1"/>
    </xf>
    <xf numFmtId="0" fontId="3" fillId="0" borderId="9" xfId="0" applyFont="1" applyFill="1" applyBorder="1" applyAlignment="1"/>
    <xf numFmtId="0" fontId="8" fillId="3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4" fillId="0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workbookViewId="0">
      <selection activeCell="A185" sqref="A185"/>
    </sheetView>
  </sheetViews>
  <sheetFormatPr defaultRowHeight="15"/>
  <cols>
    <col min="1" max="1" width="16.140625" customWidth="1"/>
    <col min="2" max="2" width="22" customWidth="1"/>
    <col min="3" max="3" width="15.42578125" style="1" customWidth="1"/>
    <col min="4" max="4" width="23.28515625" customWidth="1"/>
    <col min="5" max="5" width="29.42578125" customWidth="1"/>
    <col min="6" max="6" width="26.140625" customWidth="1"/>
    <col min="7" max="7" width="18.7109375" customWidth="1"/>
    <col min="8" max="8" width="27.140625" customWidth="1"/>
    <col min="9" max="9" width="27.5703125" customWidth="1"/>
  </cols>
  <sheetData>
    <row r="1" spans="1:10" ht="15.75">
      <c r="A1" s="3" t="s">
        <v>0</v>
      </c>
      <c r="B1" s="5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ht="15.75">
      <c r="A2" s="3" t="s">
        <v>9</v>
      </c>
      <c r="B2" s="5" t="s">
        <v>10</v>
      </c>
      <c r="C2" s="4">
        <v>45594</v>
      </c>
      <c r="D2" s="3">
        <v>47</v>
      </c>
      <c r="E2" s="2">
        <v>1564.35</v>
      </c>
      <c r="F2" s="3">
        <v>0.35499999999999998</v>
      </c>
      <c r="G2" s="3">
        <v>3.55</v>
      </c>
      <c r="H2" s="3">
        <v>52</v>
      </c>
      <c r="I2" s="3">
        <v>6.8269231E-2</v>
      </c>
      <c r="J2" s="2"/>
    </row>
    <row r="3" spans="1:10" ht="15.75">
      <c r="A3" s="3" t="s">
        <v>11</v>
      </c>
      <c r="B3" s="5" t="s">
        <v>10</v>
      </c>
      <c r="C3" s="4">
        <v>45594</v>
      </c>
      <c r="D3" s="3">
        <v>47</v>
      </c>
      <c r="E3" s="3">
        <v>1046.83</v>
      </c>
      <c r="F3" s="3">
        <v>0.38700000000000001</v>
      </c>
      <c r="G3" s="3">
        <v>3.87</v>
      </c>
      <c r="H3" s="3">
        <v>77</v>
      </c>
      <c r="I3" s="3">
        <v>5.0259739999999997E-2</v>
      </c>
      <c r="J3" s="3"/>
    </row>
    <row r="4" spans="1:10" ht="15.75">
      <c r="A4" s="3" t="s">
        <v>12</v>
      </c>
      <c r="B4" s="5" t="s">
        <v>13</v>
      </c>
      <c r="C4" s="4">
        <v>45594</v>
      </c>
      <c r="D4" s="3">
        <v>47</v>
      </c>
      <c r="E4" s="2">
        <v>2332.89</v>
      </c>
      <c r="F4" s="3">
        <v>0.57599999999999996</v>
      </c>
      <c r="G4" s="3">
        <v>5.76</v>
      </c>
      <c r="H4" s="3">
        <v>60</v>
      </c>
      <c r="I4" s="3">
        <v>9.6000000000000002E-2</v>
      </c>
      <c r="J4" s="2"/>
    </row>
    <row r="5" spans="1:10" ht="15.75">
      <c r="A5" s="3" t="s">
        <v>14</v>
      </c>
      <c r="B5" s="5" t="s">
        <v>13</v>
      </c>
      <c r="C5" s="4">
        <v>45594</v>
      </c>
      <c r="D5" s="3">
        <v>47</v>
      </c>
      <c r="E5" s="3">
        <v>1780.61</v>
      </c>
      <c r="F5" s="3">
        <v>0.14499999999999999</v>
      </c>
      <c r="G5" s="3">
        <v>1.45</v>
      </c>
      <c r="H5" s="3">
        <v>62</v>
      </c>
      <c r="I5" s="3">
        <v>2.3387096999999999E-2</v>
      </c>
      <c r="J5" s="3"/>
    </row>
    <row r="6" spans="1:10" ht="15.75">
      <c r="A6" s="3" t="s">
        <v>15</v>
      </c>
      <c r="B6" s="5" t="s">
        <v>16</v>
      </c>
      <c r="C6" s="4">
        <v>45594</v>
      </c>
      <c r="D6" s="3">
        <v>47</v>
      </c>
      <c r="E6" s="2">
        <v>1424.36</v>
      </c>
      <c r="F6" s="3">
        <v>0.30599999999999999</v>
      </c>
      <c r="G6" s="3">
        <v>3.06</v>
      </c>
      <c r="H6" s="3">
        <v>75</v>
      </c>
      <c r="I6" s="3">
        <v>4.0800000000000003E-2</v>
      </c>
      <c r="J6" s="2"/>
    </row>
    <row r="7" spans="1:10" ht="15.75">
      <c r="A7" s="3" t="s">
        <v>17</v>
      </c>
      <c r="B7" s="5" t="s">
        <v>16</v>
      </c>
      <c r="C7" s="4">
        <v>45594</v>
      </c>
      <c r="D7" s="3">
        <v>47</v>
      </c>
      <c r="E7" s="2">
        <v>3230.94</v>
      </c>
      <c r="F7" s="3">
        <v>0.33</v>
      </c>
      <c r="G7" s="3">
        <v>3.3</v>
      </c>
      <c r="H7" s="3">
        <v>88</v>
      </c>
      <c r="I7" s="3">
        <v>3.7499999999999999E-2</v>
      </c>
      <c r="J7" s="2"/>
    </row>
    <row r="8" spans="1:10" ht="15.75">
      <c r="A8" s="3" t="s">
        <v>18</v>
      </c>
      <c r="B8" s="5" t="s">
        <v>19</v>
      </c>
      <c r="C8" s="4">
        <v>45594</v>
      </c>
      <c r="D8" s="3">
        <v>47</v>
      </c>
      <c r="E8" s="3">
        <v>835.03</v>
      </c>
      <c r="F8" s="3">
        <v>0.17799999999999999</v>
      </c>
      <c r="G8" s="3">
        <v>1.78</v>
      </c>
      <c r="H8" s="3">
        <v>72</v>
      </c>
      <c r="I8" s="3">
        <v>2.4722221999999999E-2</v>
      </c>
      <c r="J8" s="3"/>
    </row>
    <row r="9" spans="1:10" ht="15.75">
      <c r="A9" s="3" t="s">
        <v>20</v>
      </c>
      <c r="B9" s="5" t="s">
        <v>19</v>
      </c>
      <c r="C9" s="4">
        <v>45594</v>
      </c>
      <c r="D9" s="3">
        <v>47</v>
      </c>
      <c r="E9" s="3">
        <v>1372.88</v>
      </c>
      <c r="F9" s="3">
        <v>0.72299999999999998</v>
      </c>
      <c r="G9" s="3">
        <v>7.23</v>
      </c>
      <c r="H9" s="3">
        <v>89</v>
      </c>
      <c r="I9" s="3">
        <v>8.1235954999999999E-2</v>
      </c>
      <c r="J9" s="3"/>
    </row>
    <row r="10" spans="1:10" ht="15.75">
      <c r="A10" s="3" t="s">
        <v>21</v>
      </c>
      <c r="B10" s="5" t="s">
        <v>10</v>
      </c>
      <c r="C10" s="4">
        <v>45580</v>
      </c>
      <c r="D10" s="3">
        <v>33</v>
      </c>
      <c r="E10" s="2">
        <v>1886.98</v>
      </c>
      <c r="F10" s="3">
        <v>0.17399999999999999</v>
      </c>
      <c r="G10" s="3">
        <v>1.74</v>
      </c>
      <c r="H10" s="3">
        <v>46</v>
      </c>
      <c r="I10" s="3">
        <v>3.7826087000000001E-2</v>
      </c>
      <c r="J10" s="2"/>
    </row>
    <row r="11" spans="1:10" ht="15.75">
      <c r="A11" s="3" t="s">
        <v>22</v>
      </c>
      <c r="B11" s="5" t="s">
        <v>10</v>
      </c>
      <c r="C11" s="4">
        <v>45580</v>
      </c>
      <c r="D11" s="3">
        <v>33</v>
      </c>
      <c r="E11" s="3">
        <v>1013.69</v>
      </c>
      <c r="F11" s="3">
        <v>0.20100000000000001</v>
      </c>
      <c r="G11" s="3">
        <v>2.0099999999999998</v>
      </c>
      <c r="H11" s="3">
        <v>66</v>
      </c>
      <c r="I11" s="3">
        <v>3.0454545E-2</v>
      </c>
      <c r="J11" s="3"/>
    </row>
    <row r="12" spans="1:10" ht="15.75">
      <c r="A12" s="3" t="s">
        <v>9</v>
      </c>
      <c r="B12" s="5" t="s">
        <v>10</v>
      </c>
      <c r="C12" s="4">
        <v>45580</v>
      </c>
      <c r="D12" s="3">
        <v>33</v>
      </c>
      <c r="E12" s="3">
        <v>807.65</v>
      </c>
      <c r="F12" s="3">
        <v>0.20200000000000001</v>
      </c>
      <c r="G12" s="3">
        <v>2.02</v>
      </c>
      <c r="H12" s="3">
        <v>78</v>
      </c>
      <c r="I12" s="3">
        <v>2.5897435999999999E-2</v>
      </c>
      <c r="J12" s="3"/>
    </row>
    <row r="13" spans="1:10" ht="15.75">
      <c r="A13" s="3" t="s">
        <v>11</v>
      </c>
      <c r="B13" s="5" t="s">
        <v>10</v>
      </c>
      <c r="C13" s="4">
        <v>45580</v>
      </c>
      <c r="D13" s="3">
        <v>33</v>
      </c>
      <c r="E13" s="3">
        <v>529.91999999999996</v>
      </c>
      <c r="F13" s="3">
        <v>0.20599999999999999</v>
      </c>
      <c r="G13" s="3">
        <v>2.06</v>
      </c>
      <c r="H13" s="3">
        <v>73</v>
      </c>
      <c r="I13" s="3">
        <v>2.8219178000000001E-2</v>
      </c>
      <c r="J13" s="3"/>
    </row>
    <row r="14" spans="1:10" ht="15.75">
      <c r="A14" s="3" t="s">
        <v>12</v>
      </c>
      <c r="B14" s="5" t="s">
        <v>13</v>
      </c>
      <c r="C14" s="4">
        <v>45580</v>
      </c>
      <c r="D14" s="3">
        <v>33</v>
      </c>
      <c r="E14" s="3">
        <v>1411.34</v>
      </c>
      <c r="F14" s="3">
        <v>0.51500000000000001</v>
      </c>
      <c r="G14" s="3">
        <v>5.15</v>
      </c>
      <c r="H14" s="3">
        <v>85</v>
      </c>
      <c r="I14" s="3">
        <v>6.0588234999999997E-2</v>
      </c>
      <c r="J14" s="3"/>
    </row>
    <row r="15" spans="1:10" ht="15.75">
      <c r="A15" s="3" t="s">
        <v>14</v>
      </c>
      <c r="B15" s="5" t="s">
        <v>13</v>
      </c>
      <c r="C15" s="4">
        <v>45580</v>
      </c>
      <c r="D15" s="3">
        <v>33</v>
      </c>
      <c r="E15" s="3">
        <v>481.56</v>
      </c>
      <c r="F15" s="3">
        <v>0.41399999999999998</v>
      </c>
      <c r="G15" s="3">
        <v>4.1399999999999997</v>
      </c>
      <c r="H15" s="3">
        <v>86</v>
      </c>
      <c r="I15" s="3">
        <v>4.8139534999999997E-2</v>
      </c>
      <c r="J15" s="3"/>
    </row>
    <row r="16" spans="1:10" ht="15.75">
      <c r="A16" s="3" t="s">
        <v>15</v>
      </c>
      <c r="B16" s="5" t="s">
        <v>16</v>
      </c>
      <c r="C16" s="4">
        <v>45580</v>
      </c>
      <c r="D16" s="3">
        <v>33</v>
      </c>
      <c r="E16" s="3">
        <v>746.5</v>
      </c>
      <c r="F16" s="3">
        <v>0.156</v>
      </c>
      <c r="G16" s="3">
        <v>1.56</v>
      </c>
      <c r="H16" s="3">
        <v>67</v>
      </c>
      <c r="I16" s="3">
        <v>2.3283582000000001E-2</v>
      </c>
      <c r="J16" s="3"/>
    </row>
    <row r="17" spans="1:10" ht="15.75">
      <c r="A17" s="3" t="s">
        <v>23</v>
      </c>
      <c r="B17" s="5" t="s">
        <v>16</v>
      </c>
      <c r="C17" s="4">
        <v>45580</v>
      </c>
      <c r="D17" s="3">
        <v>33</v>
      </c>
      <c r="E17" s="3">
        <v>1041.8800000000001</v>
      </c>
      <c r="F17" s="3">
        <v>0.502</v>
      </c>
      <c r="G17" s="3">
        <v>5.0199999999999996</v>
      </c>
      <c r="H17" s="3">
        <v>35</v>
      </c>
      <c r="I17" s="3">
        <v>0.143428571</v>
      </c>
      <c r="J17" s="3"/>
    </row>
    <row r="18" spans="1:10" ht="15.75">
      <c r="A18" s="3" t="s">
        <v>18</v>
      </c>
      <c r="B18" s="5" t="s">
        <v>19</v>
      </c>
      <c r="C18" s="4">
        <v>45580</v>
      </c>
      <c r="D18" s="3">
        <v>33</v>
      </c>
      <c r="E18" s="3">
        <v>328.05</v>
      </c>
      <c r="F18" s="3">
        <v>0.38200000000000001</v>
      </c>
      <c r="G18" s="3">
        <v>3.82</v>
      </c>
      <c r="H18" s="3">
        <v>68</v>
      </c>
      <c r="I18" s="3">
        <v>5.6176470999999999E-2</v>
      </c>
      <c r="J18" s="3"/>
    </row>
    <row r="19" spans="1:10" ht="15.75">
      <c r="A19" s="3" t="s">
        <v>20</v>
      </c>
      <c r="B19" s="5" t="s">
        <v>19</v>
      </c>
      <c r="C19" s="4">
        <v>45580</v>
      </c>
      <c r="D19" s="3">
        <v>33</v>
      </c>
      <c r="E19" s="3">
        <v>739.26</v>
      </c>
      <c r="F19" s="3">
        <v>0.70799999999999996</v>
      </c>
      <c r="G19" s="3">
        <v>7.08</v>
      </c>
      <c r="H19" s="3">
        <v>93</v>
      </c>
      <c r="I19" s="3">
        <v>7.6129031999999999E-2</v>
      </c>
      <c r="J19" s="3"/>
    </row>
    <row r="20" spans="1:10" ht="15.75">
      <c r="A20" s="3" t="s">
        <v>9</v>
      </c>
      <c r="B20" s="5" t="s">
        <v>10</v>
      </c>
      <c r="C20" s="4">
        <v>45566</v>
      </c>
      <c r="D20" s="3">
        <v>19</v>
      </c>
      <c r="E20" s="3">
        <v>431.66</v>
      </c>
      <c r="F20" s="3">
        <v>0.20499999999999999</v>
      </c>
      <c r="G20" s="3">
        <v>2.0499999999999998</v>
      </c>
      <c r="H20" s="3">
        <v>172</v>
      </c>
      <c r="I20" s="3">
        <v>1.1918605000000001E-2</v>
      </c>
      <c r="J20" s="3"/>
    </row>
    <row r="21" spans="1:10" ht="15.75">
      <c r="A21" s="3" t="s">
        <v>11</v>
      </c>
      <c r="B21" s="5" t="s">
        <v>10</v>
      </c>
      <c r="C21" s="4">
        <v>45566</v>
      </c>
      <c r="D21" s="3">
        <v>19</v>
      </c>
      <c r="E21" s="3">
        <v>375.7</v>
      </c>
      <c r="F21" s="3">
        <v>0.253</v>
      </c>
      <c r="G21" s="3">
        <v>2.5299999999999998</v>
      </c>
      <c r="H21" s="3">
        <v>180</v>
      </c>
      <c r="I21" s="3">
        <v>1.4055556E-2</v>
      </c>
      <c r="J21" s="3"/>
    </row>
    <row r="22" spans="1:10" ht="15.75">
      <c r="A22" s="3" t="s">
        <v>12</v>
      </c>
      <c r="B22" s="5" t="s">
        <v>13</v>
      </c>
      <c r="C22" s="4">
        <v>45566</v>
      </c>
      <c r="D22" s="3">
        <v>19</v>
      </c>
      <c r="E22" s="3">
        <v>559.84</v>
      </c>
      <c r="F22" s="3">
        <v>0.38600000000000001</v>
      </c>
      <c r="G22" s="3">
        <v>3.86</v>
      </c>
      <c r="H22" s="3">
        <v>180</v>
      </c>
      <c r="I22" s="3">
        <v>2.1444444E-2</v>
      </c>
      <c r="J22" s="3"/>
    </row>
    <row r="23" spans="1:10" ht="15.75">
      <c r="A23" s="3" t="s">
        <v>14</v>
      </c>
      <c r="B23" s="5" t="s">
        <v>13</v>
      </c>
      <c r="C23" s="4">
        <v>45566</v>
      </c>
      <c r="D23" s="3">
        <v>19</v>
      </c>
      <c r="E23" s="3">
        <v>210.5</v>
      </c>
      <c r="F23" s="3">
        <v>0.245</v>
      </c>
      <c r="G23" s="3">
        <v>2.4500000000000002</v>
      </c>
      <c r="H23" s="3">
        <v>167</v>
      </c>
      <c r="I23" s="3">
        <v>1.4670659000000001E-2</v>
      </c>
      <c r="J23" s="3"/>
    </row>
    <row r="24" spans="1:10" ht="15.75">
      <c r="A24" s="3" t="s">
        <v>15</v>
      </c>
      <c r="B24" s="5" t="s">
        <v>16</v>
      </c>
      <c r="C24" s="4">
        <v>45566</v>
      </c>
      <c r="D24" s="3">
        <v>19</v>
      </c>
      <c r="E24" s="3">
        <v>405</v>
      </c>
      <c r="F24" s="3">
        <v>0.23499999999999999</v>
      </c>
      <c r="G24" s="3">
        <v>2.35</v>
      </c>
      <c r="H24" s="3">
        <v>162</v>
      </c>
      <c r="I24" s="3">
        <v>1.4506173000000001E-2</v>
      </c>
      <c r="J24" s="3"/>
    </row>
    <row r="25" spans="1:10" ht="15.75">
      <c r="A25" s="3" t="s">
        <v>23</v>
      </c>
      <c r="B25" s="5" t="s">
        <v>16</v>
      </c>
      <c r="C25" s="4">
        <v>45566</v>
      </c>
      <c r="D25" s="3">
        <v>19</v>
      </c>
      <c r="E25" s="3">
        <v>443.03</v>
      </c>
      <c r="F25" s="3">
        <v>0.14399999999999999</v>
      </c>
      <c r="G25" s="3">
        <v>1.44</v>
      </c>
      <c r="H25" s="3">
        <v>152</v>
      </c>
      <c r="I25" s="3">
        <v>9.4736839999999996E-3</v>
      </c>
      <c r="J25" s="3"/>
    </row>
    <row r="26" spans="1:10" ht="15.75">
      <c r="A26" s="3" t="s">
        <v>18</v>
      </c>
      <c r="B26" s="5" t="s">
        <v>19</v>
      </c>
      <c r="C26" s="4">
        <v>45566</v>
      </c>
      <c r="D26" s="3">
        <v>19</v>
      </c>
      <c r="E26" s="3">
        <v>251.9</v>
      </c>
      <c r="F26" s="3" t="s">
        <v>24</v>
      </c>
      <c r="G26" s="3" t="s">
        <v>24</v>
      </c>
      <c r="H26" s="3">
        <v>200</v>
      </c>
      <c r="I26" s="3" t="s">
        <v>24</v>
      </c>
      <c r="J26" s="3"/>
    </row>
    <row r="27" spans="1:10" ht="15.75">
      <c r="A27" s="3" t="s">
        <v>20</v>
      </c>
      <c r="B27" s="5" t="s">
        <v>19</v>
      </c>
      <c r="C27" s="4">
        <v>45566</v>
      </c>
      <c r="D27" s="3">
        <v>19</v>
      </c>
      <c r="E27" s="3">
        <v>301.81</v>
      </c>
      <c r="F27" s="3">
        <v>5.5E-2</v>
      </c>
      <c r="G27" s="3">
        <v>0.55000000000000004</v>
      </c>
      <c r="H27" s="3">
        <v>166</v>
      </c>
      <c r="I27" s="3">
        <v>3.3132529999999999E-3</v>
      </c>
      <c r="J27" s="3"/>
    </row>
    <row r="28" spans="1:10" ht="15.75">
      <c r="A28" s="3" t="s">
        <v>25</v>
      </c>
      <c r="B28" s="5" t="s">
        <v>26</v>
      </c>
      <c r="C28" s="4">
        <v>45566</v>
      </c>
      <c r="D28" s="3">
        <v>19</v>
      </c>
      <c r="E28" s="3" t="s">
        <v>27</v>
      </c>
      <c r="F28" s="3">
        <v>0.121</v>
      </c>
      <c r="G28" s="3">
        <v>1.21</v>
      </c>
      <c r="H28" s="3">
        <v>167</v>
      </c>
      <c r="I28" s="3">
        <v>7.2455089999999998E-3</v>
      </c>
      <c r="J28" s="3"/>
    </row>
    <row r="29" spans="1:10" ht="15.75">
      <c r="A29" s="3" t="s">
        <v>28</v>
      </c>
      <c r="B29" s="5" t="s">
        <v>26</v>
      </c>
      <c r="C29" s="4">
        <v>45566</v>
      </c>
      <c r="D29" s="3">
        <v>19</v>
      </c>
      <c r="E29" s="3" t="s">
        <v>27</v>
      </c>
      <c r="F29" s="3">
        <v>8.1000000000000003E-2</v>
      </c>
      <c r="G29" s="3">
        <v>0.81</v>
      </c>
      <c r="H29" s="3">
        <v>148</v>
      </c>
      <c r="I29" s="3">
        <v>5.4729729999999999E-3</v>
      </c>
      <c r="J29" s="3"/>
    </row>
    <row r="30" spans="1:10" ht="15.75">
      <c r="A30" s="3" t="s">
        <v>29</v>
      </c>
      <c r="B30" s="5" t="s">
        <v>26</v>
      </c>
      <c r="C30" s="4">
        <v>45566</v>
      </c>
      <c r="D30" s="3">
        <v>19</v>
      </c>
      <c r="E30" s="3" t="s">
        <v>27</v>
      </c>
      <c r="F30" s="3">
        <v>0.16600000000000001</v>
      </c>
      <c r="G30" s="3">
        <v>1.66</v>
      </c>
      <c r="H30" s="3">
        <v>178</v>
      </c>
      <c r="I30" s="3">
        <v>9.3258430000000003E-3</v>
      </c>
      <c r="J30" s="3"/>
    </row>
    <row r="31" spans="1:10" ht="15.75">
      <c r="A31" s="3" t="s">
        <v>9</v>
      </c>
      <c r="B31" s="5" t="s">
        <v>10</v>
      </c>
      <c r="C31" s="4">
        <v>45573</v>
      </c>
      <c r="D31" s="3">
        <v>26</v>
      </c>
      <c r="E31" s="3">
        <v>1031.94</v>
      </c>
      <c r="F31" s="3">
        <v>0.25600000000000001</v>
      </c>
      <c r="G31" s="3">
        <v>2.56</v>
      </c>
      <c r="H31" s="3">
        <v>77</v>
      </c>
      <c r="I31" s="3">
        <v>3.3246752999999997E-2</v>
      </c>
      <c r="J31" s="3"/>
    </row>
    <row r="32" spans="1:10" ht="15.75">
      <c r="A32" s="3" t="s">
        <v>11</v>
      </c>
      <c r="B32" s="5" t="s">
        <v>10</v>
      </c>
      <c r="C32" s="4">
        <v>45573</v>
      </c>
      <c r="D32" s="3">
        <v>26</v>
      </c>
      <c r="E32" s="3">
        <v>534.15</v>
      </c>
      <c r="F32" s="3">
        <v>0.13900000000000001</v>
      </c>
      <c r="G32" s="3">
        <v>1.39</v>
      </c>
      <c r="H32" s="3">
        <v>70</v>
      </c>
      <c r="I32" s="3">
        <v>1.9857143000000001E-2</v>
      </c>
      <c r="J32" s="3"/>
    </row>
    <row r="33" spans="1:10" ht="15.75">
      <c r="A33" s="3" t="s">
        <v>12</v>
      </c>
      <c r="B33" s="5" t="s">
        <v>13</v>
      </c>
      <c r="C33" s="4">
        <v>45573</v>
      </c>
      <c r="D33" s="3">
        <v>26</v>
      </c>
      <c r="E33" s="3">
        <v>905.06</v>
      </c>
      <c r="F33" s="3">
        <v>0.36</v>
      </c>
      <c r="G33" s="3">
        <v>3.6</v>
      </c>
      <c r="H33" s="3">
        <v>80</v>
      </c>
      <c r="I33" s="3">
        <v>4.4999999999999998E-2</v>
      </c>
      <c r="J33" s="3"/>
    </row>
    <row r="34" spans="1:10" ht="15.75">
      <c r="A34" s="3" t="s">
        <v>14</v>
      </c>
      <c r="B34" s="5" t="s">
        <v>13</v>
      </c>
      <c r="C34" s="4">
        <v>45573</v>
      </c>
      <c r="D34" s="3">
        <v>26</v>
      </c>
      <c r="E34" s="3">
        <v>725.1</v>
      </c>
      <c r="F34" s="3">
        <v>0.182</v>
      </c>
      <c r="G34" s="3">
        <v>1.82</v>
      </c>
      <c r="H34" s="3">
        <v>69</v>
      </c>
      <c r="I34" s="3">
        <v>2.6376811999999999E-2</v>
      </c>
      <c r="J34" s="3"/>
    </row>
    <row r="35" spans="1:10" ht="15.75">
      <c r="A35" s="3" t="s">
        <v>15</v>
      </c>
      <c r="B35" s="5" t="s">
        <v>16</v>
      </c>
      <c r="C35" s="4">
        <v>45573</v>
      </c>
      <c r="D35" s="3">
        <v>26</v>
      </c>
      <c r="E35" s="3">
        <v>673.67</v>
      </c>
      <c r="F35" s="3">
        <v>0.217</v>
      </c>
      <c r="G35" s="3">
        <v>2.17</v>
      </c>
      <c r="H35" s="3">
        <v>62</v>
      </c>
      <c r="I35" s="3">
        <v>3.5000000000000003E-2</v>
      </c>
      <c r="J35" s="3"/>
    </row>
    <row r="36" spans="1:10" ht="15.75">
      <c r="A36" s="3" t="s">
        <v>23</v>
      </c>
      <c r="B36" s="5" t="s">
        <v>16</v>
      </c>
      <c r="C36" s="4">
        <v>45573</v>
      </c>
      <c r="D36" s="3">
        <v>26</v>
      </c>
      <c r="E36" s="3">
        <v>742.56</v>
      </c>
      <c r="F36" s="3">
        <v>0.124</v>
      </c>
      <c r="G36" s="3">
        <v>1.24</v>
      </c>
      <c r="H36" s="3">
        <v>61</v>
      </c>
      <c r="I36" s="3">
        <v>2.0327868999999998E-2</v>
      </c>
      <c r="J36" s="3"/>
    </row>
    <row r="37" spans="1:10" ht="15.75">
      <c r="A37" s="3" t="s">
        <v>18</v>
      </c>
      <c r="B37" s="5" t="s">
        <v>19</v>
      </c>
      <c r="C37" s="4">
        <v>45573</v>
      </c>
      <c r="D37" s="3">
        <v>26</v>
      </c>
      <c r="E37" s="3">
        <v>364.86</v>
      </c>
      <c r="F37" s="3">
        <v>0.19900000000000001</v>
      </c>
      <c r="G37" s="3">
        <v>1.99</v>
      </c>
      <c r="H37" s="3">
        <v>53</v>
      </c>
      <c r="I37" s="3">
        <v>3.7547169999999998E-2</v>
      </c>
      <c r="J37" s="3"/>
    </row>
    <row r="38" spans="1:10" ht="15.75">
      <c r="A38" s="3" t="s">
        <v>20</v>
      </c>
      <c r="B38" s="5" t="s">
        <v>19</v>
      </c>
      <c r="C38" s="4">
        <v>45573</v>
      </c>
      <c r="D38" s="3">
        <v>26</v>
      </c>
      <c r="E38" s="3">
        <v>541.02</v>
      </c>
      <c r="F38" s="3">
        <v>0.23100000000000001</v>
      </c>
      <c r="G38" s="3">
        <v>2.31</v>
      </c>
      <c r="H38" s="3">
        <v>62</v>
      </c>
      <c r="I38" s="3">
        <v>3.7258065E-2</v>
      </c>
      <c r="J38" s="3"/>
    </row>
    <row r="39" spans="1:10" ht="15.75">
      <c r="A39" s="3" t="s">
        <v>25</v>
      </c>
      <c r="B39" s="5" t="s">
        <v>26</v>
      </c>
      <c r="C39" s="4">
        <v>45573</v>
      </c>
      <c r="D39" s="3">
        <v>26</v>
      </c>
      <c r="E39" s="3" t="s">
        <v>27</v>
      </c>
      <c r="F39" s="3" t="s">
        <v>24</v>
      </c>
      <c r="G39" s="3" t="s">
        <v>24</v>
      </c>
      <c r="H39" s="3">
        <v>55</v>
      </c>
      <c r="I39" s="3" t="s">
        <v>24</v>
      </c>
      <c r="J39" s="3"/>
    </row>
    <row r="40" spans="1:10" ht="15.75">
      <c r="A40" s="3" t="s">
        <v>28</v>
      </c>
      <c r="B40" s="5" t="s">
        <v>26</v>
      </c>
      <c r="C40" s="4">
        <v>45573</v>
      </c>
      <c r="D40" s="3">
        <v>26</v>
      </c>
      <c r="E40" s="3" t="s">
        <v>27</v>
      </c>
      <c r="F40" s="3" t="s">
        <v>24</v>
      </c>
      <c r="G40" s="3" t="s">
        <v>24</v>
      </c>
      <c r="H40" s="3">
        <v>29</v>
      </c>
      <c r="I40" s="3" t="s">
        <v>24</v>
      </c>
      <c r="J40" s="3"/>
    </row>
    <row r="41" spans="1:10" ht="15.75">
      <c r="A41" s="3" t="s">
        <v>29</v>
      </c>
      <c r="B41" s="5" t="s">
        <v>26</v>
      </c>
      <c r="C41" s="4">
        <v>45573</v>
      </c>
      <c r="D41" s="3">
        <v>26</v>
      </c>
      <c r="E41" s="3" t="s">
        <v>27</v>
      </c>
      <c r="F41" s="3">
        <v>0.18</v>
      </c>
      <c r="G41" s="3">
        <v>1.8</v>
      </c>
      <c r="H41" s="3">
        <v>95</v>
      </c>
      <c r="I41" s="3">
        <v>1.8947367999999999E-2</v>
      </c>
      <c r="J41" s="3"/>
    </row>
    <row r="42" spans="1:10">
      <c r="A42" s="5" t="s">
        <v>30</v>
      </c>
      <c r="B42" s="5" t="s">
        <v>10</v>
      </c>
      <c r="C42" s="6">
        <v>45587</v>
      </c>
      <c r="D42" s="5">
        <v>40</v>
      </c>
      <c r="E42" s="2">
        <v>1184.6300000000001</v>
      </c>
      <c r="F42" s="5">
        <v>0.13700000000000001</v>
      </c>
      <c r="G42" s="5">
        <f>F42*10</f>
        <v>1.37</v>
      </c>
      <c r="H42" s="5">
        <v>57</v>
      </c>
      <c r="I42" s="5">
        <f>G42/H42</f>
        <v>2.4035087719298246E-2</v>
      </c>
      <c r="J42" s="2"/>
    </row>
    <row r="43" spans="1:10">
      <c r="A43" s="5" t="s">
        <v>31</v>
      </c>
      <c r="B43" s="5" t="s">
        <v>10</v>
      </c>
      <c r="C43" s="6">
        <v>45587</v>
      </c>
      <c r="D43" s="5">
        <v>40</v>
      </c>
      <c r="E43" s="2">
        <v>778.91</v>
      </c>
      <c r="F43" s="5">
        <v>0.151</v>
      </c>
      <c r="G43" s="5">
        <f t="shared" ref="G43:G106" si="0">F43*10</f>
        <v>1.51</v>
      </c>
      <c r="H43" s="5">
        <v>63</v>
      </c>
      <c r="I43" s="5">
        <f t="shared" ref="I43:I106" si="1">G43/H43</f>
        <v>2.3968253968253968E-2</v>
      </c>
      <c r="J43" s="2"/>
    </row>
    <row r="44" spans="1:10">
      <c r="A44" s="5" t="s">
        <v>32</v>
      </c>
      <c r="B44" s="5" t="s">
        <v>13</v>
      </c>
      <c r="C44" s="6">
        <v>45587</v>
      </c>
      <c r="D44" s="5">
        <v>40</v>
      </c>
      <c r="E44" s="2">
        <v>1811.86</v>
      </c>
      <c r="F44" s="5">
        <v>0.497</v>
      </c>
      <c r="G44" s="5">
        <f t="shared" si="0"/>
        <v>4.97</v>
      </c>
      <c r="H44" s="5">
        <v>97</v>
      </c>
      <c r="I44" s="5">
        <f t="shared" si="1"/>
        <v>5.123711340206185E-2</v>
      </c>
      <c r="J44" s="2"/>
    </row>
    <row r="45" spans="1:10">
      <c r="A45" s="5" t="s">
        <v>33</v>
      </c>
      <c r="B45" s="5" t="s">
        <v>16</v>
      </c>
      <c r="C45" s="6">
        <v>45587</v>
      </c>
      <c r="D45" s="5">
        <v>40</v>
      </c>
      <c r="E45" s="2">
        <v>1168.58</v>
      </c>
      <c r="F45" s="5">
        <v>0.115</v>
      </c>
      <c r="G45" s="5">
        <f t="shared" si="0"/>
        <v>1.1500000000000001</v>
      </c>
      <c r="H45" s="5">
        <v>95</v>
      </c>
      <c r="I45" s="5">
        <f t="shared" si="1"/>
        <v>1.2105263157894739E-2</v>
      </c>
      <c r="J45" s="2"/>
    </row>
    <row r="46" spans="1:10">
      <c r="A46" s="5" t="s">
        <v>34</v>
      </c>
      <c r="B46" s="5" t="s">
        <v>19</v>
      </c>
      <c r="C46" s="6">
        <v>45587</v>
      </c>
      <c r="D46" s="5">
        <v>40</v>
      </c>
      <c r="E46" s="2">
        <v>622.91</v>
      </c>
      <c r="F46" s="5">
        <v>0.2</v>
      </c>
      <c r="G46" s="5">
        <f t="shared" si="0"/>
        <v>2</v>
      </c>
      <c r="H46" s="5">
        <v>100</v>
      </c>
      <c r="I46" s="5">
        <f t="shared" si="1"/>
        <v>0.02</v>
      </c>
      <c r="J46" s="2"/>
    </row>
    <row r="47" spans="1:10">
      <c r="A47" s="5" t="s">
        <v>35</v>
      </c>
      <c r="B47" s="5" t="s">
        <v>10</v>
      </c>
      <c r="C47" s="6">
        <v>45587</v>
      </c>
      <c r="D47" s="5">
        <v>40</v>
      </c>
      <c r="E47" s="2">
        <v>1054.05</v>
      </c>
      <c r="F47" s="5">
        <v>0.187</v>
      </c>
      <c r="G47" s="5">
        <f t="shared" si="0"/>
        <v>1.87</v>
      </c>
      <c r="H47" s="5">
        <v>61</v>
      </c>
      <c r="I47" s="5">
        <f t="shared" si="1"/>
        <v>3.0655737704918036E-2</v>
      </c>
      <c r="J47" s="2"/>
    </row>
    <row r="48" spans="1:10">
      <c r="A48" s="5" t="s">
        <v>36</v>
      </c>
      <c r="B48" s="5" t="s">
        <v>10</v>
      </c>
      <c r="C48" s="6">
        <v>45587</v>
      </c>
      <c r="D48" s="5">
        <v>40</v>
      </c>
      <c r="E48" s="2">
        <v>600</v>
      </c>
      <c r="F48" s="5">
        <v>0.28000000000000003</v>
      </c>
      <c r="G48" s="5">
        <f t="shared" si="0"/>
        <v>2.8000000000000003</v>
      </c>
      <c r="H48" s="5">
        <v>100</v>
      </c>
      <c r="I48" s="5">
        <f t="shared" si="1"/>
        <v>2.8000000000000004E-2</v>
      </c>
      <c r="J48" s="2"/>
    </row>
    <row r="49" spans="1:10">
      <c r="A49" s="5" t="s">
        <v>37</v>
      </c>
      <c r="B49" s="5" t="s">
        <v>10</v>
      </c>
      <c r="C49" s="6">
        <v>45587</v>
      </c>
      <c r="D49" s="5">
        <v>40</v>
      </c>
      <c r="E49" s="2">
        <v>427.73</v>
      </c>
      <c r="F49" s="5">
        <v>0.17399999999999999</v>
      </c>
      <c r="G49" s="5">
        <f t="shared" si="0"/>
        <v>1.7399999999999998</v>
      </c>
      <c r="H49" s="5">
        <v>65</v>
      </c>
      <c r="I49" s="5">
        <f t="shared" si="1"/>
        <v>2.6769230769230767E-2</v>
      </c>
      <c r="J49" s="2"/>
    </row>
    <row r="50" spans="1:10">
      <c r="A50" s="5" t="s">
        <v>38</v>
      </c>
      <c r="B50" s="5" t="s">
        <v>13</v>
      </c>
      <c r="C50" s="6">
        <v>45587</v>
      </c>
      <c r="D50" s="5">
        <v>40</v>
      </c>
      <c r="E50" s="2">
        <v>605</v>
      </c>
      <c r="F50" s="5">
        <v>0.24399999999999999</v>
      </c>
      <c r="G50" s="5">
        <f t="shared" si="0"/>
        <v>2.44</v>
      </c>
      <c r="H50" s="5">
        <v>95</v>
      </c>
      <c r="I50" s="5">
        <f t="shared" si="1"/>
        <v>2.5684210526315789E-2</v>
      </c>
      <c r="J50" s="2"/>
    </row>
    <row r="51" spans="1:10">
      <c r="A51" s="5" t="s">
        <v>39</v>
      </c>
      <c r="B51" s="5" t="s">
        <v>13</v>
      </c>
      <c r="C51" s="6">
        <v>45587</v>
      </c>
      <c r="D51" s="5">
        <v>40</v>
      </c>
      <c r="E51" s="2">
        <v>1138.6300000000001</v>
      </c>
      <c r="F51" s="5">
        <v>0.23499999999999999</v>
      </c>
      <c r="G51" s="5">
        <f t="shared" si="0"/>
        <v>2.3499999999999996</v>
      </c>
      <c r="H51" s="5">
        <v>60</v>
      </c>
      <c r="I51" s="5">
        <f t="shared" si="1"/>
        <v>3.9166666666666662E-2</v>
      </c>
      <c r="J51" s="2"/>
    </row>
    <row r="52" spans="1:10">
      <c r="A52" s="5" t="s">
        <v>23</v>
      </c>
      <c r="B52" s="5" t="s">
        <v>16</v>
      </c>
      <c r="C52" s="6">
        <v>45587</v>
      </c>
      <c r="D52" s="5">
        <v>40</v>
      </c>
      <c r="E52" s="2">
        <v>1949.49</v>
      </c>
      <c r="F52" s="5">
        <v>0.21</v>
      </c>
      <c r="G52" s="5">
        <f t="shared" si="0"/>
        <v>2.1</v>
      </c>
      <c r="H52" s="5">
        <v>97</v>
      </c>
      <c r="I52" s="5">
        <f t="shared" si="1"/>
        <v>2.1649484536082474E-2</v>
      </c>
      <c r="J52" s="2"/>
    </row>
    <row r="53" spans="1:10">
      <c r="A53" s="5" t="s">
        <v>40</v>
      </c>
      <c r="B53" s="5" t="s">
        <v>16</v>
      </c>
      <c r="C53" s="6">
        <v>45587</v>
      </c>
      <c r="D53" s="5">
        <v>40</v>
      </c>
      <c r="E53" s="2">
        <v>651.77</v>
      </c>
      <c r="F53" s="5">
        <v>0.20899999999999999</v>
      </c>
      <c r="G53" s="5">
        <f t="shared" si="0"/>
        <v>2.09</v>
      </c>
      <c r="H53" s="5">
        <v>80</v>
      </c>
      <c r="I53" s="5">
        <f t="shared" si="1"/>
        <v>2.6124999999999999E-2</v>
      </c>
      <c r="J53" s="2"/>
    </row>
    <row r="54" spans="1:10">
      <c r="A54" s="5" t="s">
        <v>41</v>
      </c>
      <c r="B54" s="5" t="s">
        <v>19</v>
      </c>
      <c r="C54" s="6">
        <v>45587</v>
      </c>
      <c r="D54" s="5">
        <v>40</v>
      </c>
      <c r="E54" s="2">
        <v>833.18</v>
      </c>
      <c r="F54" s="5">
        <v>0.245</v>
      </c>
      <c r="G54" s="5">
        <f t="shared" si="0"/>
        <v>2.4500000000000002</v>
      </c>
      <c r="H54" s="5">
        <v>52</v>
      </c>
      <c r="I54" s="5">
        <f t="shared" si="1"/>
        <v>4.7115384615384621E-2</v>
      </c>
      <c r="J54" s="2"/>
    </row>
    <row r="55" spans="1:10">
      <c r="A55" s="5" t="s">
        <v>42</v>
      </c>
      <c r="B55" s="5" t="s">
        <v>19</v>
      </c>
      <c r="C55" s="6">
        <v>45587</v>
      </c>
      <c r="D55" s="5">
        <v>40</v>
      </c>
      <c r="E55" s="2">
        <v>859.63</v>
      </c>
      <c r="F55" s="5">
        <v>0.2</v>
      </c>
      <c r="G55" s="5">
        <f t="shared" si="0"/>
        <v>2</v>
      </c>
      <c r="H55" s="5">
        <v>80</v>
      </c>
      <c r="I55" s="5">
        <f t="shared" si="1"/>
        <v>2.5000000000000001E-2</v>
      </c>
      <c r="J55" s="2"/>
    </row>
    <row r="56" spans="1:10">
      <c r="A56" s="5" t="s">
        <v>40</v>
      </c>
      <c r="B56" s="5" t="s">
        <v>16</v>
      </c>
      <c r="C56" s="6">
        <v>45594</v>
      </c>
      <c r="D56" s="5">
        <v>47</v>
      </c>
      <c r="E56" s="2">
        <v>812.88</v>
      </c>
      <c r="F56" s="5">
        <v>9.5000000000000001E-2</v>
      </c>
      <c r="G56" s="5">
        <f t="shared" si="0"/>
        <v>0.95</v>
      </c>
      <c r="H56" s="5">
        <v>39</v>
      </c>
      <c r="I56" s="5">
        <f t="shared" si="1"/>
        <v>2.4358974358974359E-2</v>
      </c>
      <c r="J56" s="2"/>
    </row>
    <row r="57" spans="1:10">
      <c r="A57" s="5" t="s">
        <v>43</v>
      </c>
      <c r="B57" s="5" t="s">
        <v>16</v>
      </c>
      <c r="C57" s="6">
        <v>45594</v>
      </c>
      <c r="D57" s="5">
        <v>47</v>
      </c>
      <c r="E57" s="2">
        <v>1314.65</v>
      </c>
      <c r="F57" s="5">
        <v>0.17199999999999999</v>
      </c>
      <c r="G57" s="5">
        <f t="shared" si="0"/>
        <v>1.7199999999999998</v>
      </c>
      <c r="H57" s="5">
        <v>65</v>
      </c>
      <c r="I57" s="5">
        <f t="shared" si="1"/>
        <v>2.6461538461538456E-2</v>
      </c>
      <c r="J57" s="2"/>
    </row>
    <row r="58" spans="1:10">
      <c r="A58" s="5" t="s">
        <v>44</v>
      </c>
      <c r="B58" s="5" t="s">
        <v>16</v>
      </c>
      <c r="C58" s="6">
        <v>45594</v>
      </c>
      <c r="D58" s="5">
        <v>47</v>
      </c>
      <c r="E58" s="2">
        <v>1442.69</v>
      </c>
      <c r="F58" s="5">
        <v>0.10199999999999999</v>
      </c>
      <c r="G58" s="5">
        <f t="shared" si="0"/>
        <v>1.02</v>
      </c>
      <c r="H58" s="5">
        <v>37</v>
      </c>
      <c r="I58" s="5">
        <f t="shared" si="1"/>
        <v>2.7567567567567567E-2</v>
      </c>
      <c r="J58" s="2"/>
    </row>
    <row r="59" spans="1:10">
      <c r="A59" s="5" t="s">
        <v>45</v>
      </c>
      <c r="B59" s="5" t="s">
        <v>16</v>
      </c>
      <c r="C59" s="6">
        <v>45594</v>
      </c>
      <c r="D59" s="5">
        <v>47</v>
      </c>
      <c r="E59" s="2">
        <v>1026.68</v>
      </c>
      <c r="F59" s="5">
        <v>0.157</v>
      </c>
      <c r="G59" s="5">
        <f t="shared" si="0"/>
        <v>1.57</v>
      </c>
      <c r="H59" s="5">
        <v>88</v>
      </c>
      <c r="I59" s="5">
        <f t="shared" si="1"/>
        <v>1.7840909090909091E-2</v>
      </c>
      <c r="J59" s="2"/>
    </row>
    <row r="60" spans="1:10">
      <c r="A60" s="5" t="s">
        <v>46</v>
      </c>
      <c r="B60" s="5" t="s">
        <v>16</v>
      </c>
      <c r="C60" s="6">
        <v>45594</v>
      </c>
      <c r="D60" s="5">
        <v>47</v>
      </c>
      <c r="E60" s="2">
        <v>1193.55</v>
      </c>
      <c r="F60" s="5">
        <v>0.34100000000000003</v>
      </c>
      <c r="G60" s="5">
        <f t="shared" si="0"/>
        <v>3.41</v>
      </c>
      <c r="H60" s="5">
        <v>100</v>
      </c>
      <c r="I60" s="5">
        <f t="shared" si="1"/>
        <v>3.4099999999999998E-2</v>
      </c>
      <c r="J60" s="2"/>
    </row>
    <row r="61" spans="1:10">
      <c r="A61" s="5" t="s">
        <v>47</v>
      </c>
      <c r="B61" s="5" t="s">
        <v>16</v>
      </c>
      <c r="C61" s="6">
        <v>45594</v>
      </c>
      <c r="D61" s="5">
        <v>47</v>
      </c>
      <c r="E61" s="2">
        <v>635</v>
      </c>
      <c r="F61" s="5">
        <v>0.249</v>
      </c>
      <c r="G61" s="5">
        <f t="shared" si="0"/>
        <v>2.4900000000000002</v>
      </c>
      <c r="H61" s="5">
        <v>100</v>
      </c>
      <c r="I61" s="5">
        <f t="shared" si="1"/>
        <v>2.4900000000000002E-2</v>
      </c>
      <c r="J61" s="2"/>
    </row>
    <row r="62" spans="1:10">
      <c r="A62" s="5" t="s">
        <v>42</v>
      </c>
      <c r="B62" s="5" t="s">
        <v>19</v>
      </c>
      <c r="C62" s="6">
        <v>45594</v>
      </c>
      <c r="D62" s="5">
        <v>47</v>
      </c>
      <c r="E62" s="2">
        <v>1340.96</v>
      </c>
      <c r="F62" s="5">
        <v>0.11899999999999999</v>
      </c>
      <c r="G62" s="5">
        <f t="shared" si="0"/>
        <v>1.19</v>
      </c>
      <c r="H62" s="5">
        <v>82</v>
      </c>
      <c r="I62" s="5">
        <f t="shared" si="1"/>
        <v>1.4512195121951219E-2</v>
      </c>
      <c r="J62" s="2"/>
    </row>
    <row r="63" spans="1:10">
      <c r="A63" s="5" t="s">
        <v>48</v>
      </c>
      <c r="B63" s="5" t="s">
        <v>19</v>
      </c>
      <c r="C63" s="6">
        <v>45594</v>
      </c>
      <c r="D63" s="5">
        <v>47</v>
      </c>
      <c r="E63" s="2">
        <v>658.32</v>
      </c>
      <c r="F63" s="5">
        <v>0.121</v>
      </c>
      <c r="G63" s="5">
        <f t="shared" si="0"/>
        <v>1.21</v>
      </c>
      <c r="H63" s="5">
        <v>68</v>
      </c>
      <c r="I63" s="5">
        <f t="shared" si="1"/>
        <v>1.7794117647058821E-2</v>
      </c>
      <c r="J63" s="2"/>
    </row>
    <row r="64" spans="1:10">
      <c r="A64" s="5" t="s">
        <v>49</v>
      </c>
      <c r="B64" s="5" t="s">
        <v>19</v>
      </c>
      <c r="C64" s="6">
        <v>45594</v>
      </c>
      <c r="D64" s="5">
        <v>47</v>
      </c>
      <c r="E64" s="2">
        <v>1666</v>
      </c>
      <c r="F64" s="5">
        <v>0.121</v>
      </c>
      <c r="G64" s="5">
        <f t="shared" si="0"/>
        <v>1.21</v>
      </c>
      <c r="H64" s="5">
        <v>62</v>
      </c>
      <c r="I64" s="5">
        <f t="shared" si="1"/>
        <v>1.9516129032258064E-2</v>
      </c>
      <c r="J64" s="2"/>
    </row>
    <row r="65" spans="1:10">
      <c r="A65" s="5" t="s">
        <v>50</v>
      </c>
      <c r="B65" s="5" t="s">
        <v>19</v>
      </c>
      <c r="C65" s="6">
        <v>45594</v>
      </c>
      <c r="D65" s="5">
        <v>47</v>
      </c>
      <c r="E65" s="2">
        <v>398.82</v>
      </c>
      <c r="F65" s="5">
        <v>9.4E-2</v>
      </c>
      <c r="G65" s="5">
        <f t="shared" si="0"/>
        <v>0.94</v>
      </c>
      <c r="H65" s="5">
        <v>59</v>
      </c>
      <c r="I65" s="5">
        <f t="shared" si="1"/>
        <v>1.5932203389830507E-2</v>
      </c>
      <c r="J65" s="2"/>
    </row>
    <row r="66" spans="1:10">
      <c r="A66" s="5" t="s">
        <v>51</v>
      </c>
      <c r="B66" s="5" t="s">
        <v>19</v>
      </c>
      <c r="C66" s="6">
        <v>45594</v>
      </c>
      <c r="D66" s="5">
        <v>47</v>
      </c>
      <c r="E66" s="2">
        <v>476.16</v>
      </c>
      <c r="F66" s="5">
        <v>0.54500000000000004</v>
      </c>
      <c r="G66" s="5">
        <f t="shared" si="0"/>
        <v>5.45</v>
      </c>
      <c r="H66" s="5">
        <v>80</v>
      </c>
      <c r="I66" s="5">
        <f t="shared" si="1"/>
        <v>6.8125000000000005E-2</v>
      </c>
      <c r="J66" s="2"/>
    </row>
    <row r="67" spans="1:10">
      <c r="A67" s="5" t="s">
        <v>52</v>
      </c>
      <c r="B67" s="5" t="s">
        <v>13</v>
      </c>
      <c r="C67" s="6">
        <v>45587</v>
      </c>
      <c r="D67" s="5">
        <v>40</v>
      </c>
      <c r="E67" s="2">
        <v>682.34</v>
      </c>
      <c r="F67" s="5">
        <v>0.311</v>
      </c>
      <c r="G67" s="5">
        <f t="shared" si="0"/>
        <v>3.11</v>
      </c>
      <c r="H67" s="5">
        <v>96</v>
      </c>
      <c r="I67" s="5">
        <f t="shared" si="1"/>
        <v>3.2395833333333332E-2</v>
      </c>
      <c r="J67" s="2"/>
    </row>
    <row r="68" spans="1:10">
      <c r="A68" s="5" t="s">
        <v>43</v>
      </c>
      <c r="B68" s="5" t="s">
        <v>16</v>
      </c>
      <c r="C68" s="6">
        <v>45587</v>
      </c>
      <c r="D68" s="5">
        <v>40</v>
      </c>
      <c r="E68" s="2">
        <v>873.25</v>
      </c>
      <c r="F68" s="5">
        <v>0.14000000000000001</v>
      </c>
      <c r="G68" s="5">
        <f t="shared" si="0"/>
        <v>1.4000000000000001</v>
      </c>
      <c r="H68" s="5">
        <v>81</v>
      </c>
      <c r="I68" s="5">
        <f t="shared" si="1"/>
        <v>1.7283950617283952E-2</v>
      </c>
      <c r="J68" s="2"/>
    </row>
    <row r="69" spans="1:10">
      <c r="A69" s="5" t="s">
        <v>44</v>
      </c>
      <c r="B69" s="5" t="s">
        <v>16</v>
      </c>
      <c r="C69" s="6">
        <v>45587</v>
      </c>
      <c r="D69" s="5">
        <v>40</v>
      </c>
      <c r="E69" s="2">
        <v>1056.76</v>
      </c>
      <c r="F69" s="5">
        <v>0.246</v>
      </c>
      <c r="G69" s="5">
        <f t="shared" si="0"/>
        <v>2.46</v>
      </c>
      <c r="H69" s="5">
        <v>84</v>
      </c>
      <c r="I69" s="5">
        <f t="shared" si="1"/>
        <v>2.9285714285714286E-2</v>
      </c>
      <c r="J69" s="2"/>
    </row>
    <row r="70" spans="1:10">
      <c r="A70" s="5" t="s">
        <v>45</v>
      </c>
      <c r="B70" s="5" t="s">
        <v>16</v>
      </c>
      <c r="C70" s="6">
        <v>45587</v>
      </c>
      <c r="D70" s="5">
        <v>40</v>
      </c>
      <c r="E70" s="2">
        <v>600.16</v>
      </c>
      <c r="F70" s="5">
        <v>0.29799999999999999</v>
      </c>
      <c r="G70" s="5">
        <f t="shared" si="0"/>
        <v>2.98</v>
      </c>
      <c r="H70" s="5">
        <v>93</v>
      </c>
      <c r="I70" s="5">
        <f t="shared" si="1"/>
        <v>3.2043010752688172E-2</v>
      </c>
      <c r="J70" s="2"/>
    </row>
    <row r="71" spans="1:10">
      <c r="A71" s="5" t="s">
        <v>46</v>
      </c>
      <c r="B71" s="5" t="s">
        <v>16</v>
      </c>
      <c r="C71" s="6">
        <v>45587</v>
      </c>
      <c r="D71" s="5">
        <v>40</v>
      </c>
      <c r="E71" s="2">
        <v>799.25</v>
      </c>
      <c r="F71" s="5">
        <v>0.29799999999999999</v>
      </c>
      <c r="G71" s="5">
        <f t="shared" si="0"/>
        <v>2.98</v>
      </c>
      <c r="H71" s="5">
        <v>92</v>
      </c>
      <c r="I71" s="5">
        <f t="shared" si="1"/>
        <v>3.239130434782609E-2</v>
      </c>
      <c r="J71" s="2"/>
    </row>
    <row r="72" spans="1:10">
      <c r="A72" s="5" t="s">
        <v>47</v>
      </c>
      <c r="B72" s="5" t="s">
        <v>16</v>
      </c>
      <c r="C72" s="6">
        <v>45587</v>
      </c>
      <c r="D72" s="5">
        <v>40</v>
      </c>
      <c r="E72" s="2">
        <v>401.16</v>
      </c>
      <c r="F72" s="5">
        <v>0.128</v>
      </c>
      <c r="G72" s="5">
        <f t="shared" si="0"/>
        <v>1.28</v>
      </c>
      <c r="H72" s="5">
        <v>68</v>
      </c>
      <c r="I72" s="5">
        <f t="shared" si="1"/>
        <v>1.8823529411764708E-2</v>
      </c>
      <c r="J72" s="2"/>
    </row>
    <row r="73" spans="1:10">
      <c r="A73" s="5" t="s">
        <v>48</v>
      </c>
      <c r="B73" s="5" t="s">
        <v>19</v>
      </c>
      <c r="C73" s="6">
        <v>45587</v>
      </c>
      <c r="D73" s="5">
        <v>40</v>
      </c>
      <c r="E73" s="2">
        <v>528.22</v>
      </c>
      <c r="F73" s="5">
        <v>0.28199999999999997</v>
      </c>
      <c r="G73" s="5">
        <f t="shared" si="0"/>
        <v>2.82</v>
      </c>
      <c r="H73" s="5">
        <v>92</v>
      </c>
      <c r="I73" s="5">
        <f t="shared" si="1"/>
        <v>3.0652173913043475E-2</v>
      </c>
      <c r="J73" s="2"/>
    </row>
    <row r="74" spans="1:10">
      <c r="A74" s="5" t="s">
        <v>49</v>
      </c>
      <c r="B74" s="5" t="s">
        <v>19</v>
      </c>
      <c r="C74" s="6">
        <v>45587</v>
      </c>
      <c r="D74" s="5">
        <v>40</v>
      </c>
      <c r="E74" s="2">
        <v>1160.8900000000001</v>
      </c>
      <c r="F74" s="5">
        <v>0.21199999999999999</v>
      </c>
      <c r="G74" s="5">
        <f t="shared" si="0"/>
        <v>2.12</v>
      </c>
      <c r="H74" s="5">
        <v>68</v>
      </c>
      <c r="I74" s="5">
        <f t="shared" si="1"/>
        <v>3.1176470588235295E-2</v>
      </c>
      <c r="J74" s="2"/>
    </row>
    <row r="75" spans="1:10">
      <c r="A75" s="5" t="s">
        <v>50</v>
      </c>
      <c r="B75" s="5" t="s">
        <v>19</v>
      </c>
      <c r="C75" s="6">
        <v>45587</v>
      </c>
      <c r="D75" s="5">
        <v>40</v>
      </c>
      <c r="E75" s="2">
        <v>383.33</v>
      </c>
      <c r="F75" s="5">
        <v>0.13</v>
      </c>
      <c r="G75" s="5">
        <f t="shared" si="0"/>
        <v>1.3</v>
      </c>
      <c r="H75" s="5">
        <v>59</v>
      </c>
      <c r="I75" s="5">
        <f t="shared" si="1"/>
        <v>2.2033898305084745E-2</v>
      </c>
      <c r="J75" s="2"/>
    </row>
    <row r="76" spans="1:10">
      <c r="A76" s="5" t="s">
        <v>51</v>
      </c>
      <c r="B76" s="5" t="s">
        <v>19</v>
      </c>
      <c r="C76" s="6">
        <v>45587</v>
      </c>
      <c r="D76" s="5">
        <v>40</v>
      </c>
      <c r="E76" s="2">
        <v>442.79</v>
      </c>
      <c r="F76" s="5">
        <v>0.40500000000000003</v>
      </c>
      <c r="G76" s="5">
        <f t="shared" si="0"/>
        <v>4.0500000000000007</v>
      </c>
      <c r="H76" s="5">
        <v>81</v>
      </c>
      <c r="I76" s="5">
        <f t="shared" si="1"/>
        <v>5.000000000000001E-2</v>
      </c>
      <c r="J76" s="2"/>
    </row>
    <row r="77" spans="1:10">
      <c r="A77" s="5" t="s">
        <v>53</v>
      </c>
      <c r="B77" s="5" t="s">
        <v>19</v>
      </c>
      <c r="C77" s="6">
        <v>45587</v>
      </c>
      <c r="D77" s="5">
        <v>40</v>
      </c>
      <c r="E77" s="2">
        <v>373.18</v>
      </c>
      <c r="F77" s="5">
        <v>0.247</v>
      </c>
      <c r="G77" s="5">
        <f t="shared" si="0"/>
        <v>2.4699999999999998</v>
      </c>
      <c r="H77" s="5">
        <v>90</v>
      </c>
      <c r="I77" s="5">
        <f t="shared" si="1"/>
        <v>2.7444444444444441E-2</v>
      </c>
      <c r="J77" s="2"/>
    </row>
    <row r="78" spans="1:10">
      <c r="A78" s="5" t="s">
        <v>54</v>
      </c>
      <c r="B78" s="5" t="s">
        <v>13</v>
      </c>
      <c r="C78" s="6">
        <v>45587</v>
      </c>
      <c r="D78" s="5">
        <v>40</v>
      </c>
      <c r="E78" s="2">
        <v>406.56</v>
      </c>
      <c r="F78" s="5">
        <v>0.13400000000000001</v>
      </c>
      <c r="G78" s="5">
        <f t="shared" si="0"/>
        <v>1.34</v>
      </c>
      <c r="H78" s="5">
        <v>68</v>
      </c>
      <c r="I78" s="5">
        <f t="shared" si="1"/>
        <v>1.9705882352941177E-2</v>
      </c>
      <c r="J78" s="2"/>
    </row>
    <row r="79" spans="1:10">
      <c r="A79" s="5" t="s">
        <v>35</v>
      </c>
      <c r="B79" s="5" t="s">
        <v>10</v>
      </c>
      <c r="C79" s="6">
        <v>45594</v>
      </c>
      <c r="D79" s="5">
        <v>47</v>
      </c>
      <c r="E79" s="2">
        <v>1467.27</v>
      </c>
      <c r="F79" s="5">
        <v>0.151</v>
      </c>
      <c r="G79" s="5">
        <f t="shared" si="0"/>
        <v>1.51</v>
      </c>
      <c r="H79" s="5">
        <v>51</v>
      </c>
      <c r="I79" s="5">
        <f t="shared" si="1"/>
        <v>2.9607843137254904E-2</v>
      </c>
      <c r="J79" s="2"/>
    </row>
    <row r="80" spans="1:10">
      <c r="A80" s="5" t="s">
        <v>36</v>
      </c>
      <c r="B80" s="5" t="s">
        <v>10</v>
      </c>
      <c r="C80" s="6">
        <v>45594</v>
      </c>
      <c r="D80" s="5">
        <v>47</v>
      </c>
      <c r="E80" s="2">
        <v>748.5</v>
      </c>
      <c r="F80" s="5">
        <v>0.17199999999999999</v>
      </c>
      <c r="G80" s="5">
        <f t="shared" si="0"/>
        <v>1.7199999999999998</v>
      </c>
      <c r="H80" s="5">
        <v>74</v>
      </c>
      <c r="I80" s="5">
        <f t="shared" si="1"/>
        <v>2.3243243243243238E-2</v>
      </c>
      <c r="J80" s="2"/>
    </row>
    <row r="81" spans="1:10">
      <c r="A81" s="5" t="s">
        <v>37</v>
      </c>
      <c r="B81" s="5" t="s">
        <v>10</v>
      </c>
      <c r="C81" s="6">
        <v>45594</v>
      </c>
      <c r="D81" s="5">
        <v>47</v>
      </c>
      <c r="E81" s="2">
        <v>429.3</v>
      </c>
      <c r="F81" s="5">
        <v>0.34399999999999997</v>
      </c>
      <c r="G81" s="5">
        <f t="shared" si="0"/>
        <v>3.4399999999999995</v>
      </c>
      <c r="H81" s="5">
        <v>100</v>
      </c>
      <c r="I81" s="5">
        <f t="shared" si="1"/>
        <v>3.4399999999999993E-2</v>
      </c>
      <c r="J81" s="2"/>
    </row>
    <row r="82" spans="1:10">
      <c r="A82" s="5" t="s">
        <v>55</v>
      </c>
      <c r="B82" s="5" t="s">
        <v>13</v>
      </c>
      <c r="C82" s="6">
        <v>45594</v>
      </c>
      <c r="D82" s="5">
        <v>47</v>
      </c>
      <c r="E82" s="2">
        <v>1918.08</v>
      </c>
      <c r="F82" s="5">
        <v>0.17399999999999999</v>
      </c>
      <c r="G82" s="5">
        <f t="shared" si="0"/>
        <v>1.7399999999999998</v>
      </c>
      <c r="H82" s="5">
        <v>77</v>
      </c>
      <c r="I82" s="5">
        <f t="shared" si="1"/>
        <v>2.2597402597402595E-2</v>
      </c>
      <c r="J82" s="2"/>
    </row>
    <row r="83" spans="1:10">
      <c r="A83" s="5" t="s">
        <v>56</v>
      </c>
      <c r="B83" s="5" t="s">
        <v>13</v>
      </c>
      <c r="C83" s="6">
        <v>45594</v>
      </c>
      <c r="D83" s="5">
        <v>47</v>
      </c>
      <c r="E83" s="2">
        <v>1019.59</v>
      </c>
      <c r="F83" s="5">
        <v>0.161</v>
      </c>
      <c r="G83" s="5">
        <f t="shared" si="0"/>
        <v>1.61</v>
      </c>
      <c r="H83" s="5">
        <v>76</v>
      </c>
      <c r="I83" s="5">
        <f t="shared" si="1"/>
        <v>2.1184210526315791E-2</v>
      </c>
      <c r="J83" s="2"/>
    </row>
    <row r="84" spans="1:10">
      <c r="A84" s="5" t="s">
        <v>52</v>
      </c>
      <c r="B84" s="5" t="s">
        <v>13</v>
      </c>
      <c r="C84" s="6">
        <v>45594</v>
      </c>
      <c r="D84" s="5">
        <v>47</v>
      </c>
      <c r="E84" s="2">
        <v>1040.32</v>
      </c>
      <c r="F84" s="5">
        <v>1.04</v>
      </c>
      <c r="G84" s="5">
        <f t="shared" si="0"/>
        <v>10.4</v>
      </c>
      <c r="H84" s="5">
        <v>69</v>
      </c>
      <c r="I84" s="5">
        <f t="shared" si="1"/>
        <v>0.15072463768115943</v>
      </c>
      <c r="J84" s="2"/>
    </row>
    <row r="85" spans="1:10">
      <c r="A85" s="5" t="s">
        <v>53</v>
      </c>
      <c r="B85" s="5" t="s">
        <v>19</v>
      </c>
      <c r="C85" s="6">
        <v>45594</v>
      </c>
      <c r="D85" s="5">
        <v>47</v>
      </c>
      <c r="E85" s="2">
        <v>555.04</v>
      </c>
      <c r="F85" s="5">
        <v>0.10299999999999999</v>
      </c>
      <c r="G85" s="5">
        <f t="shared" si="0"/>
        <v>1.03</v>
      </c>
      <c r="H85" s="5">
        <v>63</v>
      </c>
      <c r="I85" s="5">
        <f t="shared" si="1"/>
        <v>1.6349206349206349E-2</v>
      </c>
      <c r="J85" s="2"/>
    </row>
    <row r="86" spans="1:10">
      <c r="A86" s="5" t="s">
        <v>57</v>
      </c>
      <c r="B86" s="5" t="s">
        <v>26</v>
      </c>
      <c r="C86" s="6">
        <v>45594</v>
      </c>
      <c r="D86" s="5">
        <v>47</v>
      </c>
      <c r="E86" s="5" t="s">
        <v>27</v>
      </c>
      <c r="F86" s="5">
        <v>0.183</v>
      </c>
      <c r="G86" s="5">
        <f t="shared" si="0"/>
        <v>1.83</v>
      </c>
      <c r="H86" s="5">
        <v>77</v>
      </c>
      <c r="I86" s="5">
        <f t="shared" si="1"/>
        <v>2.3766233766233769E-2</v>
      </c>
      <c r="J86" s="5"/>
    </row>
    <row r="87" spans="1:10">
      <c r="A87" s="5" t="s">
        <v>58</v>
      </c>
      <c r="B87" s="5" t="s">
        <v>26</v>
      </c>
      <c r="C87" s="6">
        <v>45594</v>
      </c>
      <c r="D87" s="5">
        <v>47</v>
      </c>
      <c r="E87" s="5" t="s">
        <v>27</v>
      </c>
      <c r="F87" s="5">
        <v>9.6500000000000002E-2</v>
      </c>
      <c r="G87" s="5">
        <f t="shared" si="0"/>
        <v>0.96500000000000008</v>
      </c>
      <c r="H87" s="5">
        <v>46</v>
      </c>
      <c r="I87" s="5">
        <f t="shared" si="1"/>
        <v>2.097826086956522E-2</v>
      </c>
      <c r="J87" s="5"/>
    </row>
    <row r="88" spans="1:10">
      <c r="A88" s="5" t="s">
        <v>59</v>
      </c>
      <c r="B88" s="5" t="s">
        <v>26</v>
      </c>
      <c r="C88" s="6">
        <v>45594</v>
      </c>
      <c r="D88" s="5">
        <v>47</v>
      </c>
      <c r="E88" s="5" t="s">
        <v>27</v>
      </c>
      <c r="F88" s="5">
        <v>0.113</v>
      </c>
      <c r="G88" s="5">
        <f t="shared" si="0"/>
        <v>1.1300000000000001</v>
      </c>
      <c r="H88" s="5">
        <v>65</v>
      </c>
      <c r="I88" s="5">
        <f t="shared" si="1"/>
        <v>1.7384615384615387E-2</v>
      </c>
      <c r="J88" s="5"/>
    </row>
    <row r="89" spans="1:10">
      <c r="A89" s="5" t="s">
        <v>60</v>
      </c>
      <c r="B89" s="5" t="s">
        <v>13</v>
      </c>
      <c r="C89" s="6">
        <v>45587</v>
      </c>
      <c r="D89" s="5">
        <v>40</v>
      </c>
      <c r="E89" s="2">
        <v>551.62</v>
      </c>
      <c r="F89" s="5">
        <v>0.28299999999999997</v>
      </c>
      <c r="G89" s="5">
        <f t="shared" si="0"/>
        <v>2.8299999999999996</v>
      </c>
      <c r="H89" s="5">
        <v>72</v>
      </c>
      <c r="I89" s="5">
        <f t="shared" si="1"/>
        <v>3.9305555555555552E-2</v>
      </c>
      <c r="J89" s="2"/>
    </row>
    <row r="90" spans="1:10">
      <c r="A90" s="5" t="s">
        <v>55</v>
      </c>
      <c r="B90" s="5" t="s">
        <v>13</v>
      </c>
      <c r="C90" s="6">
        <v>45587</v>
      </c>
      <c r="D90" s="5">
        <v>40</v>
      </c>
      <c r="E90" s="2">
        <v>1296.8800000000001</v>
      </c>
      <c r="F90" s="5">
        <v>0.16</v>
      </c>
      <c r="G90" s="5">
        <f t="shared" si="0"/>
        <v>1.6</v>
      </c>
      <c r="H90" s="5">
        <v>53</v>
      </c>
      <c r="I90" s="5">
        <f t="shared" si="1"/>
        <v>3.0188679245283019E-2</v>
      </c>
      <c r="J90" s="2"/>
    </row>
    <row r="91" spans="1:10">
      <c r="A91" s="5" t="s">
        <v>56</v>
      </c>
      <c r="B91" s="5" t="s">
        <v>13</v>
      </c>
      <c r="C91" s="6">
        <v>45587</v>
      </c>
      <c r="D91" s="5">
        <v>40</v>
      </c>
      <c r="E91" s="2">
        <v>705.6</v>
      </c>
      <c r="F91" s="5">
        <v>0.17399999999999999</v>
      </c>
      <c r="G91" s="5">
        <f t="shared" si="0"/>
        <v>1.7399999999999998</v>
      </c>
      <c r="H91" s="5">
        <v>73</v>
      </c>
      <c r="I91" s="5">
        <f t="shared" si="1"/>
        <v>2.3835616438356161E-2</v>
      </c>
      <c r="J91" s="2"/>
    </row>
    <row r="92" spans="1:10">
      <c r="A92" s="5" t="s">
        <v>61</v>
      </c>
      <c r="B92" s="5" t="s">
        <v>10</v>
      </c>
      <c r="C92" s="6">
        <v>45580</v>
      </c>
      <c r="D92" s="5">
        <v>33</v>
      </c>
      <c r="E92" s="2">
        <v>1629.44</v>
      </c>
      <c r="F92" s="5">
        <v>0.40200000000000002</v>
      </c>
      <c r="G92" s="5">
        <f t="shared" si="0"/>
        <v>4.0200000000000005</v>
      </c>
      <c r="H92" s="5">
        <v>93</v>
      </c>
      <c r="I92" s="5">
        <f t="shared" si="1"/>
        <v>4.3225806451612905E-2</v>
      </c>
      <c r="J92" s="2"/>
    </row>
    <row r="93" spans="1:10">
      <c r="A93" s="5" t="s">
        <v>35</v>
      </c>
      <c r="B93" s="5" t="s">
        <v>10</v>
      </c>
      <c r="C93" s="6">
        <v>45580</v>
      </c>
      <c r="D93" s="5">
        <v>33</v>
      </c>
      <c r="E93" s="2">
        <v>932.14</v>
      </c>
      <c r="F93" s="5">
        <v>0.21299999999999999</v>
      </c>
      <c r="G93" s="5">
        <f t="shared" si="0"/>
        <v>2.13</v>
      </c>
      <c r="H93" s="5">
        <v>74</v>
      </c>
      <c r="I93" s="5">
        <f t="shared" si="1"/>
        <v>2.8783783783783781E-2</v>
      </c>
      <c r="J93" s="2"/>
    </row>
    <row r="94" spans="1:10">
      <c r="A94" s="5" t="s">
        <v>36</v>
      </c>
      <c r="B94" s="5" t="s">
        <v>10</v>
      </c>
      <c r="C94" s="6">
        <v>45580</v>
      </c>
      <c r="D94" s="5">
        <v>33</v>
      </c>
      <c r="E94" s="2">
        <v>506.88</v>
      </c>
      <c r="F94" s="5">
        <v>0.13900000000000001</v>
      </c>
      <c r="G94" s="5">
        <f t="shared" si="0"/>
        <v>1.3900000000000001</v>
      </c>
      <c r="H94" s="5">
        <v>75</v>
      </c>
      <c r="I94" s="5">
        <f t="shared" si="1"/>
        <v>1.8533333333333336E-2</v>
      </c>
      <c r="J94" s="2"/>
    </row>
    <row r="95" spans="1:10">
      <c r="A95" s="5" t="s">
        <v>37</v>
      </c>
      <c r="B95" s="5" t="s">
        <v>10</v>
      </c>
      <c r="C95" s="6">
        <v>45580</v>
      </c>
      <c r="D95" s="5">
        <v>33</v>
      </c>
      <c r="E95" s="2">
        <v>317.52</v>
      </c>
      <c r="F95" s="5">
        <v>0.21099999999999999</v>
      </c>
      <c r="G95" s="5">
        <f t="shared" si="0"/>
        <v>2.11</v>
      </c>
      <c r="H95" s="5">
        <v>91</v>
      </c>
      <c r="I95" s="5">
        <f t="shared" si="1"/>
        <v>2.3186813186813187E-2</v>
      </c>
      <c r="J95" s="2"/>
    </row>
    <row r="96" spans="1:10">
      <c r="A96" s="5" t="s">
        <v>38</v>
      </c>
      <c r="B96" s="5" t="s">
        <v>13</v>
      </c>
      <c r="C96" s="6">
        <v>45580</v>
      </c>
      <c r="D96" s="5">
        <v>33</v>
      </c>
      <c r="E96" s="2">
        <v>358.71</v>
      </c>
      <c r="F96" s="5">
        <v>0.29699999999999999</v>
      </c>
      <c r="G96" s="5">
        <f t="shared" si="0"/>
        <v>2.9699999999999998</v>
      </c>
      <c r="H96" s="5">
        <v>83</v>
      </c>
      <c r="I96" s="5">
        <f t="shared" si="1"/>
        <v>3.5783132530120478E-2</v>
      </c>
      <c r="J96" s="2"/>
    </row>
    <row r="97" spans="1:10">
      <c r="A97" s="5" t="s">
        <v>39</v>
      </c>
      <c r="B97" s="5" t="s">
        <v>13</v>
      </c>
      <c r="C97" s="6">
        <v>45580</v>
      </c>
      <c r="D97" s="5">
        <v>33</v>
      </c>
      <c r="E97" s="2">
        <v>819.35</v>
      </c>
      <c r="F97" s="5">
        <v>0.20899999999999999</v>
      </c>
      <c r="G97" s="5">
        <f t="shared" si="0"/>
        <v>2.09</v>
      </c>
      <c r="H97" s="5">
        <v>59</v>
      </c>
      <c r="I97" s="5">
        <f t="shared" si="1"/>
        <v>3.5423728813559319E-2</v>
      </c>
      <c r="J97" s="2"/>
    </row>
    <row r="98" spans="1:10">
      <c r="A98" s="5" t="s">
        <v>55</v>
      </c>
      <c r="B98" s="5" t="s">
        <v>13</v>
      </c>
      <c r="C98" s="6">
        <v>45580</v>
      </c>
      <c r="D98" s="5">
        <v>33</v>
      </c>
      <c r="E98" s="2">
        <v>877.25</v>
      </c>
      <c r="F98" s="5">
        <v>0.27100000000000002</v>
      </c>
      <c r="G98" s="5">
        <f t="shared" si="0"/>
        <v>2.71</v>
      </c>
      <c r="H98" s="5">
        <v>76</v>
      </c>
      <c r="I98" s="5">
        <f t="shared" si="1"/>
        <v>3.5657894736842104E-2</v>
      </c>
      <c r="J98" s="2"/>
    </row>
    <row r="99" spans="1:10">
      <c r="A99" s="5" t="s">
        <v>56</v>
      </c>
      <c r="B99" s="5" t="s">
        <v>13</v>
      </c>
      <c r="C99" s="6">
        <v>45580</v>
      </c>
      <c r="D99" s="5">
        <v>33</v>
      </c>
      <c r="E99" s="2">
        <v>581.46</v>
      </c>
      <c r="F99" s="5">
        <v>0.2</v>
      </c>
      <c r="G99" s="5">
        <f t="shared" si="0"/>
        <v>2</v>
      </c>
      <c r="H99" s="5">
        <v>97</v>
      </c>
      <c r="I99" s="5">
        <f t="shared" si="1"/>
        <v>2.0618556701030927E-2</v>
      </c>
      <c r="J99" s="2"/>
    </row>
    <row r="100" spans="1:10">
      <c r="A100" s="5" t="s">
        <v>53</v>
      </c>
      <c r="B100" s="5" t="s">
        <v>19</v>
      </c>
      <c r="C100" s="6">
        <v>45573</v>
      </c>
      <c r="D100" s="5">
        <v>26</v>
      </c>
      <c r="E100" s="2">
        <v>249.16</v>
      </c>
      <c r="F100" s="5">
        <v>0.186</v>
      </c>
      <c r="G100" s="5">
        <f t="shared" si="0"/>
        <v>1.8599999999999999</v>
      </c>
      <c r="H100" s="5">
        <v>47</v>
      </c>
      <c r="I100" s="5">
        <f t="shared" si="1"/>
        <v>3.9574468085106382E-2</v>
      </c>
      <c r="J100" s="2"/>
    </row>
    <row r="101" spans="1:10">
      <c r="A101" s="5" t="s">
        <v>51</v>
      </c>
      <c r="B101" s="5" t="s">
        <v>19</v>
      </c>
      <c r="C101" s="6">
        <v>45573</v>
      </c>
      <c r="D101" s="5">
        <v>26</v>
      </c>
      <c r="E101" s="2">
        <v>281.63</v>
      </c>
      <c r="F101" s="5">
        <v>0.19600000000000001</v>
      </c>
      <c r="G101" s="5">
        <f t="shared" si="0"/>
        <v>1.96</v>
      </c>
      <c r="H101" s="5">
        <v>51</v>
      </c>
      <c r="I101" s="5">
        <f t="shared" si="1"/>
        <v>3.8431372549019606E-2</v>
      </c>
      <c r="J101" s="2"/>
    </row>
    <row r="102" spans="1:10">
      <c r="A102" s="5" t="s">
        <v>50</v>
      </c>
      <c r="B102" s="5" t="s">
        <v>19</v>
      </c>
      <c r="C102" s="6">
        <v>45573</v>
      </c>
      <c r="D102" s="5">
        <v>26</v>
      </c>
      <c r="E102" s="2">
        <v>188.06</v>
      </c>
      <c r="F102" s="5">
        <v>0.223</v>
      </c>
      <c r="G102" s="5">
        <f t="shared" si="0"/>
        <v>2.23</v>
      </c>
      <c r="H102" s="5">
        <v>65</v>
      </c>
      <c r="I102" s="5">
        <f t="shared" si="1"/>
        <v>3.430769230769231E-2</v>
      </c>
      <c r="J102" s="2"/>
    </row>
    <row r="103" spans="1:10">
      <c r="A103" s="5" t="s">
        <v>49</v>
      </c>
      <c r="B103" s="5" t="s">
        <v>19</v>
      </c>
      <c r="C103" s="6">
        <v>45573</v>
      </c>
      <c r="D103" s="5">
        <v>26</v>
      </c>
      <c r="E103" s="2">
        <v>689.59</v>
      </c>
      <c r="F103" s="5">
        <v>0.222</v>
      </c>
      <c r="G103" s="5">
        <f t="shared" si="0"/>
        <v>2.2200000000000002</v>
      </c>
      <c r="H103" s="5">
        <v>57</v>
      </c>
      <c r="I103" s="5">
        <f t="shared" si="1"/>
        <v>3.8947368421052633E-2</v>
      </c>
      <c r="J103" s="2"/>
    </row>
    <row r="104" spans="1:10">
      <c r="A104" s="5" t="s">
        <v>48</v>
      </c>
      <c r="B104" s="5" t="s">
        <v>19</v>
      </c>
      <c r="C104" s="6">
        <v>45573</v>
      </c>
      <c r="D104" s="5">
        <v>26</v>
      </c>
      <c r="E104" s="2">
        <v>366.1</v>
      </c>
      <c r="F104" s="5">
        <v>0.34</v>
      </c>
      <c r="G104" s="5">
        <f t="shared" si="0"/>
        <v>3.4000000000000004</v>
      </c>
      <c r="H104" s="5">
        <v>72</v>
      </c>
      <c r="I104" s="5">
        <f t="shared" si="1"/>
        <v>4.7222222222222228E-2</v>
      </c>
      <c r="J104" s="2"/>
    </row>
    <row r="105" spans="1:10">
      <c r="A105" s="5" t="s">
        <v>42</v>
      </c>
      <c r="B105" s="5" t="s">
        <v>19</v>
      </c>
      <c r="C105" s="6">
        <v>45573</v>
      </c>
      <c r="D105" s="5">
        <v>26</v>
      </c>
      <c r="E105" s="2">
        <v>482.84</v>
      </c>
      <c r="F105" s="5">
        <v>0.39700000000000002</v>
      </c>
      <c r="G105" s="5">
        <f t="shared" si="0"/>
        <v>3.97</v>
      </c>
      <c r="H105" s="5">
        <v>80</v>
      </c>
      <c r="I105" s="5">
        <f t="shared" si="1"/>
        <v>4.9625000000000002E-2</v>
      </c>
      <c r="J105" s="2"/>
    </row>
    <row r="106" spans="1:10">
      <c r="A106" s="5" t="s">
        <v>47</v>
      </c>
      <c r="B106" s="5" t="s">
        <v>16</v>
      </c>
      <c r="C106" s="6">
        <v>45573</v>
      </c>
      <c r="D106" s="5">
        <v>26</v>
      </c>
      <c r="E106" s="7">
        <v>232.73</v>
      </c>
      <c r="F106" s="5">
        <v>0.126</v>
      </c>
      <c r="G106" s="5">
        <f t="shared" si="0"/>
        <v>1.26</v>
      </c>
      <c r="H106" s="5">
        <v>54</v>
      </c>
      <c r="I106" s="5">
        <f t="shared" si="1"/>
        <v>2.3333333333333334E-2</v>
      </c>
      <c r="J106" s="7"/>
    </row>
    <row r="107" spans="1:10">
      <c r="A107" s="5" t="s">
        <v>46</v>
      </c>
      <c r="B107" s="5" t="s">
        <v>16</v>
      </c>
      <c r="C107" s="6">
        <v>45573</v>
      </c>
      <c r="D107" s="5">
        <v>26</v>
      </c>
      <c r="E107" s="2">
        <v>232.73</v>
      </c>
      <c r="F107" s="5">
        <v>0.27500000000000002</v>
      </c>
      <c r="G107" s="5">
        <f t="shared" ref="G107:G170" si="2">F107*10</f>
        <v>2.75</v>
      </c>
      <c r="H107" s="5">
        <v>61</v>
      </c>
      <c r="I107" s="5">
        <f t="shared" ref="I107:I170" si="3">G107/H107</f>
        <v>4.5081967213114756E-2</v>
      </c>
      <c r="J107" s="2"/>
    </row>
    <row r="108" spans="1:10">
      <c r="A108" s="5" t="s">
        <v>45</v>
      </c>
      <c r="B108" s="5" t="s">
        <v>16</v>
      </c>
      <c r="C108" s="6">
        <v>45573</v>
      </c>
      <c r="D108" s="5">
        <v>26</v>
      </c>
      <c r="E108" s="2">
        <v>296.45</v>
      </c>
      <c r="F108" s="5">
        <v>0.185</v>
      </c>
      <c r="G108" s="5">
        <f t="shared" si="2"/>
        <v>1.85</v>
      </c>
      <c r="H108" s="5">
        <v>62</v>
      </c>
      <c r="I108" s="5">
        <f t="shared" si="3"/>
        <v>2.9838709677419355E-2</v>
      </c>
      <c r="J108" s="2"/>
    </row>
    <row r="109" spans="1:10">
      <c r="A109" s="5" t="s">
        <v>44</v>
      </c>
      <c r="B109" s="5" t="s">
        <v>16</v>
      </c>
      <c r="C109" s="6">
        <v>45573</v>
      </c>
      <c r="D109" s="5">
        <v>26</v>
      </c>
      <c r="E109" s="2">
        <v>292.5</v>
      </c>
      <c r="F109" s="5">
        <v>0.17199999999999999</v>
      </c>
      <c r="G109" s="5">
        <f t="shared" si="2"/>
        <v>1.7199999999999998</v>
      </c>
      <c r="H109" s="5">
        <v>56</v>
      </c>
      <c r="I109" s="5">
        <f t="shared" si="3"/>
        <v>3.0714285714285711E-2</v>
      </c>
      <c r="J109" s="2"/>
    </row>
    <row r="110" spans="1:10">
      <c r="A110" s="5" t="s">
        <v>43</v>
      </c>
      <c r="B110" s="5" t="s">
        <v>16</v>
      </c>
      <c r="C110" s="6">
        <v>45573</v>
      </c>
      <c r="D110" s="5">
        <v>26</v>
      </c>
      <c r="E110" s="2">
        <v>633.94000000000005</v>
      </c>
      <c r="F110" s="5">
        <v>0.23400000000000001</v>
      </c>
      <c r="G110" s="5">
        <f t="shared" si="2"/>
        <v>2.3400000000000003</v>
      </c>
      <c r="H110" s="5">
        <v>79</v>
      </c>
      <c r="I110" s="5">
        <f t="shared" si="3"/>
        <v>2.9620253164556964E-2</v>
      </c>
      <c r="J110" s="2"/>
    </row>
    <row r="111" spans="1:10">
      <c r="A111" t="s">
        <v>54</v>
      </c>
      <c r="C111" s="1">
        <v>45580</v>
      </c>
      <c r="D111">
        <v>33</v>
      </c>
      <c r="E111" s="8">
        <v>343.19</v>
      </c>
      <c r="F111">
        <v>0.30199999999999999</v>
      </c>
      <c r="G111" s="5">
        <f t="shared" si="2"/>
        <v>3.02</v>
      </c>
      <c r="H111">
        <v>93</v>
      </c>
      <c r="I111" s="5">
        <f t="shared" si="3"/>
        <v>3.247311827956989E-2</v>
      </c>
      <c r="J111" s="8"/>
    </row>
    <row r="112" spans="1:10">
      <c r="A112" t="s">
        <v>52</v>
      </c>
      <c r="C112" s="1">
        <v>45580</v>
      </c>
      <c r="D112">
        <v>33</v>
      </c>
      <c r="E112" s="7">
        <v>459.47</v>
      </c>
      <c r="F112">
        <v>0.502</v>
      </c>
      <c r="G112" s="5">
        <f t="shared" si="2"/>
        <v>5.0199999999999996</v>
      </c>
      <c r="H112">
        <v>65</v>
      </c>
      <c r="I112" s="5">
        <f t="shared" si="3"/>
        <v>7.7230769230769228E-2</v>
      </c>
      <c r="J112" s="7"/>
    </row>
    <row r="113" spans="1:10">
      <c r="A113" t="s">
        <v>40</v>
      </c>
      <c r="C113" s="1">
        <v>45580</v>
      </c>
      <c r="D113">
        <v>33</v>
      </c>
      <c r="E113" s="8">
        <v>625</v>
      </c>
      <c r="F113">
        <v>0.13800000000000001</v>
      </c>
      <c r="G113" s="5">
        <f t="shared" si="2"/>
        <v>1.3800000000000001</v>
      </c>
      <c r="H113">
        <v>65</v>
      </c>
      <c r="I113" s="5">
        <f t="shared" si="3"/>
        <v>2.1230769230769234E-2</v>
      </c>
      <c r="J113" s="8"/>
    </row>
    <row r="114" spans="1:10">
      <c r="A114" t="s">
        <v>43</v>
      </c>
      <c r="C114" s="1">
        <v>45580</v>
      </c>
      <c r="D114">
        <v>33</v>
      </c>
      <c r="E114" s="8">
        <v>539</v>
      </c>
      <c r="F114">
        <v>0.30199999999999999</v>
      </c>
      <c r="G114" s="5">
        <f t="shared" si="2"/>
        <v>3.02</v>
      </c>
      <c r="H114">
        <v>82</v>
      </c>
      <c r="I114" s="5">
        <f t="shared" si="3"/>
        <v>3.6829268292682925E-2</v>
      </c>
      <c r="J114" s="8"/>
    </row>
    <row r="115" spans="1:10">
      <c r="A115" t="s">
        <v>44</v>
      </c>
      <c r="C115" s="1">
        <v>45580</v>
      </c>
      <c r="D115">
        <v>33</v>
      </c>
      <c r="E115" s="8">
        <v>819.95</v>
      </c>
      <c r="F115">
        <v>0.34399999999999997</v>
      </c>
      <c r="G115" s="5">
        <f t="shared" si="2"/>
        <v>3.4399999999999995</v>
      </c>
      <c r="H115">
        <v>100</v>
      </c>
      <c r="I115" s="5">
        <f t="shared" si="3"/>
        <v>3.4399999999999993E-2</v>
      </c>
      <c r="J115" s="8"/>
    </row>
    <row r="116" spans="1:10">
      <c r="A116" t="s">
        <v>45</v>
      </c>
      <c r="C116" s="1">
        <v>45580</v>
      </c>
      <c r="D116">
        <v>33</v>
      </c>
      <c r="E116" s="8">
        <v>396.12</v>
      </c>
      <c r="F116">
        <v>0.20599999999999999</v>
      </c>
      <c r="G116" s="5">
        <f t="shared" si="2"/>
        <v>2.06</v>
      </c>
      <c r="H116">
        <v>72</v>
      </c>
      <c r="I116" s="5">
        <f t="shared" si="3"/>
        <v>2.8611111111111111E-2</v>
      </c>
      <c r="J116" s="8"/>
    </row>
    <row r="117" spans="1:10">
      <c r="A117" t="s">
        <v>46</v>
      </c>
      <c r="C117" s="1">
        <v>45580</v>
      </c>
      <c r="D117">
        <v>33</v>
      </c>
      <c r="E117" s="8">
        <v>636.54</v>
      </c>
      <c r="F117">
        <v>0.13500000000000001</v>
      </c>
      <c r="G117" s="5">
        <f t="shared" si="2"/>
        <v>1.35</v>
      </c>
      <c r="H117">
        <v>42</v>
      </c>
      <c r="I117" s="5">
        <f t="shared" si="3"/>
        <v>3.2142857142857147E-2</v>
      </c>
      <c r="J117" s="8"/>
    </row>
    <row r="118" spans="1:10">
      <c r="A118" t="s">
        <v>47</v>
      </c>
      <c r="C118" s="1">
        <v>45580</v>
      </c>
      <c r="D118">
        <v>33</v>
      </c>
      <c r="E118" s="7">
        <v>278.66000000000003</v>
      </c>
      <c r="F118">
        <v>0.22700000000000001</v>
      </c>
      <c r="G118" s="5">
        <f t="shared" si="2"/>
        <v>2.27</v>
      </c>
      <c r="H118">
        <v>92</v>
      </c>
      <c r="I118" s="5">
        <f t="shared" si="3"/>
        <v>2.4673913043478261E-2</v>
      </c>
      <c r="J118" s="7"/>
    </row>
    <row r="119" spans="1:10">
      <c r="A119" t="s">
        <v>42</v>
      </c>
      <c r="C119" s="1">
        <v>45580</v>
      </c>
      <c r="D119">
        <v>33</v>
      </c>
      <c r="E119" s="8">
        <v>761.36</v>
      </c>
      <c r="F119">
        <v>0.33600000000000002</v>
      </c>
      <c r="G119" s="5">
        <f t="shared" si="2"/>
        <v>3.3600000000000003</v>
      </c>
      <c r="H119">
        <v>75</v>
      </c>
      <c r="I119" s="5">
        <f t="shared" si="3"/>
        <v>4.4800000000000006E-2</v>
      </c>
      <c r="J119" s="8"/>
    </row>
    <row r="120" spans="1:10">
      <c r="A120" t="s">
        <v>48</v>
      </c>
      <c r="C120" s="1">
        <v>45580</v>
      </c>
      <c r="D120">
        <v>33</v>
      </c>
      <c r="E120" s="8">
        <v>406.56</v>
      </c>
      <c r="F120">
        <v>0.123</v>
      </c>
      <c r="G120" s="5">
        <f t="shared" si="2"/>
        <v>1.23</v>
      </c>
      <c r="H120">
        <v>46</v>
      </c>
      <c r="I120" s="5">
        <f t="shared" si="3"/>
        <v>2.6739130434782609E-2</v>
      </c>
      <c r="J120" s="8"/>
    </row>
    <row r="121" spans="1:10">
      <c r="A121" t="s">
        <v>49</v>
      </c>
      <c r="C121" s="1">
        <v>45580</v>
      </c>
      <c r="D121">
        <v>33</v>
      </c>
      <c r="E121" s="8">
        <v>906.6</v>
      </c>
      <c r="F121">
        <v>0.46100000000000002</v>
      </c>
      <c r="G121" s="5">
        <f t="shared" si="2"/>
        <v>4.6100000000000003</v>
      </c>
      <c r="H121">
        <v>74</v>
      </c>
      <c r="I121" s="5">
        <f t="shared" si="3"/>
        <v>6.2297297297297299E-2</v>
      </c>
      <c r="J121" s="8"/>
    </row>
    <row r="122" spans="1:10">
      <c r="A122" t="s">
        <v>50</v>
      </c>
      <c r="C122" s="6">
        <v>45573</v>
      </c>
      <c r="D122">
        <v>26</v>
      </c>
      <c r="E122" s="8">
        <v>188.06</v>
      </c>
      <c r="F122">
        <v>0.502</v>
      </c>
      <c r="G122" s="5">
        <f t="shared" si="2"/>
        <v>5.0199999999999996</v>
      </c>
      <c r="H122">
        <v>78</v>
      </c>
      <c r="I122" s="5">
        <f t="shared" si="3"/>
        <v>6.435897435897435E-2</v>
      </c>
      <c r="J122" s="8"/>
    </row>
    <row r="123" spans="1:10">
      <c r="A123" t="s">
        <v>51</v>
      </c>
      <c r="C123" s="6">
        <v>45573</v>
      </c>
      <c r="D123">
        <v>26</v>
      </c>
      <c r="E123" s="8">
        <v>281.63</v>
      </c>
      <c r="F123">
        <v>0.19400000000000001</v>
      </c>
      <c r="G123" s="5">
        <f t="shared" si="2"/>
        <v>1.94</v>
      </c>
      <c r="H123">
        <v>65</v>
      </c>
      <c r="I123" s="5">
        <f t="shared" si="3"/>
        <v>2.9846153846153845E-2</v>
      </c>
      <c r="J123" s="8"/>
    </row>
    <row r="124" spans="1:10">
      <c r="A124" t="s">
        <v>53</v>
      </c>
      <c r="C124" s="6">
        <v>45573</v>
      </c>
      <c r="D124">
        <v>26</v>
      </c>
      <c r="E124" s="7">
        <v>249.16</v>
      </c>
      <c r="F124">
        <v>0.22800000000000001</v>
      </c>
      <c r="G124" s="5">
        <f t="shared" si="2"/>
        <v>2.2800000000000002</v>
      </c>
      <c r="H124">
        <v>57</v>
      </c>
      <c r="I124" s="5">
        <f t="shared" si="3"/>
        <v>4.0000000000000008E-2</v>
      </c>
      <c r="J124" s="7"/>
    </row>
    <row r="125" spans="1:10">
      <c r="A125" t="s">
        <v>62</v>
      </c>
      <c r="C125" s="6">
        <v>45573</v>
      </c>
      <c r="D125">
        <v>26</v>
      </c>
      <c r="E125" s="8">
        <v>1479.68</v>
      </c>
      <c r="F125">
        <v>0.498</v>
      </c>
      <c r="G125" s="5">
        <f t="shared" si="2"/>
        <v>4.9800000000000004</v>
      </c>
      <c r="H125">
        <v>69</v>
      </c>
      <c r="I125" s="5">
        <f t="shared" si="3"/>
        <v>7.2173913043478269E-2</v>
      </c>
      <c r="J125" s="8"/>
    </row>
    <row r="126" spans="1:10">
      <c r="A126" t="s">
        <v>63</v>
      </c>
      <c r="C126" s="6">
        <v>45573</v>
      </c>
      <c r="D126">
        <v>26</v>
      </c>
      <c r="E126" s="8">
        <v>608.26</v>
      </c>
      <c r="F126">
        <v>0.19500000000000001</v>
      </c>
      <c r="G126" s="5">
        <f t="shared" si="2"/>
        <v>1.9500000000000002</v>
      </c>
      <c r="H126">
        <v>53</v>
      </c>
      <c r="I126" s="5">
        <f t="shared" si="3"/>
        <v>3.6792452830188685E-2</v>
      </c>
      <c r="J126" s="8"/>
    </row>
    <row r="127" spans="1:10">
      <c r="A127" t="s">
        <v>61</v>
      </c>
      <c r="C127" s="6">
        <v>45573</v>
      </c>
      <c r="D127">
        <v>26</v>
      </c>
      <c r="E127" s="8">
        <v>327.23</v>
      </c>
      <c r="F127">
        <v>0.33900000000000002</v>
      </c>
      <c r="G127" s="5">
        <f t="shared" si="2"/>
        <v>3.39</v>
      </c>
      <c r="H127">
        <v>100</v>
      </c>
      <c r="I127" s="5">
        <f t="shared" si="3"/>
        <v>3.39E-2</v>
      </c>
      <c r="J127" s="8"/>
    </row>
    <row r="128" spans="1:10">
      <c r="A128" t="s">
        <v>35</v>
      </c>
      <c r="C128" s="6">
        <v>45573</v>
      </c>
      <c r="D128">
        <v>26</v>
      </c>
      <c r="E128" s="8">
        <v>296.35000000000002</v>
      </c>
      <c r="F128">
        <v>0.247</v>
      </c>
      <c r="G128" s="5">
        <f t="shared" si="2"/>
        <v>2.4699999999999998</v>
      </c>
      <c r="H128">
        <v>80</v>
      </c>
      <c r="I128" s="5">
        <f t="shared" si="3"/>
        <v>3.0874999999999996E-2</v>
      </c>
      <c r="J128" s="8"/>
    </row>
    <row r="129" spans="1:10">
      <c r="A129" t="s">
        <v>36</v>
      </c>
      <c r="C129" s="6">
        <v>45573</v>
      </c>
      <c r="D129">
        <v>26</v>
      </c>
      <c r="E129" s="8">
        <v>261.61</v>
      </c>
      <c r="F129">
        <v>0.23699999999999999</v>
      </c>
      <c r="G129" s="5">
        <f t="shared" si="2"/>
        <v>2.37</v>
      </c>
      <c r="H129">
        <v>70</v>
      </c>
      <c r="I129" s="5">
        <f t="shared" si="3"/>
        <v>3.3857142857142856E-2</v>
      </c>
      <c r="J129" s="8"/>
    </row>
    <row r="130" spans="1:10">
      <c r="A130" t="s">
        <v>37</v>
      </c>
      <c r="C130" s="6">
        <v>45573</v>
      </c>
      <c r="D130">
        <v>26</v>
      </c>
      <c r="E130" s="7">
        <v>261.61</v>
      </c>
      <c r="F130">
        <v>0.127</v>
      </c>
      <c r="G130" s="5">
        <f t="shared" si="2"/>
        <v>1.27</v>
      </c>
      <c r="H130">
        <v>49</v>
      </c>
      <c r="I130" s="5">
        <f t="shared" si="3"/>
        <v>2.5918367346938778E-2</v>
      </c>
      <c r="J130" s="7"/>
    </row>
    <row r="131" spans="1:10">
      <c r="A131" t="s">
        <v>38</v>
      </c>
      <c r="C131" s="6">
        <v>45573</v>
      </c>
      <c r="D131">
        <v>26</v>
      </c>
      <c r="E131" s="8">
        <v>310.39999999999998</v>
      </c>
      <c r="F131">
        <v>0.42899999999999999</v>
      </c>
      <c r="G131" s="5">
        <f t="shared" si="2"/>
        <v>4.29</v>
      </c>
      <c r="H131">
        <v>92</v>
      </c>
      <c r="I131" s="5">
        <f t="shared" si="3"/>
        <v>4.6630434782608698E-2</v>
      </c>
      <c r="J131" s="8"/>
    </row>
    <row r="132" spans="1:10">
      <c r="A132" t="s">
        <v>39</v>
      </c>
      <c r="C132" s="6">
        <v>45573</v>
      </c>
      <c r="D132">
        <v>26</v>
      </c>
      <c r="E132" s="8">
        <v>382.23</v>
      </c>
      <c r="F132">
        <v>0.158</v>
      </c>
      <c r="G132" s="5">
        <f t="shared" si="2"/>
        <v>1.58</v>
      </c>
      <c r="H132">
        <v>41</v>
      </c>
      <c r="I132" s="5">
        <f t="shared" si="3"/>
        <v>3.8536585365853658E-2</v>
      </c>
      <c r="J132" s="8"/>
    </row>
    <row r="133" spans="1:10">
      <c r="A133" t="s">
        <v>55</v>
      </c>
      <c r="C133" s="6">
        <v>45573</v>
      </c>
      <c r="D133">
        <v>26</v>
      </c>
      <c r="E133" s="8">
        <v>366.1</v>
      </c>
      <c r="F133">
        <v>0.27200000000000002</v>
      </c>
      <c r="G133" s="5">
        <f t="shared" si="2"/>
        <v>2.72</v>
      </c>
      <c r="H133">
        <v>80</v>
      </c>
      <c r="I133" s="5">
        <f t="shared" si="3"/>
        <v>3.4000000000000002E-2</v>
      </c>
      <c r="J133" s="8"/>
    </row>
    <row r="134" spans="1:10">
      <c r="A134" t="s">
        <v>56</v>
      </c>
      <c r="C134" s="6">
        <v>45573</v>
      </c>
      <c r="D134">
        <v>26</v>
      </c>
      <c r="E134" s="8">
        <v>310.01</v>
      </c>
      <c r="F134">
        <v>0.121</v>
      </c>
      <c r="G134" s="5">
        <f t="shared" si="2"/>
        <v>1.21</v>
      </c>
      <c r="H134">
        <v>70</v>
      </c>
      <c r="I134" s="5">
        <f t="shared" si="3"/>
        <v>1.7285714285714286E-2</v>
      </c>
      <c r="J134" s="8"/>
    </row>
    <row r="135" spans="1:10">
      <c r="A135" t="s">
        <v>54</v>
      </c>
      <c r="C135" s="6">
        <v>45573</v>
      </c>
      <c r="D135">
        <v>26</v>
      </c>
      <c r="E135" s="8">
        <v>268.36</v>
      </c>
      <c r="F135">
        <v>0.25600000000000001</v>
      </c>
      <c r="G135" s="5">
        <f t="shared" si="2"/>
        <v>2.56</v>
      </c>
      <c r="H135">
        <v>91</v>
      </c>
      <c r="I135" s="5">
        <f t="shared" si="3"/>
        <v>2.8131868131868132E-2</v>
      </c>
      <c r="J135" s="8"/>
    </row>
    <row r="136" spans="1:10">
      <c r="A136" t="s">
        <v>52</v>
      </c>
      <c r="C136" s="6">
        <v>45573</v>
      </c>
      <c r="D136">
        <v>26</v>
      </c>
      <c r="E136" s="7">
        <v>268.36</v>
      </c>
      <c r="F136">
        <v>0.19400000000000001</v>
      </c>
      <c r="G136" s="5">
        <f t="shared" si="2"/>
        <v>1.94</v>
      </c>
      <c r="H136">
        <v>64</v>
      </c>
      <c r="I136" s="5">
        <f t="shared" si="3"/>
        <v>3.0312499999999999E-2</v>
      </c>
      <c r="J136" s="7"/>
    </row>
    <row r="137" spans="1:10">
      <c r="A137" t="s">
        <v>40</v>
      </c>
      <c r="C137" s="6">
        <v>45573</v>
      </c>
      <c r="D137">
        <v>26</v>
      </c>
      <c r="E137" s="8">
        <v>367.42</v>
      </c>
      <c r="F137">
        <v>0.151</v>
      </c>
      <c r="G137" s="5">
        <f t="shared" si="2"/>
        <v>1.51</v>
      </c>
      <c r="H137">
        <v>51</v>
      </c>
      <c r="I137" s="5">
        <f t="shared" si="3"/>
        <v>2.9607843137254904E-2</v>
      </c>
      <c r="J137" s="8"/>
    </row>
    <row r="138" spans="1:10">
      <c r="A138" t="s">
        <v>35</v>
      </c>
      <c r="C138" s="6">
        <v>45566</v>
      </c>
      <c r="D138">
        <v>19</v>
      </c>
      <c r="E138" s="8">
        <v>328.54</v>
      </c>
      <c r="F138">
        <v>0.21</v>
      </c>
      <c r="G138" s="5">
        <f t="shared" si="2"/>
        <v>2.1</v>
      </c>
      <c r="H138">
        <v>172</v>
      </c>
      <c r="I138" s="5">
        <f t="shared" si="3"/>
        <v>1.2209302325581395E-2</v>
      </c>
      <c r="J138" s="8"/>
    </row>
    <row r="139" spans="1:10">
      <c r="A139" t="s">
        <v>36</v>
      </c>
      <c r="C139" s="6">
        <v>45566</v>
      </c>
      <c r="D139">
        <v>19</v>
      </c>
      <c r="E139" s="8">
        <v>254.95</v>
      </c>
      <c r="F139">
        <v>0.22600000000000001</v>
      </c>
      <c r="G139" s="5">
        <f t="shared" si="2"/>
        <v>2.2600000000000002</v>
      </c>
      <c r="H139">
        <v>188</v>
      </c>
      <c r="I139" s="5">
        <f t="shared" si="3"/>
        <v>1.2021276595744682E-2</v>
      </c>
      <c r="J139" s="8"/>
    </row>
    <row r="140" spans="1:10">
      <c r="A140" t="s">
        <v>37</v>
      </c>
      <c r="C140" s="6">
        <v>45566</v>
      </c>
      <c r="D140">
        <v>19</v>
      </c>
      <c r="E140" s="7">
        <v>183.75</v>
      </c>
      <c r="F140">
        <v>0.16300000000000001</v>
      </c>
      <c r="G140" s="5">
        <f t="shared" si="2"/>
        <v>1.6300000000000001</v>
      </c>
      <c r="H140">
        <v>153</v>
      </c>
      <c r="I140" s="5">
        <f t="shared" si="3"/>
        <v>1.0653594771241831E-2</v>
      </c>
      <c r="J140" s="7"/>
    </row>
    <row r="141" spans="1:10">
      <c r="A141" t="s">
        <v>55</v>
      </c>
      <c r="C141" s="6">
        <v>45566</v>
      </c>
      <c r="D141">
        <v>19</v>
      </c>
      <c r="E141" s="8">
        <v>457.65</v>
      </c>
      <c r="F141">
        <v>0.377</v>
      </c>
      <c r="G141" s="5">
        <f t="shared" si="2"/>
        <v>3.77</v>
      </c>
      <c r="H141">
        <v>195</v>
      </c>
      <c r="I141" s="5">
        <f t="shared" si="3"/>
        <v>1.9333333333333334E-2</v>
      </c>
      <c r="J141" s="8"/>
    </row>
    <row r="142" spans="1:10">
      <c r="A142" t="s">
        <v>56</v>
      </c>
      <c r="C142" s="6">
        <v>45566</v>
      </c>
      <c r="D142">
        <v>19</v>
      </c>
      <c r="E142" s="8">
        <v>281.63</v>
      </c>
      <c r="F142">
        <v>0.13400000000000001</v>
      </c>
      <c r="G142" s="5">
        <f t="shared" si="2"/>
        <v>1.34</v>
      </c>
      <c r="H142">
        <v>167</v>
      </c>
      <c r="I142" s="5">
        <f t="shared" si="3"/>
        <v>8.0239520958083829E-3</v>
      </c>
      <c r="J142" s="8"/>
    </row>
    <row r="143" spans="1:10">
      <c r="A143" t="s">
        <v>52</v>
      </c>
      <c r="C143" s="6">
        <v>45566</v>
      </c>
      <c r="D143">
        <v>19</v>
      </c>
      <c r="E143" s="7">
        <v>255.94</v>
      </c>
      <c r="F143">
        <v>0.104</v>
      </c>
      <c r="G143" s="5">
        <f t="shared" si="2"/>
        <v>1.04</v>
      </c>
      <c r="H143">
        <v>136</v>
      </c>
      <c r="I143" s="5">
        <f t="shared" si="3"/>
        <v>7.6470588235294122E-3</v>
      </c>
      <c r="J143" s="7"/>
    </row>
    <row r="144" spans="1:10">
      <c r="A144" t="s">
        <v>43</v>
      </c>
      <c r="C144" s="6">
        <v>45566</v>
      </c>
      <c r="D144">
        <v>19</v>
      </c>
      <c r="E144" s="8">
        <v>285.95</v>
      </c>
      <c r="F144">
        <v>0.223</v>
      </c>
      <c r="G144" s="5">
        <f t="shared" si="2"/>
        <v>2.23</v>
      </c>
      <c r="H144">
        <v>156</v>
      </c>
      <c r="I144" s="5">
        <f t="shared" si="3"/>
        <v>1.4294871794871794E-2</v>
      </c>
      <c r="J144" s="8"/>
    </row>
    <row r="145" spans="1:10">
      <c r="A145" t="s">
        <v>45</v>
      </c>
      <c r="C145" s="6">
        <v>45566</v>
      </c>
      <c r="D145">
        <v>19</v>
      </c>
      <c r="E145" s="8">
        <v>230.3</v>
      </c>
      <c r="F145">
        <v>0.26600000000000001</v>
      </c>
      <c r="G145" s="5">
        <f t="shared" si="2"/>
        <v>2.66</v>
      </c>
      <c r="H145">
        <v>164</v>
      </c>
      <c r="I145" s="5">
        <f t="shared" si="3"/>
        <v>1.6219512195121952E-2</v>
      </c>
      <c r="J145" s="8"/>
    </row>
    <row r="146" spans="1:10">
      <c r="A146" t="s">
        <v>46</v>
      </c>
      <c r="C146" s="6">
        <v>45566</v>
      </c>
      <c r="D146">
        <v>19</v>
      </c>
      <c r="E146" s="8">
        <v>242.59</v>
      </c>
      <c r="F146">
        <v>0.23699999999999999</v>
      </c>
      <c r="G146" s="5">
        <f t="shared" si="2"/>
        <v>2.37</v>
      </c>
      <c r="H146">
        <v>164</v>
      </c>
      <c r="I146" s="5">
        <f t="shared" si="3"/>
        <v>1.4451219512195123E-2</v>
      </c>
      <c r="J146" s="8"/>
    </row>
    <row r="147" spans="1:10">
      <c r="A147" t="s">
        <v>47</v>
      </c>
      <c r="C147" s="6">
        <v>45566</v>
      </c>
      <c r="D147">
        <v>19</v>
      </c>
      <c r="E147" s="7">
        <v>172.06</v>
      </c>
      <c r="F147">
        <v>0.21</v>
      </c>
      <c r="G147" s="5">
        <f t="shared" si="2"/>
        <v>2.1</v>
      </c>
      <c r="H147">
        <v>163</v>
      </c>
      <c r="I147" s="5">
        <f t="shared" si="3"/>
        <v>1.2883435582822086E-2</v>
      </c>
      <c r="J147" s="7"/>
    </row>
    <row r="148" spans="1:10">
      <c r="A148" t="s">
        <v>42</v>
      </c>
      <c r="C148" s="6">
        <v>45566</v>
      </c>
      <c r="D148">
        <v>19</v>
      </c>
      <c r="E148" s="8">
        <v>384.75</v>
      </c>
      <c r="F148">
        <v>0.26600000000000001</v>
      </c>
      <c r="G148" s="5">
        <f t="shared" si="2"/>
        <v>2.66</v>
      </c>
      <c r="H148">
        <v>188</v>
      </c>
      <c r="I148" s="5">
        <f t="shared" si="3"/>
        <v>1.4148936170212767E-2</v>
      </c>
      <c r="J148" s="8"/>
    </row>
    <row r="149" spans="1:10">
      <c r="A149" t="s">
        <v>48</v>
      </c>
      <c r="C149" s="6">
        <v>45566</v>
      </c>
      <c r="D149">
        <v>19</v>
      </c>
      <c r="E149" s="8">
        <v>256</v>
      </c>
      <c r="F149">
        <v>0.30099999999999999</v>
      </c>
      <c r="G149" s="5">
        <f t="shared" si="2"/>
        <v>3.01</v>
      </c>
      <c r="H149">
        <v>185</v>
      </c>
      <c r="I149" s="5">
        <f t="shared" si="3"/>
        <v>1.6270270270270268E-2</v>
      </c>
      <c r="J149" s="8"/>
    </row>
    <row r="150" spans="1:10">
      <c r="A150" t="s">
        <v>49</v>
      </c>
      <c r="C150" s="6">
        <v>45566</v>
      </c>
      <c r="D150">
        <v>19</v>
      </c>
      <c r="E150" s="8">
        <v>373.18</v>
      </c>
      <c r="F150">
        <v>0.22800000000000001</v>
      </c>
      <c r="G150" s="5">
        <f t="shared" si="2"/>
        <v>2.2800000000000002</v>
      </c>
      <c r="H150">
        <v>167</v>
      </c>
      <c r="I150" s="5">
        <f t="shared" si="3"/>
        <v>1.3652694610778445E-2</v>
      </c>
      <c r="J150" s="8"/>
    </row>
    <row r="151" spans="1:10">
      <c r="A151" t="s">
        <v>50</v>
      </c>
      <c r="C151" s="6">
        <v>45566</v>
      </c>
      <c r="D151">
        <v>19</v>
      </c>
      <c r="E151" s="8">
        <v>152.1</v>
      </c>
      <c r="F151">
        <v>0.22600000000000001</v>
      </c>
      <c r="G151" s="5">
        <f t="shared" si="2"/>
        <v>2.2600000000000002</v>
      </c>
      <c r="H151">
        <v>159</v>
      </c>
      <c r="I151" s="5">
        <f t="shared" si="3"/>
        <v>1.4213836477987423E-2</v>
      </c>
      <c r="J151" s="8"/>
    </row>
    <row r="152" spans="1:10">
      <c r="A152" t="s">
        <v>51</v>
      </c>
      <c r="C152" s="6">
        <v>45566</v>
      </c>
      <c r="D152">
        <v>19</v>
      </c>
      <c r="E152" s="8">
        <v>169</v>
      </c>
      <c r="F152">
        <v>0.17499999999999999</v>
      </c>
      <c r="G152" s="5">
        <f t="shared" si="2"/>
        <v>1.75</v>
      </c>
      <c r="H152">
        <v>193</v>
      </c>
      <c r="I152" s="5">
        <f t="shared" si="3"/>
        <v>9.0673575129533671E-3</v>
      </c>
      <c r="J152" s="8"/>
    </row>
    <row r="153" spans="1:10">
      <c r="A153" t="s">
        <v>53</v>
      </c>
      <c r="C153" s="6">
        <v>45566</v>
      </c>
      <c r="D153">
        <v>19</v>
      </c>
      <c r="E153" s="7">
        <v>196.52</v>
      </c>
      <c r="F153">
        <v>0.112</v>
      </c>
      <c r="G153" s="5">
        <f t="shared" si="2"/>
        <v>1.1200000000000001</v>
      </c>
      <c r="H153">
        <v>159</v>
      </c>
      <c r="I153" s="5">
        <f t="shared" si="3"/>
        <v>7.0440251572327049E-3</v>
      </c>
      <c r="J153" s="7"/>
    </row>
    <row r="154" spans="1:10">
      <c r="A154" t="s">
        <v>30</v>
      </c>
      <c r="C154" s="6">
        <v>45552</v>
      </c>
      <c r="D154">
        <v>5</v>
      </c>
      <c r="E154" s="8">
        <v>219.04</v>
      </c>
      <c r="F154">
        <v>0.23</v>
      </c>
      <c r="G154" s="5">
        <f t="shared" si="2"/>
        <v>2.3000000000000003</v>
      </c>
      <c r="H154">
        <v>68</v>
      </c>
      <c r="I154" s="5">
        <f t="shared" si="3"/>
        <v>3.3823529411764711E-2</v>
      </c>
      <c r="J154" s="8"/>
    </row>
    <row r="155" spans="1:10">
      <c r="A155" t="s">
        <v>31</v>
      </c>
      <c r="C155" s="6">
        <v>45552</v>
      </c>
      <c r="D155">
        <v>5</v>
      </c>
      <c r="E155" s="8">
        <v>147.88</v>
      </c>
      <c r="F155">
        <v>0.308</v>
      </c>
      <c r="G155" s="5">
        <f t="shared" si="2"/>
        <v>3.08</v>
      </c>
      <c r="H155">
        <v>82</v>
      </c>
      <c r="I155" s="5">
        <f t="shared" si="3"/>
        <v>3.7560975609756096E-2</v>
      </c>
      <c r="J155" s="8"/>
    </row>
    <row r="156" spans="1:10">
      <c r="A156" t="s">
        <v>35</v>
      </c>
      <c r="C156" s="6">
        <v>45552</v>
      </c>
      <c r="D156">
        <v>5</v>
      </c>
      <c r="E156" s="8">
        <v>126</v>
      </c>
      <c r="F156">
        <v>0.16200000000000001</v>
      </c>
      <c r="G156" s="5">
        <f t="shared" si="2"/>
        <v>1.62</v>
      </c>
      <c r="H156">
        <v>57</v>
      </c>
      <c r="I156" s="5">
        <f t="shared" si="3"/>
        <v>2.8421052631578948E-2</v>
      </c>
      <c r="J156" s="8"/>
    </row>
    <row r="157" spans="1:10">
      <c r="A157" t="s">
        <v>36</v>
      </c>
      <c r="C157" s="6">
        <v>45552</v>
      </c>
      <c r="D157">
        <v>5</v>
      </c>
      <c r="E157" s="8">
        <v>117</v>
      </c>
      <c r="F157">
        <v>0.182</v>
      </c>
      <c r="G157" s="5">
        <f t="shared" si="2"/>
        <v>1.8199999999999998</v>
      </c>
      <c r="H157">
        <v>75</v>
      </c>
      <c r="I157" s="5">
        <f t="shared" si="3"/>
        <v>2.4266666666666666E-2</v>
      </c>
      <c r="J157" s="8"/>
    </row>
    <row r="158" spans="1:10">
      <c r="A158" t="s">
        <v>37</v>
      </c>
      <c r="C158" s="6">
        <v>45552</v>
      </c>
      <c r="D158">
        <v>5</v>
      </c>
      <c r="E158" s="7">
        <v>75</v>
      </c>
      <c r="F158">
        <v>0.17100000000000001</v>
      </c>
      <c r="G158" s="5">
        <f t="shared" si="2"/>
        <v>1.7100000000000002</v>
      </c>
      <c r="H158">
        <v>67</v>
      </c>
      <c r="I158" s="5">
        <f t="shared" si="3"/>
        <v>2.5522388059701494E-2</v>
      </c>
      <c r="J158" s="7"/>
    </row>
    <row r="159" spans="1:10">
      <c r="A159" t="s">
        <v>32</v>
      </c>
      <c r="C159" s="6">
        <v>45552</v>
      </c>
      <c r="D159">
        <v>5</v>
      </c>
      <c r="E159" s="8">
        <v>196.52</v>
      </c>
      <c r="F159">
        <v>0.26900000000000002</v>
      </c>
      <c r="G159" s="5">
        <f t="shared" si="2"/>
        <v>2.6900000000000004</v>
      </c>
      <c r="H159">
        <v>25</v>
      </c>
      <c r="I159" s="5">
        <f t="shared" si="3"/>
        <v>0.10760000000000002</v>
      </c>
      <c r="J159" s="8"/>
    </row>
    <row r="160" spans="1:10">
      <c r="A160" t="s">
        <v>38</v>
      </c>
      <c r="C160" s="6">
        <v>45552</v>
      </c>
      <c r="D160">
        <v>5</v>
      </c>
      <c r="E160" s="8">
        <v>173.4</v>
      </c>
      <c r="F160">
        <v>0.22</v>
      </c>
      <c r="G160" s="5">
        <f t="shared" si="2"/>
        <v>2.2000000000000002</v>
      </c>
      <c r="H160">
        <v>75</v>
      </c>
      <c r="I160" s="5">
        <f t="shared" si="3"/>
        <v>2.9333333333333336E-2</v>
      </c>
      <c r="J160" s="8"/>
    </row>
    <row r="161" spans="1:10">
      <c r="A161" t="s">
        <v>39</v>
      </c>
      <c r="C161" s="6">
        <v>45552</v>
      </c>
      <c r="D161">
        <v>5</v>
      </c>
      <c r="E161" s="8">
        <v>143.65</v>
      </c>
      <c r="F161">
        <v>0.26800000000000002</v>
      </c>
      <c r="G161" s="5">
        <f t="shared" si="2"/>
        <v>2.68</v>
      </c>
      <c r="H161">
        <v>78</v>
      </c>
      <c r="I161" s="5">
        <f t="shared" si="3"/>
        <v>3.4358974358974358E-2</v>
      </c>
      <c r="J161" s="8"/>
    </row>
    <row r="162" spans="1:10">
      <c r="A162" t="s">
        <v>60</v>
      </c>
      <c r="C162" s="6">
        <v>45552</v>
      </c>
      <c r="D162">
        <v>5</v>
      </c>
      <c r="E162" s="8">
        <v>122.4</v>
      </c>
      <c r="F162">
        <v>0.26100000000000001</v>
      </c>
      <c r="G162" s="5">
        <f t="shared" si="2"/>
        <v>2.6100000000000003</v>
      </c>
      <c r="H162">
        <v>74</v>
      </c>
      <c r="I162" s="5">
        <f t="shared" si="3"/>
        <v>3.5270270270270278E-2</v>
      </c>
      <c r="J162" s="8"/>
    </row>
    <row r="163" spans="1:10">
      <c r="A163" t="s">
        <v>55</v>
      </c>
      <c r="C163" s="6">
        <v>45552</v>
      </c>
      <c r="D163">
        <v>5</v>
      </c>
      <c r="E163" s="8">
        <v>151.84</v>
      </c>
      <c r="F163">
        <v>0.22800000000000001</v>
      </c>
      <c r="G163" s="5">
        <f t="shared" si="2"/>
        <v>2.2800000000000002</v>
      </c>
      <c r="H163">
        <v>90</v>
      </c>
      <c r="I163" s="5">
        <f t="shared" si="3"/>
        <v>2.5333333333333336E-2</v>
      </c>
      <c r="J163" s="8"/>
    </row>
    <row r="164" spans="1:10">
      <c r="A164" t="s">
        <v>56</v>
      </c>
      <c r="C164" s="6">
        <v>45552</v>
      </c>
      <c r="D164">
        <v>5</v>
      </c>
      <c r="E164" s="8">
        <v>109.76</v>
      </c>
      <c r="F164">
        <v>0.23</v>
      </c>
      <c r="G164" s="5">
        <f t="shared" si="2"/>
        <v>2.3000000000000003</v>
      </c>
      <c r="H164">
        <v>96</v>
      </c>
      <c r="I164" s="5">
        <f t="shared" si="3"/>
        <v>2.3958333333333335E-2</v>
      </c>
      <c r="J164" s="8"/>
    </row>
    <row r="165" spans="1:10">
      <c r="A165" t="s">
        <v>54</v>
      </c>
      <c r="C165" s="6">
        <v>45552</v>
      </c>
      <c r="D165">
        <v>5</v>
      </c>
      <c r="E165" s="8">
        <v>105.88</v>
      </c>
      <c r="F165">
        <v>0.17</v>
      </c>
      <c r="G165" s="5">
        <f t="shared" si="2"/>
        <v>1.7000000000000002</v>
      </c>
      <c r="H165">
        <v>68</v>
      </c>
      <c r="I165" s="5">
        <f t="shared" si="3"/>
        <v>2.5000000000000001E-2</v>
      </c>
      <c r="J165" s="8"/>
    </row>
    <row r="166" spans="1:10">
      <c r="A166" t="s">
        <v>52</v>
      </c>
      <c r="C166" s="6">
        <v>45552</v>
      </c>
      <c r="D166">
        <v>5</v>
      </c>
      <c r="E166" s="7">
        <v>98.31</v>
      </c>
      <c r="F166">
        <v>0.29799999999999999</v>
      </c>
      <c r="G166" s="5">
        <f t="shared" si="2"/>
        <v>2.98</v>
      </c>
      <c r="H166">
        <v>90</v>
      </c>
      <c r="I166" s="5">
        <f t="shared" si="3"/>
        <v>3.3111111111111112E-2</v>
      </c>
      <c r="J166" s="7"/>
    </row>
    <row r="167" spans="1:10">
      <c r="A167" t="s">
        <v>33</v>
      </c>
      <c r="C167" s="6">
        <v>45552</v>
      </c>
      <c r="D167">
        <v>5</v>
      </c>
      <c r="E167" s="8">
        <v>170.58</v>
      </c>
      <c r="F167">
        <v>0.151</v>
      </c>
      <c r="G167" s="5">
        <f t="shared" si="2"/>
        <v>1.51</v>
      </c>
      <c r="H167">
        <v>65</v>
      </c>
      <c r="I167" s="5">
        <f t="shared" si="3"/>
        <v>2.3230769230769232E-2</v>
      </c>
      <c r="J167" s="8"/>
    </row>
    <row r="168" spans="1:10">
      <c r="A168" t="s">
        <v>23</v>
      </c>
      <c r="C168" s="6">
        <v>45552</v>
      </c>
      <c r="D168">
        <v>5</v>
      </c>
      <c r="E168" s="8">
        <v>188.06</v>
      </c>
      <c r="F168">
        <v>0.24299999999999999</v>
      </c>
      <c r="G168" s="5">
        <f t="shared" si="2"/>
        <v>2.4299999999999997</v>
      </c>
      <c r="H168">
        <v>76</v>
      </c>
      <c r="I168" s="5">
        <f t="shared" si="3"/>
        <v>3.1973684210526314E-2</v>
      </c>
      <c r="J168" s="8"/>
    </row>
    <row r="169" spans="1:10">
      <c r="A169" t="s">
        <v>40</v>
      </c>
      <c r="C169" s="6">
        <v>45552</v>
      </c>
      <c r="D169">
        <v>5</v>
      </c>
      <c r="E169" s="8">
        <v>157.6</v>
      </c>
      <c r="F169">
        <v>0.115</v>
      </c>
      <c r="G169" s="5">
        <f t="shared" si="2"/>
        <v>1.1500000000000001</v>
      </c>
      <c r="H169">
        <v>64</v>
      </c>
      <c r="I169" s="5">
        <f t="shared" si="3"/>
        <v>1.7968750000000002E-2</v>
      </c>
      <c r="J169" s="8"/>
    </row>
    <row r="170" spans="1:10">
      <c r="A170" t="s">
        <v>43</v>
      </c>
      <c r="C170" s="6">
        <v>45552</v>
      </c>
      <c r="D170">
        <v>5</v>
      </c>
      <c r="E170" s="8">
        <v>177.32</v>
      </c>
      <c r="F170">
        <v>0.154</v>
      </c>
      <c r="G170" s="5">
        <f t="shared" si="2"/>
        <v>1.54</v>
      </c>
      <c r="H170">
        <v>81</v>
      </c>
      <c r="I170" s="5">
        <f t="shared" si="3"/>
        <v>1.9012345679012346E-2</v>
      </c>
      <c r="J170" s="8"/>
    </row>
    <row r="171" spans="1:10">
      <c r="A171" t="s">
        <v>44</v>
      </c>
      <c r="C171" s="6">
        <v>45552</v>
      </c>
      <c r="D171">
        <v>5</v>
      </c>
      <c r="E171" s="8">
        <v>169</v>
      </c>
      <c r="F171">
        <v>0.26900000000000002</v>
      </c>
      <c r="G171" s="5">
        <f t="shared" ref="G171:G186" si="4">F171*10</f>
        <v>2.6900000000000004</v>
      </c>
      <c r="H171">
        <v>77</v>
      </c>
      <c r="I171" s="5">
        <f t="shared" ref="I171:I185" si="5">G171/H171</f>
        <v>3.4935064935064937E-2</v>
      </c>
      <c r="J171" s="8"/>
    </row>
    <row r="172" spans="1:10">
      <c r="A172" t="s">
        <v>45</v>
      </c>
      <c r="C172" s="6">
        <v>45552</v>
      </c>
      <c r="D172">
        <v>5</v>
      </c>
      <c r="E172" s="8">
        <v>98.31</v>
      </c>
      <c r="F172">
        <v>0.72199999999999998</v>
      </c>
      <c r="G172" s="5">
        <f t="shared" si="4"/>
        <v>7.22</v>
      </c>
      <c r="H172">
        <v>83</v>
      </c>
      <c r="I172" s="5">
        <f t="shared" si="5"/>
        <v>8.6987951807228917E-2</v>
      </c>
      <c r="J172" s="8"/>
    </row>
    <row r="173" spans="1:10">
      <c r="A173" t="s">
        <v>46</v>
      </c>
      <c r="C173" s="6">
        <v>45552</v>
      </c>
      <c r="D173">
        <v>5</v>
      </c>
      <c r="E173" s="8">
        <v>122.4</v>
      </c>
      <c r="F173">
        <v>0.122</v>
      </c>
      <c r="G173" s="5">
        <f t="shared" si="4"/>
        <v>1.22</v>
      </c>
      <c r="H173">
        <v>58</v>
      </c>
      <c r="I173" s="5">
        <f t="shared" si="5"/>
        <v>2.1034482758620691E-2</v>
      </c>
      <c r="J173" s="8"/>
    </row>
    <row r="174" spans="1:10">
      <c r="A174" t="s">
        <v>47</v>
      </c>
      <c r="C174" s="6">
        <v>45552</v>
      </c>
      <c r="D174">
        <v>5</v>
      </c>
      <c r="E174" s="7">
        <v>137.31</v>
      </c>
      <c r="F174">
        <v>0.14499999999999999</v>
      </c>
      <c r="G174" s="5">
        <f t="shared" si="4"/>
        <v>1.45</v>
      </c>
      <c r="H174">
        <v>67</v>
      </c>
      <c r="I174" s="5">
        <f t="shared" si="5"/>
        <v>2.1641791044776117E-2</v>
      </c>
      <c r="J174" s="7"/>
    </row>
    <row r="175" spans="1:10">
      <c r="A175" t="s">
        <v>34</v>
      </c>
      <c r="C175" s="6">
        <v>45552</v>
      </c>
      <c r="D175">
        <v>5</v>
      </c>
      <c r="E175" s="8">
        <v>167.71</v>
      </c>
      <c r="F175">
        <v>0.44900000000000001</v>
      </c>
      <c r="G175" s="5">
        <f t="shared" si="4"/>
        <v>4.49</v>
      </c>
      <c r="H175">
        <v>81</v>
      </c>
      <c r="I175" s="5">
        <f t="shared" si="5"/>
        <v>5.5432098765432099E-2</v>
      </c>
      <c r="J175" s="8"/>
    </row>
    <row r="176" spans="1:10">
      <c r="A176" t="s">
        <v>41</v>
      </c>
      <c r="C176" s="6">
        <v>45552</v>
      </c>
      <c r="D176">
        <v>5</v>
      </c>
      <c r="E176" s="8">
        <v>179.56</v>
      </c>
      <c r="F176">
        <v>0.36899999999999999</v>
      </c>
      <c r="G176" s="5">
        <f t="shared" si="4"/>
        <v>3.69</v>
      </c>
      <c r="H176">
        <v>73</v>
      </c>
      <c r="I176" s="5">
        <f t="shared" si="5"/>
        <v>5.054794520547945E-2</v>
      </c>
      <c r="J176" s="8"/>
    </row>
    <row r="177" spans="1:10">
      <c r="A177" t="s">
        <v>42</v>
      </c>
      <c r="C177" s="6">
        <v>45552</v>
      </c>
      <c r="D177">
        <v>5</v>
      </c>
      <c r="E177" s="8">
        <v>175.71</v>
      </c>
      <c r="F177">
        <v>0.46</v>
      </c>
      <c r="G177" s="5">
        <f t="shared" si="4"/>
        <v>4.6000000000000005</v>
      </c>
      <c r="H177">
        <v>85</v>
      </c>
      <c r="I177" s="5">
        <f t="shared" si="5"/>
        <v>5.4117647058823534E-2</v>
      </c>
      <c r="J177" s="8"/>
    </row>
    <row r="178" spans="1:10">
      <c r="A178" t="s">
        <v>48</v>
      </c>
      <c r="C178" s="6">
        <v>45552</v>
      </c>
      <c r="D178">
        <v>5</v>
      </c>
      <c r="E178" s="8">
        <v>135</v>
      </c>
      <c r="F178">
        <v>0.47899999999999998</v>
      </c>
      <c r="G178" s="5">
        <f t="shared" si="4"/>
        <v>4.79</v>
      </c>
      <c r="H178">
        <v>75</v>
      </c>
      <c r="I178" s="5">
        <f t="shared" si="5"/>
        <v>6.3866666666666669E-2</v>
      </c>
      <c r="J178" s="8"/>
    </row>
    <row r="179" spans="1:10">
      <c r="A179" t="s">
        <v>49</v>
      </c>
      <c r="C179" s="6">
        <v>45552</v>
      </c>
      <c r="D179">
        <v>5</v>
      </c>
      <c r="E179" s="8">
        <v>173.23</v>
      </c>
      <c r="F179">
        <v>0.54600000000000004</v>
      </c>
      <c r="G179" s="5">
        <f t="shared" si="4"/>
        <v>5.4600000000000009</v>
      </c>
      <c r="H179">
        <v>94</v>
      </c>
      <c r="I179" s="5">
        <f t="shared" si="5"/>
        <v>5.808510638297873E-2</v>
      </c>
      <c r="J179" s="8"/>
    </row>
    <row r="180" spans="1:10">
      <c r="A180" t="s">
        <v>50</v>
      </c>
      <c r="C180" s="6">
        <v>45552</v>
      </c>
      <c r="D180">
        <v>5</v>
      </c>
      <c r="E180" s="8">
        <v>105.88</v>
      </c>
      <c r="F180">
        <v>0.17799999999999999</v>
      </c>
      <c r="G180" s="5">
        <f t="shared" si="4"/>
        <v>1.7799999999999998</v>
      </c>
      <c r="H180">
        <v>84</v>
      </c>
      <c r="I180" s="5">
        <f t="shared" si="5"/>
        <v>2.1190476190476187E-2</v>
      </c>
      <c r="J180" s="8"/>
    </row>
    <row r="181" spans="1:10">
      <c r="A181" t="s">
        <v>51</v>
      </c>
      <c r="C181" s="6">
        <v>45552</v>
      </c>
      <c r="D181">
        <v>5</v>
      </c>
      <c r="E181" s="8">
        <v>81.25</v>
      </c>
      <c r="F181">
        <v>0.38</v>
      </c>
      <c r="G181" s="5">
        <f t="shared" si="4"/>
        <v>3.8</v>
      </c>
      <c r="H181">
        <v>81</v>
      </c>
      <c r="I181" s="5">
        <f t="shared" si="5"/>
        <v>4.6913580246913576E-2</v>
      </c>
      <c r="J181" s="8"/>
    </row>
    <row r="182" spans="1:10">
      <c r="A182" t="s">
        <v>53</v>
      </c>
      <c r="C182" s="6">
        <v>45552</v>
      </c>
      <c r="D182">
        <v>5</v>
      </c>
      <c r="E182" s="7">
        <v>81.25</v>
      </c>
      <c r="F182">
        <v>0.44700000000000001</v>
      </c>
      <c r="G182" s="5">
        <f t="shared" si="4"/>
        <v>4.47</v>
      </c>
      <c r="H182">
        <v>72</v>
      </c>
      <c r="I182" s="5">
        <f t="shared" si="5"/>
        <v>6.2083333333333331E-2</v>
      </c>
      <c r="J182" s="7"/>
    </row>
    <row r="183" spans="1:10">
      <c r="A183" t="s">
        <v>57</v>
      </c>
      <c r="C183" s="6">
        <v>45552</v>
      </c>
      <c r="D183">
        <v>5</v>
      </c>
      <c r="E183" t="s">
        <v>27</v>
      </c>
      <c r="F183">
        <v>0.13500000000000001</v>
      </c>
      <c r="G183" s="5">
        <f t="shared" si="4"/>
        <v>1.35</v>
      </c>
      <c r="H183">
        <v>60</v>
      </c>
      <c r="I183" s="5">
        <f t="shared" si="5"/>
        <v>2.2500000000000003E-2</v>
      </c>
    </row>
    <row r="184" spans="1:10">
      <c r="A184" t="s">
        <v>58</v>
      </c>
      <c r="C184" s="6">
        <v>45552</v>
      </c>
      <c r="D184">
        <v>5</v>
      </c>
      <c r="E184" t="s">
        <v>27</v>
      </c>
      <c r="F184">
        <v>0.184</v>
      </c>
      <c r="G184" s="5">
        <f t="shared" si="4"/>
        <v>1.8399999999999999</v>
      </c>
      <c r="H184">
        <v>94</v>
      </c>
      <c r="I184" s="5">
        <f t="shared" si="5"/>
        <v>1.9574468085106381E-2</v>
      </c>
    </row>
    <row r="185" spans="1:10">
      <c r="A185" t="s">
        <v>59</v>
      </c>
      <c r="C185" s="6">
        <v>45552</v>
      </c>
      <c r="D185">
        <v>5</v>
      </c>
      <c r="E185" t="s">
        <v>27</v>
      </c>
      <c r="F185">
        <v>0.109</v>
      </c>
      <c r="G185" s="5">
        <f t="shared" si="4"/>
        <v>1.0900000000000001</v>
      </c>
      <c r="H185">
        <v>73</v>
      </c>
      <c r="I185" s="5">
        <f t="shared" si="5"/>
        <v>1.493150684931507E-2</v>
      </c>
    </row>
    <row r="186" spans="1:10">
      <c r="A186" t="s">
        <v>64</v>
      </c>
      <c r="G186" s="5"/>
    </row>
    <row r="187" spans="1:10">
      <c r="A187" t="s">
        <v>64</v>
      </c>
    </row>
    <row r="188" spans="1:10">
      <c r="A188" t="s">
        <v>64</v>
      </c>
    </row>
    <row r="189" spans="1:10">
      <c r="A189" t="s">
        <v>64</v>
      </c>
    </row>
    <row r="190" spans="1:10">
      <c r="A19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912F-8D0B-4AB0-A3DF-7EB46AB588AA}">
  <dimension ref="A1:CH236"/>
  <sheetViews>
    <sheetView tabSelected="1" topLeftCell="BN1" workbookViewId="0">
      <selection activeCell="C2" sqref="C2"/>
    </sheetView>
  </sheetViews>
  <sheetFormatPr defaultRowHeight="15"/>
  <cols>
    <col min="1" max="1" width="26.140625" customWidth="1"/>
    <col min="2" max="2" width="20.85546875" customWidth="1"/>
    <col min="3" max="5" width="10.42578125" bestFit="1" customWidth="1"/>
    <col min="6" max="9" width="11.42578125" bestFit="1" customWidth="1"/>
    <col min="10" max="10" width="10.42578125" bestFit="1" customWidth="1"/>
    <col min="13" max="13" width="25.5703125" customWidth="1"/>
    <col min="15" max="18" width="10.42578125" bestFit="1" customWidth="1"/>
    <col min="19" max="21" width="11.42578125" bestFit="1" customWidth="1"/>
    <col min="22" max="22" width="10.42578125" bestFit="1" customWidth="1"/>
    <col min="26" max="26" width="26.85546875" customWidth="1"/>
    <col min="27" max="27" width="21.28515625" customWidth="1"/>
    <col min="28" max="31" width="10.42578125" bestFit="1" customWidth="1"/>
    <col min="32" max="34" width="11.42578125" bestFit="1" customWidth="1"/>
    <col min="35" max="35" width="10.42578125" bestFit="1" customWidth="1"/>
    <col min="65" max="65" width="20.42578125" customWidth="1"/>
    <col min="66" max="69" width="10.42578125" bestFit="1" customWidth="1"/>
    <col min="70" max="72" width="11.42578125" bestFit="1" customWidth="1"/>
    <col min="73" max="73" width="10.42578125" bestFit="1" customWidth="1"/>
    <col min="74" max="74" width="11.42578125" bestFit="1" customWidth="1"/>
    <col min="76" max="76" width="11.42578125" bestFit="1" customWidth="1"/>
    <col min="78" max="78" width="11.42578125" bestFit="1" customWidth="1"/>
    <col min="80" max="80" width="10.42578125" bestFit="1" customWidth="1"/>
    <col min="84" max="84" width="11.42578125" bestFit="1" customWidth="1"/>
    <col min="85" max="85" width="16.5703125" customWidth="1"/>
    <col min="86" max="86" width="13.42578125" customWidth="1"/>
  </cols>
  <sheetData>
    <row r="1" spans="1:86">
      <c r="A1" t="s">
        <v>65</v>
      </c>
      <c r="B1" t="s">
        <v>66</v>
      </c>
      <c r="C1" s="1">
        <v>45545</v>
      </c>
      <c r="D1" s="1">
        <v>45552</v>
      </c>
      <c r="E1" s="1">
        <v>45566</v>
      </c>
      <c r="F1" s="1">
        <v>45573</v>
      </c>
      <c r="G1" s="1">
        <v>45580</v>
      </c>
      <c r="H1" s="1">
        <v>45587</v>
      </c>
      <c r="I1" s="1">
        <v>45594</v>
      </c>
      <c r="J1" s="1">
        <v>45601</v>
      </c>
      <c r="L1" t="s">
        <v>67</v>
      </c>
      <c r="N1" t="s">
        <v>66</v>
      </c>
      <c r="O1" s="1">
        <v>45545</v>
      </c>
      <c r="P1" s="1">
        <v>45552</v>
      </c>
      <c r="Q1" s="1">
        <v>45566</v>
      </c>
      <c r="R1" s="1">
        <v>45573</v>
      </c>
      <c r="S1" s="1">
        <v>45580</v>
      </c>
      <c r="T1" s="1">
        <v>45587</v>
      </c>
      <c r="U1" s="1">
        <v>45594</v>
      </c>
      <c r="V1" s="1">
        <v>45601</v>
      </c>
      <c r="Y1" t="s">
        <v>68</v>
      </c>
      <c r="AA1" t="s">
        <v>66</v>
      </c>
      <c r="AB1" s="1">
        <v>45545</v>
      </c>
      <c r="AC1" s="1">
        <v>45552</v>
      </c>
      <c r="AD1" s="1">
        <v>45566</v>
      </c>
      <c r="AE1" s="1">
        <v>45573</v>
      </c>
      <c r="AF1" s="1">
        <v>45580</v>
      </c>
      <c r="AG1" s="1">
        <v>45587</v>
      </c>
      <c r="AH1" s="1">
        <v>45594</v>
      </c>
      <c r="AI1" s="1">
        <v>45601</v>
      </c>
      <c r="AM1" s="12" t="s">
        <v>69</v>
      </c>
      <c r="AN1" s="13" t="s">
        <v>70</v>
      </c>
      <c r="AO1" s="29" t="s">
        <v>71</v>
      </c>
      <c r="AP1" s="30"/>
      <c r="AQ1" s="14" t="s">
        <v>72</v>
      </c>
      <c r="AR1" s="15">
        <v>45547</v>
      </c>
      <c r="AS1" s="16">
        <v>45551</v>
      </c>
      <c r="AT1" s="16">
        <v>45554</v>
      </c>
      <c r="AU1" s="16">
        <v>45558</v>
      </c>
      <c r="AV1" s="16">
        <v>45561</v>
      </c>
      <c r="AW1" s="16">
        <v>45565</v>
      </c>
      <c r="AX1" s="16">
        <v>45568</v>
      </c>
      <c r="AY1" s="16">
        <v>45573</v>
      </c>
      <c r="AZ1" s="16">
        <v>45575</v>
      </c>
      <c r="BA1" s="16">
        <v>45579</v>
      </c>
      <c r="BB1" s="16">
        <v>45582</v>
      </c>
      <c r="BC1" s="17">
        <v>45586</v>
      </c>
      <c r="BD1" s="17">
        <v>45589</v>
      </c>
      <c r="BE1" s="17">
        <v>45593</v>
      </c>
      <c r="BF1" s="17">
        <v>45596</v>
      </c>
      <c r="BG1" s="17">
        <v>45600</v>
      </c>
      <c r="BH1" s="17">
        <v>45603</v>
      </c>
    </row>
    <row r="2" spans="1:86" ht="40.5">
      <c r="A2" t="s">
        <v>73</v>
      </c>
      <c r="B2" s="9" t="s">
        <v>62</v>
      </c>
      <c r="C2">
        <v>29.64</v>
      </c>
      <c r="D2">
        <v>42.4</v>
      </c>
      <c r="F2">
        <v>111.29</v>
      </c>
      <c r="G2">
        <v>61.41</v>
      </c>
      <c r="H2">
        <v>312.5</v>
      </c>
      <c r="M2" t="s">
        <v>73</v>
      </c>
      <c r="N2" s="9" t="s">
        <v>62</v>
      </c>
      <c r="O2">
        <v>84</v>
      </c>
      <c r="R2">
        <v>69</v>
      </c>
      <c r="S2">
        <v>46</v>
      </c>
      <c r="Z2" t="s">
        <v>73</v>
      </c>
      <c r="AA2" s="9" t="s">
        <v>62</v>
      </c>
      <c r="AB2">
        <f>(C2*0.01)/O2</f>
        <v>3.5285714285714287E-3</v>
      </c>
      <c r="AE2">
        <f t="shared" ref="AC2:AH9" si="0">(F2*0.01)/R2</f>
        <v>1.6128985507246375E-2</v>
      </c>
      <c r="AM2" s="18" t="s">
        <v>70</v>
      </c>
      <c r="AN2" s="19" t="s">
        <v>74</v>
      </c>
      <c r="AO2" s="31"/>
      <c r="AP2" s="32"/>
      <c r="AQ2" s="20" t="s">
        <v>75</v>
      </c>
      <c r="AR2" s="7">
        <v>30</v>
      </c>
      <c r="AS2" s="7">
        <v>34</v>
      </c>
      <c r="AT2" s="7">
        <v>37</v>
      </c>
      <c r="AU2" s="7">
        <v>41</v>
      </c>
      <c r="AV2" s="7">
        <v>44</v>
      </c>
      <c r="AW2" s="7">
        <v>48</v>
      </c>
      <c r="AX2" s="7">
        <v>51</v>
      </c>
      <c r="AY2" s="7">
        <v>56</v>
      </c>
      <c r="AZ2" s="7">
        <v>58</v>
      </c>
      <c r="BA2" s="7">
        <v>62</v>
      </c>
      <c r="BB2" s="7">
        <v>65</v>
      </c>
      <c r="BC2" s="18">
        <v>69</v>
      </c>
      <c r="BD2" s="21">
        <v>72</v>
      </c>
      <c r="BE2" s="21">
        <v>76</v>
      </c>
      <c r="BF2" s="21">
        <v>79</v>
      </c>
      <c r="BG2" s="21">
        <v>83</v>
      </c>
      <c r="BH2" s="18">
        <v>86</v>
      </c>
    </row>
    <row r="3" spans="1:86" ht="57.75">
      <c r="B3" s="9" t="s">
        <v>63</v>
      </c>
      <c r="C3">
        <v>31.79</v>
      </c>
      <c r="D3">
        <v>53.5</v>
      </c>
      <c r="F3">
        <v>34.57</v>
      </c>
      <c r="G3">
        <v>61.77</v>
      </c>
      <c r="H3">
        <v>173.5</v>
      </c>
      <c r="N3" s="9" t="s">
        <v>63</v>
      </c>
      <c r="O3">
        <v>61</v>
      </c>
      <c r="R3">
        <v>53</v>
      </c>
      <c r="S3">
        <v>66</v>
      </c>
      <c r="AA3" s="9" t="s">
        <v>63</v>
      </c>
      <c r="AB3">
        <f t="shared" ref="AB3:AB9" si="1">(C3*0.01)/O3</f>
        <v>5.2114754098360663E-3</v>
      </c>
      <c r="AE3">
        <f t="shared" si="0"/>
        <v>6.5226415094339621E-3</v>
      </c>
      <c r="AM3" s="18" t="s">
        <v>70</v>
      </c>
      <c r="AN3" s="22" t="s">
        <v>70</v>
      </c>
      <c r="AO3" s="23" t="s">
        <v>75</v>
      </c>
      <c r="AP3" s="23" t="s">
        <v>76</v>
      </c>
      <c r="AQ3" s="24" t="s">
        <v>77</v>
      </c>
      <c r="AR3" s="7">
        <v>0</v>
      </c>
      <c r="AS3" s="7">
        <v>4</v>
      </c>
      <c r="AT3" s="7">
        <v>7</v>
      </c>
      <c r="AU3" s="7">
        <v>11</v>
      </c>
      <c r="AV3" s="7">
        <v>14</v>
      </c>
      <c r="AW3" s="7">
        <v>18</v>
      </c>
      <c r="AX3" s="7">
        <v>21</v>
      </c>
      <c r="AY3" s="7">
        <v>26</v>
      </c>
      <c r="AZ3" s="7">
        <v>28</v>
      </c>
      <c r="BA3" s="7">
        <v>32</v>
      </c>
      <c r="BB3" s="7">
        <v>35</v>
      </c>
      <c r="BC3" s="18">
        <v>39</v>
      </c>
      <c r="BD3" s="25">
        <v>42</v>
      </c>
      <c r="BE3" s="25">
        <v>46</v>
      </c>
      <c r="BF3" s="25">
        <v>49</v>
      </c>
      <c r="BG3" s="25">
        <v>53</v>
      </c>
      <c r="BH3" s="18">
        <v>56</v>
      </c>
    </row>
    <row r="4" spans="1:86">
      <c r="B4" s="9" t="s">
        <v>30</v>
      </c>
      <c r="C4">
        <v>43.93</v>
      </c>
      <c r="D4">
        <v>63.03</v>
      </c>
      <c r="E4">
        <v>72.75</v>
      </c>
      <c r="F4">
        <v>75.78</v>
      </c>
      <c r="G4">
        <v>69.459999999999994</v>
      </c>
      <c r="H4">
        <v>54.13</v>
      </c>
      <c r="I4">
        <v>70.319999999999993</v>
      </c>
      <c r="N4" s="9" t="s">
        <v>30</v>
      </c>
      <c r="O4">
        <v>94</v>
      </c>
      <c r="P4">
        <v>68</v>
      </c>
      <c r="Q4">
        <v>172</v>
      </c>
      <c r="R4">
        <v>77</v>
      </c>
      <c r="S4">
        <v>78</v>
      </c>
      <c r="T4">
        <v>57</v>
      </c>
      <c r="U4">
        <v>52</v>
      </c>
      <c r="AA4" s="9" t="s">
        <v>30</v>
      </c>
      <c r="AB4">
        <f t="shared" si="1"/>
        <v>4.6734042553191494E-3</v>
      </c>
      <c r="AC4">
        <f t="shared" si="0"/>
        <v>9.2691176470588235E-3</v>
      </c>
      <c r="AD4">
        <f t="shared" si="0"/>
        <v>4.2296511627906977E-3</v>
      </c>
      <c r="AE4">
        <f t="shared" si="0"/>
        <v>9.8415584415584411E-3</v>
      </c>
      <c r="AF4">
        <f t="shared" si="0"/>
        <v>8.9051282051282044E-3</v>
      </c>
      <c r="AG4">
        <f t="shared" si="0"/>
        <v>9.4964912280701749E-3</v>
      </c>
      <c r="AH4">
        <f t="shared" si="0"/>
        <v>1.3523076923076922E-2</v>
      </c>
      <c r="AM4" s="21" t="s">
        <v>73</v>
      </c>
      <c r="AN4" s="13" t="s">
        <v>62</v>
      </c>
      <c r="AO4" s="13">
        <v>62</v>
      </c>
      <c r="AP4" s="13">
        <v>32</v>
      </c>
      <c r="AQ4" s="13" t="s">
        <v>70</v>
      </c>
      <c r="AR4" s="8">
        <v>135</v>
      </c>
      <c r="AS4" s="8">
        <v>208.08</v>
      </c>
      <c r="AT4" s="8">
        <v>331.33</v>
      </c>
      <c r="AU4" s="8">
        <v>541.02</v>
      </c>
      <c r="AV4" s="8">
        <v>825.51</v>
      </c>
      <c r="AW4" s="8">
        <v>903.22</v>
      </c>
      <c r="AX4" s="8">
        <v>828.85</v>
      </c>
      <c r="AY4" s="8">
        <v>1479.68</v>
      </c>
      <c r="AZ4" s="8">
        <v>1437.48</v>
      </c>
      <c r="BA4" s="26">
        <v>1886.98</v>
      </c>
      <c r="BB4" s="26">
        <v>1816.17</v>
      </c>
      <c r="BC4" s="27">
        <v>2683.47</v>
      </c>
      <c r="BD4" s="27">
        <v>2882.74</v>
      </c>
      <c r="BE4" s="27">
        <v>3062.81</v>
      </c>
      <c r="BF4" s="27">
        <v>3179.35</v>
      </c>
      <c r="BG4" s="27"/>
      <c r="BH4" s="27"/>
      <c r="BM4" t="s">
        <v>66</v>
      </c>
      <c r="BN4" s="1">
        <v>45545</v>
      </c>
      <c r="BO4" s="1" t="s">
        <v>78</v>
      </c>
      <c r="BP4" s="1">
        <v>45552</v>
      </c>
      <c r="BQ4" s="1" t="s">
        <v>78</v>
      </c>
      <c r="BR4" s="1">
        <v>45566</v>
      </c>
      <c r="BS4" s="1" t="s">
        <v>78</v>
      </c>
      <c r="BT4" s="1">
        <v>45573</v>
      </c>
      <c r="BU4" s="1" t="s">
        <v>78</v>
      </c>
      <c r="BV4" s="1">
        <v>45580</v>
      </c>
      <c r="BW4" t="s">
        <v>78</v>
      </c>
      <c r="BX4" s="1">
        <v>45587</v>
      </c>
      <c r="BY4" t="s">
        <v>78</v>
      </c>
      <c r="BZ4" s="1">
        <v>45594</v>
      </c>
      <c r="CA4" t="s">
        <v>78</v>
      </c>
      <c r="CB4" s="1">
        <v>45601</v>
      </c>
      <c r="CC4" t="s">
        <v>78</v>
      </c>
      <c r="CG4" t="s">
        <v>79</v>
      </c>
      <c r="CH4" t="s">
        <v>78</v>
      </c>
    </row>
    <row r="5" spans="1:86">
      <c r="B5" s="9" t="s">
        <v>61</v>
      </c>
      <c r="C5">
        <v>93.03</v>
      </c>
      <c r="D5">
        <v>14.2</v>
      </c>
      <c r="F5">
        <v>137</v>
      </c>
      <c r="G5">
        <v>260.98</v>
      </c>
      <c r="H5">
        <v>284.5</v>
      </c>
      <c r="N5" s="9" t="s">
        <v>61</v>
      </c>
      <c r="O5">
        <v>91</v>
      </c>
      <c r="R5">
        <v>100</v>
      </c>
      <c r="S5">
        <v>93</v>
      </c>
      <c r="AA5" s="9" t="s">
        <v>61</v>
      </c>
      <c r="AB5">
        <f t="shared" si="1"/>
        <v>1.0223076923076923E-2</v>
      </c>
      <c r="AE5">
        <f t="shared" si="0"/>
        <v>1.37E-2</v>
      </c>
      <c r="AF5">
        <f t="shared" si="0"/>
        <v>2.8062365591397853E-2</v>
      </c>
      <c r="AM5" s="21"/>
      <c r="AN5" s="13" t="s">
        <v>63</v>
      </c>
      <c r="AO5" s="13">
        <v>76</v>
      </c>
      <c r="AP5" s="13">
        <v>46</v>
      </c>
      <c r="AQ5" s="13" t="s">
        <v>70</v>
      </c>
      <c r="AR5" s="8">
        <v>126</v>
      </c>
      <c r="AS5" s="8">
        <v>135</v>
      </c>
      <c r="AT5" s="8">
        <v>227.25</v>
      </c>
      <c r="AU5" s="8">
        <v>248.37</v>
      </c>
      <c r="AV5" s="8">
        <v>443.03</v>
      </c>
      <c r="AW5" s="8">
        <v>447.46</v>
      </c>
      <c r="AX5" s="8">
        <v>609.19000000000005</v>
      </c>
      <c r="AY5" s="8">
        <v>608.26</v>
      </c>
      <c r="AZ5" s="8">
        <v>789.98</v>
      </c>
      <c r="BA5" s="8">
        <v>1013.69</v>
      </c>
      <c r="BB5" s="8">
        <v>1143.76</v>
      </c>
      <c r="BC5" s="21">
        <v>1571.13</v>
      </c>
      <c r="BD5" s="21">
        <v>1774.43</v>
      </c>
      <c r="BE5" s="27">
        <v>2070.96</v>
      </c>
      <c r="BF5" s="27">
        <v>2502.8200000000002</v>
      </c>
      <c r="BG5" s="27"/>
      <c r="BH5" s="27"/>
      <c r="BL5" t="s">
        <v>73</v>
      </c>
      <c r="BM5" s="9" t="s">
        <v>62</v>
      </c>
      <c r="BN5">
        <f>AB2</f>
        <v>3.5285714285714287E-3</v>
      </c>
      <c r="BO5">
        <f>AR4</f>
        <v>135</v>
      </c>
      <c r="BT5">
        <f>AE2</f>
        <v>1.6128985507246375E-2</v>
      </c>
      <c r="BU5">
        <f>AY4</f>
        <v>1479.68</v>
      </c>
      <c r="CF5" s="1">
        <v>45545</v>
      </c>
      <c r="CG5">
        <f>BN5</f>
        <v>3.5285714285714287E-3</v>
      </c>
      <c r="CH5">
        <f>BO5</f>
        <v>135</v>
      </c>
    </row>
    <row r="6" spans="1:86">
      <c r="B6" s="9" t="s">
        <v>31</v>
      </c>
      <c r="C6">
        <v>17.89</v>
      </c>
      <c r="D6">
        <v>55.74</v>
      </c>
      <c r="E6">
        <v>68.47</v>
      </c>
      <c r="F6">
        <v>62.93</v>
      </c>
      <c r="G6">
        <v>70.39</v>
      </c>
      <c r="H6">
        <v>67.540000000000006</v>
      </c>
      <c r="I6">
        <v>45.88</v>
      </c>
      <c r="N6" s="9" t="s">
        <v>31</v>
      </c>
      <c r="O6">
        <v>58</v>
      </c>
      <c r="P6">
        <v>82</v>
      </c>
      <c r="Q6">
        <v>180</v>
      </c>
      <c r="R6">
        <v>70</v>
      </c>
      <c r="S6">
        <v>73</v>
      </c>
      <c r="T6">
        <v>63</v>
      </c>
      <c r="U6">
        <v>77</v>
      </c>
      <c r="AA6" s="9" t="s">
        <v>31</v>
      </c>
      <c r="AB6">
        <f t="shared" si="1"/>
        <v>3.0844827586206896E-3</v>
      </c>
      <c r="AC6">
        <f t="shared" si="0"/>
        <v>6.7975609756097564E-3</v>
      </c>
      <c r="AD6">
        <f t="shared" si="0"/>
        <v>3.8038888888888888E-3</v>
      </c>
      <c r="AE6">
        <f t="shared" si="0"/>
        <v>8.9899999999999997E-3</v>
      </c>
      <c r="AF6">
        <f t="shared" si="0"/>
        <v>9.6424657534246571E-3</v>
      </c>
      <c r="AG6">
        <f t="shared" si="0"/>
        <v>1.0720634920634922E-2</v>
      </c>
      <c r="AH6">
        <f t="shared" si="0"/>
        <v>5.9584415584415587E-3</v>
      </c>
      <c r="AM6" s="21"/>
      <c r="AN6" s="13" t="s">
        <v>30</v>
      </c>
      <c r="AO6" s="13">
        <v>79</v>
      </c>
      <c r="AP6" s="13">
        <v>49</v>
      </c>
      <c r="AQ6" s="13" t="s">
        <v>70</v>
      </c>
      <c r="AR6" s="8">
        <v>111.6</v>
      </c>
      <c r="AS6" s="8">
        <v>219.04</v>
      </c>
      <c r="AT6" s="8">
        <v>292.77999999999997</v>
      </c>
      <c r="AU6" s="8">
        <v>291.95999999999998</v>
      </c>
      <c r="AV6" s="8">
        <v>418.19</v>
      </c>
      <c r="AW6" s="8">
        <v>431.66</v>
      </c>
      <c r="AX6" s="8">
        <v>433.2</v>
      </c>
      <c r="AY6" s="8">
        <v>1031.94</v>
      </c>
      <c r="AZ6" s="8">
        <v>535</v>
      </c>
      <c r="BA6" s="8">
        <v>807.65</v>
      </c>
      <c r="BB6" s="8">
        <v>819.95</v>
      </c>
      <c r="BC6" s="21">
        <v>1184.6300000000001</v>
      </c>
      <c r="BD6" s="21">
        <v>1303.97</v>
      </c>
      <c r="BE6" s="28">
        <v>1564.35</v>
      </c>
      <c r="BF6" s="27">
        <v>1909.99</v>
      </c>
      <c r="BG6" s="27"/>
      <c r="BH6" s="27"/>
      <c r="BM6" s="9" t="s">
        <v>63</v>
      </c>
      <c r="BN6">
        <f t="shared" ref="BN6:BN39" si="2">AB3</f>
        <v>5.2114754098360663E-3</v>
      </c>
      <c r="BO6">
        <f t="shared" ref="BO6:BO39" si="3">AR5</f>
        <v>126</v>
      </c>
      <c r="BT6">
        <f t="shared" ref="BT6:BT39" si="4">AE3</f>
        <v>6.5226415094339621E-3</v>
      </c>
      <c r="BU6">
        <f t="shared" ref="BU6:BU39" si="5">AY5</f>
        <v>608.26</v>
      </c>
      <c r="CG6">
        <f t="shared" ref="CG6:CG11" si="6">BN6</f>
        <v>5.2114754098360663E-3</v>
      </c>
      <c r="CH6">
        <f t="shared" ref="CH6:CH12" si="7">BO6</f>
        <v>126</v>
      </c>
    </row>
    <row r="7" spans="1:86">
      <c r="B7" s="9" t="s">
        <v>35</v>
      </c>
      <c r="C7">
        <v>43.25</v>
      </c>
      <c r="D7">
        <v>28.39</v>
      </c>
      <c r="F7">
        <v>122.82</v>
      </c>
      <c r="G7">
        <v>112.31</v>
      </c>
      <c r="H7">
        <v>84.9</v>
      </c>
      <c r="I7">
        <v>109.58</v>
      </c>
      <c r="N7" s="9" t="s">
        <v>35</v>
      </c>
      <c r="O7">
        <v>65</v>
      </c>
      <c r="P7">
        <v>57</v>
      </c>
      <c r="Q7">
        <v>172</v>
      </c>
      <c r="R7">
        <v>80</v>
      </c>
      <c r="S7">
        <v>74</v>
      </c>
      <c r="T7">
        <v>61</v>
      </c>
      <c r="U7">
        <v>51</v>
      </c>
      <c r="AA7" s="9" t="s">
        <v>35</v>
      </c>
      <c r="AB7">
        <f t="shared" si="1"/>
        <v>6.6538461538461534E-3</v>
      </c>
      <c r="AC7">
        <f t="shared" si="0"/>
        <v>4.9807017543859649E-3</v>
      </c>
      <c r="AE7">
        <f t="shared" si="0"/>
        <v>1.53525E-2</v>
      </c>
      <c r="AF7">
        <f t="shared" si="0"/>
        <v>1.5177027027027027E-2</v>
      </c>
      <c r="AG7">
        <f t="shared" si="0"/>
        <v>1.3918032786885247E-2</v>
      </c>
      <c r="AH7">
        <f t="shared" si="0"/>
        <v>2.1486274509803924E-2</v>
      </c>
      <c r="AM7" s="21"/>
      <c r="AN7" s="13" t="s">
        <v>61</v>
      </c>
      <c r="AO7" s="13">
        <v>65</v>
      </c>
      <c r="AP7" s="13">
        <v>35</v>
      </c>
      <c r="AQ7" s="13" t="s">
        <v>70</v>
      </c>
      <c r="AR7" s="8">
        <v>90.75</v>
      </c>
      <c r="AS7" s="8">
        <v>255.88</v>
      </c>
      <c r="AT7" s="8">
        <v>295.86</v>
      </c>
      <c r="AU7" s="8">
        <v>394.94</v>
      </c>
      <c r="AV7" s="8">
        <v>485</v>
      </c>
      <c r="AW7" s="8">
        <v>608.63</v>
      </c>
      <c r="AX7" s="8">
        <v>796.54</v>
      </c>
      <c r="AY7" s="8">
        <v>327.23</v>
      </c>
      <c r="AZ7" s="8">
        <v>1072.58</v>
      </c>
      <c r="BA7" s="8">
        <v>1629.44</v>
      </c>
      <c r="BB7" s="26">
        <v>1778.48</v>
      </c>
      <c r="BC7" s="27">
        <v>2342.6799999999998</v>
      </c>
      <c r="BD7" s="27">
        <v>2284.9299999999998</v>
      </c>
      <c r="BE7" s="27">
        <v>3025.82</v>
      </c>
      <c r="BF7" s="27">
        <v>2873.18</v>
      </c>
      <c r="BG7" s="27"/>
      <c r="BH7" s="27"/>
      <c r="BM7" s="9" t="s">
        <v>30</v>
      </c>
      <c r="BN7">
        <f t="shared" si="2"/>
        <v>4.6734042553191494E-3</v>
      </c>
      <c r="BO7">
        <f t="shared" si="3"/>
        <v>111.6</v>
      </c>
      <c r="BP7">
        <f t="shared" ref="BP6:BP39" si="8">AC4</f>
        <v>9.2691176470588235E-3</v>
      </c>
      <c r="BQ7">
        <f t="shared" ref="BQ6:BQ39" si="9">AS6</f>
        <v>219.04</v>
      </c>
      <c r="BR7">
        <f t="shared" ref="BR6:BR39" si="10">AD4</f>
        <v>4.2296511627906977E-3</v>
      </c>
      <c r="BS7">
        <f t="shared" ref="BS6:BS39" si="11">AW6</f>
        <v>431.66</v>
      </c>
      <c r="BT7">
        <f t="shared" si="4"/>
        <v>9.8415584415584411E-3</v>
      </c>
      <c r="BU7">
        <f t="shared" si="5"/>
        <v>1031.94</v>
      </c>
      <c r="BV7">
        <f t="shared" ref="BV6:BV39" si="12">AF4</f>
        <v>8.9051282051282044E-3</v>
      </c>
      <c r="BW7">
        <f t="shared" ref="BW6:BW39" si="13">BA6</f>
        <v>807.65</v>
      </c>
      <c r="BX7">
        <f t="shared" ref="BX6:BX40" si="14">AG4</f>
        <v>9.4964912280701749E-3</v>
      </c>
      <c r="BY7">
        <f t="shared" ref="BY6:BY40" si="15">BC6</f>
        <v>1184.6300000000001</v>
      </c>
      <c r="BZ7">
        <f t="shared" ref="BZ6:BZ40" si="16">AH4</f>
        <v>1.3523076923076922E-2</v>
      </c>
      <c r="CA7">
        <f t="shared" ref="CA6:CA40" si="17">BE6</f>
        <v>1564.35</v>
      </c>
      <c r="CG7">
        <f t="shared" si="6"/>
        <v>4.6734042553191494E-3</v>
      </c>
      <c r="CH7">
        <f t="shared" si="7"/>
        <v>111.6</v>
      </c>
    </row>
    <row r="8" spans="1:86">
      <c r="B8" s="9" t="s">
        <v>36</v>
      </c>
      <c r="C8">
        <v>26.3</v>
      </c>
      <c r="D8">
        <v>30.05</v>
      </c>
      <c r="E8">
        <v>95.96</v>
      </c>
      <c r="F8">
        <v>77.37</v>
      </c>
      <c r="G8">
        <v>77.67</v>
      </c>
      <c r="H8">
        <v>79.41</v>
      </c>
      <c r="I8">
        <v>71.099999999999994</v>
      </c>
      <c r="N8" s="9" t="s">
        <v>36</v>
      </c>
      <c r="O8">
        <v>73</v>
      </c>
      <c r="P8">
        <v>75</v>
      </c>
      <c r="Q8">
        <v>188</v>
      </c>
      <c r="R8">
        <v>70</v>
      </c>
      <c r="S8">
        <v>75</v>
      </c>
      <c r="T8">
        <v>100</v>
      </c>
      <c r="U8">
        <v>74</v>
      </c>
      <c r="AA8" s="9" t="s">
        <v>36</v>
      </c>
      <c r="AB8">
        <f t="shared" si="1"/>
        <v>3.6027397260273973E-3</v>
      </c>
      <c r="AC8">
        <f t="shared" si="0"/>
        <v>4.0066666666666662E-3</v>
      </c>
      <c r="AD8">
        <f t="shared" si="0"/>
        <v>5.1042553191489358E-3</v>
      </c>
      <c r="AE8">
        <f t="shared" si="0"/>
        <v>1.1052857142857144E-2</v>
      </c>
      <c r="AF8">
        <f t="shared" si="0"/>
        <v>1.0356000000000001E-2</v>
      </c>
      <c r="AG8">
        <f t="shared" si="0"/>
        <v>7.9410000000000001E-3</v>
      </c>
      <c r="AH8">
        <f t="shared" si="0"/>
        <v>9.6081081081081082E-3</v>
      </c>
      <c r="AM8" s="21"/>
      <c r="AN8" s="13" t="s">
        <v>31</v>
      </c>
      <c r="AO8" s="13">
        <v>79</v>
      </c>
      <c r="AP8" s="13">
        <v>49</v>
      </c>
      <c r="AQ8" s="13" t="s">
        <v>80</v>
      </c>
      <c r="AR8" s="8">
        <v>87.5</v>
      </c>
      <c r="AS8" s="8">
        <v>147.88</v>
      </c>
      <c r="AT8" s="8">
        <v>215.14</v>
      </c>
      <c r="AU8" s="8">
        <v>257.02999999999997</v>
      </c>
      <c r="AV8" s="8">
        <v>246.42</v>
      </c>
      <c r="AW8" s="8">
        <v>375.7</v>
      </c>
      <c r="AX8" s="8">
        <v>351.31</v>
      </c>
      <c r="AY8" s="8">
        <v>534.15</v>
      </c>
      <c r="AZ8" s="8">
        <v>421.2</v>
      </c>
      <c r="BA8" s="8">
        <v>529.91999999999996</v>
      </c>
      <c r="BB8" s="8">
        <v>556.66999999999996</v>
      </c>
      <c r="BC8" s="21">
        <v>778.91</v>
      </c>
      <c r="BD8" s="21">
        <v>941.92</v>
      </c>
      <c r="BE8" s="21">
        <v>1046.83</v>
      </c>
      <c r="BF8" s="21">
        <v>1222.45</v>
      </c>
      <c r="BG8" s="21"/>
      <c r="BH8" s="21"/>
      <c r="BM8" s="9" t="s">
        <v>61</v>
      </c>
      <c r="BN8">
        <f t="shared" si="2"/>
        <v>1.0223076923076923E-2</v>
      </c>
      <c r="BO8">
        <f t="shared" si="3"/>
        <v>90.75</v>
      </c>
      <c r="BT8">
        <f t="shared" si="4"/>
        <v>1.37E-2</v>
      </c>
      <c r="BU8">
        <f t="shared" si="5"/>
        <v>327.23</v>
      </c>
      <c r="BV8">
        <f t="shared" si="12"/>
        <v>2.8062365591397853E-2</v>
      </c>
      <c r="BW8">
        <f t="shared" si="13"/>
        <v>1629.44</v>
      </c>
      <c r="CG8">
        <f t="shared" si="6"/>
        <v>1.0223076923076923E-2</v>
      </c>
      <c r="CH8">
        <f t="shared" si="7"/>
        <v>90.75</v>
      </c>
    </row>
    <row r="9" spans="1:86">
      <c r="A9" s="10"/>
      <c r="B9" s="11" t="s">
        <v>37</v>
      </c>
      <c r="C9">
        <v>22.53</v>
      </c>
      <c r="D9">
        <v>15.54</v>
      </c>
      <c r="E9">
        <v>45.18</v>
      </c>
      <c r="F9">
        <v>29.99</v>
      </c>
      <c r="G9">
        <v>79.42</v>
      </c>
      <c r="H9">
        <v>114.82</v>
      </c>
      <c r="I9">
        <v>66.67</v>
      </c>
      <c r="M9" s="10"/>
      <c r="N9" s="11" t="s">
        <v>37</v>
      </c>
      <c r="O9">
        <v>65</v>
      </c>
      <c r="P9">
        <v>67</v>
      </c>
      <c r="Q9">
        <v>153</v>
      </c>
      <c r="R9">
        <v>49</v>
      </c>
      <c r="S9">
        <v>91</v>
      </c>
      <c r="T9">
        <v>65</v>
      </c>
      <c r="U9">
        <v>100</v>
      </c>
      <c r="Z9" s="10"/>
      <c r="AA9" s="11" t="s">
        <v>37</v>
      </c>
      <c r="AB9">
        <f t="shared" si="1"/>
        <v>3.4661538461538467E-3</v>
      </c>
      <c r="AC9">
        <f t="shared" si="0"/>
        <v>2.3194029850746264E-3</v>
      </c>
      <c r="AD9">
        <f t="shared" si="0"/>
        <v>2.9529411764705883E-3</v>
      </c>
      <c r="AE9">
        <f t="shared" si="0"/>
        <v>6.1204081632653057E-3</v>
      </c>
      <c r="AF9">
        <f t="shared" si="0"/>
        <v>8.7274725274725275E-3</v>
      </c>
      <c r="AG9">
        <f t="shared" si="0"/>
        <v>1.7664615384615383E-2</v>
      </c>
      <c r="AH9">
        <f t="shared" si="0"/>
        <v>6.6670000000000011E-3</v>
      </c>
      <c r="AM9" s="21"/>
      <c r="AN9" s="13" t="s">
        <v>35</v>
      </c>
      <c r="AO9" s="13">
        <v>79</v>
      </c>
      <c r="AP9" s="13">
        <v>49</v>
      </c>
      <c r="AQ9" s="13" t="s">
        <v>80</v>
      </c>
      <c r="AR9" s="8">
        <v>81.25</v>
      </c>
      <c r="AS9" s="8">
        <v>126</v>
      </c>
      <c r="AT9" s="8">
        <v>226.48</v>
      </c>
      <c r="AU9" s="8">
        <v>260.88</v>
      </c>
      <c r="AV9" s="8">
        <v>213.15</v>
      </c>
      <c r="AW9" s="8">
        <v>328.54</v>
      </c>
      <c r="AX9" s="8">
        <v>416.3</v>
      </c>
      <c r="AY9" s="8">
        <v>296.35000000000002</v>
      </c>
      <c r="AZ9" s="8">
        <v>518.94000000000005</v>
      </c>
      <c r="BA9" s="8">
        <v>932.14</v>
      </c>
      <c r="BB9" s="8">
        <v>896.9</v>
      </c>
      <c r="BC9" s="21">
        <v>1054.05</v>
      </c>
      <c r="BD9" s="21">
        <v>1127.3599999999999</v>
      </c>
      <c r="BE9" s="28">
        <v>1467.27</v>
      </c>
      <c r="BF9" s="28">
        <v>1655.39</v>
      </c>
      <c r="BG9" s="27"/>
      <c r="BH9" s="27"/>
      <c r="BM9" s="9" t="s">
        <v>31</v>
      </c>
      <c r="BN9">
        <f t="shared" si="2"/>
        <v>3.0844827586206896E-3</v>
      </c>
      <c r="BO9">
        <f t="shared" si="3"/>
        <v>87.5</v>
      </c>
      <c r="BP9">
        <f t="shared" si="8"/>
        <v>6.7975609756097564E-3</v>
      </c>
      <c r="BQ9">
        <f t="shared" si="9"/>
        <v>147.88</v>
      </c>
      <c r="BR9">
        <f t="shared" si="10"/>
        <v>3.8038888888888888E-3</v>
      </c>
      <c r="BS9">
        <f t="shared" si="11"/>
        <v>375.7</v>
      </c>
      <c r="BT9">
        <f t="shared" si="4"/>
        <v>8.9899999999999997E-3</v>
      </c>
      <c r="BU9">
        <f t="shared" si="5"/>
        <v>534.15</v>
      </c>
      <c r="BV9">
        <f t="shared" si="12"/>
        <v>9.6424657534246571E-3</v>
      </c>
      <c r="BW9">
        <f t="shared" si="13"/>
        <v>529.91999999999996</v>
      </c>
      <c r="BX9">
        <f t="shared" si="14"/>
        <v>1.0720634920634922E-2</v>
      </c>
      <c r="BY9">
        <f t="shared" si="15"/>
        <v>778.91</v>
      </c>
      <c r="BZ9">
        <f t="shared" si="16"/>
        <v>5.9584415584415587E-3</v>
      </c>
      <c r="CA9">
        <f t="shared" si="17"/>
        <v>1046.83</v>
      </c>
      <c r="CG9">
        <f t="shared" si="6"/>
        <v>3.0844827586206896E-3</v>
      </c>
      <c r="CH9">
        <f t="shared" si="7"/>
        <v>87.5</v>
      </c>
    </row>
    <row r="10" spans="1:86">
      <c r="A10" t="s">
        <v>81</v>
      </c>
      <c r="B10" s="9" t="s">
        <v>32</v>
      </c>
      <c r="C10">
        <v>75.209999999999994</v>
      </c>
      <c r="D10">
        <v>59.27</v>
      </c>
      <c r="E10">
        <v>136.41</v>
      </c>
      <c r="F10">
        <v>171.85</v>
      </c>
      <c r="G10">
        <v>224.66</v>
      </c>
      <c r="H10">
        <v>392.93</v>
      </c>
      <c r="I10">
        <v>274.02</v>
      </c>
      <c r="M10" t="s">
        <v>81</v>
      </c>
      <c r="N10" s="9" t="s">
        <v>32</v>
      </c>
      <c r="O10">
        <v>100</v>
      </c>
      <c r="P10">
        <v>25</v>
      </c>
      <c r="Q10">
        <v>180</v>
      </c>
      <c r="R10">
        <v>80</v>
      </c>
      <c r="S10">
        <v>85</v>
      </c>
      <c r="T10">
        <v>97</v>
      </c>
      <c r="U10">
        <v>60</v>
      </c>
      <c r="AM10" s="21"/>
      <c r="AN10" s="13" t="s">
        <v>36</v>
      </c>
      <c r="AO10" s="13">
        <v>79</v>
      </c>
      <c r="AP10" s="13">
        <v>49</v>
      </c>
      <c r="AQ10" s="13" t="s">
        <v>80</v>
      </c>
      <c r="AR10" s="8">
        <v>62.5</v>
      </c>
      <c r="AS10" s="8">
        <v>117</v>
      </c>
      <c r="AT10" s="8">
        <v>163.85</v>
      </c>
      <c r="AU10" s="8">
        <v>162.72999999999999</v>
      </c>
      <c r="AV10" s="8">
        <v>122.4</v>
      </c>
      <c r="AW10" s="8">
        <v>254.95</v>
      </c>
      <c r="AX10" s="8">
        <v>196.6</v>
      </c>
      <c r="AY10" s="8">
        <v>261.61</v>
      </c>
      <c r="AZ10" s="8">
        <v>318.02999999999997</v>
      </c>
      <c r="BA10" s="8">
        <v>506.88</v>
      </c>
      <c r="BB10" s="8">
        <v>526.9</v>
      </c>
      <c r="BC10" s="21">
        <v>600</v>
      </c>
      <c r="BD10" s="21">
        <v>623.97</v>
      </c>
      <c r="BE10" s="21">
        <v>748.5</v>
      </c>
      <c r="BF10" s="21">
        <v>1597.9</v>
      </c>
      <c r="BG10" s="21"/>
      <c r="BH10" s="21"/>
      <c r="BM10" s="9" t="s">
        <v>35</v>
      </c>
      <c r="BN10">
        <f t="shared" si="2"/>
        <v>6.6538461538461534E-3</v>
      </c>
      <c r="BO10">
        <f t="shared" si="3"/>
        <v>81.25</v>
      </c>
      <c r="BP10">
        <f t="shared" si="8"/>
        <v>4.9807017543859649E-3</v>
      </c>
      <c r="BQ10">
        <f t="shared" si="9"/>
        <v>126</v>
      </c>
      <c r="BT10">
        <f t="shared" si="4"/>
        <v>1.53525E-2</v>
      </c>
      <c r="BU10">
        <f t="shared" si="5"/>
        <v>296.35000000000002</v>
      </c>
      <c r="BV10">
        <f t="shared" si="12"/>
        <v>1.5177027027027027E-2</v>
      </c>
      <c r="BW10">
        <f t="shared" si="13"/>
        <v>932.14</v>
      </c>
      <c r="BX10">
        <f t="shared" si="14"/>
        <v>1.3918032786885247E-2</v>
      </c>
      <c r="BY10">
        <f t="shared" si="15"/>
        <v>1054.05</v>
      </c>
      <c r="BZ10">
        <f t="shared" si="16"/>
        <v>2.1486274509803924E-2</v>
      </c>
      <c r="CA10">
        <f t="shared" si="17"/>
        <v>1467.27</v>
      </c>
      <c r="CG10">
        <f t="shared" si="6"/>
        <v>6.6538461538461534E-3</v>
      </c>
      <c r="CH10">
        <f t="shared" si="7"/>
        <v>81.25</v>
      </c>
    </row>
    <row r="11" spans="1:86">
      <c r="B11" s="9" t="s">
        <v>38</v>
      </c>
      <c r="C11">
        <v>32.25</v>
      </c>
      <c r="D11">
        <v>96.35</v>
      </c>
      <c r="F11">
        <v>145.21</v>
      </c>
      <c r="G11">
        <v>203.73</v>
      </c>
      <c r="H11">
        <v>123.59</v>
      </c>
      <c r="N11" s="9" t="s">
        <v>38</v>
      </c>
      <c r="O11">
        <v>70</v>
      </c>
      <c r="P11">
        <v>75</v>
      </c>
      <c r="R11">
        <v>92</v>
      </c>
      <c r="S11">
        <v>83</v>
      </c>
      <c r="T11">
        <v>95</v>
      </c>
      <c r="Z11" t="s">
        <v>81</v>
      </c>
      <c r="AA11" s="9" t="s">
        <v>32</v>
      </c>
      <c r="AB11">
        <f>(C10*0.01)/O10</f>
        <v>7.5209999999999999E-3</v>
      </c>
      <c r="AC11">
        <f t="shared" ref="AC11:AH18" si="18">(D10*0.01)/P10</f>
        <v>2.3708E-2</v>
      </c>
      <c r="AD11">
        <f t="shared" si="18"/>
        <v>7.5783333333333336E-3</v>
      </c>
      <c r="AE11">
        <f t="shared" si="18"/>
        <v>2.148125E-2</v>
      </c>
      <c r="AF11">
        <f t="shared" si="18"/>
        <v>2.6430588235294115E-2</v>
      </c>
      <c r="AG11">
        <f t="shared" si="18"/>
        <v>4.0508247422680416E-2</v>
      </c>
      <c r="AH11">
        <f t="shared" si="18"/>
        <v>4.5669999999999995E-2</v>
      </c>
      <c r="AM11" s="18" t="s">
        <v>70</v>
      </c>
      <c r="AN11" s="19" t="s">
        <v>37</v>
      </c>
      <c r="AO11" s="19">
        <v>79</v>
      </c>
      <c r="AP11" s="19">
        <v>49</v>
      </c>
      <c r="AQ11" s="19" t="s">
        <v>80</v>
      </c>
      <c r="AR11" s="7">
        <v>50.63</v>
      </c>
      <c r="AS11" s="7">
        <v>75</v>
      </c>
      <c r="AT11" s="7">
        <v>87.5</v>
      </c>
      <c r="AU11" s="7">
        <v>126</v>
      </c>
      <c r="AV11" s="7">
        <v>126</v>
      </c>
      <c r="AW11" s="7">
        <v>183.75</v>
      </c>
      <c r="AX11" s="7">
        <v>185.68</v>
      </c>
      <c r="AY11" s="7">
        <v>261.61</v>
      </c>
      <c r="AZ11" s="7">
        <v>317.89999999999998</v>
      </c>
      <c r="BA11" s="7">
        <v>317.52</v>
      </c>
      <c r="BB11" s="7">
        <v>354.03</v>
      </c>
      <c r="BC11" s="18">
        <v>427.73</v>
      </c>
      <c r="BD11" s="18">
        <v>415.85</v>
      </c>
      <c r="BE11" s="18">
        <v>429.3</v>
      </c>
      <c r="BF11" s="18">
        <v>560</v>
      </c>
      <c r="BG11" s="18" t="s">
        <v>70</v>
      </c>
      <c r="BH11" s="18" t="s">
        <v>70</v>
      </c>
      <c r="BM11" s="9" t="s">
        <v>36</v>
      </c>
      <c r="BN11">
        <f t="shared" si="2"/>
        <v>3.6027397260273973E-3</v>
      </c>
      <c r="BO11">
        <f t="shared" si="3"/>
        <v>62.5</v>
      </c>
      <c r="BP11">
        <f t="shared" si="8"/>
        <v>4.0066666666666662E-3</v>
      </c>
      <c r="BQ11">
        <f t="shared" si="9"/>
        <v>117</v>
      </c>
      <c r="BR11">
        <f t="shared" si="10"/>
        <v>5.1042553191489358E-3</v>
      </c>
      <c r="BS11">
        <f t="shared" si="11"/>
        <v>254.95</v>
      </c>
      <c r="BT11">
        <f t="shared" si="4"/>
        <v>1.1052857142857144E-2</v>
      </c>
      <c r="BU11">
        <f t="shared" si="5"/>
        <v>261.61</v>
      </c>
      <c r="BV11">
        <f t="shared" si="12"/>
        <v>1.0356000000000001E-2</v>
      </c>
      <c r="BW11">
        <f t="shared" si="13"/>
        <v>506.88</v>
      </c>
      <c r="BX11">
        <f t="shared" si="14"/>
        <v>7.9410000000000001E-3</v>
      </c>
      <c r="BY11">
        <f t="shared" si="15"/>
        <v>600</v>
      </c>
      <c r="BZ11">
        <f t="shared" si="16"/>
        <v>9.6081081081081082E-3</v>
      </c>
      <c r="CA11">
        <f t="shared" si="17"/>
        <v>748.5</v>
      </c>
      <c r="CG11">
        <f t="shared" si="6"/>
        <v>3.6027397260273973E-3</v>
      </c>
      <c r="CH11">
        <f t="shared" si="7"/>
        <v>62.5</v>
      </c>
    </row>
    <row r="12" spans="1:86">
      <c r="B12" s="9" t="s">
        <v>39</v>
      </c>
      <c r="C12">
        <v>75.94</v>
      </c>
      <c r="D12">
        <v>101.59</v>
      </c>
      <c r="F12">
        <v>43.29</v>
      </c>
      <c r="G12">
        <v>173.92</v>
      </c>
      <c r="H12">
        <v>188.5</v>
      </c>
      <c r="N12" s="9" t="s">
        <v>39</v>
      </c>
      <c r="O12">
        <v>94</v>
      </c>
      <c r="P12">
        <v>78</v>
      </c>
      <c r="R12">
        <v>41</v>
      </c>
      <c r="S12">
        <v>59</v>
      </c>
      <c r="T12">
        <v>60</v>
      </c>
      <c r="AA12" s="9" t="s">
        <v>38</v>
      </c>
      <c r="AB12">
        <f t="shared" ref="AB12:AB18" si="19">(C11*0.01)/O11</f>
        <v>4.6071428571428574E-3</v>
      </c>
      <c r="AC12">
        <f t="shared" si="18"/>
        <v>1.2846666666666666E-2</v>
      </c>
      <c r="AE12">
        <f t="shared" si="18"/>
        <v>1.5783695652173916E-2</v>
      </c>
      <c r="AF12">
        <f t="shared" si="18"/>
        <v>2.454578313253012E-2</v>
      </c>
      <c r="AG12">
        <f t="shared" si="18"/>
        <v>1.3009473684210526E-2</v>
      </c>
      <c r="BL12" s="10"/>
      <c r="BM12" s="11" t="s">
        <v>37</v>
      </c>
      <c r="BN12">
        <f t="shared" si="2"/>
        <v>3.4661538461538467E-3</v>
      </c>
      <c r="BO12">
        <f t="shared" si="3"/>
        <v>50.63</v>
      </c>
      <c r="BP12">
        <f t="shared" si="8"/>
        <v>2.3194029850746264E-3</v>
      </c>
      <c r="BQ12">
        <f t="shared" si="9"/>
        <v>75</v>
      </c>
      <c r="BR12">
        <f t="shared" si="10"/>
        <v>2.9529411764705883E-3</v>
      </c>
      <c r="BS12">
        <f t="shared" si="11"/>
        <v>183.75</v>
      </c>
      <c r="BT12">
        <f t="shared" si="4"/>
        <v>6.1204081632653057E-3</v>
      </c>
      <c r="BU12">
        <f t="shared" si="5"/>
        <v>261.61</v>
      </c>
      <c r="BV12">
        <f t="shared" si="12"/>
        <v>8.7274725274725275E-3</v>
      </c>
      <c r="BW12">
        <f t="shared" si="13"/>
        <v>317.52</v>
      </c>
      <c r="BX12">
        <f t="shared" si="14"/>
        <v>1.7664615384615383E-2</v>
      </c>
      <c r="BY12">
        <f t="shared" si="15"/>
        <v>427.73</v>
      </c>
      <c r="BZ12">
        <f t="shared" si="16"/>
        <v>6.6670000000000011E-3</v>
      </c>
      <c r="CA12">
        <f t="shared" si="17"/>
        <v>429.3</v>
      </c>
      <c r="CG12">
        <f>BN12</f>
        <v>3.4661538461538467E-3</v>
      </c>
      <c r="CH12">
        <f t="shared" si="7"/>
        <v>50.63</v>
      </c>
    </row>
    <row r="13" spans="1:86">
      <c r="B13" s="9" t="s">
        <v>60</v>
      </c>
      <c r="C13">
        <v>33.69</v>
      </c>
      <c r="D13">
        <v>88.03</v>
      </c>
      <c r="E13">
        <v>101.98</v>
      </c>
      <c r="F13">
        <v>54.41</v>
      </c>
      <c r="G13">
        <v>186.89</v>
      </c>
      <c r="H13">
        <v>105.19</v>
      </c>
      <c r="I13">
        <v>26.45</v>
      </c>
      <c r="N13" s="9" t="s">
        <v>60</v>
      </c>
      <c r="O13">
        <v>55</v>
      </c>
      <c r="P13">
        <v>74</v>
      </c>
      <c r="Q13">
        <v>167</v>
      </c>
      <c r="R13">
        <v>69</v>
      </c>
      <c r="S13">
        <v>86</v>
      </c>
      <c r="T13">
        <v>72</v>
      </c>
      <c r="U13">
        <v>62</v>
      </c>
      <c r="AA13" s="9" t="s">
        <v>39</v>
      </c>
      <c r="AB13">
        <f t="shared" si="19"/>
        <v>8.0787234042553179E-3</v>
      </c>
      <c r="AC13">
        <f t="shared" si="18"/>
        <v>1.3024358974358975E-2</v>
      </c>
      <c r="AE13">
        <f t="shared" si="18"/>
        <v>1.0558536585365853E-2</v>
      </c>
      <c r="AF13">
        <f t="shared" si="18"/>
        <v>2.9477966101694914E-2</v>
      </c>
      <c r="AG13">
        <f t="shared" si="18"/>
        <v>3.1416666666666669E-2</v>
      </c>
      <c r="AM13" s="21" t="s">
        <v>81</v>
      </c>
      <c r="AN13" s="13" t="s">
        <v>32</v>
      </c>
      <c r="AO13" s="13">
        <v>69</v>
      </c>
      <c r="AP13" s="13">
        <v>39</v>
      </c>
      <c r="AQ13" s="13" t="s">
        <v>70</v>
      </c>
      <c r="AR13" s="8">
        <v>126</v>
      </c>
      <c r="AS13" s="8">
        <v>196.52</v>
      </c>
      <c r="AT13" s="8">
        <v>296.45</v>
      </c>
      <c r="AU13" s="8">
        <v>269.77</v>
      </c>
      <c r="AV13" s="8">
        <v>418.97</v>
      </c>
      <c r="AW13" s="8">
        <v>559.84</v>
      </c>
      <c r="AX13" s="8">
        <v>550</v>
      </c>
      <c r="AY13" s="8">
        <v>905.06</v>
      </c>
      <c r="AZ13" s="8">
        <v>1039.51</v>
      </c>
      <c r="BA13" s="8">
        <v>1411.34</v>
      </c>
      <c r="BB13" s="8">
        <v>1446.19</v>
      </c>
      <c r="BC13" s="27">
        <v>1811.86</v>
      </c>
      <c r="BD13" s="21">
        <v>1727.94</v>
      </c>
      <c r="BE13" s="27">
        <v>2332.89</v>
      </c>
      <c r="BF13" s="27">
        <v>2058.75</v>
      </c>
      <c r="BG13" s="27">
        <v>3263.45</v>
      </c>
      <c r="BH13" s="27"/>
      <c r="BM13" t="s">
        <v>82</v>
      </c>
      <c r="BN13">
        <f>AVERAGE(BN5:BN12)</f>
        <v>5.0554688126814573E-3</v>
      </c>
      <c r="BO13">
        <f t="shared" ref="BO13:BW13" si="20">AVERAGE(BO5:BO12)</f>
        <v>93.153750000000002</v>
      </c>
      <c r="BP13">
        <f t="shared" si="20"/>
        <v>5.4746900057591674E-3</v>
      </c>
      <c r="BQ13">
        <f t="shared" si="20"/>
        <v>136.98399999999998</v>
      </c>
      <c r="BR13">
        <f t="shared" si="20"/>
        <v>4.0226841368247775E-3</v>
      </c>
      <c r="BS13">
        <f t="shared" si="20"/>
        <v>311.51499999999999</v>
      </c>
      <c r="BT13">
        <f t="shared" si="20"/>
        <v>1.0963618845545154E-2</v>
      </c>
      <c r="BU13">
        <f t="shared" si="20"/>
        <v>600.10374999999999</v>
      </c>
      <c r="BV13">
        <f t="shared" si="20"/>
        <v>1.3478409850741712E-2</v>
      </c>
      <c r="BW13">
        <f t="shared" si="20"/>
        <v>787.25833333333321</v>
      </c>
      <c r="BX13">
        <f t="shared" ref="BX13" si="21">AVERAGE(BX5:BX12)</f>
        <v>1.1948154864041145E-2</v>
      </c>
      <c r="BY13">
        <f t="shared" ref="BY13" si="22">AVERAGE(BY5:BY12)</f>
        <v>809.06400000000008</v>
      </c>
      <c r="BZ13">
        <f t="shared" ref="BZ13" si="23">AVERAGE(BZ5:BZ12)</f>
        <v>1.1448580219886102E-2</v>
      </c>
      <c r="CA13">
        <f t="shared" ref="CA13" si="24">AVERAGE(CA5:CA12)</f>
        <v>1051.25</v>
      </c>
      <c r="CG13">
        <f>BN14</f>
        <v>7.5209999999999999E-3</v>
      </c>
      <c r="CH13">
        <f>BO14</f>
        <v>126</v>
      </c>
    </row>
    <row r="14" spans="1:86">
      <c r="B14" s="9" t="s">
        <v>55</v>
      </c>
      <c r="C14">
        <v>29.72</v>
      </c>
      <c r="D14">
        <v>124.9</v>
      </c>
      <c r="E14">
        <v>129.18</v>
      </c>
      <c r="F14">
        <v>164.3</v>
      </c>
      <c r="G14">
        <v>161.07</v>
      </c>
      <c r="H14">
        <v>48.71</v>
      </c>
      <c r="I14">
        <v>70.41</v>
      </c>
      <c r="N14" s="9" t="s">
        <v>55</v>
      </c>
      <c r="O14">
        <v>73</v>
      </c>
      <c r="P14">
        <v>90</v>
      </c>
      <c r="Q14">
        <v>195</v>
      </c>
      <c r="R14">
        <v>80</v>
      </c>
      <c r="S14">
        <v>76</v>
      </c>
      <c r="T14">
        <v>53</v>
      </c>
      <c r="U14">
        <v>77</v>
      </c>
      <c r="AA14" s="9" t="s">
        <v>60</v>
      </c>
      <c r="AB14">
        <f t="shared" si="19"/>
        <v>6.125454545454545E-3</v>
      </c>
      <c r="AC14">
        <f t="shared" si="18"/>
        <v>1.1895945945945946E-2</v>
      </c>
      <c r="AD14">
        <f t="shared" si="18"/>
        <v>6.1065868263473055E-3</v>
      </c>
      <c r="AE14">
        <f t="shared" si="18"/>
        <v>7.8855072463768112E-3</v>
      </c>
      <c r="AF14">
        <f t="shared" si="18"/>
        <v>2.173139534883721E-2</v>
      </c>
      <c r="AG14">
        <f t="shared" si="18"/>
        <v>1.4609722222222224E-2</v>
      </c>
      <c r="AH14">
        <f t="shared" si="18"/>
        <v>4.2661290322580647E-3</v>
      </c>
      <c r="AM14" s="21"/>
      <c r="AN14" s="13" t="s">
        <v>38</v>
      </c>
      <c r="AO14" s="13">
        <v>83</v>
      </c>
      <c r="AP14" s="13">
        <v>53</v>
      </c>
      <c r="AQ14" s="13" t="s">
        <v>80</v>
      </c>
      <c r="AR14" s="8">
        <v>126</v>
      </c>
      <c r="AS14" s="8">
        <v>173.4</v>
      </c>
      <c r="AT14" s="8">
        <v>191.56</v>
      </c>
      <c r="AU14" s="8">
        <v>221.15</v>
      </c>
      <c r="AV14" s="8">
        <v>212.54</v>
      </c>
      <c r="AW14" s="8">
        <v>282.41000000000003</v>
      </c>
      <c r="AX14" s="8">
        <v>275.68</v>
      </c>
      <c r="AY14" s="8">
        <v>310.39999999999998</v>
      </c>
      <c r="AZ14" s="8">
        <v>354.03</v>
      </c>
      <c r="BA14" s="8">
        <v>358.71</v>
      </c>
      <c r="BB14" s="8">
        <v>455.46</v>
      </c>
      <c r="BC14" s="21">
        <v>605</v>
      </c>
      <c r="BD14" s="21">
        <v>600</v>
      </c>
      <c r="BE14" s="21">
        <v>824.33</v>
      </c>
      <c r="BF14" s="21">
        <v>1080</v>
      </c>
      <c r="BG14" s="21">
        <v>1096.8499999999999</v>
      </c>
      <c r="BH14" s="21"/>
      <c r="BL14" t="s">
        <v>81</v>
      </c>
      <c r="BM14" s="9" t="s">
        <v>32</v>
      </c>
      <c r="BN14">
        <f t="shared" si="2"/>
        <v>7.5209999999999999E-3</v>
      </c>
      <c r="BO14">
        <f t="shared" si="3"/>
        <v>126</v>
      </c>
      <c r="BP14">
        <f t="shared" si="8"/>
        <v>2.3708E-2</v>
      </c>
      <c r="BQ14">
        <f t="shared" si="9"/>
        <v>196.52</v>
      </c>
      <c r="BR14">
        <f t="shared" si="10"/>
        <v>7.5783333333333336E-3</v>
      </c>
      <c r="BS14">
        <f t="shared" si="11"/>
        <v>559.84</v>
      </c>
      <c r="BT14">
        <f t="shared" si="4"/>
        <v>2.148125E-2</v>
      </c>
      <c r="BU14">
        <f t="shared" si="5"/>
        <v>905.06</v>
      </c>
      <c r="BV14">
        <f t="shared" si="12"/>
        <v>2.6430588235294115E-2</v>
      </c>
      <c r="BW14">
        <f t="shared" si="13"/>
        <v>1411.34</v>
      </c>
      <c r="BX14">
        <f t="shared" si="14"/>
        <v>4.0508247422680416E-2</v>
      </c>
      <c r="BY14">
        <f t="shared" si="15"/>
        <v>1811.86</v>
      </c>
      <c r="BZ14">
        <f t="shared" si="16"/>
        <v>4.5669999999999995E-2</v>
      </c>
      <c r="CA14">
        <f t="shared" si="17"/>
        <v>2332.89</v>
      </c>
      <c r="CG14">
        <f t="shared" ref="CG14:CG20" si="25">BN15</f>
        <v>4.6071428571428574E-3</v>
      </c>
      <c r="CH14">
        <f t="shared" ref="CH14:CH20" si="26">BO15</f>
        <v>126</v>
      </c>
    </row>
    <row r="15" spans="1:86">
      <c r="B15" s="9" t="s">
        <v>56</v>
      </c>
      <c r="C15">
        <v>10.68</v>
      </c>
      <c r="D15">
        <v>65.08</v>
      </c>
      <c r="E15">
        <v>52.83</v>
      </c>
      <c r="F15">
        <v>46.38</v>
      </c>
      <c r="G15">
        <v>70.8</v>
      </c>
      <c r="H15">
        <v>82.22</v>
      </c>
      <c r="I15">
        <v>67.260000000000005</v>
      </c>
      <c r="N15" s="9" t="s">
        <v>56</v>
      </c>
      <c r="O15">
        <v>57</v>
      </c>
      <c r="P15">
        <v>96</v>
      </c>
      <c r="Q15">
        <v>167</v>
      </c>
      <c r="R15">
        <v>70</v>
      </c>
      <c r="S15">
        <v>97</v>
      </c>
      <c r="T15">
        <v>73</v>
      </c>
      <c r="U15">
        <v>76</v>
      </c>
      <c r="AA15" s="9" t="s">
        <v>55</v>
      </c>
      <c r="AB15">
        <f t="shared" si="19"/>
        <v>4.0712328767123288E-3</v>
      </c>
      <c r="AC15">
        <f t="shared" si="18"/>
        <v>1.3877777777777779E-2</v>
      </c>
      <c r="AD15">
        <f t="shared" si="18"/>
        <v>6.624615384615385E-3</v>
      </c>
      <c r="AE15">
        <f t="shared" si="18"/>
        <v>2.0537500000000004E-2</v>
      </c>
      <c r="AF15">
        <f t="shared" si="18"/>
        <v>2.119342105263158E-2</v>
      </c>
      <c r="AG15">
        <f t="shared" si="18"/>
        <v>9.1905660377358499E-3</v>
      </c>
      <c r="AH15">
        <f t="shared" si="18"/>
        <v>9.1441558441558435E-3</v>
      </c>
      <c r="AM15" s="21"/>
      <c r="AN15" s="13" t="s">
        <v>39</v>
      </c>
      <c r="AO15" s="13">
        <v>83</v>
      </c>
      <c r="AP15" s="13">
        <v>53</v>
      </c>
      <c r="AQ15" s="13" t="s">
        <v>70</v>
      </c>
      <c r="AR15" s="8">
        <v>109.33</v>
      </c>
      <c r="AS15" s="8">
        <v>143.65</v>
      </c>
      <c r="AT15" s="8">
        <v>234.2</v>
      </c>
      <c r="AU15" s="8">
        <v>277.72000000000003</v>
      </c>
      <c r="AV15" s="8">
        <v>239.06</v>
      </c>
      <c r="AW15" s="8">
        <v>310.39999999999998</v>
      </c>
      <c r="AX15" s="8">
        <v>507.84</v>
      </c>
      <c r="AY15" s="8">
        <v>382.23</v>
      </c>
      <c r="AZ15" s="8">
        <v>705.5</v>
      </c>
      <c r="BA15" s="8">
        <v>819.35</v>
      </c>
      <c r="BB15" s="8">
        <v>878.08</v>
      </c>
      <c r="BC15" s="21">
        <v>1138.6300000000001</v>
      </c>
      <c r="BD15" s="21">
        <v>1105.4000000000001</v>
      </c>
      <c r="BE15" s="28">
        <v>1512.68</v>
      </c>
      <c r="BF15" s="28">
        <v>841.87</v>
      </c>
      <c r="BG15" s="27">
        <v>1965.99</v>
      </c>
      <c r="BH15" s="27"/>
      <c r="BM15" s="9" t="s">
        <v>38</v>
      </c>
      <c r="BN15">
        <f t="shared" si="2"/>
        <v>4.6071428571428574E-3</v>
      </c>
      <c r="BO15">
        <f t="shared" si="3"/>
        <v>126</v>
      </c>
      <c r="BP15">
        <f t="shared" si="8"/>
        <v>1.2846666666666666E-2</v>
      </c>
      <c r="BQ15">
        <f t="shared" si="9"/>
        <v>173.4</v>
      </c>
      <c r="BT15">
        <f t="shared" si="4"/>
        <v>1.5783695652173916E-2</v>
      </c>
      <c r="BU15">
        <f t="shared" si="5"/>
        <v>310.39999999999998</v>
      </c>
      <c r="BV15">
        <f t="shared" si="12"/>
        <v>2.454578313253012E-2</v>
      </c>
      <c r="BW15">
        <f t="shared" si="13"/>
        <v>358.71</v>
      </c>
      <c r="BX15">
        <f t="shared" si="14"/>
        <v>1.3009473684210526E-2</v>
      </c>
      <c r="BY15">
        <f t="shared" si="15"/>
        <v>605</v>
      </c>
      <c r="CG15">
        <f t="shared" si="25"/>
        <v>8.0787234042553179E-3</v>
      </c>
      <c r="CH15">
        <f t="shared" si="26"/>
        <v>109.33</v>
      </c>
    </row>
    <row r="16" spans="1:86">
      <c r="B16" s="9" t="s">
        <v>54</v>
      </c>
      <c r="C16">
        <v>23.78</v>
      </c>
      <c r="D16">
        <v>35.42</v>
      </c>
      <c r="F16">
        <v>163.19999999999999</v>
      </c>
      <c r="G16">
        <v>155.88999999999999</v>
      </c>
      <c r="H16">
        <v>69.02</v>
      </c>
      <c r="N16" s="9" t="s">
        <v>54</v>
      </c>
      <c r="O16">
        <v>53</v>
      </c>
      <c r="P16">
        <v>68</v>
      </c>
      <c r="R16">
        <v>91</v>
      </c>
      <c r="S16">
        <v>93</v>
      </c>
      <c r="T16">
        <v>68</v>
      </c>
      <c r="AA16" s="9" t="s">
        <v>56</v>
      </c>
      <c r="AB16">
        <f t="shared" si="19"/>
        <v>1.8736842105263158E-3</v>
      </c>
      <c r="AC16">
        <f t="shared" si="18"/>
        <v>6.7791666666666668E-3</v>
      </c>
      <c r="AD16">
        <f t="shared" si="18"/>
        <v>3.1634730538922153E-3</v>
      </c>
      <c r="AE16">
        <f t="shared" si="18"/>
        <v>6.625714285714286E-3</v>
      </c>
      <c r="AF16">
        <f t="shared" si="18"/>
        <v>7.2989690721649483E-3</v>
      </c>
      <c r="AG16">
        <f t="shared" si="18"/>
        <v>1.1263013698630137E-2</v>
      </c>
      <c r="AH16">
        <f t="shared" si="18"/>
        <v>8.850000000000002E-3</v>
      </c>
      <c r="AM16" s="21"/>
      <c r="AN16" s="13" t="s">
        <v>60</v>
      </c>
      <c r="AO16" s="13">
        <v>83</v>
      </c>
      <c r="AP16" s="13">
        <v>53</v>
      </c>
      <c r="AQ16" s="13" t="s">
        <v>80</v>
      </c>
      <c r="AR16" s="8">
        <v>108.19</v>
      </c>
      <c r="AS16" s="8">
        <v>122.4</v>
      </c>
      <c r="AT16" s="8">
        <v>135</v>
      </c>
      <c r="AU16" s="8">
        <v>250.31</v>
      </c>
      <c r="AV16" s="8">
        <v>220.32</v>
      </c>
      <c r="AW16" s="8">
        <v>210.5</v>
      </c>
      <c r="AX16" s="8">
        <v>246.4</v>
      </c>
      <c r="AY16" s="8">
        <v>725.1</v>
      </c>
      <c r="AZ16" s="8">
        <v>342.22</v>
      </c>
      <c r="BA16" s="8">
        <v>481.56</v>
      </c>
      <c r="BB16" s="8">
        <v>422.33</v>
      </c>
      <c r="BC16" s="21">
        <v>551.62</v>
      </c>
      <c r="BD16" s="21">
        <v>493.97</v>
      </c>
      <c r="BE16" s="21">
        <v>584.05999999999995</v>
      </c>
      <c r="BF16" s="21">
        <v>1780.61</v>
      </c>
      <c r="BG16" s="21">
        <v>1131.5899999999999</v>
      </c>
      <c r="BH16" s="21"/>
      <c r="BM16" s="9" t="s">
        <v>39</v>
      </c>
      <c r="BN16">
        <f t="shared" si="2"/>
        <v>8.0787234042553179E-3</v>
      </c>
      <c r="BO16">
        <f t="shared" si="3"/>
        <v>109.33</v>
      </c>
      <c r="BP16">
        <f t="shared" si="8"/>
        <v>1.3024358974358975E-2</v>
      </c>
      <c r="BQ16">
        <f t="shared" si="9"/>
        <v>143.65</v>
      </c>
      <c r="BT16">
        <f t="shared" si="4"/>
        <v>1.0558536585365853E-2</v>
      </c>
      <c r="BU16">
        <f t="shared" si="5"/>
        <v>382.23</v>
      </c>
      <c r="BV16">
        <f t="shared" si="12"/>
        <v>2.9477966101694914E-2</v>
      </c>
      <c r="BW16">
        <f t="shared" si="13"/>
        <v>819.35</v>
      </c>
      <c r="BX16">
        <f t="shared" si="14"/>
        <v>3.1416666666666669E-2</v>
      </c>
      <c r="BY16">
        <f t="shared" si="15"/>
        <v>1138.6300000000001</v>
      </c>
      <c r="CG16">
        <f t="shared" si="25"/>
        <v>6.125454545454545E-3</v>
      </c>
      <c r="CH16">
        <f t="shared" si="26"/>
        <v>108.19</v>
      </c>
    </row>
    <row r="17" spans="1:86">
      <c r="A17" s="10"/>
      <c r="B17" s="11" t="s">
        <v>52</v>
      </c>
      <c r="C17">
        <v>61.51</v>
      </c>
      <c r="D17">
        <v>183.74</v>
      </c>
      <c r="E17">
        <v>31.34</v>
      </c>
      <c r="F17">
        <v>63.12</v>
      </c>
      <c r="G17">
        <v>373.99</v>
      </c>
      <c r="H17">
        <v>115.19</v>
      </c>
      <c r="I17">
        <v>138.86000000000001</v>
      </c>
      <c r="M17" s="10"/>
      <c r="N17" s="11" t="s">
        <v>52</v>
      </c>
      <c r="O17">
        <v>75</v>
      </c>
      <c r="P17">
        <v>90</v>
      </c>
      <c r="Q17">
        <v>136</v>
      </c>
      <c r="R17">
        <v>64</v>
      </c>
      <c r="S17">
        <v>65</v>
      </c>
      <c r="T17">
        <v>96</v>
      </c>
      <c r="U17">
        <v>69</v>
      </c>
      <c r="AA17" s="9" t="s">
        <v>54</v>
      </c>
      <c r="AB17">
        <f t="shared" si="19"/>
        <v>4.486792452830189E-3</v>
      </c>
      <c r="AC17">
        <f t="shared" si="18"/>
        <v>5.2088235294117649E-3</v>
      </c>
      <c r="AE17">
        <f t="shared" si="18"/>
        <v>1.7934065934065931E-2</v>
      </c>
      <c r="AF17">
        <f t="shared" si="18"/>
        <v>1.6762365591397849E-2</v>
      </c>
      <c r="AG17">
        <f t="shared" si="18"/>
        <v>1.0149999999999999E-2</v>
      </c>
      <c r="AM17" s="21"/>
      <c r="AN17" s="13" t="s">
        <v>55</v>
      </c>
      <c r="AO17" s="13">
        <v>76</v>
      </c>
      <c r="AP17" s="13">
        <v>46</v>
      </c>
      <c r="AQ17" s="13" t="s">
        <v>70</v>
      </c>
      <c r="AR17" s="8">
        <v>90</v>
      </c>
      <c r="AS17" s="8">
        <v>151.84</v>
      </c>
      <c r="AT17" s="8">
        <v>226.85</v>
      </c>
      <c r="AU17" s="8">
        <v>233.28</v>
      </c>
      <c r="AV17" s="8">
        <v>320</v>
      </c>
      <c r="AW17" s="8">
        <v>457.65</v>
      </c>
      <c r="AX17" s="8">
        <v>441.41</v>
      </c>
      <c r="AY17" s="8">
        <v>366.1</v>
      </c>
      <c r="AZ17" s="8">
        <v>663.33</v>
      </c>
      <c r="BA17" s="8">
        <v>877.25</v>
      </c>
      <c r="BB17" s="8">
        <v>949.85</v>
      </c>
      <c r="BC17" s="21">
        <v>1296.8800000000001</v>
      </c>
      <c r="BD17" s="21">
        <v>1439.45</v>
      </c>
      <c r="BE17" s="27">
        <v>1918.08</v>
      </c>
      <c r="BF17" s="27">
        <v>2160.2199999999998</v>
      </c>
      <c r="BG17" s="27">
        <v>2633.7</v>
      </c>
      <c r="BH17" s="27"/>
      <c r="BM17" s="9" t="s">
        <v>60</v>
      </c>
      <c r="BN17">
        <f t="shared" si="2"/>
        <v>6.125454545454545E-3</v>
      </c>
      <c r="BO17">
        <f t="shared" si="3"/>
        <v>108.19</v>
      </c>
      <c r="BP17">
        <f t="shared" si="8"/>
        <v>1.1895945945945946E-2</v>
      </c>
      <c r="BQ17">
        <f t="shared" si="9"/>
        <v>122.4</v>
      </c>
      <c r="BR17">
        <f t="shared" si="10"/>
        <v>6.1065868263473055E-3</v>
      </c>
      <c r="BS17">
        <f t="shared" si="11"/>
        <v>210.5</v>
      </c>
      <c r="BT17">
        <f t="shared" si="4"/>
        <v>7.8855072463768112E-3</v>
      </c>
      <c r="BU17">
        <f t="shared" si="5"/>
        <v>725.1</v>
      </c>
      <c r="BV17">
        <f t="shared" si="12"/>
        <v>2.173139534883721E-2</v>
      </c>
      <c r="BW17">
        <f t="shared" si="13"/>
        <v>481.56</v>
      </c>
      <c r="BX17">
        <f t="shared" si="14"/>
        <v>1.4609722222222224E-2</v>
      </c>
      <c r="BY17">
        <f t="shared" si="15"/>
        <v>551.62</v>
      </c>
      <c r="BZ17">
        <f t="shared" si="16"/>
        <v>4.2661290322580647E-3</v>
      </c>
      <c r="CA17">
        <f t="shared" si="17"/>
        <v>584.05999999999995</v>
      </c>
      <c r="CG17">
        <f t="shared" si="25"/>
        <v>4.0712328767123288E-3</v>
      </c>
      <c r="CH17">
        <f t="shared" si="26"/>
        <v>90</v>
      </c>
    </row>
    <row r="18" spans="1:86">
      <c r="A18" t="s">
        <v>83</v>
      </c>
      <c r="B18" s="9" t="s">
        <v>33</v>
      </c>
      <c r="C18">
        <v>36.340000000000003</v>
      </c>
      <c r="D18">
        <v>54.54</v>
      </c>
      <c r="E18">
        <v>78.150000000000006</v>
      </c>
      <c r="F18">
        <v>94.85</v>
      </c>
      <c r="G18">
        <v>47.26</v>
      </c>
      <c r="H18">
        <v>167.35</v>
      </c>
      <c r="I18">
        <v>113.89</v>
      </c>
      <c r="M18" t="s">
        <v>83</v>
      </c>
      <c r="N18" s="9" t="s">
        <v>33</v>
      </c>
      <c r="O18">
        <v>82</v>
      </c>
      <c r="P18">
        <v>65</v>
      </c>
      <c r="Q18">
        <v>162</v>
      </c>
      <c r="R18">
        <v>62</v>
      </c>
      <c r="S18">
        <v>67</v>
      </c>
      <c r="T18">
        <v>95</v>
      </c>
      <c r="U18">
        <v>75</v>
      </c>
      <c r="Z18" s="10"/>
      <c r="AA18" s="11" t="s">
        <v>52</v>
      </c>
      <c r="AB18">
        <f t="shared" si="19"/>
        <v>8.201333333333333E-3</v>
      </c>
      <c r="AC18">
        <f t="shared" si="18"/>
        <v>2.0415555555555558E-2</v>
      </c>
      <c r="AD18">
        <f t="shared" si="18"/>
        <v>2.3044117647058825E-3</v>
      </c>
      <c r="AE18">
        <f t="shared" si="18"/>
        <v>9.8624999999999997E-3</v>
      </c>
      <c r="AF18">
        <f t="shared" si="18"/>
        <v>5.7536923076923076E-2</v>
      </c>
      <c r="AG18">
        <f t="shared" si="18"/>
        <v>1.1998958333333332E-2</v>
      </c>
      <c r="AH18">
        <f t="shared" si="18"/>
        <v>2.0124637681159421E-2</v>
      </c>
      <c r="AM18" s="21"/>
      <c r="AN18" s="13" t="s">
        <v>56</v>
      </c>
      <c r="AO18" s="13">
        <v>83</v>
      </c>
      <c r="AP18" s="13">
        <v>53</v>
      </c>
      <c r="AQ18" s="13" t="s">
        <v>80</v>
      </c>
      <c r="AR18" s="8">
        <v>77.5</v>
      </c>
      <c r="AS18" s="8">
        <v>109.76</v>
      </c>
      <c r="AT18" s="8">
        <v>147.6</v>
      </c>
      <c r="AU18" s="8">
        <v>215.14</v>
      </c>
      <c r="AV18" s="8">
        <v>199.76</v>
      </c>
      <c r="AW18" s="8">
        <v>281.63</v>
      </c>
      <c r="AX18" s="8">
        <v>264.38</v>
      </c>
      <c r="AY18" s="8">
        <v>310.01</v>
      </c>
      <c r="AZ18" s="8">
        <v>451.31</v>
      </c>
      <c r="BA18" s="8">
        <v>581.46</v>
      </c>
      <c r="BB18" s="8">
        <v>636.54</v>
      </c>
      <c r="BC18" s="21">
        <v>705.6</v>
      </c>
      <c r="BD18" s="21">
        <v>758.43</v>
      </c>
      <c r="BE18" s="21">
        <v>1019.59</v>
      </c>
      <c r="BF18" s="21">
        <v>1198.6400000000001</v>
      </c>
      <c r="BG18" s="21">
        <v>1501.52</v>
      </c>
      <c r="BH18" s="21"/>
      <c r="BM18" s="9" t="s">
        <v>55</v>
      </c>
      <c r="BN18">
        <f t="shared" si="2"/>
        <v>4.0712328767123288E-3</v>
      </c>
      <c r="BO18">
        <f t="shared" si="3"/>
        <v>90</v>
      </c>
      <c r="BP18">
        <f t="shared" si="8"/>
        <v>1.3877777777777779E-2</v>
      </c>
      <c r="BQ18">
        <f t="shared" si="9"/>
        <v>151.84</v>
      </c>
      <c r="BR18">
        <f t="shared" si="10"/>
        <v>6.624615384615385E-3</v>
      </c>
      <c r="BS18">
        <f t="shared" si="11"/>
        <v>457.65</v>
      </c>
      <c r="BT18">
        <f t="shared" si="4"/>
        <v>2.0537500000000004E-2</v>
      </c>
      <c r="BU18">
        <f t="shared" si="5"/>
        <v>366.1</v>
      </c>
      <c r="BV18">
        <f t="shared" si="12"/>
        <v>2.119342105263158E-2</v>
      </c>
      <c r="BW18">
        <f t="shared" si="13"/>
        <v>877.25</v>
      </c>
      <c r="BX18">
        <f t="shared" si="14"/>
        <v>9.1905660377358499E-3</v>
      </c>
      <c r="BY18">
        <f t="shared" si="15"/>
        <v>1296.8800000000001</v>
      </c>
      <c r="BZ18">
        <f t="shared" si="16"/>
        <v>9.1441558441558435E-3</v>
      </c>
      <c r="CA18">
        <f t="shared" si="17"/>
        <v>1918.08</v>
      </c>
      <c r="CG18">
        <f t="shared" si="25"/>
        <v>1.8736842105263158E-3</v>
      </c>
      <c r="CH18">
        <f t="shared" si="26"/>
        <v>77.5</v>
      </c>
    </row>
    <row r="19" spans="1:86">
      <c r="B19" s="9" t="s">
        <v>23</v>
      </c>
      <c r="C19">
        <v>8.23</v>
      </c>
      <c r="D19">
        <v>67.37</v>
      </c>
      <c r="E19">
        <v>44.34</v>
      </c>
      <c r="F19">
        <v>96.2</v>
      </c>
      <c r="G19">
        <v>78.62</v>
      </c>
      <c r="H19">
        <v>88.02</v>
      </c>
      <c r="I19">
        <v>102.34</v>
      </c>
      <c r="N19" s="9" t="s">
        <v>23</v>
      </c>
      <c r="O19">
        <v>50</v>
      </c>
      <c r="P19">
        <v>76</v>
      </c>
      <c r="Q19">
        <v>152</v>
      </c>
      <c r="R19">
        <v>61</v>
      </c>
      <c r="S19">
        <v>35</v>
      </c>
      <c r="T19">
        <v>97</v>
      </c>
      <c r="U19">
        <v>88</v>
      </c>
      <c r="AM19" s="21"/>
      <c r="AN19" s="13" t="s">
        <v>54</v>
      </c>
      <c r="AO19" s="13">
        <v>83</v>
      </c>
      <c r="AP19" s="13">
        <v>53</v>
      </c>
      <c r="AQ19" s="13" t="s">
        <v>80</v>
      </c>
      <c r="AR19" s="8">
        <v>75</v>
      </c>
      <c r="AS19" s="8">
        <v>105.88</v>
      </c>
      <c r="AT19" s="8">
        <v>108.9</v>
      </c>
      <c r="AU19" s="8">
        <v>126</v>
      </c>
      <c r="AV19" s="8">
        <v>126</v>
      </c>
      <c r="AW19" s="8">
        <v>228.1</v>
      </c>
      <c r="AX19" s="8">
        <v>328.74</v>
      </c>
      <c r="AY19" s="8">
        <v>268.36</v>
      </c>
      <c r="AZ19" s="8">
        <v>384.75</v>
      </c>
      <c r="BA19" s="8">
        <v>343.19</v>
      </c>
      <c r="BB19" s="8">
        <v>354.03</v>
      </c>
      <c r="BC19" s="21">
        <v>406.56</v>
      </c>
      <c r="BD19" s="21">
        <v>459.47</v>
      </c>
      <c r="BE19" s="21">
        <v>678.04</v>
      </c>
      <c r="BF19" s="21">
        <v>863.29</v>
      </c>
      <c r="BG19" s="21">
        <v>997.23</v>
      </c>
      <c r="BH19" s="21"/>
      <c r="BM19" s="9" t="s">
        <v>56</v>
      </c>
      <c r="BN19">
        <f t="shared" si="2"/>
        <v>1.8736842105263158E-3</v>
      </c>
      <c r="BO19">
        <f t="shared" si="3"/>
        <v>77.5</v>
      </c>
      <c r="BP19">
        <f t="shared" si="8"/>
        <v>6.7791666666666668E-3</v>
      </c>
      <c r="BQ19">
        <f t="shared" si="9"/>
        <v>109.76</v>
      </c>
      <c r="BR19">
        <f t="shared" si="10"/>
        <v>3.1634730538922153E-3</v>
      </c>
      <c r="BS19">
        <f t="shared" si="11"/>
        <v>281.63</v>
      </c>
      <c r="BT19">
        <f t="shared" si="4"/>
        <v>6.625714285714286E-3</v>
      </c>
      <c r="BU19">
        <f t="shared" si="5"/>
        <v>310.01</v>
      </c>
      <c r="BV19">
        <f t="shared" si="12"/>
        <v>7.2989690721649483E-3</v>
      </c>
      <c r="BW19">
        <f t="shared" si="13"/>
        <v>581.46</v>
      </c>
      <c r="BX19">
        <f t="shared" si="14"/>
        <v>1.1263013698630137E-2</v>
      </c>
      <c r="BY19">
        <f t="shared" si="15"/>
        <v>705.6</v>
      </c>
      <c r="BZ19">
        <f t="shared" si="16"/>
        <v>8.850000000000002E-3</v>
      </c>
      <c r="CA19">
        <f t="shared" si="17"/>
        <v>1019.59</v>
      </c>
      <c r="CG19">
        <f t="shared" si="25"/>
        <v>4.486792452830189E-3</v>
      </c>
      <c r="CH19">
        <f t="shared" si="26"/>
        <v>75</v>
      </c>
    </row>
    <row r="20" spans="1:86">
      <c r="B20" s="9" t="s">
        <v>40</v>
      </c>
      <c r="C20">
        <v>2.63</v>
      </c>
      <c r="D20">
        <v>44.36</v>
      </c>
      <c r="F20">
        <v>58.89</v>
      </c>
      <c r="G20">
        <v>46.19</v>
      </c>
      <c r="H20">
        <v>56.89</v>
      </c>
      <c r="I20">
        <v>24.48</v>
      </c>
      <c r="N20" s="9" t="s">
        <v>40</v>
      </c>
      <c r="O20">
        <v>35</v>
      </c>
      <c r="P20">
        <v>64</v>
      </c>
      <c r="R20">
        <v>51</v>
      </c>
      <c r="S20">
        <v>65</v>
      </c>
      <c r="T20">
        <v>80</v>
      </c>
      <c r="U20">
        <v>39</v>
      </c>
      <c r="Z20" t="s">
        <v>83</v>
      </c>
      <c r="AA20" s="9" t="s">
        <v>33</v>
      </c>
      <c r="AB20">
        <f>(C18*0.01)/O18</f>
        <v>4.4317073170731715E-3</v>
      </c>
      <c r="AC20">
        <f t="shared" ref="AC20:AH27" si="27">(D18*0.01)/P18</f>
        <v>8.3907692307692312E-3</v>
      </c>
      <c r="AD20">
        <f t="shared" si="27"/>
        <v>4.8240740740740744E-3</v>
      </c>
      <c r="AE20">
        <f t="shared" si="27"/>
        <v>1.5298387096774193E-2</v>
      </c>
      <c r="AF20">
        <f t="shared" si="27"/>
        <v>7.0537313432835818E-3</v>
      </c>
      <c r="AG20">
        <f t="shared" si="27"/>
        <v>1.761578947368421E-2</v>
      </c>
      <c r="AH20">
        <f t="shared" si="27"/>
        <v>1.5185333333333334E-2</v>
      </c>
      <c r="AM20" s="18" t="s">
        <v>70</v>
      </c>
      <c r="AN20" s="19" t="s">
        <v>52</v>
      </c>
      <c r="AO20" s="19">
        <v>83</v>
      </c>
      <c r="AP20" s="19">
        <v>53</v>
      </c>
      <c r="AQ20" s="19" t="s">
        <v>80</v>
      </c>
      <c r="AR20" s="7">
        <v>48.6</v>
      </c>
      <c r="AS20" s="7">
        <v>98.31</v>
      </c>
      <c r="AT20" s="7">
        <v>150.82</v>
      </c>
      <c r="AU20" s="7">
        <v>171.09</v>
      </c>
      <c r="AV20" s="7">
        <v>157.12</v>
      </c>
      <c r="AW20" s="7">
        <v>255.94</v>
      </c>
      <c r="AX20" s="7">
        <v>272.73</v>
      </c>
      <c r="AY20" s="7">
        <v>268.36</v>
      </c>
      <c r="AZ20" s="7">
        <v>405</v>
      </c>
      <c r="BA20" s="7">
        <v>459.47</v>
      </c>
      <c r="BB20" s="7">
        <v>605.70000000000005</v>
      </c>
      <c r="BC20" s="18">
        <v>682.34</v>
      </c>
      <c r="BD20" s="18">
        <v>780.28</v>
      </c>
      <c r="BE20" s="18">
        <v>1040.32</v>
      </c>
      <c r="BF20" s="18">
        <v>1442.69</v>
      </c>
      <c r="BG20" s="18">
        <v>1673.31</v>
      </c>
      <c r="BH20" s="18" t="s">
        <v>70</v>
      </c>
      <c r="BM20" s="9" t="s">
        <v>54</v>
      </c>
      <c r="BN20">
        <f t="shared" si="2"/>
        <v>4.486792452830189E-3</v>
      </c>
      <c r="BO20">
        <f t="shared" si="3"/>
        <v>75</v>
      </c>
      <c r="BP20">
        <f t="shared" si="8"/>
        <v>5.2088235294117649E-3</v>
      </c>
      <c r="BQ20">
        <f t="shared" si="9"/>
        <v>105.88</v>
      </c>
      <c r="BT20">
        <f t="shared" si="4"/>
        <v>1.7934065934065931E-2</v>
      </c>
      <c r="BU20">
        <f t="shared" si="5"/>
        <v>268.36</v>
      </c>
      <c r="BV20">
        <f t="shared" si="12"/>
        <v>1.6762365591397849E-2</v>
      </c>
      <c r="BW20">
        <f t="shared" si="13"/>
        <v>343.19</v>
      </c>
      <c r="BX20">
        <f t="shared" si="14"/>
        <v>1.0149999999999999E-2</v>
      </c>
      <c r="BY20">
        <f t="shared" si="15"/>
        <v>406.56</v>
      </c>
      <c r="CG20">
        <f t="shared" si="25"/>
        <v>8.201333333333333E-3</v>
      </c>
      <c r="CH20">
        <f t="shared" si="26"/>
        <v>48.6</v>
      </c>
    </row>
    <row r="21" spans="1:86">
      <c r="B21" s="9" t="s">
        <v>43</v>
      </c>
      <c r="C21">
        <v>62.4</v>
      </c>
      <c r="D21">
        <v>31.98</v>
      </c>
      <c r="E21">
        <v>62.47</v>
      </c>
      <c r="F21">
        <v>112.52</v>
      </c>
      <c r="G21">
        <v>62.77</v>
      </c>
      <c r="H21">
        <v>69.7</v>
      </c>
      <c r="I21">
        <v>60.86</v>
      </c>
      <c r="N21" s="9" t="s">
        <v>43</v>
      </c>
      <c r="O21">
        <v>91</v>
      </c>
      <c r="P21">
        <v>81</v>
      </c>
      <c r="Q21">
        <v>156</v>
      </c>
      <c r="R21">
        <v>79</v>
      </c>
      <c r="S21">
        <v>82</v>
      </c>
      <c r="T21">
        <v>81</v>
      </c>
      <c r="U21">
        <v>65</v>
      </c>
      <c r="AA21" s="9" t="s">
        <v>23</v>
      </c>
      <c r="AB21">
        <f t="shared" ref="AB21:AB27" si="28">(C19*0.01)/O19</f>
        <v>1.6460000000000003E-3</v>
      </c>
      <c r="AC21">
        <f t="shared" si="27"/>
        <v>8.864473684210528E-3</v>
      </c>
      <c r="AD21">
        <f t="shared" si="27"/>
        <v>2.9171052631578949E-3</v>
      </c>
      <c r="AE21">
        <f t="shared" si="27"/>
        <v>1.5770491803278691E-2</v>
      </c>
      <c r="AF21">
        <f t="shared" si="27"/>
        <v>2.2462857142857142E-2</v>
      </c>
      <c r="AG21">
        <f t="shared" si="27"/>
        <v>9.0742268041237115E-3</v>
      </c>
      <c r="AH21">
        <f t="shared" si="27"/>
        <v>1.1629545454545455E-2</v>
      </c>
      <c r="BL21" s="10"/>
      <c r="BM21" s="11" t="s">
        <v>52</v>
      </c>
      <c r="BN21">
        <f t="shared" si="2"/>
        <v>8.201333333333333E-3</v>
      </c>
      <c r="BO21">
        <f t="shared" si="3"/>
        <v>48.6</v>
      </c>
      <c r="BP21">
        <f t="shared" si="8"/>
        <v>2.0415555555555558E-2</v>
      </c>
      <c r="BQ21">
        <f t="shared" si="9"/>
        <v>98.31</v>
      </c>
      <c r="BR21">
        <f t="shared" si="10"/>
        <v>2.3044117647058825E-3</v>
      </c>
      <c r="BS21">
        <f t="shared" si="11"/>
        <v>255.94</v>
      </c>
      <c r="BT21">
        <f t="shared" si="4"/>
        <v>9.8624999999999997E-3</v>
      </c>
      <c r="BU21">
        <f t="shared" si="5"/>
        <v>268.36</v>
      </c>
      <c r="BV21">
        <f t="shared" si="12"/>
        <v>5.7536923076923076E-2</v>
      </c>
      <c r="BW21">
        <f t="shared" si="13"/>
        <v>459.47</v>
      </c>
      <c r="BX21">
        <f t="shared" si="14"/>
        <v>1.1998958333333332E-2</v>
      </c>
      <c r="BY21">
        <f t="shared" si="15"/>
        <v>682.34</v>
      </c>
      <c r="BZ21">
        <f t="shared" si="16"/>
        <v>2.0124637681159421E-2</v>
      </c>
      <c r="CA21">
        <f t="shared" si="17"/>
        <v>1040.32</v>
      </c>
      <c r="CG21">
        <f>BN23</f>
        <v>4.4317073170731715E-3</v>
      </c>
      <c r="CH21">
        <f>BO23</f>
        <v>126</v>
      </c>
    </row>
    <row r="22" spans="1:86">
      <c r="B22" s="9" t="s">
        <v>44</v>
      </c>
      <c r="C22">
        <v>44.91</v>
      </c>
      <c r="D22">
        <v>84.27</v>
      </c>
      <c r="F22">
        <v>72.45</v>
      </c>
      <c r="G22">
        <v>161.71</v>
      </c>
      <c r="H22">
        <v>81.52</v>
      </c>
      <c r="I22">
        <v>33.24</v>
      </c>
      <c r="N22" s="9" t="s">
        <v>44</v>
      </c>
      <c r="O22">
        <v>75</v>
      </c>
      <c r="P22">
        <v>77</v>
      </c>
      <c r="R22">
        <v>56</v>
      </c>
      <c r="S22">
        <v>100</v>
      </c>
      <c r="T22">
        <v>84</v>
      </c>
      <c r="U22">
        <v>37</v>
      </c>
      <c r="AA22" s="9" t="s">
        <v>40</v>
      </c>
      <c r="AB22">
        <f t="shared" si="28"/>
        <v>7.514285714285714E-4</v>
      </c>
      <c r="AC22">
        <f t="shared" si="27"/>
        <v>6.9312499999999999E-3</v>
      </c>
      <c r="AE22">
        <f t="shared" si="27"/>
        <v>1.1547058823529412E-2</v>
      </c>
      <c r="AF22">
        <f t="shared" si="27"/>
        <v>7.1061538461538454E-3</v>
      </c>
      <c r="AG22">
        <f t="shared" si="27"/>
        <v>7.1112500000000013E-3</v>
      </c>
      <c r="AH22">
        <f t="shared" si="27"/>
        <v>6.2769230769230775E-3</v>
      </c>
      <c r="AM22" s="21" t="s">
        <v>83</v>
      </c>
      <c r="AN22" s="13" t="s">
        <v>33</v>
      </c>
      <c r="AO22" s="13">
        <v>83</v>
      </c>
      <c r="AP22" s="13">
        <v>53</v>
      </c>
      <c r="AQ22" s="13" t="s">
        <v>70</v>
      </c>
      <c r="AR22" s="8">
        <v>126</v>
      </c>
      <c r="AS22" s="8">
        <v>170.58</v>
      </c>
      <c r="AT22" s="8">
        <v>237.16</v>
      </c>
      <c r="AU22" s="8">
        <v>262.85000000000002</v>
      </c>
      <c r="AV22" s="8">
        <v>362.4</v>
      </c>
      <c r="AW22" s="8">
        <v>405</v>
      </c>
      <c r="AX22" s="8">
        <v>455.46</v>
      </c>
      <c r="AY22" s="8">
        <v>673.67</v>
      </c>
      <c r="AZ22" s="8">
        <v>676</v>
      </c>
      <c r="BA22" s="8">
        <v>746.5</v>
      </c>
      <c r="BB22" s="8">
        <v>960.76</v>
      </c>
      <c r="BC22" s="21">
        <v>1168.58</v>
      </c>
      <c r="BD22" s="21">
        <v>1127.3599999999999</v>
      </c>
      <c r="BE22" s="28">
        <v>1512.41</v>
      </c>
      <c r="BF22" s="28">
        <v>1424.36</v>
      </c>
      <c r="BG22" s="27">
        <v>1934.3</v>
      </c>
      <c r="BH22" s="27"/>
      <c r="BM22" t="s">
        <v>82</v>
      </c>
      <c r="BN22">
        <f>AVERAGE(BN15:BN21)</f>
        <v>5.3491948114649844E-3</v>
      </c>
      <c r="BO22">
        <f t="shared" ref="BO22:BW22" si="29">AVERAGE(BO15:BO21)</f>
        <v>90.66</v>
      </c>
      <c r="BP22">
        <f t="shared" si="29"/>
        <v>1.2006899302340479E-2</v>
      </c>
      <c r="BQ22">
        <f t="shared" si="29"/>
        <v>129.32</v>
      </c>
      <c r="BR22">
        <f t="shared" si="29"/>
        <v>4.5497717573901968E-3</v>
      </c>
      <c r="BS22">
        <f t="shared" si="29"/>
        <v>301.43</v>
      </c>
      <c r="BT22">
        <f t="shared" si="29"/>
        <v>1.2741074243385256E-2</v>
      </c>
      <c r="BU22">
        <f t="shared" si="29"/>
        <v>375.79428571428576</v>
      </c>
      <c r="BV22">
        <f t="shared" si="29"/>
        <v>2.5506689053739956E-2</v>
      </c>
      <c r="BW22">
        <f t="shared" si="29"/>
        <v>560.14142857142849</v>
      </c>
      <c r="BX22">
        <f t="shared" ref="BX22" si="30">AVERAGE(BX15:BX21)</f>
        <v>1.4519771520399821E-2</v>
      </c>
      <c r="BY22">
        <f t="shared" ref="BY22" si="31">AVERAGE(BY15:BY21)</f>
        <v>769.51857142857159</v>
      </c>
      <c r="BZ22">
        <f t="shared" ref="BZ22" si="32">AVERAGE(BZ15:BZ21)</f>
        <v>1.0596230639393333E-2</v>
      </c>
      <c r="CA22">
        <f t="shared" ref="CA22" si="33">AVERAGE(CA15:CA21)</f>
        <v>1140.5125</v>
      </c>
      <c r="CG22">
        <f t="shared" ref="CG22:CG28" si="34">BN24</f>
        <v>1.6460000000000003E-3</v>
      </c>
      <c r="CH22">
        <f t="shared" ref="CH22:CH28" si="35">BO24</f>
        <v>117</v>
      </c>
    </row>
    <row r="23" spans="1:86">
      <c r="B23" s="9" t="s">
        <v>45</v>
      </c>
      <c r="C23">
        <v>27.06</v>
      </c>
      <c r="D23">
        <v>279.16000000000003</v>
      </c>
      <c r="E23">
        <v>75.900000000000006</v>
      </c>
      <c r="F23">
        <v>87.78</v>
      </c>
      <c r="G23">
        <v>76.349999999999994</v>
      </c>
      <c r="H23">
        <v>113.82</v>
      </c>
      <c r="I23">
        <v>64.64</v>
      </c>
      <c r="N23" s="9" t="s">
        <v>45</v>
      </c>
      <c r="O23">
        <v>60</v>
      </c>
      <c r="P23">
        <v>83</v>
      </c>
      <c r="Q23">
        <v>164</v>
      </c>
      <c r="R23">
        <v>62</v>
      </c>
      <c r="S23">
        <v>72</v>
      </c>
      <c r="T23">
        <v>93</v>
      </c>
      <c r="U23">
        <v>88</v>
      </c>
      <c r="AA23" s="9" t="s">
        <v>43</v>
      </c>
      <c r="AB23">
        <f t="shared" si="28"/>
        <v>6.8571428571428568E-3</v>
      </c>
      <c r="AC23">
        <f t="shared" si="27"/>
        <v>3.9481481481481485E-3</v>
      </c>
      <c r="AD23">
        <f t="shared" si="27"/>
        <v>4.0044871794871796E-3</v>
      </c>
      <c r="AE23">
        <f t="shared" si="27"/>
        <v>1.4243037974683544E-2</v>
      </c>
      <c r="AF23">
        <f t="shared" si="27"/>
        <v>7.6548780487804878E-3</v>
      </c>
      <c r="AG23">
        <f t="shared" si="27"/>
        <v>8.6049382716049394E-3</v>
      </c>
      <c r="AH23">
        <f t="shared" si="27"/>
        <v>9.3630769230769236E-3</v>
      </c>
      <c r="AM23" s="21"/>
      <c r="AN23" s="13" t="s">
        <v>23</v>
      </c>
      <c r="AO23" s="13">
        <v>69</v>
      </c>
      <c r="AP23" s="13">
        <v>39</v>
      </c>
      <c r="AQ23" s="13" t="s">
        <v>70</v>
      </c>
      <c r="AR23" s="8">
        <v>117</v>
      </c>
      <c r="AS23" s="8">
        <v>188.06</v>
      </c>
      <c r="AT23" s="8">
        <v>243.68</v>
      </c>
      <c r="AU23" s="8">
        <v>270.74</v>
      </c>
      <c r="AV23" s="8">
        <v>312.05</v>
      </c>
      <c r="AW23" s="8">
        <v>443.03</v>
      </c>
      <c r="AX23" s="8">
        <v>548.86</v>
      </c>
      <c r="AY23" s="8">
        <v>742.56</v>
      </c>
      <c r="AZ23" s="8">
        <v>967.72</v>
      </c>
      <c r="BA23" s="8">
        <v>1041.8800000000001</v>
      </c>
      <c r="BB23" s="8">
        <v>1456.87</v>
      </c>
      <c r="BC23" s="27">
        <v>1949.49</v>
      </c>
      <c r="BD23" s="27">
        <v>2196.83</v>
      </c>
      <c r="BE23" s="27">
        <v>2865.62</v>
      </c>
      <c r="BF23" s="27">
        <v>3230.94</v>
      </c>
      <c r="BG23" s="27">
        <v>3627.85</v>
      </c>
      <c r="BH23" s="27"/>
      <c r="BL23" t="s">
        <v>83</v>
      </c>
      <c r="BM23" s="9" t="s">
        <v>33</v>
      </c>
      <c r="BN23">
        <f t="shared" si="2"/>
        <v>4.4317073170731715E-3</v>
      </c>
      <c r="BO23">
        <f t="shared" si="3"/>
        <v>126</v>
      </c>
      <c r="BP23">
        <f t="shared" si="8"/>
        <v>8.3907692307692312E-3</v>
      </c>
      <c r="BQ23">
        <f t="shared" si="9"/>
        <v>170.58</v>
      </c>
      <c r="BR23">
        <f t="shared" si="10"/>
        <v>4.8240740740740744E-3</v>
      </c>
      <c r="BS23">
        <f t="shared" si="11"/>
        <v>405</v>
      </c>
      <c r="BT23">
        <f t="shared" si="4"/>
        <v>1.5298387096774193E-2</v>
      </c>
      <c r="BU23">
        <f t="shared" si="5"/>
        <v>673.67</v>
      </c>
      <c r="BV23">
        <f t="shared" si="12"/>
        <v>7.0537313432835818E-3</v>
      </c>
      <c r="BW23">
        <f t="shared" si="13"/>
        <v>746.5</v>
      </c>
      <c r="BX23">
        <f t="shared" si="14"/>
        <v>1.761578947368421E-2</v>
      </c>
      <c r="BY23">
        <f t="shared" si="15"/>
        <v>1168.58</v>
      </c>
      <c r="BZ23">
        <f t="shared" si="16"/>
        <v>1.5185333333333334E-2</v>
      </c>
      <c r="CA23">
        <f t="shared" si="17"/>
        <v>1512.41</v>
      </c>
      <c r="CG23">
        <f t="shared" si="34"/>
        <v>7.514285714285714E-4</v>
      </c>
      <c r="CH23">
        <f t="shared" si="35"/>
        <v>109.33</v>
      </c>
    </row>
    <row r="24" spans="1:86">
      <c r="B24" s="9" t="s">
        <v>46</v>
      </c>
      <c r="C24">
        <v>39.39</v>
      </c>
      <c r="D24">
        <v>16.149999999999999</v>
      </c>
      <c r="E24">
        <v>87.9</v>
      </c>
      <c r="F24">
        <v>99.31</v>
      </c>
      <c r="G24">
        <v>43.18</v>
      </c>
      <c r="H24">
        <v>158.31</v>
      </c>
      <c r="I24">
        <v>130.47999999999999</v>
      </c>
      <c r="N24" s="9" t="s">
        <v>46</v>
      </c>
      <c r="O24">
        <v>59</v>
      </c>
      <c r="P24">
        <v>58</v>
      </c>
      <c r="Q24">
        <v>164</v>
      </c>
      <c r="R24">
        <v>61</v>
      </c>
      <c r="S24">
        <v>42</v>
      </c>
      <c r="T24">
        <v>92</v>
      </c>
      <c r="U24">
        <v>100</v>
      </c>
      <c r="AA24" s="9" t="s">
        <v>44</v>
      </c>
      <c r="AB24">
        <f t="shared" si="28"/>
        <v>5.9880000000000003E-3</v>
      </c>
      <c r="AC24">
        <f t="shared" si="27"/>
        <v>1.0944155844155845E-2</v>
      </c>
      <c r="AE24">
        <f t="shared" si="27"/>
        <v>1.2937500000000001E-2</v>
      </c>
      <c r="AF24">
        <f t="shared" si="27"/>
        <v>1.6171000000000001E-2</v>
      </c>
      <c r="AG24">
        <f t="shared" si="27"/>
        <v>9.7047619047619035E-3</v>
      </c>
      <c r="AH24">
        <f t="shared" si="27"/>
        <v>8.9837837837837848E-3</v>
      </c>
      <c r="AM24" s="21"/>
      <c r="AN24" s="13" t="s">
        <v>40</v>
      </c>
      <c r="AO24" s="13">
        <v>83</v>
      </c>
      <c r="AP24" s="13">
        <v>53</v>
      </c>
      <c r="AQ24" s="13" t="s">
        <v>80</v>
      </c>
      <c r="AR24" s="8">
        <v>109.33</v>
      </c>
      <c r="AS24" s="8">
        <v>157.6</v>
      </c>
      <c r="AT24" s="8">
        <v>218.05</v>
      </c>
      <c r="AU24" s="8">
        <v>250.31</v>
      </c>
      <c r="AV24" s="8">
        <v>230.69</v>
      </c>
      <c r="AW24" s="8">
        <v>268.32</v>
      </c>
      <c r="AX24" s="8">
        <v>366.1</v>
      </c>
      <c r="AY24" s="8">
        <v>367.42</v>
      </c>
      <c r="AZ24" s="8">
        <v>432.67</v>
      </c>
      <c r="BA24" s="8">
        <v>625</v>
      </c>
      <c r="BB24" s="8">
        <v>507.84</v>
      </c>
      <c r="BC24" s="21">
        <v>651.77</v>
      </c>
      <c r="BD24" s="21">
        <v>643.47</v>
      </c>
      <c r="BE24" s="21">
        <v>812.88</v>
      </c>
      <c r="BF24" s="21">
        <v>1164.93</v>
      </c>
      <c r="BG24" s="21">
        <v>1599.9</v>
      </c>
      <c r="BH24" s="21"/>
      <c r="BM24" s="9" t="s">
        <v>23</v>
      </c>
      <c r="BN24">
        <f t="shared" si="2"/>
        <v>1.6460000000000003E-3</v>
      </c>
      <c r="BO24">
        <f t="shared" si="3"/>
        <v>117</v>
      </c>
      <c r="BP24">
        <f t="shared" si="8"/>
        <v>8.864473684210528E-3</v>
      </c>
      <c r="BQ24">
        <f t="shared" si="9"/>
        <v>188.06</v>
      </c>
      <c r="BR24">
        <f t="shared" si="10"/>
        <v>2.9171052631578949E-3</v>
      </c>
      <c r="BS24">
        <f t="shared" si="11"/>
        <v>443.03</v>
      </c>
      <c r="BT24">
        <f t="shared" si="4"/>
        <v>1.5770491803278691E-2</v>
      </c>
      <c r="BU24">
        <f t="shared" si="5"/>
        <v>742.56</v>
      </c>
      <c r="BV24">
        <f t="shared" si="12"/>
        <v>2.2462857142857142E-2</v>
      </c>
      <c r="BW24">
        <f t="shared" si="13"/>
        <v>1041.8800000000001</v>
      </c>
      <c r="BX24">
        <f t="shared" si="14"/>
        <v>9.0742268041237115E-3</v>
      </c>
      <c r="BY24">
        <f t="shared" si="15"/>
        <v>1949.49</v>
      </c>
      <c r="BZ24">
        <f t="shared" si="16"/>
        <v>1.1629545454545455E-2</v>
      </c>
      <c r="CA24">
        <f t="shared" si="17"/>
        <v>2865.62</v>
      </c>
      <c r="CG24">
        <f t="shared" si="34"/>
        <v>6.8571428571428568E-3</v>
      </c>
      <c r="CH24">
        <f t="shared" si="35"/>
        <v>101.92</v>
      </c>
    </row>
    <row r="25" spans="1:86">
      <c r="A25" s="10"/>
      <c r="B25" s="11" t="s">
        <v>47</v>
      </c>
      <c r="C25">
        <v>29.11</v>
      </c>
      <c r="D25">
        <v>32.99</v>
      </c>
      <c r="E25">
        <v>67.17</v>
      </c>
      <c r="F25">
        <v>23.55</v>
      </c>
      <c r="G25">
        <v>61.47</v>
      </c>
      <c r="H25">
        <v>61.4</v>
      </c>
      <c r="I25">
        <v>103.63</v>
      </c>
      <c r="M25" s="10"/>
      <c r="N25" s="11" t="s">
        <v>47</v>
      </c>
      <c r="O25">
        <v>70</v>
      </c>
      <c r="P25">
        <v>67</v>
      </c>
      <c r="Q25">
        <v>163</v>
      </c>
      <c r="R25">
        <v>54</v>
      </c>
      <c r="S25">
        <v>92</v>
      </c>
      <c r="T25">
        <v>68</v>
      </c>
      <c r="U25">
        <v>100</v>
      </c>
      <c r="AA25" s="9" t="s">
        <v>45</v>
      </c>
      <c r="AB25">
        <f t="shared" si="28"/>
        <v>4.5100000000000001E-3</v>
      </c>
      <c r="AC25">
        <f t="shared" si="27"/>
        <v>3.363373493975904E-2</v>
      </c>
      <c r="AD25">
        <f t="shared" si="27"/>
        <v>4.6280487804878055E-3</v>
      </c>
      <c r="AE25">
        <f t="shared" si="27"/>
        <v>1.4158064516129033E-2</v>
      </c>
      <c r="AF25">
        <f t="shared" si="27"/>
        <v>1.0604166666666666E-2</v>
      </c>
      <c r="AG25">
        <f t="shared" si="27"/>
        <v>1.2238709677419354E-2</v>
      </c>
      <c r="AH25">
        <f t="shared" si="27"/>
        <v>7.3454545454545448E-3</v>
      </c>
      <c r="AM25" s="21"/>
      <c r="AN25" s="13" t="s">
        <v>43</v>
      </c>
      <c r="AO25" s="13">
        <v>83</v>
      </c>
      <c r="AP25" s="13">
        <v>53</v>
      </c>
      <c r="AQ25" s="13" t="s">
        <v>70</v>
      </c>
      <c r="AR25" s="8">
        <v>101.92</v>
      </c>
      <c r="AS25" s="8">
        <v>177.32</v>
      </c>
      <c r="AT25" s="8">
        <v>184</v>
      </c>
      <c r="AU25" s="8">
        <v>243.65</v>
      </c>
      <c r="AV25" s="8">
        <v>203.35</v>
      </c>
      <c r="AW25" s="8">
        <v>285.95</v>
      </c>
      <c r="AX25" s="8">
        <v>298.12</v>
      </c>
      <c r="AY25" s="8">
        <v>633.94000000000005</v>
      </c>
      <c r="AZ25" s="8">
        <v>507.84</v>
      </c>
      <c r="BA25" s="8">
        <v>539</v>
      </c>
      <c r="BB25" s="8">
        <v>703.04</v>
      </c>
      <c r="BC25" s="21">
        <v>873.25</v>
      </c>
      <c r="BD25" s="21">
        <v>883.3</v>
      </c>
      <c r="BE25" s="21">
        <v>1314.65</v>
      </c>
      <c r="BF25" s="21">
        <v>1495.65</v>
      </c>
      <c r="BG25" s="27">
        <v>1752.05</v>
      </c>
      <c r="BH25" s="21"/>
      <c r="BM25" s="9" t="s">
        <v>40</v>
      </c>
      <c r="BN25">
        <f t="shared" si="2"/>
        <v>7.514285714285714E-4</v>
      </c>
      <c r="BO25">
        <f t="shared" si="3"/>
        <v>109.33</v>
      </c>
      <c r="BP25">
        <f t="shared" si="8"/>
        <v>6.9312499999999999E-3</v>
      </c>
      <c r="BQ25">
        <f t="shared" si="9"/>
        <v>157.6</v>
      </c>
      <c r="BT25">
        <f t="shared" si="4"/>
        <v>1.1547058823529412E-2</v>
      </c>
      <c r="BU25">
        <f t="shared" si="5"/>
        <v>367.42</v>
      </c>
      <c r="BV25">
        <f t="shared" si="12"/>
        <v>7.1061538461538454E-3</v>
      </c>
      <c r="BW25">
        <f t="shared" si="13"/>
        <v>625</v>
      </c>
      <c r="BX25">
        <f t="shared" si="14"/>
        <v>7.1112500000000013E-3</v>
      </c>
      <c r="BY25">
        <f t="shared" si="15"/>
        <v>651.77</v>
      </c>
      <c r="BZ25">
        <f t="shared" si="16"/>
        <v>6.2769230769230775E-3</v>
      </c>
      <c r="CA25">
        <f t="shared" si="17"/>
        <v>812.88</v>
      </c>
      <c r="CG25">
        <f t="shared" si="34"/>
        <v>5.9880000000000003E-3</v>
      </c>
      <c r="CH25">
        <f t="shared" si="35"/>
        <v>89.89</v>
      </c>
    </row>
    <row r="26" spans="1:86">
      <c r="A26" t="s">
        <v>84</v>
      </c>
      <c r="B26" s="9" t="s">
        <v>34</v>
      </c>
      <c r="C26">
        <v>11.45</v>
      </c>
      <c r="D26">
        <v>229.56</v>
      </c>
      <c r="E26">
        <v>77.930000000000007</v>
      </c>
      <c r="F26">
        <v>122.09</v>
      </c>
      <c r="G26">
        <v>205.95</v>
      </c>
      <c r="H26">
        <v>121.44</v>
      </c>
      <c r="I26">
        <v>46.63</v>
      </c>
      <c r="J26">
        <v>42.01</v>
      </c>
      <c r="M26" t="s">
        <v>84</v>
      </c>
      <c r="N26" s="9" t="s">
        <v>34</v>
      </c>
      <c r="O26">
        <v>45</v>
      </c>
      <c r="P26">
        <v>81</v>
      </c>
      <c r="Q26">
        <v>200</v>
      </c>
      <c r="R26">
        <v>53</v>
      </c>
      <c r="S26">
        <v>68</v>
      </c>
      <c r="T26">
        <v>100</v>
      </c>
      <c r="U26">
        <v>72</v>
      </c>
      <c r="V26">
        <v>57</v>
      </c>
      <c r="AA26" s="9" t="s">
        <v>46</v>
      </c>
      <c r="AB26">
        <f t="shared" si="28"/>
        <v>6.6762711864406781E-3</v>
      </c>
      <c r="AC26">
        <f t="shared" si="27"/>
        <v>2.7844827586206893E-3</v>
      </c>
      <c r="AD26">
        <f t="shared" si="27"/>
        <v>5.359756097560976E-3</v>
      </c>
      <c r="AE26">
        <f t="shared" si="27"/>
        <v>1.6280327868852459E-2</v>
      </c>
      <c r="AF26">
        <f t="shared" si="27"/>
        <v>1.0280952380952382E-2</v>
      </c>
      <c r="AG26">
        <f t="shared" si="27"/>
        <v>1.7207608695652174E-2</v>
      </c>
      <c r="AH26">
        <f t="shared" si="27"/>
        <v>1.3047999999999999E-2</v>
      </c>
      <c r="AM26" s="21"/>
      <c r="AN26" s="13" t="s">
        <v>44</v>
      </c>
      <c r="AO26" s="13">
        <v>83</v>
      </c>
      <c r="AP26" s="13">
        <v>53</v>
      </c>
      <c r="AQ26" s="13" t="s">
        <v>70</v>
      </c>
      <c r="AR26" s="8">
        <v>89.89</v>
      </c>
      <c r="AS26" s="8">
        <v>169</v>
      </c>
      <c r="AT26" s="8">
        <v>213.56</v>
      </c>
      <c r="AU26" s="8">
        <v>255.94</v>
      </c>
      <c r="AV26" s="8">
        <v>233.44</v>
      </c>
      <c r="AW26" s="8">
        <v>343.19</v>
      </c>
      <c r="AX26" s="8">
        <v>310.68</v>
      </c>
      <c r="AY26" s="8">
        <v>292.5</v>
      </c>
      <c r="AZ26" s="8">
        <v>638.14</v>
      </c>
      <c r="BA26" s="8">
        <v>819.95</v>
      </c>
      <c r="BB26" s="8">
        <v>886.08</v>
      </c>
      <c r="BC26" s="21">
        <v>1056.76</v>
      </c>
      <c r="BD26" s="21">
        <v>1236.99</v>
      </c>
      <c r="BE26" s="21">
        <v>1442.69</v>
      </c>
      <c r="BF26" s="21">
        <v>1745.08</v>
      </c>
      <c r="BG26" s="27">
        <v>1939.76</v>
      </c>
      <c r="BH26" s="21"/>
      <c r="BM26" s="9" t="s">
        <v>43</v>
      </c>
      <c r="BN26">
        <f t="shared" si="2"/>
        <v>6.8571428571428568E-3</v>
      </c>
      <c r="BO26">
        <f t="shared" si="3"/>
        <v>101.92</v>
      </c>
      <c r="BP26">
        <f t="shared" si="8"/>
        <v>3.9481481481481485E-3</v>
      </c>
      <c r="BQ26">
        <f t="shared" si="9"/>
        <v>177.32</v>
      </c>
      <c r="BR26">
        <f t="shared" si="10"/>
        <v>4.0044871794871796E-3</v>
      </c>
      <c r="BS26">
        <f t="shared" si="11"/>
        <v>285.95</v>
      </c>
      <c r="BT26">
        <f t="shared" si="4"/>
        <v>1.4243037974683544E-2</v>
      </c>
      <c r="BU26">
        <f t="shared" si="5"/>
        <v>633.94000000000005</v>
      </c>
      <c r="BV26">
        <f t="shared" si="12"/>
        <v>7.6548780487804878E-3</v>
      </c>
      <c r="BW26">
        <f t="shared" si="13"/>
        <v>539</v>
      </c>
      <c r="BX26">
        <f t="shared" si="14"/>
        <v>8.6049382716049394E-3</v>
      </c>
      <c r="BY26">
        <f t="shared" si="15"/>
        <v>873.25</v>
      </c>
      <c r="BZ26">
        <f t="shared" si="16"/>
        <v>9.3630769230769236E-3</v>
      </c>
      <c r="CA26">
        <f t="shared" si="17"/>
        <v>1314.65</v>
      </c>
      <c r="CG26">
        <f t="shared" si="34"/>
        <v>4.5100000000000001E-3</v>
      </c>
      <c r="CH26">
        <f t="shared" si="35"/>
        <v>83.75</v>
      </c>
    </row>
    <row r="27" spans="1:86">
      <c r="B27" s="9" t="s">
        <v>41</v>
      </c>
      <c r="C27">
        <v>57.48</v>
      </c>
      <c r="D27">
        <v>159.44</v>
      </c>
      <c r="E27">
        <v>110.29</v>
      </c>
      <c r="F27">
        <v>123.47</v>
      </c>
      <c r="G27">
        <v>332.62</v>
      </c>
      <c r="H27">
        <v>105.07</v>
      </c>
      <c r="I27">
        <v>390.09</v>
      </c>
      <c r="J27">
        <v>15.38</v>
      </c>
      <c r="N27" s="9" t="s">
        <v>41</v>
      </c>
      <c r="O27">
        <v>82</v>
      </c>
      <c r="P27">
        <v>73</v>
      </c>
      <c r="Q27">
        <v>166</v>
      </c>
      <c r="R27">
        <v>62</v>
      </c>
      <c r="S27">
        <v>93</v>
      </c>
      <c r="T27">
        <v>52</v>
      </c>
      <c r="U27">
        <v>89</v>
      </c>
      <c r="V27">
        <v>32</v>
      </c>
      <c r="Z27" s="10"/>
      <c r="AA27" s="11" t="s">
        <v>47</v>
      </c>
      <c r="AB27">
        <f t="shared" si="28"/>
        <v>4.158571428571429E-3</v>
      </c>
      <c r="AC27">
        <f t="shared" si="27"/>
        <v>4.9238805970149256E-3</v>
      </c>
      <c r="AD27">
        <f t="shared" si="27"/>
        <v>4.1208588957055217E-3</v>
      </c>
      <c r="AE27">
        <f t="shared" si="27"/>
        <v>4.3611111111111116E-3</v>
      </c>
      <c r="AF27">
        <f t="shared" si="27"/>
        <v>6.681521739130435E-3</v>
      </c>
      <c r="AG27">
        <f t="shared" si="27"/>
        <v>9.029411764705883E-3</v>
      </c>
      <c r="AH27">
        <f t="shared" si="27"/>
        <v>1.0363000000000001E-2</v>
      </c>
      <c r="AM27" s="21"/>
      <c r="AN27" s="13" t="s">
        <v>45</v>
      </c>
      <c r="AO27" s="13">
        <v>83</v>
      </c>
      <c r="AP27" s="13">
        <v>53</v>
      </c>
      <c r="AQ27" s="13" t="s">
        <v>80</v>
      </c>
      <c r="AR27" s="8">
        <v>83.75</v>
      </c>
      <c r="AS27" s="8">
        <v>98.31</v>
      </c>
      <c r="AT27" s="8">
        <v>131.4</v>
      </c>
      <c r="AU27" s="8">
        <v>195.2</v>
      </c>
      <c r="AV27" s="8">
        <v>169.14</v>
      </c>
      <c r="AW27" s="8">
        <v>230.3</v>
      </c>
      <c r="AX27" s="8">
        <v>217.33</v>
      </c>
      <c r="AY27" s="8">
        <v>296.45</v>
      </c>
      <c r="AZ27" s="8">
        <v>363.1</v>
      </c>
      <c r="BA27" s="8">
        <v>396.12</v>
      </c>
      <c r="BB27" s="8">
        <v>468.51</v>
      </c>
      <c r="BC27" s="21">
        <v>600.16</v>
      </c>
      <c r="BD27" s="21">
        <v>574.34</v>
      </c>
      <c r="BE27" s="21">
        <v>1026.68</v>
      </c>
      <c r="BF27" s="21">
        <v>1193.24</v>
      </c>
      <c r="BG27" s="21">
        <v>1217.8800000000001</v>
      </c>
      <c r="BH27" s="21"/>
      <c r="BM27" s="9" t="s">
        <v>44</v>
      </c>
      <c r="BN27">
        <f t="shared" si="2"/>
        <v>5.9880000000000003E-3</v>
      </c>
      <c r="BO27">
        <f t="shared" si="3"/>
        <v>89.89</v>
      </c>
      <c r="BP27">
        <f t="shared" si="8"/>
        <v>1.0944155844155845E-2</v>
      </c>
      <c r="BQ27">
        <f t="shared" si="9"/>
        <v>169</v>
      </c>
      <c r="BT27">
        <f t="shared" si="4"/>
        <v>1.2937500000000001E-2</v>
      </c>
      <c r="BU27">
        <f t="shared" si="5"/>
        <v>292.5</v>
      </c>
      <c r="BV27">
        <f t="shared" si="12"/>
        <v>1.6171000000000001E-2</v>
      </c>
      <c r="BW27">
        <f t="shared" si="13"/>
        <v>819.95</v>
      </c>
      <c r="BX27">
        <f t="shared" si="14"/>
        <v>9.7047619047619035E-3</v>
      </c>
      <c r="BY27">
        <f t="shared" si="15"/>
        <v>1056.76</v>
      </c>
      <c r="BZ27">
        <f t="shared" si="16"/>
        <v>8.9837837837837848E-3</v>
      </c>
      <c r="CA27">
        <f t="shared" si="17"/>
        <v>1442.69</v>
      </c>
      <c r="CG27">
        <f t="shared" si="34"/>
        <v>6.6762711864406781E-3</v>
      </c>
      <c r="CH27">
        <f t="shared" si="35"/>
        <v>77.5</v>
      </c>
    </row>
    <row r="28" spans="1:86">
      <c r="B28" s="9" t="s">
        <v>42</v>
      </c>
      <c r="C28">
        <v>12.86</v>
      </c>
      <c r="D28">
        <v>253.78</v>
      </c>
      <c r="E28">
        <v>79.739999999999995</v>
      </c>
      <c r="F28">
        <v>193.64</v>
      </c>
      <c r="G28">
        <v>153.91999999999999</v>
      </c>
      <c r="H28">
        <v>61.13</v>
      </c>
      <c r="I28">
        <v>59.64</v>
      </c>
      <c r="J28">
        <v>123.69</v>
      </c>
      <c r="N28" s="9" t="s">
        <v>42</v>
      </c>
      <c r="O28">
        <v>47</v>
      </c>
      <c r="P28">
        <v>85</v>
      </c>
      <c r="Q28">
        <v>188</v>
      </c>
      <c r="R28">
        <v>80</v>
      </c>
      <c r="S28">
        <v>75</v>
      </c>
      <c r="T28">
        <v>80</v>
      </c>
      <c r="U28">
        <v>82</v>
      </c>
      <c r="V28">
        <v>49</v>
      </c>
      <c r="AM28" s="21"/>
      <c r="AN28" s="13" t="s">
        <v>46</v>
      </c>
      <c r="AO28" s="13">
        <v>83</v>
      </c>
      <c r="AP28" s="13">
        <v>53</v>
      </c>
      <c r="AQ28" s="13" t="s">
        <v>70</v>
      </c>
      <c r="AR28" s="8">
        <v>77.5</v>
      </c>
      <c r="AS28" s="8">
        <v>122.4</v>
      </c>
      <c r="AT28" s="8">
        <v>152.1</v>
      </c>
      <c r="AU28" s="8">
        <v>239.06</v>
      </c>
      <c r="AV28" s="8">
        <v>226.48</v>
      </c>
      <c r="AW28" s="8">
        <v>242.59</v>
      </c>
      <c r="AX28" s="8">
        <v>265.7</v>
      </c>
      <c r="AY28" s="8">
        <v>232.73</v>
      </c>
      <c r="AZ28" s="8">
        <v>316.8</v>
      </c>
      <c r="BA28" s="8">
        <v>636.54</v>
      </c>
      <c r="BB28" s="8">
        <v>516.1</v>
      </c>
      <c r="BC28" s="21">
        <v>799.25</v>
      </c>
      <c r="BD28" s="21">
        <v>970.03</v>
      </c>
      <c r="BE28" s="21">
        <v>1193.55</v>
      </c>
      <c r="BF28" s="21">
        <v>1428.3</v>
      </c>
      <c r="BG28" s="27">
        <v>1764.98</v>
      </c>
      <c r="BH28" s="21"/>
      <c r="BM28" s="9" t="s">
        <v>45</v>
      </c>
      <c r="BN28">
        <f t="shared" si="2"/>
        <v>4.5100000000000001E-3</v>
      </c>
      <c r="BO28">
        <f t="shared" si="3"/>
        <v>83.75</v>
      </c>
      <c r="BP28">
        <f t="shared" si="8"/>
        <v>3.363373493975904E-2</v>
      </c>
      <c r="BQ28">
        <f t="shared" si="9"/>
        <v>98.31</v>
      </c>
      <c r="BR28">
        <f t="shared" si="10"/>
        <v>4.6280487804878055E-3</v>
      </c>
      <c r="BS28">
        <f t="shared" si="11"/>
        <v>230.3</v>
      </c>
      <c r="BT28">
        <f t="shared" si="4"/>
        <v>1.4158064516129033E-2</v>
      </c>
      <c r="BU28">
        <f t="shared" si="5"/>
        <v>296.45</v>
      </c>
      <c r="BV28">
        <f t="shared" si="12"/>
        <v>1.0604166666666666E-2</v>
      </c>
      <c r="BW28">
        <f t="shared" si="13"/>
        <v>396.12</v>
      </c>
      <c r="BX28">
        <f t="shared" si="14"/>
        <v>1.2238709677419354E-2</v>
      </c>
      <c r="BY28">
        <f t="shared" si="15"/>
        <v>600.16</v>
      </c>
      <c r="BZ28">
        <f t="shared" si="16"/>
        <v>7.3454545454545448E-3</v>
      </c>
      <c r="CA28">
        <f t="shared" si="17"/>
        <v>1026.68</v>
      </c>
      <c r="CG28">
        <f t="shared" si="34"/>
        <v>4.158571428571429E-3</v>
      </c>
      <c r="CH28">
        <f t="shared" si="35"/>
        <v>52.65</v>
      </c>
    </row>
    <row r="29" spans="1:86">
      <c r="B29" s="9" t="s">
        <v>48</v>
      </c>
      <c r="C29">
        <v>41.22</v>
      </c>
      <c r="D29">
        <v>291.5</v>
      </c>
      <c r="E29">
        <v>126.65</v>
      </c>
      <c r="F29">
        <v>129.99</v>
      </c>
      <c r="G29">
        <v>50.92</v>
      </c>
      <c r="H29">
        <v>94.23</v>
      </c>
      <c r="I29">
        <v>63.32</v>
      </c>
      <c r="J29">
        <v>35.04</v>
      </c>
      <c r="N29" s="9" t="s">
        <v>48</v>
      </c>
      <c r="O29">
        <v>71</v>
      </c>
      <c r="P29">
        <v>75</v>
      </c>
      <c r="Q29">
        <v>185</v>
      </c>
      <c r="R29">
        <v>72</v>
      </c>
      <c r="S29">
        <v>46</v>
      </c>
      <c r="T29">
        <v>92</v>
      </c>
      <c r="U29">
        <v>68</v>
      </c>
      <c r="V29">
        <v>67</v>
      </c>
      <c r="Z29" t="s">
        <v>84</v>
      </c>
      <c r="AA29" s="9" t="s">
        <v>34</v>
      </c>
      <c r="AB29">
        <f>(C26*0.01)/O26</f>
        <v>2.5444444444444442E-3</v>
      </c>
      <c r="AC29">
        <f t="shared" ref="AC29:AI36" si="36">(D26*0.01)/P26</f>
        <v>2.8340740740740739E-2</v>
      </c>
      <c r="AD29">
        <f t="shared" si="36"/>
        <v>3.8965000000000007E-3</v>
      </c>
      <c r="AE29">
        <f t="shared" si="36"/>
        <v>2.3035849056603774E-2</v>
      </c>
      <c r="AF29">
        <f t="shared" si="36"/>
        <v>3.028676470588235E-2</v>
      </c>
      <c r="AG29">
        <f t="shared" si="36"/>
        <v>1.2143999999999999E-2</v>
      </c>
      <c r="AH29">
        <f t="shared" si="36"/>
        <v>6.4763888888888892E-3</v>
      </c>
      <c r="AI29">
        <f t="shared" si="36"/>
        <v>7.3701754385964904E-3</v>
      </c>
      <c r="AM29" s="18" t="s">
        <v>70</v>
      </c>
      <c r="AN29" s="19" t="s">
        <v>47</v>
      </c>
      <c r="AO29" s="19">
        <v>83</v>
      </c>
      <c r="AP29" s="19">
        <v>53</v>
      </c>
      <c r="AQ29" s="19" t="s">
        <v>80</v>
      </c>
      <c r="AR29" s="7">
        <v>52.65</v>
      </c>
      <c r="AS29" s="7">
        <v>137.31</v>
      </c>
      <c r="AT29" s="7">
        <v>117.74</v>
      </c>
      <c r="AU29" s="7">
        <v>126</v>
      </c>
      <c r="AV29" s="7">
        <v>147.88</v>
      </c>
      <c r="AW29" s="7">
        <v>172.06</v>
      </c>
      <c r="AX29" s="7">
        <v>209.95</v>
      </c>
      <c r="AY29" s="7">
        <v>232.73</v>
      </c>
      <c r="AZ29" s="7">
        <v>256</v>
      </c>
      <c r="BA29" s="7">
        <v>278.66000000000003</v>
      </c>
      <c r="BB29" s="7">
        <v>346.8</v>
      </c>
      <c r="BC29" s="18">
        <v>401.16</v>
      </c>
      <c r="BD29" s="18">
        <v>420.08</v>
      </c>
      <c r="BE29" s="18">
        <v>635</v>
      </c>
      <c r="BF29" s="18">
        <v>575</v>
      </c>
      <c r="BG29" s="18">
        <v>758.43</v>
      </c>
      <c r="BH29" s="18" t="s">
        <v>70</v>
      </c>
      <c r="BM29" s="9" t="s">
        <v>46</v>
      </c>
      <c r="BN29">
        <f t="shared" si="2"/>
        <v>6.6762711864406781E-3</v>
      </c>
      <c r="BO29">
        <f t="shared" si="3"/>
        <v>77.5</v>
      </c>
      <c r="BP29">
        <f t="shared" si="8"/>
        <v>2.7844827586206893E-3</v>
      </c>
      <c r="BQ29">
        <f t="shared" si="9"/>
        <v>122.4</v>
      </c>
      <c r="BR29">
        <f t="shared" si="10"/>
        <v>5.359756097560976E-3</v>
      </c>
      <c r="BS29">
        <f t="shared" si="11"/>
        <v>242.59</v>
      </c>
      <c r="BT29">
        <f t="shared" si="4"/>
        <v>1.6280327868852459E-2</v>
      </c>
      <c r="BU29">
        <f t="shared" si="5"/>
        <v>232.73</v>
      </c>
      <c r="BV29">
        <f t="shared" si="12"/>
        <v>1.0280952380952382E-2</v>
      </c>
      <c r="BW29">
        <f t="shared" si="13"/>
        <v>636.54</v>
      </c>
      <c r="BX29">
        <f t="shared" si="14"/>
        <v>1.7207608695652174E-2</v>
      </c>
      <c r="BY29">
        <f t="shared" si="15"/>
        <v>799.25</v>
      </c>
      <c r="BZ29">
        <f t="shared" si="16"/>
        <v>1.3047999999999999E-2</v>
      </c>
      <c r="CA29">
        <f t="shared" si="17"/>
        <v>1193.55</v>
      </c>
      <c r="CG29">
        <f>BN32</f>
        <v>2.5444444444444442E-3</v>
      </c>
      <c r="CH29">
        <f>BO32</f>
        <v>135</v>
      </c>
    </row>
    <row r="30" spans="1:86">
      <c r="B30" s="9" t="s">
        <v>49</v>
      </c>
      <c r="C30">
        <v>32.97</v>
      </c>
      <c r="D30">
        <v>303.43</v>
      </c>
      <c r="E30">
        <v>62.03</v>
      </c>
      <c r="F30">
        <v>171.16</v>
      </c>
      <c r="G30">
        <v>242.12</v>
      </c>
      <c r="H30">
        <v>122.18</v>
      </c>
      <c r="I30">
        <v>77.78</v>
      </c>
      <c r="J30">
        <v>118.65</v>
      </c>
      <c r="N30" s="9" t="s">
        <v>49</v>
      </c>
      <c r="O30">
        <v>65</v>
      </c>
      <c r="P30">
        <v>94</v>
      </c>
      <c r="Q30">
        <v>167</v>
      </c>
      <c r="R30">
        <v>57</v>
      </c>
      <c r="S30">
        <v>74</v>
      </c>
      <c r="T30">
        <v>68</v>
      </c>
      <c r="U30">
        <v>62</v>
      </c>
      <c r="V30">
        <v>78</v>
      </c>
      <c r="AA30" s="9" t="s">
        <v>41</v>
      </c>
      <c r="AB30">
        <f t="shared" ref="AB30:AB36" si="37">(C27*0.01)/O27</f>
        <v>7.0097560975609756E-3</v>
      </c>
      <c r="AC30">
        <f t="shared" si="36"/>
        <v>2.1841095890410958E-2</v>
      </c>
      <c r="AD30">
        <f t="shared" si="36"/>
        <v>6.6439759036144574E-3</v>
      </c>
      <c r="AE30">
        <f t="shared" si="36"/>
        <v>1.9914516129032257E-2</v>
      </c>
      <c r="AF30">
        <f t="shared" si="36"/>
        <v>3.5765591397849461E-2</v>
      </c>
      <c r="AG30">
        <f t="shared" si="36"/>
        <v>2.0205769230769229E-2</v>
      </c>
      <c r="AH30">
        <f t="shared" si="36"/>
        <v>4.3830337078651686E-2</v>
      </c>
      <c r="AI30">
        <f t="shared" si="36"/>
        <v>4.8062500000000006E-3</v>
      </c>
      <c r="BL30" s="10"/>
      <c r="BM30" s="11" t="s">
        <v>47</v>
      </c>
      <c r="BN30">
        <f t="shared" si="2"/>
        <v>4.158571428571429E-3</v>
      </c>
      <c r="BO30">
        <f t="shared" si="3"/>
        <v>52.65</v>
      </c>
      <c r="BP30">
        <f t="shared" si="8"/>
        <v>4.9238805970149256E-3</v>
      </c>
      <c r="BQ30">
        <f t="shared" si="9"/>
        <v>137.31</v>
      </c>
      <c r="BR30">
        <f t="shared" si="10"/>
        <v>4.1208588957055217E-3</v>
      </c>
      <c r="BS30">
        <f t="shared" si="11"/>
        <v>172.06</v>
      </c>
      <c r="BT30">
        <f t="shared" si="4"/>
        <v>4.3611111111111116E-3</v>
      </c>
      <c r="BU30">
        <f t="shared" si="5"/>
        <v>232.73</v>
      </c>
      <c r="BV30">
        <f t="shared" si="12"/>
        <v>6.681521739130435E-3</v>
      </c>
      <c r="BW30">
        <f t="shared" si="13"/>
        <v>278.66000000000003</v>
      </c>
      <c r="BX30">
        <f t="shared" si="14"/>
        <v>9.029411764705883E-3</v>
      </c>
      <c r="BY30">
        <f t="shared" si="15"/>
        <v>401.16</v>
      </c>
      <c r="BZ30">
        <f t="shared" si="16"/>
        <v>1.0363000000000001E-2</v>
      </c>
      <c r="CA30">
        <f t="shared" si="17"/>
        <v>635</v>
      </c>
      <c r="CG30">
        <f t="shared" ref="CG30:CG37" si="38">BN33</f>
        <v>7.0097560975609756E-3</v>
      </c>
      <c r="CH30">
        <f t="shared" ref="CH30:CH36" si="39">BO33</f>
        <v>117.74</v>
      </c>
    </row>
    <row r="31" spans="1:86">
      <c r="B31" s="9" t="s">
        <v>50</v>
      </c>
      <c r="C31">
        <v>29.17</v>
      </c>
      <c r="D31">
        <v>69.09</v>
      </c>
      <c r="E31">
        <v>60.24</v>
      </c>
      <c r="F31">
        <v>144.87</v>
      </c>
      <c r="G31">
        <v>340.62</v>
      </c>
      <c r="H31">
        <v>57.44</v>
      </c>
      <c r="I31">
        <v>43.89</v>
      </c>
      <c r="J31">
        <v>95.1</v>
      </c>
      <c r="N31" s="9" t="s">
        <v>50</v>
      </c>
      <c r="O31">
        <v>62</v>
      </c>
      <c r="P31">
        <v>84</v>
      </c>
      <c r="Q31">
        <v>159</v>
      </c>
      <c r="R31">
        <v>65</v>
      </c>
      <c r="S31">
        <v>78</v>
      </c>
      <c r="T31">
        <v>59</v>
      </c>
      <c r="U31">
        <v>59</v>
      </c>
      <c r="V31">
        <v>88</v>
      </c>
      <c r="AA31" s="9" t="s">
        <v>42</v>
      </c>
      <c r="AB31">
        <f t="shared" si="37"/>
        <v>2.7361702127659572E-3</v>
      </c>
      <c r="AC31">
        <f t="shared" si="36"/>
        <v>2.9856470588235297E-2</v>
      </c>
      <c r="AD31">
        <f t="shared" si="36"/>
        <v>4.2414893617021276E-3</v>
      </c>
      <c r="AE31">
        <f t="shared" si="36"/>
        <v>2.4204999999999997E-2</v>
      </c>
      <c r="AF31">
        <f t="shared" si="36"/>
        <v>2.0522666666666665E-2</v>
      </c>
      <c r="AG31">
        <f t="shared" si="36"/>
        <v>7.6412500000000005E-3</v>
      </c>
      <c r="AH31">
        <f t="shared" si="36"/>
        <v>7.2731707317073178E-3</v>
      </c>
      <c r="AI31">
        <f t="shared" si="36"/>
        <v>2.5242857142857147E-2</v>
      </c>
      <c r="AM31" s="21" t="s">
        <v>84</v>
      </c>
      <c r="AN31" s="13" t="s">
        <v>34</v>
      </c>
      <c r="AO31" s="13">
        <v>86</v>
      </c>
      <c r="AP31" s="13">
        <v>56</v>
      </c>
      <c r="AQ31" s="13" t="s">
        <v>80</v>
      </c>
      <c r="AR31" s="8">
        <v>135</v>
      </c>
      <c r="AS31" s="8">
        <v>167.71</v>
      </c>
      <c r="AT31" s="8">
        <v>181.8</v>
      </c>
      <c r="AU31" s="8">
        <v>211.86</v>
      </c>
      <c r="AV31" s="8">
        <v>212.54</v>
      </c>
      <c r="AW31" s="8">
        <v>251.9</v>
      </c>
      <c r="AX31" s="8">
        <v>249.16</v>
      </c>
      <c r="AY31" s="8">
        <v>364.86</v>
      </c>
      <c r="AZ31" s="8">
        <v>432.45</v>
      </c>
      <c r="BA31" s="8">
        <v>328.05</v>
      </c>
      <c r="BB31" s="8">
        <v>419.71</v>
      </c>
      <c r="BC31" s="21">
        <v>622.91</v>
      </c>
      <c r="BD31" s="21">
        <v>515</v>
      </c>
      <c r="BE31" s="21">
        <v>734.22</v>
      </c>
      <c r="BF31" s="21">
        <v>835.03</v>
      </c>
      <c r="BG31" s="21">
        <v>1214.79</v>
      </c>
      <c r="BH31" s="21">
        <v>1555.2</v>
      </c>
      <c r="BM31" t="s">
        <v>82</v>
      </c>
      <c r="BN31">
        <f>AVERAGE(BN23:BN30)</f>
        <v>4.3773901700820883E-3</v>
      </c>
      <c r="BO31">
        <f t="shared" ref="BO31:BW31" si="40">AVERAGE(BO23:BO30)</f>
        <v>94.754999999999995</v>
      </c>
      <c r="BP31">
        <f t="shared" si="40"/>
        <v>1.0052611900334801E-2</v>
      </c>
      <c r="BQ31">
        <f t="shared" si="40"/>
        <v>152.57249999999999</v>
      </c>
      <c r="BR31">
        <f t="shared" si="40"/>
        <v>4.3090550484122421E-3</v>
      </c>
      <c r="BS31">
        <f t="shared" si="40"/>
        <v>296.48833333333329</v>
      </c>
      <c r="BT31">
        <f t="shared" si="40"/>
        <v>1.3074497399294806E-2</v>
      </c>
      <c r="BU31">
        <f t="shared" si="40"/>
        <v>434</v>
      </c>
      <c r="BV31">
        <f t="shared" si="40"/>
        <v>1.1001907645978066E-2</v>
      </c>
      <c r="BW31">
        <f t="shared" si="40"/>
        <v>635.45624999999995</v>
      </c>
      <c r="BX31">
        <f t="shared" ref="BX31" si="41">AVERAGE(BX23:BX30)</f>
        <v>1.1323337073994022E-2</v>
      </c>
      <c r="BY31">
        <f t="shared" ref="BY31" si="42">AVERAGE(BY23:BY30)</f>
        <v>937.55250000000001</v>
      </c>
      <c r="BZ31">
        <f t="shared" ref="BZ31" si="43">AVERAGE(BZ23:BZ30)</f>
        <v>1.027438963963964E-2</v>
      </c>
      <c r="CA31">
        <f t="shared" ref="CA31" si="44">AVERAGE(CA23:CA30)</f>
        <v>1350.4349999999999</v>
      </c>
      <c r="CG31">
        <f t="shared" si="38"/>
        <v>2.7361702127659572E-3</v>
      </c>
      <c r="CH31">
        <f t="shared" si="39"/>
        <v>116.96</v>
      </c>
    </row>
    <row r="32" spans="1:86">
      <c r="B32" s="9" t="s">
        <v>51</v>
      </c>
      <c r="C32">
        <v>30.98</v>
      </c>
      <c r="D32">
        <v>210.3</v>
      </c>
      <c r="E32">
        <v>70.75</v>
      </c>
      <c r="F32">
        <v>103.26</v>
      </c>
      <c r="G32">
        <v>83.32</v>
      </c>
      <c r="H32">
        <v>104.66</v>
      </c>
      <c r="I32">
        <v>90.65</v>
      </c>
      <c r="J32">
        <v>157.43</v>
      </c>
      <c r="N32" s="9" t="s">
        <v>51</v>
      </c>
      <c r="O32">
        <v>83</v>
      </c>
      <c r="P32">
        <v>81</v>
      </c>
      <c r="Q32">
        <v>193</v>
      </c>
      <c r="R32">
        <v>51</v>
      </c>
      <c r="S32">
        <v>65</v>
      </c>
      <c r="T32">
        <v>81</v>
      </c>
      <c r="U32">
        <v>80</v>
      </c>
      <c r="V32">
        <v>65</v>
      </c>
      <c r="AA32" s="9" t="s">
        <v>48</v>
      </c>
      <c r="AB32">
        <f t="shared" si="37"/>
        <v>5.8056338028169016E-3</v>
      </c>
      <c r="AC32">
        <f t="shared" si="36"/>
        <v>3.8866666666666667E-2</v>
      </c>
      <c r="AD32">
        <f t="shared" si="36"/>
        <v>6.8459459459459466E-3</v>
      </c>
      <c r="AE32">
        <f t="shared" si="36"/>
        <v>1.8054166666666666E-2</v>
      </c>
      <c r="AF32">
        <f t="shared" si="36"/>
        <v>1.1069565217391305E-2</v>
      </c>
      <c r="AG32">
        <f t="shared" si="36"/>
        <v>1.0242391304347826E-2</v>
      </c>
      <c r="AH32">
        <f t="shared" si="36"/>
        <v>9.3117647058823527E-3</v>
      </c>
      <c r="AI32">
        <f t="shared" si="36"/>
        <v>5.2298507462686565E-3</v>
      </c>
      <c r="AM32" s="21"/>
      <c r="AN32" s="13" t="s">
        <v>41</v>
      </c>
      <c r="AO32" s="13">
        <v>86</v>
      </c>
      <c r="AP32" s="13">
        <v>56</v>
      </c>
      <c r="AQ32" s="13" t="s">
        <v>70</v>
      </c>
      <c r="AR32" s="8">
        <v>117.74</v>
      </c>
      <c r="AS32" s="8">
        <v>179.56</v>
      </c>
      <c r="AT32" s="8">
        <v>168.34</v>
      </c>
      <c r="AU32" s="8">
        <v>271.48</v>
      </c>
      <c r="AV32" s="8">
        <v>266.81</v>
      </c>
      <c r="AW32" s="8">
        <v>301.81</v>
      </c>
      <c r="AX32" s="8">
        <v>470.02</v>
      </c>
      <c r="AY32" s="8">
        <v>541.02</v>
      </c>
      <c r="AZ32" s="8">
        <v>671.28</v>
      </c>
      <c r="BA32" s="8">
        <v>739.26</v>
      </c>
      <c r="BB32" s="8">
        <v>727.55</v>
      </c>
      <c r="BC32" s="21">
        <v>833.18</v>
      </c>
      <c r="BD32" s="21">
        <v>948.79</v>
      </c>
      <c r="BE32" s="21">
        <v>1216.8</v>
      </c>
      <c r="BF32" s="21">
        <v>1372.88</v>
      </c>
      <c r="BG32" s="21">
        <v>1603.64</v>
      </c>
      <c r="BH32" s="27">
        <v>1931.49</v>
      </c>
      <c r="BL32" t="s">
        <v>84</v>
      </c>
      <c r="BM32" s="9" t="s">
        <v>34</v>
      </c>
      <c r="BN32">
        <f t="shared" si="2"/>
        <v>2.5444444444444442E-3</v>
      </c>
      <c r="BO32">
        <f t="shared" si="3"/>
        <v>135</v>
      </c>
      <c r="BP32">
        <f t="shared" si="8"/>
        <v>2.8340740740740739E-2</v>
      </c>
      <c r="BQ32">
        <f t="shared" si="9"/>
        <v>167.71</v>
      </c>
      <c r="BR32">
        <f t="shared" si="10"/>
        <v>3.8965000000000007E-3</v>
      </c>
      <c r="BS32">
        <f t="shared" si="11"/>
        <v>251.9</v>
      </c>
      <c r="BT32">
        <f t="shared" si="4"/>
        <v>2.3035849056603774E-2</v>
      </c>
      <c r="BU32">
        <f t="shared" si="5"/>
        <v>364.86</v>
      </c>
      <c r="BV32">
        <f t="shared" si="12"/>
        <v>3.028676470588235E-2</v>
      </c>
      <c r="BW32">
        <f t="shared" si="13"/>
        <v>328.05</v>
      </c>
      <c r="BX32">
        <f t="shared" si="14"/>
        <v>1.2143999999999999E-2</v>
      </c>
      <c r="BY32">
        <f t="shared" si="15"/>
        <v>622.91</v>
      </c>
      <c r="BZ32">
        <f t="shared" si="16"/>
        <v>6.4763888888888892E-3</v>
      </c>
      <c r="CA32">
        <f t="shared" si="17"/>
        <v>734.22</v>
      </c>
      <c r="CB32">
        <f>AI29</f>
        <v>7.3701754385964904E-3</v>
      </c>
      <c r="CC32">
        <f>BH31</f>
        <v>1555.2</v>
      </c>
      <c r="CG32">
        <f t="shared" si="38"/>
        <v>5.8056338028169016E-3</v>
      </c>
      <c r="CH32">
        <f t="shared" si="39"/>
        <v>99.83</v>
      </c>
    </row>
    <row r="33" spans="1:86">
      <c r="A33" s="10"/>
      <c r="B33" s="11" t="s">
        <v>53</v>
      </c>
      <c r="C33">
        <v>18.09</v>
      </c>
      <c r="D33">
        <v>148.86000000000001</v>
      </c>
      <c r="E33">
        <v>40.520000000000003</v>
      </c>
      <c r="F33">
        <v>128.46</v>
      </c>
      <c r="G33">
        <v>51.51</v>
      </c>
      <c r="H33">
        <v>129.94</v>
      </c>
      <c r="I33">
        <v>17.79</v>
      </c>
      <c r="J33">
        <v>101.59</v>
      </c>
      <c r="M33" s="10"/>
      <c r="N33" s="11" t="s">
        <v>53</v>
      </c>
      <c r="O33">
        <v>43</v>
      </c>
      <c r="P33">
        <v>72</v>
      </c>
      <c r="Q33">
        <v>159</v>
      </c>
      <c r="R33">
        <v>47</v>
      </c>
      <c r="S33">
        <v>57</v>
      </c>
      <c r="T33">
        <v>90</v>
      </c>
      <c r="U33">
        <v>63</v>
      </c>
      <c r="V33">
        <v>97</v>
      </c>
      <c r="AA33" s="9" t="s">
        <v>49</v>
      </c>
      <c r="AB33">
        <f t="shared" si="37"/>
        <v>5.0723076923076919E-3</v>
      </c>
      <c r="AC33">
        <f t="shared" si="36"/>
        <v>3.2279787234042553E-2</v>
      </c>
      <c r="AD33">
        <f t="shared" si="36"/>
        <v>3.7143712574850304E-3</v>
      </c>
      <c r="AE33">
        <f t="shared" si="36"/>
        <v>3.0028070175438598E-2</v>
      </c>
      <c r="AF33">
        <f t="shared" si="36"/>
        <v>3.271891891891892E-2</v>
      </c>
      <c r="AG33">
        <f t="shared" si="36"/>
        <v>1.7967647058823529E-2</v>
      </c>
      <c r="AH33">
        <f t="shared" si="36"/>
        <v>1.2545161290322581E-2</v>
      </c>
      <c r="AI33">
        <f t="shared" si="36"/>
        <v>1.5211538461538462E-2</v>
      </c>
      <c r="AM33" s="21"/>
      <c r="AN33" s="13" t="s">
        <v>42</v>
      </c>
      <c r="AO33" s="13">
        <v>83</v>
      </c>
      <c r="AP33" s="13">
        <v>53</v>
      </c>
      <c r="AQ33" s="13" t="s">
        <v>70</v>
      </c>
      <c r="AR33" s="8">
        <v>116.96</v>
      </c>
      <c r="AS33" s="8">
        <v>175.71</v>
      </c>
      <c r="AT33" s="8">
        <v>184.96</v>
      </c>
      <c r="AU33" s="8">
        <v>208.25</v>
      </c>
      <c r="AV33" s="8">
        <v>203.35</v>
      </c>
      <c r="AW33" s="8">
        <v>384.75</v>
      </c>
      <c r="AX33" s="8">
        <v>324.58</v>
      </c>
      <c r="AY33" s="8">
        <v>482.84</v>
      </c>
      <c r="AZ33" s="8">
        <v>497.66</v>
      </c>
      <c r="BA33" s="8">
        <v>761.36</v>
      </c>
      <c r="BB33" s="8">
        <v>671.06</v>
      </c>
      <c r="BC33" s="21">
        <v>859.63</v>
      </c>
      <c r="BD33" s="21">
        <v>998.51</v>
      </c>
      <c r="BE33" s="21">
        <v>1340.96</v>
      </c>
      <c r="BF33" s="21">
        <v>1568</v>
      </c>
      <c r="BG33" s="27">
        <v>2158.16</v>
      </c>
      <c r="BH33" s="27">
        <v>2393.6</v>
      </c>
      <c r="BM33" s="9" t="s">
        <v>41</v>
      </c>
      <c r="BN33">
        <f t="shared" si="2"/>
        <v>7.0097560975609756E-3</v>
      </c>
      <c r="BO33">
        <f t="shared" si="3"/>
        <v>117.74</v>
      </c>
      <c r="BP33">
        <f t="shared" si="8"/>
        <v>2.1841095890410958E-2</v>
      </c>
      <c r="BQ33">
        <f t="shared" si="9"/>
        <v>179.56</v>
      </c>
      <c r="BR33">
        <f t="shared" si="10"/>
        <v>6.6439759036144574E-3</v>
      </c>
      <c r="BS33">
        <f t="shared" si="11"/>
        <v>301.81</v>
      </c>
      <c r="BT33">
        <f t="shared" si="4"/>
        <v>1.9914516129032257E-2</v>
      </c>
      <c r="BU33">
        <f t="shared" si="5"/>
        <v>541.02</v>
      </c>
      <c r="BV33">
        <f t="shared" si="12"/>
        <v>3.5765591397849461E-2</v>
      </c>
      <c r="BW33">
        <f t="shared" si="13"/>
        <v>739.26</v>
      </c>
      <c r="BX33">
        <f t="shared" si="14"/>
        <v>2.0205769230769229E-2</v>
      </c>
      <c r="BY33">
        <f t="shared" si="15"/>
        <v>833.18</v>
      </c>
      <c r="BZ33">
        <f t="shared" si="16"/>
        <v>4.3830337078651686E-2</v>
      </c>
      <c r="CA33">
        <f t="shared" si="17"/>
        <v>1216.8</v>
      </c>
      <c r="CB33">
        <f t="shared" ref="CB33:CB40" si="45">AI30</f>
        <v>4.8062500000000006E-3</v>
      </c>
      <c r="CC33">
        <f t="shared" ref="CC33:CC39" si="46">BH32</f>
        <v>1931.49</v>
      </c>
      <c r="CG33">
        <f t="shared" si="38"/>
        <v>5.0723076923076919E-3</v>
      </c>
      <c r="CH33">
        <f t="shared" si="39"/>
        <v>87.5</v>
      </c>
    </row>
    <row r="34" spans="1:86">
      <c r="AA34" s="9" t="s">
        <v>50</v>
      </c>
      <c r="AB34">
        <f t="shared" si="37"/>
        <v>4.7048387096774195E-3</v>
      </c>
      <c r="AC34">
        <f t="shared" si="36"/>
        <v>8.2250000000000014E-3</v>
      </c>
      <c r="AD34">
        <f t="shared" si="36"/>
        <v>3.7886792452830192E-3</v>
      </c>
      <c r="AE34">
        <f t="shared" si="36"/>
        <v>2.228769230769231E-2</v>
      </c>
      <c r="AF34">
        <f t="shared" si="36"/>
        <v>4.3669230769230773E-2</v>
      </c>
      <c r="AG34">
        <f t="shared" si="36"/>
        <v>9.7355932203389839E-3</v>
      </c>
      <c r="AH34">
        <f t="shared" si="36"/>
        <v>7.4389830508474579E-3</v>
      </c>
      <c r="AI34">
        <f t="shared" si="36"/>
        <v>1.0806818181818181E-2</v>
      </c>
      <c r="AM34" s="21"/>
      <c r="AN34" s="13" t="s">
        <v>48</v>
      </c>
      <c r="AO34" s="13">
        <v>86</v>
      </c>
      <c r="AP34" s="13">
        <v>56</v>
      </c>
      <c r="AQ34" s="13" t="s">
        <v>80</v>
      </c>
      <c r="AR34" s="8">
        <v>99.83</v>
      </c>
      <c r="AS34" s="8">
        <v>135</v>
      </c>
      <c r="AT34" s="8">
        <v>193.55</v>
      </c>
      <c r="AU34" s="8">
        <v>189.18</v>
      </c>
      <c r="AV34" s="8">
        <v>181.8</v>
      </c>
      <c r="AW34" s="8">
        <v>256</v>
      </c>
      <c r="AX34" s="8">
        <v>294.39999999999998</v>
      </c>
      <c r="AY34" s="8">
        <v>366.1</v>
      </c>
      <c r="AZ34" s="8">
        <v>349.27</v>
      </c>
      <c r="BA34" s="8">
        <v>406.56</v>
      </c>
      <c r="BB34" s="8">
        <v>335.96</v>
      </c>
      <c r="BC34" s="21">
        <v>528.22</v>
      </c>
      <c r="BD34" s="21">
        <v>548.86</v>
      </c>
      <c r="BE34" s="21">
        <v>658.32</v>
      </c>
      <c r="BF34" s="21">
        <v>944.54</v>
      </c>
      <c r="BG34" s="21">
        <v>1436.48</v>
      </c>
      <c r="BH34" s="21">
        <v>1610.36</v>
      </c>
      <c r="BM34" s="9" t="s">
        <v>42</v>
      </c>
      <c r="BN34">
        <f t="shared" si="2"/>
        <v>2.7361702127659572E-3</v>
      </c>
      <c r="BO34">
        <f t="shared" si="3"/>
        <v>116.96</v>
      </c>
      <c r="BP34">
        <f t="shared" si="8"/>
        <v>2.9856470588235297E-2</v>
      </c>
      <c r="BQ34">
        <f t="shared" si="9"/>
        <v>175.71</v>
      </c>
      <c r="BR34">
        <f t="shared" si="10"/>
        <v>4.2414893617021276E-3</v>
      </c>
      <c r="BS34">
        <f t="shared" si="11"/>
        <v>384.75</v>
      </c>
      <c r="BT34">
        <f t="shared" si="4"/>
        <v>2.4204999999999997E-2</v>
      </c>
      <c r="BU34">
        <f t="shared" si="5"/>
        <v>482.84</v>
      </c>
      <c r="BV34">
        <f t="shared" si="12"/>
        <v>2.0522666666666665E-2</v>
      </c>
      <c r="BW34">
        <f t="shared" si="13"/>
        <v>761.36</v>
      </c>
      <c r="BX34">
        <f t="shared" si="14"/>
        <v>7.6412500000000005E-3</v>
      </c>
      <c r="BY34">
        <f t="shared" si="15"/>
        <v>859.63</v>
      </c>
      <c r="BZ34">
        <f t="shared" si="16"/>
        <v>7.2731707317073178E-3</v>
      </c>
      <c r="CA34">
        <f t="shared" si="17"/>
        <v>1340.96</v>
      </c>
      <c r="CB34">
        <f t="shared" si="45"/>
        <v>2.5242857142857147E-2</v>
      </c>
      <c r="CC34">
        <f t="shared" si="46"/>
        <v>2393.6</v>
      </c>
      <c r="CG34">
        <f t="shared" si="38"/>
        <v>4.7048387096774195E-3</v>
      </c>
      <c r="CH34">
        <f t="shared" si="39"/>
        <v>81.25</v>
      </c>
    </row>
    <row r="35" spans="1:86">
      <c r="A35" t="s">
        <v>85</v>
      </c>
      <c r="B35" t="s">
        <v>59</v>
      </c>
      <c r="C35">
        <v>57.79</v>
      </c>
      <c r="D35">
        <v>19.739999999999998</v>
      </c>
      <c r="E35">
        <v>105.85</v>
      </c>
      <c r="F35">
        <v>110.05</v>
      </c>
      <c r="I35">
        <v>37.619999999999997</v>
      </c>
      <c r="M35" t="s">
        <v>85</v>
      </c>
      <c r="N35" t="s">
        <v>59</v>
      </c>
      <c r="O35">
        <v>95</v>
      </c>
      <c r="P35">
        <v>73</v>
      </c>
      <c r="Q35">
        <v>178</v>
      </c>
      <c r="R35">
        <v>95</v>
      </c>
      <c r="U35">
        <v>65</v>
      </c>
      <c r="AA35" s="9" t="s">
        <v>51</v>
      </c>
      <c r="AB35">
        <f t="shared" si="37"/>
        <v>3.7325301204819278E-3</v>
      </c>
      <c r="AC35">
        <f t="shared" si="36"/>
        <v>2.5962962962962965E-2</v>
      </c>
      <c r="AD35">
        <f t="shared" si="36"/>
        <v>3.6658031088082901E-3</v>
      </c>
      <c r="AE35">
        <f t="shared" si="36"/>
        <v>2.024705882352941E-2</v>
      </c>
      <c r="AF35">
        <f t="shared" si="36"/>
        <v>1.2818461538461537E-2</v>
      </c>
      <c r="AG35">
        <f t="shared" si="36"/>
        <v>1.2920987654320988E-2</v>
      </c>
      <c r="AH35">
        <f t="shared" si="36"/>
        <v>1.1331250000000001E-2</v>
      </c>
      <c r="AI35">
        <f t="shared" si="36"/>
        <v>2.4220000000000002E-2</v>
      </c>
      <c r="AM35" s="21"/>
      <c r="AN35" s="13" t="s">
        <v>49</v>
      </c>
      <c r="AO35" s="13">
        <v>83</v>
      </c>
      <c r="AP35" s="13">
        <v>53</v>
      </c>
      <c r="AQ35" s="13" t="s">
        <v>70</v>
      </c>
      <c r="AR35" s="8">
        <v>87.5</v>
      </c>
      <c r="AS35" s="8">
        <v>173.23</v>
      </c>
      <c r="AT35" s="8">
        <v>220.32</v>
      </c>
      <c r="AU35" s="8">
        <v>307.2</v>
      </c>
      <c r="AV35" s="8">
        <v>299.41000000000003</v>
      </c>
      <c r="AW35" s="8">
        <v>373.18</v>
      </c>
      <c r="AX35" s="8">
        <v>445.28</v>
      </c>
      <c r="AY35" s="8">
        <v>689.59</v>
      </c>
      <c r="AZ35" s="8">
        <v>738.68</v>
      </c>
      <c r="BA35" s="8">
        <v>906.6</v>
      </c>
      <c r="BB35" s="8">
        <v>890.62</v>
      </c>
      <c r="BC35" s="21">
        <v>1160.8900000000001</v>
      </c>
      <c r="BD35" s="21">
        <v>1436.48</v>
      </c>
      <c r="BE35" s="28">
        <v>1666</v>
      </c>
      <c r="BF35" s="27">
        <v>2015.17</v>
      </c>
      <c r="BG35" s="27">
        <v>2677.34</v>
      </c>
      <c r="BH35" s="27">
        <v>3345.5</v>
      </c>
      <c r="BM35" s="9" t="s">
        <v>48</v>
      </c>
      <c r="BN35">
        <f t="shared" si="2"/>
        <v>5.8056338028169016E-3</v>
      </c>
      <c r="BO35">
        <f t="shared" si="3"/>
        <v>99.83</v>
      </c>
      <c r="BP35">
        <f t="shared" si="8"/>
        <v>3.8866666666666667E-2</v>
      </c>
      <c r="BQ35">
        <f t="shared" si="9"/>
        <v>135</v>
      </c>
      <c r="BR35">
        <f t="shared" si="10"/>
        <v>6.8459459459459466E-3</v>
      </c>
      <c r="BS35">
        <f t="shared" si="11"/>
        <v>256</v>
      </c>
      <c r="BT35">
        <f t="shared" si="4"/>
        <v>1.8054166666666666E-2</v>
      </c>
      <c r="BU35">
        <f t="shared" si="5"/>
        <v>366.1</v>
      </c>
      <c r="BV35">
        <f t="shared" si="12"/>
        <v>1.1069565217391305E-2</v>
      </c>
      <c r="BW35">
        <f t="shared" si="13"/>
        <v>406.56</v>
      </c>
      <c r="BX35">
        <f t="shared" si="14"/>
        <v>1.0242391304347826E-2</v>
      </c>
      <c r="BY35">
        <f t="shared" si="15"/>
        <v>528.22</v>
      </c>
      <c r="BZ35">
        <f t="shared" si="16"/>
        <v>9.3117647058823527E-3</v>
      </c>
      <c r="CA35">
        <f t="shared" si="17"/>
        <v>658.32</v>
      </c>
      <c r="CB35">
        <f t="shared" si="45"/>
        <v>5.2298507462686565E-3</v>
      </c>
      <c r="CC35">
        <f t="shared" si="46"/>
        <v>1610.36</v>
      </c>
      <c r="CG35">
        <f t="shared" si="38"/>
        <v>3.7325301204819278E-3</v>
      </c>
      <c r="CH35">
        <f t="shared" si="39"/>
        <v>66.819999999999993</v>
      </c>
    </row>
    <row r="36" spans="1:86">
      <c r="B36" t="s">
        <v>57</v>
      </c>
      <c r="C36">
        <v>43.31</v>
      </c>
      <c r="D36">
        <v>15.69</v>
      </c>
      <c r="E36">
        <v>46.68</v>
      </c>
      <c r="F36">
        <v>31.19</v>
      </c>
      <c r="I36">
        <v>75.349999999999994</v>
      </c>
      <c r="N36" t="s">
        <v>57</v>
      </c>
      <c r="O36">
        <v>100</v>
      </c>
      <c r="Q36">
        <v>167</v>
      </c>
      <c r="R36">
        <v>29</v>
      </c>
      <c r="U36">
        <v>77</v>
      </c>
      <c r="Z36" s="10"/>
      <c r="AA36" s="11" t="s">
        <v>53</v>
      </c>
      <c r="AB36">
        <f t="shared" si="37"/>
        <v>4.2069767441860464E-3</v>
      </c>
      <c r="AC36">
        <f t="shared" si="36"/>
        <v>2.0675000000000002E-2</v>
      </c>
      <c r="AD36">
        <f t="shared" si="36"/>
        <v>2.548427672955975E-3</v>
      </c>
      <c r="AE36">
        <f t="shared" si="36"/>
        <v>2.7331914893617026E-2</v>
      </c>
      <c r="AF36">
        <f t="shared" si="36"/>
        <v>9.0368421052631574E-3</v>
      </c>
      <c r="AG36">
        <f t="shared" si="36"/>
        <v>1.4437777777777779E-2</v>
      </c>
      <c r="AH36">
        <f t="shared" si="36"/>
        <v>2.823809523809524E-3</v>
      </c>
      <c r="AI36">
        <f t="shared" si="36"/>
        <v>1.0473195876288661E-2</v>
      </c>
      <c r="AM36" s="21"/>
      <c r="AN36" s="13" t="s">
        <v>50</v>
      </c>
      <c r="AO36" s="13">
        <v>86</v>
      </c>
      <c r="AP36" s="13">
        <v>56</v>
      </c>
      <c r="AQ36" s="13" t="s">
        <v>80</v>
      </c>
      <c r="AR36" s="8">
        <v>81.25</v>
      </c>
      <c r="AS36" s="8">
        <v>105.88</v>
      </c>
      <c r="AT36" s="8">
        <v>85</v>
      </c>
      <c r="AU36" s="8">
        <v>158.44</v>
      </c>
      <c r="AV36" s="8">
        <v>196</v>
      </c>
      <c r="AW36" s="8">
        <v>152.1</v>
      </c>
      <c r="AX36" s="8">
        <v>201.64</v>
      </c>
      <c r="AY36" s="8">
        <v>188.06</v>
      </c>
      <c r="AZ36" s="8">
        <v>284.8</v>
      </c>
      <c r="BA36" s="8">
        <v>258.75</v>
      </c>
      <c r="BB36" s="8">
        <v>335.16</v>
      </c>
      <c r="BC36" s="21">
        <v>383.33</v>
      </c>
      <c r="BD36" s="21">
        <v>336.2</v>
      </c>
      <c r="BE36" s="21">
        <v>398.82</v>
      </c>
      <c r="BF36" s="21">
        <v>570</v>
      </c>
      <c r="BG36" s="21">
        <v>905.91</v>
      </c>
      <c r="BH36" s="21">
        <v>1190.7</v>
      </c>
      <c r="BM36" s="9" t="s">
        <v>49</v>
      </c>
      <c r="BN36">
        <f t="shared" si="2"/>
        <v>5.0723076923076919E-3</v>
      </c>
      <c r="BO36">
        <f t="shared" si="3"/>
        <v>87.5</v>
      </c>
      <c r="BP36">
        <f t="shared" si="8"/>
        <v>3.2279787234042553E-2</v>
      </c>
      <c r="BQ36">
        <f t="shared" si="9"/>
        <v>173.23</v>
      </c>
      <c r="BR36">
        <f t="shared" si="10"/>
        <v>3.7143712574850304E-3</v>
      </c>
      <c r="BS36">
        <f t="shared" si="11"/>
        <v>373.18</v>
      </c>
      <c r="BT36">
        <f t="shared" si="4"/>
        <v>3.0028070175438598E-2</v>
      </c>
      <c r="BU36">
        <f t="shared" si="5"/>
        <v>689.59</v>
      </c>
      <c r="BV36">
        <f t="shared" si="12"/>
        <v>3.271891891891892E-2</v>
      </c>
      <c r="BW36">
        <f t="shared" si="13"/>
        <v>906.6</v>
      </c>
      <c r="BX36">
        <f t="shared" si="14"/>
        <v>1.7967647058823529E-2</v>
      </c>
      <c r="BY36">
        <f t="shared" si="15"/>
        <v>1160.8900000000001</v>
      </c>
      <c r="BZ36">
        <f t="shared" si="16"/>
        <v>1.2545161290322581E-2</v>
      </c>
      <c r="CA36">
        <f t="shared" si="17"/>
        <v>1666</v>
      </c>
      <c r="CB36">
        <f t="shared" si="45"/>
        <v>1.5211538461538462E-2</v>
      </c>
      <c r="CC36">
        <f t="shared" si="46"/>
        <v>3345.5</v>
      </c>
      <c r="CG36">
        <f t="shared" si="38"/>
        <v>4.2069767441860464E-3</v>
      </c>
      <c r="CH36">
        <f t="shared" si="39"/>
        <v>48.51</v>
      </c>
    </row>
    <row r="37" spans="1:86">
      <c r="B37" t="s">
        <v>58</v>
      </c>
      <c r="C37">
        <v>85.67</v>
      </c>
      <c r="D37">
        <v>25.99</v>
      </c>
      <c r="E37">
        <v>16.170000000000002</v>
      </c>
      <c r="F37">
        <v>28.86</v>
      </c>
      <c r="I37">
        <v>29.43</v>
      </c>
      <c r="N37" t="s">
        <v>58</v>
      </c>
      <c r="O37">
        <v>77</v>
      </c>
      <c r="Q37">
        <v>148</v>
      </c>
      <c r="R37">
        <v>55</v>
      </c>
      <c r="U37">
        <v>46</v>
      </c>
      <c r="AM37" s="21"/>
      <c r="AN37" s="13" t="s">
        <v>51</v>
      </c>
      <c r="AO37" s="13">
        <v>86</v>
      </c>
      <c r="AP37" s="13">
        <v>56</v>
      </c>
      <c r="AQ37" s="13" t="s">
        <v>80</v>
      </c>
      <c r="AR37" s="8">
        <v>66.819999999999993</v>
      </c>
      <c r="AS37" s="8">
        <v>81.25</v>
      </c>
      <c r="AT37" s="8">
        <v>131.4</v>
      </c>
      <c r="AU37" s="8">
        <v>114.95</v>
      </c>
      <c r="AV37" s="8">
        <v>135</v>
      </c>
      <c r="AW37" s="8">
        <v>169</v>
      </c>
      <c r="AX37" s="8">
        <v>229.37</v>
      </c>
      <c r="AY37" s="8">
        <v>281.63</v>
      </c>
      <c r="AZ37" s="8">
        <v>290.52</v>
      </c>
      <c r="BA37" s="8">
        <v>248.83</v>
      </c>
      <c r="BB37" s="8">
        <v>300.35000000000002</v>
      </c>
      <c r="BC37" s="21">
        <v>442.79</v>
      </c>
      <c r="BD37" s="21">
        <v>348.8</v>
      </c>
      <c r="BE37" s="21">
        <v>476.16</v>
      </c>
      <c r="BF37" s="21">
        <v>599.04</v>
      </c>
      <c r="BG37" s="21">
        <v>853.05</v>
      </c>
      <c r="BH37" s="21">
        <v>1195.31</v>
      </c>
      <c r="BM37" s="9" t="s">
        <v>50</v>
      </c>
      <c r="BN37">
        <f t="shared" si="2"/>
        <v>4.7048387096774195E-3</v>
      </c>
      <c r="BO37">
        <f t="shared" si="3"/>
        <v>81.25</v>
      </c>
      <c r="BP37">
        <f t="shared" si="8"/>
        <v>8.2250000000000014E-3</v>
      </c>
      <c r="BQ37">
        <f t="shared" si="9"/>
        <v>105.88</v>
      </c>
      <c r="BR37">
        <f t="shared" si="10"/>
        <v>3.7886792452830192E-3</v>
      </c>
      <c r="BS37">
        <f t="shared" si="11"/>
        <v>152.1</v>
      </c>
      <c r="BT37">
        <f t="shared" si="4"/>
        <v>2.228769230769231E-2</v>
      </c>
      <c r="BU37">
        <f t="shared" si="5"/>
        <v>188.06</v>
      </c>
      <c r="BV37">
        <f t="shared" si="12"/>
        <v>4.3669230769230773E-2</v>
      </c>
      <c r="BW37">
        <f t="shared" si="13"/>
        <v>258.75</v>
      </c>
      <c r="BX37">
        <f t="shared" si="14"/>
        <v>9.7355932203389839E-3</v>
      </c>
      <c r="BY37">
        <f t="shared" si="15"/>
        <v>383.33</v>
      </c>
      <c r="BZ37">
        <f t="shared" si="16"/>
        <v>7.4389830508474579E-3</v>
      </c>
      <c r="CA37">
        <f t="shared" si="17"/>
        <v>398.82</v>
      </c>
      <c r="CB37">
        <f t="shared" si="45"/>
        <v>1.0806818181818181E-2</v>
      </c>
      <c r="CC37">
        <f t="shared" si="46"/>
        <v>1190.7</v>
      </c>
      <c r="CF37" s="1">
        <v>45552</v>
      </c>
      <c r="CG37">
        <f>BP7</f>
        <v>9.2691176470588235E-3</v>
      </c>
      <c r="CH37">
        <f>BQ7</f>
        <v>219.04</v>
      </c>
    </row>
    <row r="38" spans="1:86">
      <c r="Z38" t="s">
        <v>86</v>
      </c>
      <c r="AB38">
        <f>AVERAGE(AB2:AB36)</f>
        <v>4.8825279177063937E-3</v>
      </c>
      <c r="AC38">
        <f>AVERAGE(AC2:AC36)</f>
        <v>1.4537874635548856E-2</v>
      </c>
      <c r="AD38">
        <f>AVERAGE(AD2:AD36)</f>
        <v>4.4812034650635454E-3</v>
      </c>
      <c r="AE38">
        <f>AVERAGE(AE2:AE36)</f>
        <v>1.5252436491093639E-2</v>
      </c>
      <c r="AF38">
        <f>AVERAGE(AF2:AF36)</f>
        <v>1.8991705773447099E-2</v>
      </c>
      <c r="AG38">
        <f>AVERAGE(AG2:AG36)</f>
        <v>1.3716190869793636E-2</v>
      </c>
      <c r="AH38">
        <f>AVERAGE(AH2:AH36)</f>
        <v>1.2635531001701181E-2</v>
      </c>
      <c r="AI38">
        <f>AVERAGE(AI2:AI36)</f>
        <v>1.292008573092095E-2</v>
      </c>
      <c r="AM38" s="18" t="s">
        <v>70</v>
      </c>
      <c r="AN38" s="19" t="s">
        <v>53</v>
      </c>
      <c r="AO38" s="19">
        <v>86</v>
      </c>
      <c r="AP38" s="19">
        <v>56</v>
      </c>
      <c r="AQ38" s="19" t="s">
        <v>80</v>
      </c>
      <c r="AR38" s="7">
        <v>48.51</v>
      </c>
      <c r="AS38" s="7">
        <v>81.25</v>
      </c>
      <c r="AT38" s="7">
        <v>81.25</v>
      </c>
      <c r="AU38" s="7">
        <v>126</v>
      </c>
      <c r="AV38" s="7">
        <v>126</v>
      </c>
      <c r="AW38" s="7">
        <v>196.52</v>
      </c>
      <c r="AX38" s="7">
        <v>240.94</v>
      </c>
      <c r="AY38" s="7">
        <v>249.16</v>
      </c>
      <c r="AZ38" s="7">
        <v>316.8</v>
      </c>
      <c r="BA38" s="7">
        <v>274.36</v>
      </c>
      <c r="BB38" s="7">
        <v>313.60000000000002</v>
      </c>
      <c r="BC38" s="18">
        <v>373.18</v>
      </c>
      <c r="BD38" s="18">
        <v>366.91</v>
      </c>
      <c r="BE38" s="18">
        <v>555.04</v>
      </c>
      <c r="BF38" s="18">
        <v>645</v>
      </c>
      <c r="BG38" s="18">
        <v>1114.76</v>
      </c>
      <c r="BH38" s="18">
        <v>1278.02</v>
      </c>
      <c r="BM38" s="9" t="s">
        <v>51</v>
      </c>
      <c r="BN38">
        <f t="shared" si="2"/>
        <v>3.7325301204819278E-3</v>
      </c>
      <c r="BO38">
        <f t="shared" si="3"/>
        <v>66.819999999999993</v>
      </c>
      <c r="BP38">
        <f t="shared" si="8"/>
        <v>2.5962962962962965E-2</v>
      </c>
      <c r="BQ38">
        <f t="shared" si="9"/>
        <v>81.25</v>
      </c>
      <c r="BR38">
        <f t="shared" si="10"/>
        <v>3.6658031088082901E-3</v>
      </c>
      <c r="BS38">
        <f t="shared" si="11"/>
        <v>169</v>
      </c>
      <c r="BT38">
        <f t="shared" si="4"/>
        <v>2.024705882352941E-2</v>
      </c>
      <c r="BU38">
        <f t="shared" si="5"/>
        <v>281.63</v>
      </c>
      <c r="BV38">
        <f t="shared" si="12"/>
        <v>1.2818461538461537E-2</v>
      </c>
      <c r="BW38">
        <f t="shared" si="13"/>
        <v>248.83</v>
      </c>
      <c r="BX38">
        <f t="shared" si="14"/>
        <v>1.2920987654320988E-2</v>
      </c>
      <c r="BY38">
        <f t="shared" si="15"/>
        <v>442.79</v>
      </c>
      <c r="BZ38">
        <f t="shared" si="16"/>
        <v>1.1331250000000001E-2</v>
      </c>
      <c r="CA38">
        <f t="shared" si="17"/>
        <v>476.16</v>
      </c>
      <c r="CB38">
        <f t="shared" si="45"/>
        <v>2.4220000000000002E-2</v>
      </c>
      <c r="CC38">
        <f t="shared" si="46"/>
        <v>1195.31</v>
      </c>
    </row>
    <row r="39" spans="1:86">
      <c r="BL39" s="10"/>
      <c r="BM39" s="11" t="s">
        <v>53</v>
      </c>
      <c r="BN39">
        <f t="shared" si="2"/>
        <v>4.2069767441860464E-3</v>
      </c>
      <c r="BO39">
        <f t="shared" si="3"/>
        <v>48.51</v>
      </c>
      <c r="BP39">
        <f t="shared" si="8"/>
        <v>2.0675000000000002E-2</v>
      </c>
      <c r="BQ39">
        <f t="shared" si="9"/>
        <v>81.25</v>
      </c>
      <c r="BR39">
        <f t="shared" si="10"/>
        <v>2.548427672955975E-3</v>
      </c>
      <c r="BS39">
        <f t="shared" si="11"/>
        <v>196.52</v>
      </c>
      <c r="BT39">
        <f t="shared" si="4"/>
        <v>2.7331914893617026E-2</v>
      </c>
      <c r="BU39">
        <f t="shared" si="5"/>
        <v>249.16</v>
      </c>
      <c r="BV39">
        <f t="shared" si="12"/>
        <v>9.0368421052631574E-3</v>
      </c>
      <c r="BW39">
        <f t="shared" si="13"/>
        <v>274.36</v>
      </c>
      <c r="BX39">
        <f t="shared" si="14"/>
        <v>1.4437777777777779E-2</v>
      </c>
      <c r="BY39">
        <f t="shared" si="15"/>
        <v>373.18</v>
      </c>
      <c r="BZ39">
        <f t="shared" si="16"/>
        <v>2.823809523809524E-3</v>
      </c>
      <c r="CA39">
        <f t="shared" si="17"/>
        <v>555.04</v>
      </c>
      <c r="CB39">
        <f t="shared" si="45"/>
        <v>1.0473195876288661E-2</v>
      </c>
      <c r="CC39">
        <f t="shared" si="46"/>
        <v>1278.02</v>
      </c>
      <c r="CG39">
        <f t="shared" ref="CG38:CG41" si="47">BP9</f>
        <v>6.7975609756097564E-3</v>
      </c>
      <c r="CH39">
        <f t="shared" ref="CH38:CH42" si="48">BQ9</f>
        <v>147.88</v>
      </c>
    </row>
    <row r="40" spans="1:86">
      <c r="Z40" t="s">
        <v>85</v>
      </c>
      <c r="AA40" t="s">
        <v>59</v>
      </c>
      <c r="AB40">
        <f>(C35*0.01)/O35</f>
        <v>6.0831578947368415E-3</v>
      </c>
      <c r="AC40">
        <f t="shared" ref="AC40:AH40" si="49">(D35*0.01)/P35</f>
        <v>2.704109589041096E-3</v>
      </c>
      <c r="AD40">
        <f t="shared" si="49"/>
        <v>5.9466292134831462E-3</v>
      </c>
      <c r="AE40">
        <f t="shared" si="49"/>
        <v>1.1584210526315791E-2</v>
      </c>
      <c r="AH40">
        <f t="shared" si="49"/>
        <v>5.7876923076923071E-3</v>
      </c>
      <c r="BM40" t="s">
        <v>82</v>
      </c>
      <c r="BN40">
        <f>AVERAGE(BN32:BN39)</f>
        <v>4.4765822280301709E-3</v>
      </c>
      <c r="BO40">
        <f t="shared" ref="BO40:BW40" si="50">AVERAGE(BO32:BO39)</f>
        <v>94.201249999999987</v>
      </c>
      <c r="BP40">
        <f t="shared" si="50"/>
        <v>2.5755965510382398E-2</v>
      </c>
      <c r="BQ40">
        <f t="shared" si="50"/>
        <v>137.44875000000002</v>
      </c>
      <c r="BR40">
        <f t="shared" si="50"/>
        <v>4.4181490619743559E-3</v>
      </c>
      <c r="BS40">
        <f t="shared" si="50"/>
        <v>260.65750000000003</v>
      </c>
      <c r="BT40">
        <f t="shared" si="50"/>
        <v>2.3138033506572502E-2</v>
      </c>
      <c r="BU40">
        <f t="shared" si="50"/>
        <v>395.40750000000003</v>
      </c>
      <c r="BV40">
        <f t="shared" si="50"/>
        <v>2.4486005164958018E-2</v>
      </c>
      <c r="BW40">
        <f t="shared" si="50"/>
        <v>490.47125</v>
      </c>
      <c r="BX40">
        <f t="shared" ref="BX40" si="51">AVERAGE(BX32:BX39)</f>
        <v>1.3161927030797292E-2</v>
      </c>
      <c r="BY40">
        <f t="shared" ref="BY40" si="52">AVERAGE(BY32:BY39)</f>
        <v>650.51625000000001</v>
      </c>
      <c r="BZ40">
        <f t="shared" ref="BZ40" si="53">AVERAGE(BZ32:BZ39)</f>
        <v>1.2628858158763726E-2</v>
      </c>
      <c r="CA40">
        <f t="shared" ref="CA40" si="54">AVERAGE(CA32:CA39)</f>
        <v>880.79</v>
      </c>
      <c r="CB40">
        <f t="shared" ref="CB40" si="55">AVERAGE(CB32:CB39)</f>
        <v>1.292008573092095E-2</v>
      </c>
      <c r="CC40">
        <f t="shared" ref="CC40" si="56">AVERAGE(CC32:CC39)</f>
        <v>1812.5225</v>
      </c>
      <c r="CG40">
        <f t="shared" si="47"/>
        <v>4.9807017543859649E-3</v>
      </c>
      <c r="CH40">
        <f t="shared" si="48"/>
        <v>126</v>
      </c>
    </row>
    <row r="41" spans="1:86">
      <c r="AA41" t="s">
        <v>57</v>
      </c>
      <c r="AB41">
        <f t="shared" ref="AB41:AB42" si="57">(C36*0.01)/O36</f>
        <v>4.3310000000000006E-3</v>
      </c>
      <c r="AD41">
        <f t="shared" ref="AD41:AD42" si="58">(E36*0.01)/Q36</f>
        <v>2.7952095808383235E-3</v>
      </c>
      <c r="AE41">
        <f t="shared" ref="AE41:AE42" si="59">(F36*0.01)/R36</f>
        <v>1.0755172413793104E-2</v>
      </c>
      <c r="AH41">
        <f t="shared" ref="AH41:AH42" si="60">(I36*0.01)/U36</f>
        <v>9.7857142857142847E-3</v>
      </c>
      <c r="CG41">
        <f t="shared" si="47"/>
        <v>4.0066666666666662E-3</v>
      </c>
      <c r="CH41">
        <f t="shared" si="48"/>
        <v>117</v>
      </c>
    </row>
    <row r="42" spans="1:86">
      <c r="AA42" t="s">
        <v>58</v>
      </c>
      <c r="AB42">
        <f t="shared" si="57"/>
        <v>1.1125974025974027E-2</v>
      </c>
      <c r="AD42">
        <f t="shared" si="58"/>
        <v>1.0925675675675676E-3</v>
      </c>
      <c r="AE42">
        <f t="shared" si="59"/>
        <v>5.247272727272728E-3</v>
      </c>
      <c r="AH42">
        <f t="shared" si="60"/>
        <v>6.3978260869565215E-3</v>
      </c>
      <c r="CG42">
        <f>BP12</f>
        <v>2.3194029850746264E-3</v>
      </c>
      <c r="CH42">
        <f t="shared" si="48"/>
        <v>75</v>
      </c>
    </row>
    <row r="43" spans="1:86">
      <c r="BM43" t="s">
        <v>87</v>
      </c>
      <c r="BN43" t="s">
        <v>79</v>
      </c>
      <c r="BO43" t="s">
        <v>78</v>
      </c>
      <c r="BQ43" t="s">
        <v>88</v>
      </c>
      <c r="BR43" t="s">
        <v>79</v>
      </c>
      <c r="BS43" t="s">
        <v>78</v>
      </c>
      <c r="BU43" t="s">
        <v>89</v>
      </c>
      <c r="BV43" t="s">
        <v>79</v>
      </c>
      <c r="BW43" t="s">
        <v>78</v>
      </c>
      <c r="BY43" t="s">
        <v>90</v>
      </c>
      <c r="BZ43" t="s">
        <v>79</v>
      </c>
      <c r="CA43" t="s">
        <v>78</v>
      </c>
      <c r="CG43">
        <f>BP14</f>
        <v>2.3708E-2</v>
      </c>
      <c r="CH43">
        <f>BQ13</f>
        <v>136.98399999999998</v>
      </c>
    </row>
    <row r="44" spans="1:86">
      <c r="BN44">
        <f>BN40</f>
        <v>4.4765822280301709E-3</v>
      </c>
      <c r="BO44">
        <f>BO40</f>
        <v>94.201249999999987</v>
      </c>
      <c r="BR44">
        <f>BN31</f>
        <v>4.3773901700820883E-3</v>
      </c>
      <c r="BS44">
        <f>BO31</f>
        <v>94.754999999999995</v>
      </c>
      <c r="BV44">
        <f>BN22</f>
        <v>5.3491948114649844E-3</v>
      </c>
      <c r="BW44">
        <f>BO22</f>
        <v>90.66</v>
      </c>
      <c r="BZ44">
        <f>BN13</f>
        <v>5.0554688126814573E-3</v>
      </c>
      <c r="CA44">
        <f>BO13</f>
        <v>93.153750000000002</v>
      </c>
      <c r="CG44">
        <f t="shared" ref="CG44:CG50" si="61">BP15</f>
        <v>1.2846666666666666E-2</v>
      </c>
      <c r="CH44">
        <f t="shared" ref="CH44:CH50" si="62">BQ14</f>
        <v>196.52</v>
      </c>
    </row>
    <row r="45" spans="1:86">
      <c r="BN45">
        <f>BP40</f>
        <v>2.5755965510382398E-2</v>
      </c>
      <c r="BO45">
        <f>BQ40</f>
        <v>137.44875000000002</v>
      </c>
      <c r="BR45">
        <f>BP31</f>
        <v>1.0052611900334801E-2</v>
      </c>
      <c r="BS45">
        <f>BQ31</f>
        <v>152.57249999999999</v>
      </c>
      <c r="BV45">
        <f>BP22</f>
        <v>1.2006899302340479E-2</v>
      </c>
      <c r="BW45">
        <f>BQ22</f>
        <v>129.32</v>
      </c>
      <c r="BZ45">
        <f>BP13</f>
        <v>5.4746900057591674E-3</v>
      </c>
      <c r="CA45">
        <f>BQ13</f>
        <v>136.98399999999998</v>
      </c>
      <c r="CG45">
        <f t="shared" si="61"/>
        <v>1.3024358974358975E-2</v>
      </c>
      <c r="CH45">
        <f t="shared" si="62"/>
        <v>173.4</v>
      </c>
    </row>
    <row r="46" spans="1:86">
      <c r="BN46">
        <f>BR40</f>
        <v>4.4181490619743559E-3</v>
      </c>
      <c r="BO46">
        <f>BS40</f>
        <v>260.65750000000003</v>
      </c>
      <c r="BR46">
        <f>BR31</f>
        <v>4.3090550484122421E-3</v>
      </c>
      <c r="BS46">
        <f>BS31</f>
        <v>296.48833333333329</v>
      </c>
      <c r="BV46">
        <f>BR22</f>
        <v>4.5497717573901968E-3</v>
      </c>
      <c r="BW46">
        <f>BS22</f>
        <v>301.43</v>
      </c>
      <c r="BZ46">
        <f>BR13</f>
        <v>4.0226841368247775E-3</v>
      </c>
      <c r="CA46">
        <f>BS13</f>
        <v>311.51499999999999</v>
      </c>
      <c r="CG46">
        <f t="shared" si="61"/>
        <v>1.1895945945945946E-2</v>
      </c>
      <c r="CH46">
        <f t="shared" si="62"/>
        <v>143.65</v>
      </c>
    </row>
    <row r="47" spans="1:86">
      <c r="BN47">
        <f>BT40</f>
        <v>2.3138033506572502E-2</v>
      </c>
      <c r="BO47">
        <f>BU40</f>
        <v>395.40750000000003</v>
      </c>
      <c r="BR47">
        <f>BT31</f>
        <v>1.3074497399294806E-2</v>
      </c>
      <c r="BS47">
        <f>BU31</f>
        <v>434</v>
      </c>
      <c r="BV47">
        <f>BT22</f>
        <v>1.2741074243385256E-2</v>
      </c>
      <c r="BW47">
        <f>BU22</f>
        <v>375.79428571428576</v>
      </c>
      <c r="BZ47">
        <f>BT13</f>
        <v>1.0963618845545154E-2</v>
      </c>
      <c r="CA47">
        <f>BU13</f>
        <v>600.10374999999999</v>
      </c>
      <c r="CG47">
        <f t="shared" si="61"/>
        <v>1.3877777777777779E-2</v>
      </c>
      <c r="CH47">
        <f t="shared" si="62"/>
        <v>122.4</v>
      </c>
    </row>
    <row r="48" spans="1:86">
      <c r="BN48">
        <f>BV40</f>
        <v>2.4486005164958018E-2</v>
      </c>
      <c r="BO48">
        <f>BW40</f>
        <v>490.47125</v>
      </c>
      <c r="BR48">
        <f>BV31</f>
        <v>1.1001907645978066E-2</v>
      </c>
      <c r="BS48">
        <f>BW31</f>
        <v>635.45624999999995</v>
      </c>
      <c r="BV48">
        <f>BV22</f>
        <v>2.5506689053739956E-2</v>
      </c>
      <c r="BW48">
        <f>BW22</f>
        <v>560.14142857142849</v>
      </c>
      <c r="BZ48">
        <f>BV13</f>
        <v>1.3478409850741712E-2</v>
      </c>
      <c r="CA48">
        <f>BW13</f>
        <v>787.25833333333321</v>
      </c>
      <c r="CG48">
        <f t="shared" si="61"/>
        <v>6.7791666666666668E-3</v>
      </c>
      <c r="CH48">
        <f t="shared" si="62"/>
        <v>151.84</v>
      </c>
    </row>
    <row r="49" spans="65:86">
      <c r="BN49">
        <f>BX40</f>
        <v>1.3161927030797292E-2</v>
      </c>
      <c r="BO49">
        <f>BY40</f>
        <v>650.51625000000001</v>
      </c>
      <c r="BR49">
        <f>BX31</f>
        <v>1.1323337073994022E-2</v>
      </c>
      <c r="BS49">
        <f>BY31</f>
        <v>937.55250000000001</v>
      </c>
      <c r="BV49">
        <f>BX22</f>
        <v>1.4519771520399821E-2</v>
      </c>
      <c r="BW49">
        <f>BY22</f>
        <v>769.51857142857159</v>
      </c>
      <c r="BZ49">
        <f>BX13</f>
        <v>1.1948154864041145E-2</v>
      </c>
      <c r="CA49">
        <f>BY13</f>
        <v>809.06400000000008</v>
      </c>
      <c r="CG49">
        <f t="shared" si="61"/>
        <v>5.2088235294117649E-3</v>
      </c>
      <c r="CH49">
        <f t="shared" si="62"/>
        <v>109.76</v>
      </c>
    </row>
    <row r="50" spans="65:86">
      <c r="BN50">
        <f>BZ40</f>
        <v>1.2628858158763726E-2</v>
      </c>
      <c r="BO50">
        <f>CA40</f>
        <v>880.79</v>
      </c>
      <c r="BR50">
        <f>BZ31</f>
        <v>1.027438963963964E-2</v>
      </c>
      <c r="BS50">
        <f>CA31</f>
        <v>1350.4349999999999</v>
      </c>
      <c r="BV50">
        <f>BZ22</f>
        <v>1.0596230639393333E-2</v>
      </c>
      <c r="BW50">
        <f>CA22</f>
        <v>1140.5125</v>
      </c>
      <c r="BZ50">
        <f>BZ13</f>
        <v>1.1448580219886102E-2</v>
      </c>
      <c r="CA50">
        <f>CA13</f>
        <v>1051.25</v>
      </c>
      <c r="CG50">
        <f t="shared" si="61"/>
        <v>2.0415555555555558E-2</v>
      </c>
      <c r="CH50">
        <f t="shared" si="62"/>
        <v>105.88</v>
      </c>
    </row>
    <row r="51" spans="65:86">
      <c r="BN51">
        <f>CB40</f>
        <v>1.292008573092095E-2</v>
      </c>
      <c r="BO51">
        <f>CC40</f>
        <v>1812.5225</v>
      </c>
      <c r="CG51">
        <f>BP23</f>
        <v>8.3907692307692312E-3</v>
      </c>
      <c r="CH51">
        <f>BQ23</f>
        <v>170.58</v>
      </c>
    </row>
    <row r="52" spans="65:86">
      <c r="CG52">
        <f t="shared" ref="CG52:CG58" si="63">BP24</f>
        <v>8.864473684210528E-3</v>
      </c>
      <c r="CH52">
        <f t="shared" ref="CH52:CH58" si="64">BQ24</f>
        <v>188.06</v>
      </c>
    </row>
    <row r="53" spans="65:86">
      <c r="BM53" t="s">
        <v>91</v>
      </c>
      <c r="BN53" t="s">
        <v>79</v>
      </c>
      <c r="BO53" t="s">
        <v>78</v>
      </c>
      <c r="CG53">
        <f t="shared" si="63"/>
        <v>6.9312499999999999E-3</v>
      </c>
      <c r="CH53">
        <f t="shared" si="64"/>
        <v>157.6</v>
      </c>
    </row>
    <row r="54" spans="65:86">
      <c r="BM54" s="1">
        <v>45545</v>
      </c>
      <c r="BN54">
        <f>AVERAGE(BN44,BR44,BV44,BZ44)</f>
        <v>4.8146590055646752E-3</v>
      </c>
      <c r="BO54">
        <f>AVERAGE(BO44,BS44,BW44,CA44)</f>
        <v>93.192499999999995</v>
      </c>
      <c r="CG54">
        <f t="shared" si="63"/>
        <v>3.9481481481481485E-3</v>
      </c>
      <c r="CH54">
        <f t="shared" si="64"/>
        <v>177.32</v>
      </c>
    </row>
    <row r="55" spans="65:86">
      <c r="BM55" s="1">
        <v>45566</v>
      </c>
      <c r="BN55">
        <f>AVERAGE(BZ46,BV46,BR46,BN46)</f>
        <v>4.3249150011503926E-3</v>
      </c>
      <c r="BO55">
        <f>AVERAGE(BO46,BS46,BW46,CA46)</f>
        <v>292.5227083333333</v>
      </c>
      <c r="CG55">
        <f t="shared" si="63"/>
        <v>1.0944155844155845E-2</v>
      </c>
      <c r="CH55">
        <f t="shared" si="64"/>
        <v>169</v>
      </c>
    </row>
    <row r="56" spans="65:86">
      <c r="BM56" s="1">
        <v>45573</v>
      </c>
      <c r="BN56">
        <f>AVERAGE(BN47,BR47,BV47,BZ47)</f>
        <v>1.4979305998699429E-2</v>
      </c>
      <c r="BO56">
        <f>AVERAGE(BO47,BS47,BW47,CA47)</f>
        <v>451.32638392857143</v>
      </c>
      <c r="CG56">
        <f t="shared" si="63"/>
        <v>3.363373493975904E-2</v>
      </c>
      <c r="CH56">
        <f t="shared" si="64"/>
        <v>98.31</v>
      </c>
    </row>
    <row r="57" spans="65:86">
      <c r="BM57" s="1">
        <v>45580</v>
      </c>
      <c r="BN57">
        <f>AVERAGE(BN48,BR48,BV48,BZ48)</f>
        <v>1.861825292885444E-2</v>
      </c>
      <c r="BO57">
        <f>AVERAGE(BO48,BS48,BW48,CA48)</f>
        <v>618.3318154761904</v>
      </c>
      <c r="CG57">
        <f t="shared" si="63"/>
        <v>2.7844827586206893E-3</v>
      </c>
      <c r="CH57">
        <f t="shared" si="64"/>
        <v>122.4</v>
      </c>
    </row>
    <row r="58" spans="65:86">
      <c r="BM58" s="1">
        <v>45587</v>
      </c>
      <c r="BN58">
        <f>AVERAGE(BN49,BR49,BV49,BZ49)</f>
        <v>1.2738297622308071E-2</v>
      </c>
      <c r="BO58">
        <f>AVERAGE(BO49,BS49,BW49,CA49)</f>
        <v>791.66283035714287</v>
      </c>
      <c r="CG58">
        <f t="shared" si="63"/>
        <v>4.9238805970149256E-3</v>
      </c>
      <c r="CH58">
        <f t="shared" si="64"/>
        <v>137.31</v>
      </c>
    </row>
    <row r="59" spans="65:86">
      <c r="BM59" s="1">
        <v>45594</v>
      </c>
      <c r="BN59">
        <f>AVERAGE(BZ50,BV50,BR50,BN50)</f>
        <v>1.1237014664420701E-2</v>
      </c>
      <c r="BO59">
        <f>AVERAGE(BO50,BS50,BW50,CA50)</f>
        <v>1105.746875</v>
      </c>
      <c r="CG59">
        <f>BP32</f>
        <v>2.8340740740740739E-2</v>
      </c>
      <c r="CH59">
        <f>BQ32</f>
        <v>167.71</v>
      </c>
    </row>
    <row r="60" spans="65:86">
      <c r="CG60">
        <f t="shared" ref="CG60:CG67" si="65">BP33</f>
        <v>2.1841095890410958E-2</v>
      </c>
      <c r="CH60">
        <f t="shared" ref="CH60:CH66" si="66">BQ33</f>
        <v>179.56</v>
      </c>
    </row>
    <row r="61" spans="65:86">
      <c r="CG61">
        <f t="shared" si="65"/>
        <v>2.9856470588235297E-2</v>
      </c>
      <c r="CH61">
        <f t="shared" si="66"/>
        <v>175.71</v>
      </c>
    </row>
    <row r="62" spans="65:86">
      <c r="CG62">
        <f t="shared" si="65"/>
        <v>3.8866666666666667E-2</v>
      </c>
      <c r="CH62">
        <f t="shared" si="66"/>
        <v>135</v>
      </c>
    </row>
    <row r="63" spans="65:86">
      <c r="CG63">
        <f t="shared" si="65"/>
        <v>3.2279787234042553E-2</v>
      </c>
      <c r="CH63">
        <f t="shared" si="66"/>
        <v>173.23</v>
      </c>
    </row>
    <row r="64" spans="65:86">
      <c r="CG64">
        <f t="shared" si="65"/>
        <v>8.2250000000000014E-3</v>
      </c>
      <c r="CH64">
        <f t="shared" si="66"/>
        <v>105.88</v>
      </c>
    </row>
    <row r="65" spans="84:86">
      <c r="CG65">
        <f t="shared" si="65"/>
        <v>2.5962962962962965E-2</v>
      </c>
      <c r="CH65">
        <f t="shared" si="66"/>
        <v>81.25</v>
      </c>
    </row>
    <row r="66" spans="84:86">
      <c r="CG66">
        <f t="shared" si="65"/>
        <v>2.0675000000000002E-2</v>
      </c>
      <c r="CH66">
        <f t="shared" si="66"/>
        <v>81.25</v>
      </c>
    </row>
    <row r="67" spans="84:86">
      <c r="CF67" s="1">
        <v>45566</v>
      </c>
    </row>
    <row r="69" spans="84:86">
      <c r="CG69">
        <f t="shared" ref="CG68:CG74" si="67">BR7</f>
        <v>4.2296511627906977E-3</v>
      </c>
      <c r="CH69">
        <f t="shared" ref="CH68:CH74" si="68">BS7</f>
        <v>431.66</v>
      </c>
    </row>
    <row r="71" spans="84:86">
      <c r="CG71">
        <f t="shared" si="67"/>
        <v>3.8038888888888888E-3</v>
      </c>
      <c r="CH71">
        <f t="shared" si="68"/>
        <v>375.7</v>
      </c>
    </row>
    <row r="73" spans="84:86">
      <c r="CG73">
        <f t="shared" si="67"/>
        <v>5.1042553191489358E-3</v>
      </c>
      <c r="CH73">
        <f t="shared" si="68"/>
        <v>254.95</v>
      </c>
    </row>
    <row r="74" spans="84:86">
      <c r="CG74">
        <f t="shared" si="67"/>
        <v>2.9529411764705883E-3</v>
      </c>
      <c r="CH74">
        <f t="shared" si="68"/>
        <v>183.75</v>
      </c>
    </row>
    <row r="75" spans="84:86">
      <c r="CG75">
        <f>BR14</f>
        <v>7.5783333333333336E-3</v>
      </c>
      <c r="CH75">
        <f>BS14</f>
        <v>559.84</v>
      </c>
    </row>
    <row r="78" spans="84:86">
      <c r="CG78">
        <f t="shared" ref="CG76:CG82" si="69">BR17</f>
        <v>6.1065868263473055E-3</v>
      </c>
      <c r="CH78">
        <f t="shared" ref="CH76:CH82" si="70">BS17</f>
        <v>210.5</v>
      </c>
    </row>
    <row r="79" spans="84:86">
      <c r="CG79">
        <f t="shared" si="69"/>
        <v>6.624615384615385E-3</v>
      </c>
      <c r="CH79">
        <f t="shared" si="70"/>
        <v>457.65</v>
      </c>
    </row>
    <row r="80" spans="84:86">
      <c r="CG80">
        <f t="shared" si="69"/>
        <v>3.1634730538922153E-3</v>
      </c>
      <c r="CH80">
        <f t="shared" si="70"/>
        <v>281.63</v>
      </c>
    </row>
    <row r="82" spans="85:86">
      <c r="CG82">
        <f t="shared" si="69"/>
        <v>2.3044117647058825E-3</v>
      </c>
      <c r="CH82">
        <f t="shared" si="70"/>
        <v>255.94</v>
      </c>
    </row>
    <row r="83" spans="85:86">
      <c r="CG83">
        <f>BR23</f>
        <v>4.8240740740740744E-3</v>
      </c>
      <c r="CH83">
        <f>BS23</f>
        <v>405</v>
      </c>
    </row>
    <row r="84" spans="85:86">
      <c r="CG84">
        <f t="shared" ref="CG84:CG90" si="71">BR24</f>
        <v>2.9171052631578949E-3</v>
      </c>
      <c r="CH84">
        <f t="shared" ref="CH84:CH90" si="72">BS24</f>
        <v>443.03</v>
      </c>
    </row>
    <row r="86" spans="85:86">
      <c r="CG86">
        <f t="shared" si="71"/>
        <v>4.0044871794871796E-3</v>
      </c>
      <c r="CH86">
        <f t="shared" si="72"/>
        <v>285.95</v>
      </c>
    </row>
    <row r="88" spans="85:86">
      <c r="CG88">
        <f t="shared" si="71"/>
        <v>4.6280487804878055E-3</v>
      </c>
      <c r="CH88">
        <f t="shared" si="72"/>
        <v>230.3</v>
      </c>
    </row>
    <row r="89" spans="85:86">
      <c r="CG89">
        <f t="shared" si="71"/>
        <v>5.359756097560976E-3</v>
      </c>
      <c r="CH89">
        <f t="shared" si="72"/>
        <v>242.59</v>
      </c>
    </row>
    <row r="90" spans="85:86">
      <c r="CG90">
        <f t="shared" si="71"/>
        <v>4.1208588957055217E-3</v>
      </c>
      <c r="CH90">
        <f t="shared" si="72"/>
        <v>172.06</v>
      </c>
    </row>
    <row r="91" spans="85:86">
      <c r="CG91">
        <f>BR32</f>
        <v>3.8965000000000007E-3</v>
      </c>
      <c r="CH91">
        <f>BS32</f>
        <v>251.9</v>
      </c>
    </row>
    <row r="92" spans="85:86">
      <c r="CG92">
        <f t="shared" ref="CG92:CH99" si="73">BR33</f>
        <v>6.6439759036144574E-3</v>
      </c>
      <c r="CH92">
        <f t="shared" si="73"/>
        <v>301.81</v>
      </c>
    </row>
    <row r="93" spans="85:86">
      <c r="CG93">
        <f t="shared" si="73"/>
        <v>4.2414893617021276E-3</v>
      </c>
      <c r="CH93">
        <f t="shared" si="73"/>
        <v>384.75</v>
      </c>
    </row>
    <row r="94" spans="85:86">
      <c r="CG94">
        <f t="shared" si="73"/>
        <v>6.8459459459459466E-3</v>
      </c>
      <c r="CH94">
        <f t="shared" si="73"/>
        <v>256</v>
      </c>
    </row>
    <row r="95" spans="85:86">
      <c r="CG95">
        <f t="shared" si="73"/>
        <v>3.7143712574850304E-3</v>
      </c>
      <c r="CH95">
        <f t="shared" si="73"/>
        <v>373.18</v>
      </c>
    </row>
    <row r="96" spans="85:86">
      <c r="CG96">
        <f t="shared" si="73"/>
        <v>3.7886792452830192E-3</v>
      </c>
      <c r="CH96">
        <f t="shared" si="73"/>
        <v>152.1</v>
      </c>
    </row>
    <row r="97" spans="84:86">
      <c r="CG97">
        <f t="shared" si="73"/>
        <v>3.6658031088082901E-3</v>
      </c>
      <c r="CH97">
        <f t="shared" si="73"/>
        <v>169</v>
      </c>
    </row>
    <row r="98" spans="84:86">
      <c r="CG98">
        <f t="shared" si="73"/>
        <v>2.548427672955975E-3</v>
      </c>
      <c r="CH98">
        <f t="shared" si="73"/>
        <v>196.52</v>
      </c>
    </row>
    <row r="99" spans="84:86">
      <c r="CF99" s="1">
        <v>45573</v>
      </c>
      <c r="CG99">
        <f t="shared" ref="CG99:CG105" si="74">BT5</f>
        <v>1.6128985507246375E-2</v>
      </c>
      <c r="CH99">
        <f t="shared" ref="CH99:CH105" si="75">BU5</f>
        <v>1479.68</v>
      </c>
    </row>
    <row r="100" spans="84:86">
      <c r="CG100">
        <f t="shared" si="74"/>
        <v>6.5226415094339621E-3</v>
      </c>
      <c r="CH100">
        <f t="shared" si="75"/>
        <v>608.26</v>
      </c>
    </row>
    <row r="101" spans="84:86">
      <c r="CG101">
        <f t="shared" si="74"/>
        <v>9.8415584415584411E-3</v>
      </c>
      <c r="CH101">
        <f t="shared" si="75"/>
        <v>1031.94</v>
      </c>
    </row>
    <row r="102" spans="84:86">
      <c r="CG102">
        <f t="shared" si="74"/>
        <v>1.37E-2</v>
      </c>
      <c r="CH102">
        <f t="shared" si="75"/>
        <v>327.23</v>
      </c>
    </row>
    <row r="103" spans="84:86">
      <c r="CG103">
        <f t="shared" si="74"/>
        <v>8.9899999999999997E-3</v>
      </c>
      <c r="CH103">
        <f t="shared" si="75"/>
        <v>534.15</v>
      </c>
    </row>
    <row r="104" spans="84:86">
      <c r="CG104">
        <f t="shared" si="74"/>
        <v>1.53525E-2</v>
      </c>
      <c r="CH104">
        <f t="shared" si="75"/>
        <v>296.35000000000002</v>
      </c>
    </row>
    <row r="105" spans="84:86">
      <c r="CG105">
        <f t="shared" si="74"/>
        <v>1.1052857142857144E-2</v>
      </c>
      <c r="CH105">
        <f t="shared" si="75"/>
        <v>261.61</v>
      </c>
    </row>
    <row r="106" spans="84:86">
      <c r="CG106">
        <f t="shared" ref="CG100:CH106" si="76">BT12</f>
        <v>6.1204081632653057E-3</v>
      </c>
      <c r="CH106">
        <f t="shared" si="76"/>
        <v>261.61</v>
      </c>
    </row>
    <row r="107" spans="84:86">
      <c r="CG107">
        <f>BT14</f>
        <v>2.148125E-2</v>
      </c>
      <c r="CH107">
        <f>BU14</f>
        <v>905.06</v>
      </c>
    </row>
    <row r="108" spans="84:86">
      <c r="CG108">
        <f t="shared" ref="CG108:CH114" si="77">BT15</f>
        <v>1.5783695652173916E-2</v>
      </c>
      <c r="CH108">
        <f t="shared" si="77"/>
        <v>310.39999999999998</v>
      </c>
    </row>
    <row r="109" spans="84:86">
      <c r="CG109">
        <f t="shared" si="77"/>
        <v>1.0558536585365853E-2</v>
      </c>
      <c r="CH109">
        <f t="shared" si="77"/>
        <v>382.23</v>
      </c>
    </row>
    <row r="110" spans="84:86">
      <c r="CG110">
        <f t="shared" si="77"/>
        <v>7.8855072463768112E-3</v>
      </c>
      <c r="CH110">
        <f t="shared" si="77"/>
        <v>725.1</v>
      </c>
    </row>
    <row r="111" spans="84:86">
      <c r="CG111">
        <f t="shared" si="77"/>
        <v>2.0537500000000004E-2</v>
      </c>
      <c r="CH111">
        <f t="shared" si="77"/>
        <v>366.1</v>
      </c>
    </row>
    <row r="112" spans="84:86">
      <c r="CG112">
        <f t="shared" si="77"/>
        <v>6.625714285714286E-3</v>
      </c>
      <c r="CH112">
        <f t="shared" si="77"/>
        <v>310.01</v>
      </c>
    </row>
    <row r="113" spans="85:86">
      <c r="CG113">
        <f t="shared" si="77"/>
        <v>1.7934065934065931E-2</v>
      </c>
      <c r="CH113">
        <f t="shared" si="77"/>
        <v>268.36</v>
      </c>
    </row>
    <row r="114" spans="85:86">
      <c r="CG114">
        <f t="shared" si="77"/>
        <v>9.8624999999999997E-3</v>
      </c>
      <c r="CH114">
        <f t="shared" si="77"/>
        <v>268.36</v>
      </c>
    </row>
    <row r="115" spans="85:86">
      <c r="CG115">
        <f>BT23</f>
        <v>1.5298387096774193E-2</v>
      </c>
      <c r="CH115">
        <f>BU23</f>
        <v>673.67</v>
      </c>
    </row>
    <row r="116" spans="85:86">
      <c r="CG116">
        <f t="shared" ref="CG116:CH116" si="78">BT24</f>
        <v>1.5770491803278691E-2</v>
      </c>
      <c r="CH116">
        <f t="shared" si="78"/>
        <v>742.56</v>
      </c>
    </row>
    <row r="117" spans="85:86">
      <c r="CG117">
        <f t="shared" ref="CG117:CH117" si="79">BT25</f>
        <v>1.1547058823529412E-2</v>
      </c>
      <c r="CH117">
        <f t="shared" si="79"/>
        <v>367.42</v>
      </c>
    </row>
    <row r="118" spans="85:86">
      <c r="CG118">
        <f t="shared" ref="CG118:CH118" si="80">BT26</f>
        <v>1.4243037974683544E-2</v>
      </c>
      <c r="CH118">
        <f t="shared" si="80"/>
        <v>633.94000000000005</v>
      </c>
    </row>
    <row r="119" spans="85:86">
      <c r="CG119">
        <f t="shared" ref="CG119:CH119" si="81">BT27</f>
        <v>1.2937500000000001E-2</v>
      </c>
      <c r="CH119">
        <f t="shared" si="81"/>
        <v>292.5</v>
      </c>
    </row>
    <row r="120" spans="85:86">
      <c r="CG120">
        <f t="shared" ref="CG120:CH120" si="82">BT28</f>
        <v>1.4158064516129033E-2</v>
      </c>
      <c r="CH120">
        <f t="shared" si="82"/>
        <v>296.45</v>
      </c>
    </row>
    <row r="121" spans="85:86">
      <c r="CG121">
        <f t="shared" ref="CG121:CH121" si="83">BT29</f>
        <v>1.6280327868852459E-2</v>
      </c>
      <c r="CH121">
        <f t="shared" si="83"/>
        <v>232.73</v>
      </c>
    </row>
    <row r="122" spans="85:86">
      <c r="CG122">
        <f t="shared" ref="CG122:CH122" si="84">BT30</f>
        <v>4.3611111111111116E-3</v>
      </c>
      <c r="CH122">
        <f t="shared" si="84"/>
        <v>232.73</v>
      </c>
    </row>
    <row r="123" spans="85:86">
      <c r="CG123">
        <f>BT32</f>
        <v>2.3035849056603774E-2</v>
      </c>
      <c r="CH123">
        <f>BU32</f>
        <v>364.86</v>
      </c>
    </row>
    <row r="124" spans="85:86">
      <c r="CG124">
        <f t="shared" ref="CG124:CH130" si="85">BT33</f>
        <v>1.9914516129032257E-2</v>
      </c>
      <c r="CH124">
        <f t="shared" si="85"/>
        <v>541.02</v>
      </c>
    </row>
    <row r="125" spans="85:86">
      <c r="CG125">
        <f t="shared" si="85"/>
        <v>2.4204999999999997E-2</v>
      </c>
      <c r="CH125">
        <f t="shared" si="85"/>
        <v>482.84</v>
      </c>
    </row>
    <row r="126" spans="85:86">
      <c r="CG126">
        <f t="shared" si="85"/>
        <v>1.8054166666666666E-2</v>
      </c>
      <c r="CH126">
        <f t="shared" si="85"/>
        <v>366.1</v>
      </c>
    </row>
    <row r="127" spans="85:86">
      <c r="CG127">
        <f t="shared" si="85"/>
        <v>3.0028070175438598E-2</v>
      </c>
      <c r="CH127">
        <f t="shared" si="85"/>
        <v>689.59</v>
      </c>
    </row>
    <row r="128" spans="85:86">
      <c r="CG128">
        <f t="shared" si="85"/>
        <v>2.228769230769231E-2</v>
      </c>
      <c r="CH128">
        <f t="shared" si="85"/>
        <v>188.06</v>
      </c>
    </row>
    <row r="129" spans="84:86">
      <c r="CG129">
        <f t="shared" si="85"/>
        <v>2.024705882352941E-2</v>
      </c>
      <c r="CH129">
        <f t="shared" si="85"/>
        <v>281.63</v>
      </c>
    </row>
    <row r="130" spans="84:86">
      <c r="CG130">
        <f t="shared" si="85"/>
        <v>2.7331914893617026E-2</v>
      </c>
      <c r="CH130">
        <f t="shared" si="85"/>
        <v>249.16</v>
      </c>
    </row>
    <row r="131" spans="84:86">
      <c r="CF131" s="1">
        <v>45580</v>
      </c>
    </row>
    <row r="133" spans="84:86">
      <c r="CG133">
        <f t="shared" ref="CG131:CG138" si="86">BV7</f>
        <v>8.9051282051282044E-3</v>
      </c>
      <c r="CH133">
        <f t="shared" ref="CH131:CH138" si="87">BW7</f>
        <v>807.65</v>
      </c>
    </row>
    <row r="134" spans="84:86">
      <c r="CG134">
        <f t="shared" si="86"/>
        <v>2.8062365591397853E-2</v>
      </c>
      <c r="CH134">
        <f t="shared" si="87"/>
        <v>1629.44</v>
      </c>
    </row>
    <row r="135" spans="84:86">
      <c r="CG135">
        <f t="shared" si="86"/>
        <v>9.6424657534246571E-3</v>
      </c>
      <c r="CH135">
        <f t="shared" si="87"/>
        <v>529.91999999999996</v>
      </c>
    </row>
    <row r="136" spans="84:86">
      <c r="CG136">
        <f t="shared" si="86"/>
        <v>1.5177027027027027E-2</v>
      </c>
      <c r="CH136">
        <f t="shared" si="87"/>
        <v>932.14</v>
      </c>
    </row>
    <row r="137" spans="84:86">
      <c r="CG137">
        <f t="shared" si="86"/>
        <v>1.0356000000000001E-2</v>
      </c>
      <c r="CH137">
        <f t="shared" si="87"/>
        <v>506.88</v>
      </c>
    </row>
    <row r="138" spans="84:86">
      <c r="CG138">
        <f t="shared" si="86"/>
        <v>8.7274725274725275E-3</v>
      </c>
      <c r="CH138">
        <f t="shared" si="87"/>
        <v>317.52</v>
      </c>
    </row>
    <row r="139" spans="84:86">
      <c r="CG139">
        <f t="shared" ref="CG132:CH139" si="88">BV13</f>
        <v>1.3478409850741712E-2</v>
      </c>
      <c r="CH139">
        <f t="shared" si="88"/>
        <v>787.25833333333321</v>
      </c>
    </row>
    <row r="140" spans="84:86">
      <c r="CG140">
        <f>BV14</f>
        <v>2.6430588235294115E-2</v>
      </c>
      <c r="CH140">
        <f>BW14</f>
        <v>1411.34</v>
      </c>
    </row>
    <row r="141" spans="84:86">
      <c r="CG141">
        <f t="shared" ref="CG141:CH147" si="89">BV15</f>
        <v>2.454578313253012E-2</v>
      </c>
      <c r="CH141">
        <f t="shared" si="89"/>
        <v>358.71</v>
      </c>
    </row>
    <row r="142" spans="84:86">
      <c r="CG142">
        <f t="shared" si="89"/>
        <v>2.9477966101694914E-2</v>
      </c>
      <c r="CH142">
        <f t="shared" si="89"/>
        <v>819.35</v>
      </c>
    </row>
    <row r="143" spans="84:86">
      <c r="CG143">
        <f t="shared" si="89"/>
        <v>2.173139534883721E-2</v>
      </c>
      <c r="CH143">
        <f t="shared" si="89"/>
        <v>481.56</v>
      </c>
    </row>
    <row r="144" spans="84:86">
      <c r="CG144">
        <f t="shared" si="89"/>
        <v>2.119342105263158E-2</v>
      </c>
      <c r="CH144">
        <f t="shared" si="89"/>
        <v>877.25</v>
      </c>
    </row>
    <row r="145" spans="85:86">
      <c r="CG145">
        <f t="shared" si="89"/>
        <v>7.2989690721649483E-3</v>
      </c>
      <c r="CH145">
        <f t="shared" si="89"/>
        <v>581.46</v>
      </c>
    </row>
    <row r="146" spans="85:86">
      <c r="CG146">
        <f t="shared" si="89"/>
        <v>1.6762365591397849E-2</v>
      </c>
      <c r="CH146">
        <f t="shared" si="89"/>
        <v>343.19</v>
      </c>
    </row>
    <row r="147" spans="85:86">
      <c r="CG147">
        <f t="shared" si="89"/>
        <v>5.7536923076923076E-2</v>
      </c>
      <c r="CH147">
        <f t="shared" si="89"/>
        <v>459.47</v>
      </c>
    </row>
    <row r="148" spans="85:86">
      <c r="CG148">
        <f>BV23</f>
        <v>7.0537313432835818E-3</v>
      </c>
      <c r="CH148">
        <f>BW23</f>
        <v>746.5</v>
      </c>
    </row>
    <row r="149" spans="85:86">
      <c r="CG149">
        <f t="shared" ref="CG149:CH155" si="90">BV24</f>
        <v>2.2462857142857142E-2</v>
      </c>
      <c r="CH149">
        <f t="shared" si="90"/>
        <v>1041.8800000000001</v>
      </c>
    </row>
    <row r="150" spans="85:86">
      <c r="CG150">
        <f t="shared" si="90"/>
        <v>7.1061538461538454E-3</v>
      </c>
      <c r="CH150">
        <f t="shared" si="90"/>
        <v>625</v>
      </c>
    </row>
    <row r="151" spans="85:86">
      <c r="CG151">
        <f t="shared" si="90"/>
        <v>7.6548780487804878E-3</v>
      </c>
      <c r="CH151">
        <f t="shared" si="90"/>
        <v>539</v>
      </c>
    </row>
    <row r="152" spans="85:86">
      <c r="CG152">
        <f t="shared" si="90"/>
        <v>1.6171000000000001E-2</v>
      </c>
      <c r="CH152">
        <f t="shared" si="90"/>
        <v>819.95</v>
      </c>
    </row>
    <row r="153" spans="85:86">
      <c r="CG153">
        <f t="shared" si="90"/>
        <v>1.0604166666666666E-2</v>
      </c>
      <c r="CH153">
        <f t="shared" si="90"/>
        <v>396.12</v>
      </c>
    </row>
    <row r="154" spans="85:86">
      <c r="CG154">
        <f t="shared" si="90"/>
        <v>1.0280952380952382E-2</v>
      </c>
      <c r="CH154">
        <f t="shared" si="90"/>
        <v>636.54</v>
      </c>
    </row>
    <row r="155" spans="85:86">
      <c r="CG155">
        <f t="shared" si="90"/>
        <v>6.681521739130435E-3</v>
      </c>
      <c r="CH155">
        <f t="shared" si="90"/>
        <v>278.66000000000003</v>
      </c>
    </row>
    <row r="156" spans="85:86">
      <c r="CG156">
        <f>BV32</f>
        <v>3.028676470588235E-2</v>
      </c>
      <c r="CH156">
        <f>BW32</f>
        <v>328.05</v>
      </c>
    </row>
    <row r="157" spans="85:86">
      <c r="CG157">
        <f t="shared" ref="CG157:CH163" si="91">BV33</f>
        <v>3.5765591397849461E-2</v>
      </c>
      <c r="CH157">
        <f t="shared" si="91"/>
        <v>739.26</v>
      </c>
    </row>
    <row r="158" spans="85:86">
      <c r="CG158">
        <f t="shared" si="91"/>
        <v>2.0522666666666665E-2</v>
      </c>
      <c r="CH158">
        <f t="shared" si="91"/>
        <v>761.36</v>
      </c>
    </row>
    <row r="159" spans="85:86">
      <c r="CG159">
        <f t="shared" si="91"/>
        <v>1.1069565217391305E-2</v>
      </c>
      <c r="CH159">
        <f t="shared" si="91"/>
        <v>406.56</v>
      </c>
    </row>
    <row r="160" spans="85:86">
      <c r="CG160">
        <f t="shared" si="91"/>
        <v>3.271891891891892E-2</v>
      </c>
      <c r="CH160">
        <f t="shared" si="91"/>
        <v>906.6</v>
      </c>
    </row>
    <row r="161" spans="84:86">
      <c r="CG161">
        <f t="shared" si="91"/>
        <v>4.3669230769230773E-2</v>
      </c>
      <c r="CH161">
        <f t="shared" si="91"/>
        <v>258.75</v>
      </c>
    </row>
    <row r="162" spans="84:86">
      <c r="CG162">
        <f t="shared" si="91"/>
        <v>1.2818461538461537E-2</v>
      </c>
      <c r="CH162">
        <f t="shared" si="91"/>
        <v>248.83</v>
      </c>
    </row>
    <row r="163" spans="84:86">
      <c r="CG163">
        <f t="shared" si="91"/>
        <v>9.0368421052631574E-3</v>
      </c>
      <c r="CH163">
        <f t="shared" si="91"/>
        <v>274.36</v>
      </c>
    </row>
    <row r="164" spans="84:86">
      <c r="CF164" s="1">
        <v>45587</v>
      </c>
    </row>
    <row r="166" spans="84:86">
      <c r="CG166">
        <f t="shared" ref="CG164:CG170" si="92">BX7</f>
        <v>9.4964912280701749E-3</v>
      </c>
      <c r="CH166">
        <f t="shared" ref="CH164:CH170" si="93">BY7</f>
        <v>1184.6300000000001</v>
      </c>
    </row>
    <row r="168" spans="84:86">
      <c r="CG168">
        <f t="shared" si="92"/>
        <v>1.0720634920634922E-2</v>
      </c>
      <c r="CH168">
        <f t="shared" si="93"/>
        <v>778.91</v>
      </c>
    </row>
    <row r="169" spans="84:86">
      <c r="CG169">
        <f t="shared" si="92"/>
        <v>1.3918032786885247E-2</v>
      </c>
      <c r="CH169">
        <f t="shared" si="93"/>
        <v>1054.05</v>
      </c>
    </row>
    <row r="170" spans="84:86">
      <c r="CG170">
        <f t="shared" si="92"/>
        <v>7.9410000000000001E-3</v>
      </c>
      <c r="CH170">
        <f t="shared" si="93"/>
        <v>600</v>
      </c>
    </row>
    <row r="171" spans="84:86">
      <c r="CG171">
        <f t="shared" ref="CG165:CH171" si="94">BX12</f>
        <v>1.7664615384615383E-2</v>
      </c>
      <c r="CH171">
        <f t="shared" si="94"/>
        <v>427.73</v>
      </c>
    </row>
    <row r="172" spans="84:86">
      <c r="CG172">
        <f>BX14</f>
        <v>4.0508247422680416E-2</v>
      </c>
      <c r="CH172">
        <f>BY14</f>
        <v>1811.86</v>
      </c>
    </row>
    <row r="173" spans="84:86">
      <c r="CG173">
        <f t="shared" ref="CG173:CH179" si="95">BX15</f>
        <v>1.3009473684210526E-2</v>
      </c>
      <c r="CH173">
        <f t="shared" si="95"/>
        <v>605</v>
      </c>
    </row>
    <row r="174" spans="84:86">
      <c r="CG174">
        <f t="shared" si="95"/>
        <v>3.1416666666666669E-2</v>
      </c>
      <c r="CH174">
        <f t="shared" si="95"/>
        <v>1138.6300000000001</v>
      </c>
    </row>
    <row r="175" spans="84:86">
      <c r="CG175">
        <f t="shared" si="95"/>
        <v>1.4609722222222224E-2</v>
      </c>
      <c r="CH175">
        <f t="shared" si="95"/>
        <v>551.62</v>
      </c>
    </row>
    <row r="176" spans="84:86">
      <c r="CG176">
        <f t="shared" si="95"/>
        <v>9.1905660377358499E-3</v>
      </c>
      <c r="CH176">
        <f t="shared" si="95"/>
        <v>1296.8800000000001</v>
      </c>
    </row>
    <row r="177" spans="85:86">
      <c r="CG177">
        <f t="shared" si="95"/>
        <v>1.1263013698630137E-2</v>
      </c>
      <c r="CH177">
        <f t="shared" si="95"/>
        <v>705.6</v>
      </c>
    </row>
    <row r="178" spans="85:86">
      <c r="CG178">
        <f t="shared" si="95"/>
        <v>1.0149999999999999E-2</v>
      </c>
      <c r="CH178">
        <f t="shared" si="95"/>
        <v>406.56</v>
      </c>
    </row>
    <row r="179" spans="85:86">
      <c r="CG179">
        <f t="shared" si="95"/>
        <v>1.1998958333333332E-2</v>
      </c>
      <c r="CH179">
        <f t="shared" si="95"/>
        <v>682.34</v>
      </c>
    </row>
    <row r="180" spans="85:86">
      <c r="CG180">
        <f>BX23</f>
        <v>1.761578947368421E-2</v>
      </c>
      <c r="CH180">
        <f>BY23</f>
        <v>1168.58</v>
      </c>
    </row>
    <row r="181" spans="85:86">
      <c r="CG181">
        <f t="shared" ref="CG181:CH187" si="96">BX24</f>
        <v>9.0742268041237115E-3</v>
      </c>
      <c r="CH181">
        <f t="shared" si="96"/>
        <v>1949.49</v>
      </c>
    </row>
    <row r="182" spans="85:86">
      <c r="CG182">
        <f t="shared" si="96"/>
        <v>7.1112500000000013E-3</v>
      </c>
      <c r="CH182">
        <f t="shared" si="96"/>
        <v>651.77</v>
      </c>
    </row>
    <row r="183" spans="85:86">
      <c r="CG183">
        <f t="shared" si="96"/>
        <v>8.6049382716049394E-3</v>
      </c>
      <c r="CH183">
        <f t="shared" si="96"/>
        <v>873.25</v>
      </c>
    </row>
    <row r="184" spans="85:86">
      <c r="CG184">
        <f t="shared" si="96"/>
        <v>9.7047619047619035E-3</v>
      </c>
      <c r="CH184">
        <f t="shared" si="96"/>
        <v>1056.76</v>
      </c>
    </row>
    <row r="185" spans="85:86">
      <c r="CG185">
        <f t="shared" si="96"/>
        <v>1.2238709677419354E-2</v>
      </c>
      <c r="CH185">
        <f t="shared" si="96"/>
        <v>600.16</v>
      </c>
    </row>
    <row r="186" spans="85:86">
      <c r="CG186">
        <f t="shared" si="96"/>
        <v>1.7207608695652174E-2</v>
      </c>
      <c r="CH186">
        <f t="shared" si="96"/>
        <v>799.25</v>
      </c>
    </row>
    <row r="187" spans="85:86">
      <c r="CG187">
        <f t="shared" si="96"/>
        <v>9.029411764705883E-3</v>
      </c>
      <c r="CH187">
        <f t="shared" si="96"/>
        <v>401.16</v>
      </c>
    </row>
    <row r="188" spans="85:86">
      <c r="CG188">
        <f>BX32</f>
        <v>1.2143999999999999E-2</v>
      </c>
      <c r="CH188">
        <f>BY32</f>
        <v>622.91</v>
      </c>
    </row>
    <row r="189" spans="85:86">
      <c r="CG189">
        <f t="shared" ref="CG189:CH195" si="97">BX33</f>
        <v>2.0205769230769229E-2</v>
      </c>
      <c r="CH189">
        <f t="shared" si="97"/>
        <v>833.18</v>
      </c>
    </row>
    <row r="190" spans="85:86">
      <c r="CG190">
        <f t="shared" si="97"/>
        <v>7.6412500000000005E-3</v>
      </c>
      <c r="CH190">
        <f t="shared" si="97"/>
        <v>859.63</v>
      </c>
    </row>
    <row r="191" spans="85:86">
      <c r="CG191">
        <f t="shared" si="97"/>
        <v>1.0242391304347826E-2</v>
      </c>
      <c r="CH191">
        <f t="shared" si="97"/>
        <v>528.22</v>
      </c>
    </row>
    <row r="192" spans="85:86">
      <c r="CG192">
        <f t="shared" si="97"/>
        <v>1.7967647058823529E-2</v>
      </c>
      <c r="CH192">
        <f t="shared" si="97"/>
        <v>1160.8900000000001</v>
      </c>
    </row>
    <row r="193" spans="84:86">
      <c r="CG193">
        <f t="shared" si="97"/>
        <v>9.7355932203389839E-3</v>
      </c>
      <c r="CH193">
        <f t="shared" si="97"/>
        <v>383.33</v>
      </c>
    </row>
    <row r="194" spans="84:86">
      <c r="CG194">
        <f t="shared" si="97"/>
        <v>1.2920987654320988E-2</v>
      </c>
      <c r="CH194">
        <f t="shared" si="97"/>
        <v>442.79</v>
      </c>
    </row>
    <row r="195" spans="84:86">
      <c r="CG195">
        <f t="shared" si="97"/>
        <v>1.4437777777777779E-2</v>
      </c>
      <c r="CH195">
        <f t="shared" si="97"/>
        <v>373.18</v>
      </c>
    </row>
    <row r="196" spans="84:86">
      <c r="CF196" s="1">
        <v>45594</v>
      </c>
    </row>
    <row r="198" spans="84:86">
      <c r="CG198">
        <f t="shared" ref="CG197:CH203" si="98">BZ7</f>
        <v>1.3523076923076922E-2</v>
      </c>
      <c r="CH198">
        <f t="shared" si="98"/>
        <v>1564.35</v>
      </c>
    </row>
    <row r="200" spans="84:86">
      <c r="CG200">
        <f t="shared" si="98"/>
        <v>5.9584415584415587E-3</v>
      </c>
      <c r="CH200">
        <f t="shared" si="98"/>
        <v>1046.83</v>
      </c>
    </row>
    <row r="201" spans="84:86">
      <c r="CG201">
        <f t="shared" si="98"/>
        <v>2.1486274509803924E-2</v>
      </c>
      <c r="CH201">
        <f t="shared" si="98"/>
        <v>1467.27</v>
      </c>
    </row>
    <row r="202" spans="84:86">
      <c r="CG202">
        <f t="shared" si="98"/>
        <v>9.6081081081081082E-3</v>
      </c>
      <c r="CH202">
        <f t="shared" si="98"/>
        <v>748.5</v>
      </c>
    </row>
    <row r="203" spans="84:86">
      <c r="CG203">
        <f t="shared" si="98"/>
        <v>6.6670000000000011E-3</v>
      </c>
      <c r="CH203">
        <f t="shared" si="98"/>
        <v>429.3</v>
      </c>
    </row>
    <row r="204" spans="84:86">
      <c r="CG204">
        <f>BZ14</f>
        <v>4.5669999999999995E-2</v>
      </c>
      <c r="CH204">
        <f>CA14</f>
        <v>2332.89</v>
      </c>
    </row>
    <row r="207" spans="84:86">
      <c r="CG207">
        <f t="shared" ref="CG205:CH211" si="99">BZ17</f>
        <v>4.2661290322580647E-3</v>
      </c>
      <c r="CH207">
        <f t="shared" si="99"/>
        <v>584.05999999999995</v>
      </c>
    </row>
    <row r="208" spans="84:86">
      <c r="CG208">
        <f t="shared" si="99"/>
        <v>9.1441558441558435E-3</v>
      </c>
      <c r="CH208">
        <f t="shared" si="99"/>
        <v>1918.08</v>
      </c>
    </row>
    <row r="209" spans="85:86">
      <c r="CG209">
        <f t="shared" si="99"/>
        <v>8.850000000000002E-3</v>
      </c>
      <c r="CH209">
        <f t="shared" si="99"/>
        <v>1019.59</v>
      </c>
    </row>
    <row r="211" spans="85:86">
      <c r="CG211">
        <f t="shared" si="99"/>
        <v>2.0124637681159421E-2</v>
      </c>
      <c r="CH211">
        <f t="shared" si="99"/>
        <v>1040.32</v>
      </c>
    </row>
    <row r="212" spans="85:86">
      <c r="CG212">
        <f>BZ14</f>
        <v>4.5669999999999995E-2</v>
      </c>
      <c r="CH212">
        <f>CA14</f>
        <v>2332.89</v>
      </c>
    </row>
    <row r="213" spans="85:86">
      <c r="CG213">
        <f>BZ23</f>
        <v>1.5185333333333334E-2</v>
      </c>
      <c r="CH213">
        <f>CA23</f>
        <v>1512.41</v>
      </c>
    </row>
    <row r="214" spans="85:86">
      <c r="CG214">
        <f t="shared" ref="CG214:CH220" si="100">BZ24</f>
        <v>1.1629545454545455E-2</v>
      </c>
      <c r="CH214">
        <f t="shared" si="100"/>
        <v>2865.62</v>
      </c>
    </row>
    <row r="215" spans="85:86">
      <c r="CG215">
        <f t="shared" si="100"/>
        <v>6.2769230769230775E-3</v>
      </c>
      <c r="CH215">
        <f t="shared" si="100"/>
        <v>812.88</v>
      </c>
    </row>
    <row r="216" spans="85:86">
      <c r="CG216">
        <f t="shared" si="100"/>
        <v>9.3630769230769236E-3</v>
      </c>
      <c r="CH216">
        <f t="shared" si="100"/>
        <v>1314.65</v>
      </c>
    </row>
    <row r="217" spans="85:86">
      <c r="CG217">
        <f t="shared" si="100"/>
        <v>8.9837837837837848E-3</v>
      </c>
      <c r="CH217">
        <f t="shared" si="100"/>
        <v>1442.69</v>
      </c>
    </row>
    <row r="218" spans="85:86">
      <c r="CG218">
        <f t="shared" si="100"/>
        <v>7.3454545454545448E-3</v>
      </c>
      <c r="CH218">
        <f t="shared" si="100"/>
        <v>1026.68</v>
      </c>
    </row>
    <row r="219" spans="85:86">
      <c r="CG219">
        <f t="shared" si="100"/>
        <v>1.3047999999999999E-2</v>
      </c>
      <c r="CH219">
        <f t="shared" si="100"/>
        <v>1193.55</v>
      </c>
    </row>
    <row r="220" spans="85:86">
      <c r="CG220">
        <f t="shared" si="100"/>
        <v>1.0363000000000001E-2</v>
      </c>
      <c r="CH220">
        <f t="shared" si="100"/>
        <v>635</v>
      </c>
    </row>
    <row r="221" spans="85:86">
      <c r="CG221">
        <f>BZ32</f>
        <v>6.4763888888888892E-3</v>
      </c>
      <c r="CH221">
        <f>CA32</f>
        <v>734.22</v>
      </c>
    </row>
    <row r="222" spans="85:86">
      <c r="CG222">
        <f t="shared" ref="CG222:CH230" si="101">BZ33</f>
        <v>4.3830337078651686E-2</v>
      </c>
      <c r="CH222">
        <f t="shared" si="101"/>
        <v>1216.8</v>
      </c>
    </row>
    <row r="223" spans="85:86">
      <c r="CG223">
        <f t="shared" si="101"/>
        <v>7.2731707317073178E-3</v>
      </c>
      <c r="CH223">
        <f t="shared" si="101"/>
        <v>1340.96</v>
      </c>
    </row>
    <row r="224" spans="85:86">
      <c r="CG224">
        <f t="shared" si="101"/>
        <v>9.3117647058823527E-3</v>
      </c>
      <c r="CH224">
        <f t="shared" si="101"/>
        <v>658.32</v>
      </c>
    </row>
    <row r="225" spans="85:86">
      <c r="CG225">
        <f t="shared" si="101"/>
        <v>1.2545161290322581E-2</v>
      </c>
      <c r="CH225">
        <f t="shared" si="101"/>
        <v>1666</v>
      </c>
    </row>
    <row r="226" spans="85:86">
      <c r="CG226">
        <f t="shared" si="101"/>
        <v>7.4389830508474579E-3</v>
      </c>
      <c r="CH226">
        <f t="shared" si="101"/>
        <v>398.82</v>
      </c>
    </row>
    <row r="227" spans="85:86">
      <c r="CG227">
        <f t="shared" si="101"/>
        <v>1.1331250000000001E-2</v>
      </c>
      <c r="CH227">
        <f t="shared" si="101"/>
        <v>476.16</v>
      </c>
    </row>
    <row r="228" spans="85:86">
      <c r="CG228">
        <f t="shared" si="101"/>
        <v>2.823809523809524E-3</v>
      </c>
      <c r="CH228">
        <f t="shared" si="101"/>
        <v>555.04</v>
      </c>
    </row>
    <row r="229" spans="85:86">
      <c r="CG229">
        <f>CB32</f>
        <v>7.3701754385964904E-3</v>
      </c>
      <c r="CH229">
        <f>CC32</f>
        <v>1555.2</v>
      </c>
    </row>
    <row r="230" spans="85:86">
      <c r="CG230">
        <f t="shared" ref="CG230:CH236" si="102">CB33</f>
        <v>4.8062500000000006E-3</v>
      </c>
      <c r="CH230">
        <f t="shared" si="102"/>
        <v>1931.49</v>
      </c>
    </row>
    <row r="231" spans="85:86">
      <c r="CG231">
        <f t="shared" si="102"/>
        <v>2.5242857142857147E-2</v>
      </c>
      <c r="CH231">
        <f t="shared" si="102"/>
        <v>2393.6</v>
      </c>
    </row>
    <row r="232" spans="85:86">
      <c r="CG232">
        <f t="shared" si="102"/>
        <v>5.2298507462686565E-3</v>
      </c>
      <c r="CH232">
        <f t="shared" si="102"/>
        <v>1610.36</v>
      </c>
    </row>
    <row r="233" spans="85:86">
      <c r="CG233">
        <f t="shared" si="102"/>
        <v>1.5211538461538462E-2</v>
      </c>
      <c r="CH233">
        <f t="shared" si="102"/>
        <v>3345.5</v>
      </c>
    </row>
    <row r="234" spans="85:86">
      <c r="CG234">
        <f t="shared" si="102"/>
        <v>1.0806818181818181E-2</v>
      </c>
      <c r="CH234">
        <f t="shared" si="102"/>
        <v>1190.7</v>
      </c>
    </row>
    <row r="235" spans="85:86">
      <c r="CG235">
        <f t="shared" si="102"/>
        <v>2.4220000000000002E-2</v>
      </c>
      <c r="CH235">
        <f t="shared" si="102"/>
        <v>1195.31</v>
      </c>
    </row>
    <row r="236" spans="85:86">
      <c r="CG236">
        <f t="shared" si="102"/>
        <v>1.0473195876288661E-2</v>
      </c>
      <c r="CH236">
        <f t="shared" si="102"/>
        <v>1278.02</v>
      </c>
    </row>
  </sheetData>
  <mergeCells count="1">
    <mergeCell ref="AO1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Zoberi, Mark</cp:lastModifiedBy>
  <cp:revision/>
  <dcterms:created xsi:type="dcterms:W3CDTF">2025-06-07T16:24:03Z</dcterms:created>
  <dcterms:modified xsi:type="dcterms:W3CDTF">2025-07-31T17:55:57Z</dcterms:modified>
  <cp:category/>
  <cp:contentStatus/>
</cp:coreProperties>
</file>